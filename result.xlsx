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egory" sheetId="1" r:id="rId5"/>
    <sheet state="visible" name="item" sheetId="2" r:id="rId6"/>
    <sheet state="visible" name="modifier_group" sheetId="3" r:id="rId7"/>
    <sheet state="visible" name="modifier_item" sheetId="4" r:id="rId8"/>
    <sheet state="visible" name="modifier_group_option" sheetId="5" r:id="rId9"/>
    <sheet state="visible" name="schedule" sheetId="6" r:id="rId10"/>
  </sheets>
  <definedNames>
    <definedName hidden="1" localSheetId="1" name="Z_24922957_556C_400E_92CA_F57CF5BA017E_.wvu.FilterData">item!$A$1:$S$17</definedName>
  </definedNames>
  <calcPr/>
  <customWorkbookViews>
    <customWorkbookView activeSheetId="0" maximized="1" windowHeight="0" windowWidth="0" guid="{24922957-556C-400E-92CA-F57CF5BA017E}" name="Filter 1"/>
  </customWorkbookViews>
</workbook>
</file>

<file path=xl/sharedStrings.xml><?xml version="1.0" encoding="utf-8"?>
<sst xmlns="http://schemas.openxmlformats.org/spreadsheetml/2006/main" count="706" uniqueCount="453">
  <si>
    <t>category_code</t>
  </si>
  <si>
    <t>name_en</t>
  </si>
  <si>
    <t>name_ar</t>
  </si>
  <si>
    <t>average_prep_time_minutes</t>
  </si>
  <si>
    <t>external_schedule_code</t>
  </si>
  <si>
    <t>internal_category_code</t>
  </si>
  <si>
    <t>is_active</t>
  </si>
  <si>
    <t>C1</t>
  </si>
  <si>
    <t>Fresh Karahi/Korma</t>
  </si>
  <si>
    <t xml:space="preserve">كراهي وكورما </t>
  </si>
  <si>
    <t>C2</t>
  </si>
  <si>
    <t>Daal</t>
  </si>
  <si>
    <t>دال</t>
  </si>
  <si>
    <t>C3</t>
  </si>
  <si>
    <t>Biryani/Pulao</t>
  </si>
  <si>
    <t>برياني / بيلاف</t>
  </si>
  <si>
    <t>C4</t>
  </si>
  <si>
    <t>Vegetables</t>
  </si>
  <si>
    <t>خضروات</t>
  </si>
  <si>
    <t>C5</t>
  </si>
  <si>
    <t>Breakfast</t>
  </si>
  <si>
    <t>فطور</t>
  </si>
  <si>
    <t>C6</t>
  </si>
  <si>
    <t>BBQ</t>
  </si>
  <si>
    <t>مشاوي</t>
  </si>
  <si>
    <t>C7</t>
  </si>
  <si>
    <t>Cold Beverage</t>
  </si>
  <si>
    <t>مشروبات باردة</t>
  </si>
  <si>
    <t>C8</t>
  </si>
  <si>
    <t>Hot Beverage</t>
  </si>
  <si>
    <t>مشروبات ساخنة</t>
  </si>
  <si>
    <t>C9</t>
  </si>
  <si>
    <t>Pakistani Special</t>
  </si>
  <si>
    <t>أطباق باكستانية خاصة</t>
  </si>
  <si>
    <t>item_code</t>
  </si>
  <si>
    <t>description_en</t>
  </si>
  <si>
    <t>description_ar</t>
  </si>
  <si>
    <t>price</t>
  </si>
  <si>
    <t>image</t>
  </si>
  <si>
    <t>modifier_groups</t>
  </si>
  <si>
    <t>tags</t>
  </si>
  <si>
    <t>calories</t>
  </si>
  <si>
    <t>item_type</t>
  </si>
  <si>
    <t>fake_original_price</t>
  </si>
  <si>
    <t>max_qty</t>
  </si>
  <si>
    <t>in_stock</t>
  </si>
  <si>
    <t>I1</t>
  </si>
  <si>
    <t>Chicken Karahi</t>
  </si>
  <si>
    <t>كراهي دجاج</t>
  </si>
  <si>
    <t>M1</t>
  </si>
  <si>
    <t>I2</t>
  </si>
  <si>
    <t>Mutton Karahi</t>
  </si>
  <si>
    <t>كراهي لحم غنم</t>
  </si>
  <si>
    <t>M2</t>
  </si>
  <si>
    <t>I3</t>
  </si>
  <si>
    <t>Chicken White Handi</t>
  </si>
  <si>
    <t>هاندي دجاج أبيض</t>
  </si>
  <si>
    <t>M3</t>
  </si>
  <si>
    <t>I4</t>
  </si>
  <si>
    <t>Chicken Achari Karahi</t>
  </si>
  <si>
    <t>كراهي دجاج أشاري</t>
  </si>
  <si>
    <t>M4</t>
  </si>
  <si>
    <t>I5</t>
  </si>
  <si>
    <t>Chicken Boneless Handi</t>
  </si>
  <si>
    <t>هاندي دجاج بدون عظم</t>
  </si>
  <si>
    <t>I6</t>
  </si>
  <si>
    <t>Charsi Karahi (Special)</t>
  </si>
  <si>
    <t>شارسي كراهي (سبشيال)</t>
  </si>
  <si>
    <t>M5</t>
  </si>
  <si>
    <t>I7</t>
  </si>
  <si>
    <t>Chicken Korma</t>
  </si>
  <si>
    <t>كورما دجاج</t>
  </si>
  <si>
    <t>M6</t>
  </si>
  <si>
    <t>I8</t>
  </si>
  <si>
    <t>Mutton Korma</t>
  </si>
  <si>
    <t>كورما لحم غنم</t>
  </si>
  <si>
    <t>M7</t>
  </si>
  <si>
    <t>I9</t>
  </si>
  <si>
    <t>Aalo Qeema</t>
  </si>
  <si>
    <t>آلو كيما</t>
  </si>
  <si>
    <t>M8</t>
  </si>
  <si>
    <t>I10</t>
  </si>
  <si>
    <t>Karela Gosht</t>
  </si>
  <si>
    <t>كاريلا گوشت</t>
  </si>
  <si>
    <t>I11</t>
  </si>
  <si>
    <t>Bhindi Gosht</t>
  </si>
  <si>
    <t>بامية باللحم</t>
  </si>
  <si>
    <t>I12</t>
  </si>
  <si>
    <t>Palak Gosht</t>
  </si>
  <si>
    <t>سبانخ باللحم</t>
  </si>
  <si>
    <t>I13</t>
  </si>
  <si>
    <t>Shahi Daal</t>
  </si>
  <si>
    <t xml:space="preserve">دال شاهي </t>
  </si>
  <si>
    <t>I14</t>
  </si>
  <si>
    <t>Chicken Daal</t>
  </si>
  <si>
    <t xml:space="preserve">دال دجاج </t>
  </si>
  <si>
    <t>I15</t>
  </si>
  <si>
    <t>Masoor Daal</t>
  </si>
  <si>
    <t>دال مسور</t>
  </si>
  <si>
    <t>I16</t>
  </si>
  <si>
    <t>Chana Daal</t>
  </si>
  <si>
    <t>دال شانا</t>
  </si>
  <si>
    <t>I17</t>
  </si>
  <si>
    <t>Mash Daal</t>
  </si>
  <si>
    <t>دال ماش</t>
  </si>
  <si>
    <t>I18</t>
  </si>
  <si>
    <t>Red Lobia</t>
  </si>
  <si>
    <t>لوبيا حمراء</t>
  </si>
  <si>
    <t>I19</t>
  </si>
  <si>
    <t>Chicken Biryani</t>
  </si>
  <si>
    <t>برياني دجاج</t>
  </si>
  <si>
    <t>I20</t>
  </si>
  <si>
    <t>Mutton Biryani</t>
  </si>
  <si>
    <t>برياني لحم غنم</t>
  </si>
  <si>
    <t>I21</t>
  </si>
  <si>
    <t>Chicken Pulao</t>
  </si>
  <si>
    <t>بيلاف دجاج</t>
  </si>
  <si>
    <t>I22</t>
  </si>
  <si>
    <t>Mutton Pulao</t>
  </si>
  <si>
    <t>بيلاف لحم غنم</t>
  </si>
  <si>
    <t>I23</t>
  </si>
  <si>
    <t>Afghani Pulao</t>
  </si>
  <si>
    <t>بيلاف أفغاني</t>
  </si>
  <si>
    <t>I24</t>
  </si>
  <si>
    <t>Chana Pulao</t>
  </si>
  <si>
    <t>بيلاف شانا</t>
  </si>
  <si>
    <t>M9</t>
  </si>
  <si>
    <t>I25</t>
  </si>
  <si>
    <t>Fried Rice</t>
  </si>
  <si>
    <t>أرز مقلي</t>
  </si>
  <si>
    <t>I26</t>
  </si>
  <si>
    <t>Zarda(Sweet)</t>
  </si>
  <si>
    <t xml:space="preserve">زاردة </t>
  </si>
  <si>
    <t>I27</t>
  </si>
  <si>
    <t>Hareesa</t>
  </si>
  <si>
    <t>هريسة</t>
  </si>
  <si>
    <t>M10</t>
  </si>
  <si>
    <t>I28</t>
  </si>
  <si>
    <t>Aloo Gobi</t>
  </si>
  <si>
    <t>آلو جوبي</t>
  </si>
  <si>
    <t>I29</t>
  </si>
  <si>
    <t>Aloo Palak</t>
  </si>
  <si>
    <t xml:space="preserve">آلو سبانخ </t>
  </si>
  <si>
    <t>I30</t>
  </si>
  <si>
    <t>Aloo Mutter</t>
  </si>
  <si>
    <t>آلو ماتر</t>
  </si>
  <si>
    <t>I31</t>
  </si>
  <si>
    <t>Mix Vegetable</t>
  </si>
  <si>
    <t>خضار مشكل</t>
  </si>
  <si>
    <t>I32</t>
  </si>
  <si>
    <t>Bhindi Masala</t>
  </si>
  <si>
    <t>بامية ماسالا</t>
  </si>
  <si>
    <t>M11</t>
  </si>
  <si>
    <t>I33</t>
  </si>
  <si>
    <t>Karela</t>
  </si>
  <si>
    <t>كاريلا</t>
  </si>
  <si>
    <t>I34</t>
  </si>
  <si>
    <t>Kari Pakora</t>
  </si>
  <si>
    <t>كاري باكورا</t>
  </si>
  <si>
    <t>I35</t>
  </si>
  <si>
    <t>Aloo Shimla</t>
  </si>
  <si>
    <t>آلو شيملا</t>
  </si>
  <si>
    <t>I36</t>
  </si>
  <si>
    <t>Shalgam Mutter</t>
  </si>
  <si>
    <t>شلغم ماتر</t>
  </si>
  <si>
    <t>I37</t>
  </si>
  <si>
    <t>khosa</t>
  </si>
  <si>
    <t>كوسا</t>
  </si>
  <si>
    <t>I38</t>
  </si>
  <si>
    <t>Anda Burji</t>
  </si>
  <si>
    <t>أندا بورجي</t>
  </si>
  <si>
    <t>M12</t>
  </si>
  <si>
    <t>I39</t>
  </si>
  <si>
    <t>Moli Paratha</t>
  </si>
  <si>
    <t>مولي براتا</t>
  </si>
  <si>
    <t>I40</t>
  </si>
  <si>
    <t>Aloo Paratha</t>
  </si>
  <si>
    <t>آلو براتا</t>
  </si>
  <si>
    <t>I41</t>
  </si>
  <si>
    <t>Qeema Paratha</t>
  </si>
  <si>
    <t xml:space="preserve">كيما براتا </t>
  </si>
  <si>
    <t>I42</t>
  </si>
  <si>
    <t>Gobhi Paratha</t>
  </si>
  <si>
    <t>جوبي براتا</t>
  </si>
  <si>
    <t>I43</t>
  </si>
  <si>
    <t>Simple Paratha</t>
  </si>
  <si>
    <t>براتا سادة</t>
  </si>
  <si>
    <t>I44</t>
  </si>
  <si>
    <t>Single Omelet</t>
  </si>
  <si>
    <t>أومليت سنجل</t>
  </si>
  <si>
    <t>I45</t>
  </si>
  <si>
    <t>Double Omelet</t>
  </si>
  <si>
    <t>أومليت دبل</t>
  </si>
  <si>
    <t>I46</t>
  </si>
  <si>
    <t>Half Fry Egg</t>
  </si>
  <si>
    <t>بيض نصف استواء</t>
  </si>
  <si>
    <t>I47</t>
  </si>
  <si>
    <t>Boiled Egg</t>
  </si>
  <si>
    <t>بيض مسلوق</t>
  </si>
  <si>
    <t>I48</t>
  </si>
  <si>
    <t>Chana</t>
  </si>
  <si>
    <t xml:space="preserve">شانا </t>
  </si>
  <si>
    <t>I49</t>
  </si>
  <si>
    <t>Chicken Chana</t>
  </si>
  <si>
    <t>شانا دجاج</t>
  </si>
  <si>
    <t>I50</t>
  </si>
  <si>
    <t>Brain Masala</t>
  </si>
  <si>
    <t>مخ ماسالا</t>
  </si>
  <si>
    <t>I51</t>
  </si>
  <si>
    <t>Kaleji</t>
  </si>
  <si>
    <t>كاليجي</t>
  </si>
  <si>
    <t>I52</t>
  </si>
  <si>
    <t>Paya</t>
  </si>
  <si>
    <t>بايا</t>
  </si>
  <si>
    <t>I53</t>
  </si>
  <si>
    <t>Tandoori Roti</t>
  </si>
  <si>
    <t>روتي تندوري</t>
  </si>
  <si>
    <t>I54</t>
  </si>
  <si>
    <t>Roghni Naan</t>
  </si>
  <si>
    <t>روغني نان</t>
  </si>
  <si>
    <t>I55</t>
  </si>
  <si>
    <t>Garlic Naan</t>
  </si>
  <si>
    <t>نان بالثوم</t>
  </si>
  <si>
    <t>I56</t>
  </si>
  <si>
    <t>Butter Naan</t>
  </si>
  <si>
    <t>نان بالزبدة</t>
  </si>
  <si>
    <t>I57</t>
  </si>
  <si>
    <t>Simple Nan</t>
  </si>
  <si>
    <t>نان سادة</t>
  </si>
  <si>
    <t>I58</t>
  </si>
  <si>
    <t>Charcoal Grill</t>
  </si>
  <si>
    <t>مشوي على الفحم</t>
  </si>
  <si>
    <t>Assorted marinated meats and chicken grilled over glowing charcoal fire with spices.</t>
  </si>
  <si>
    <t>تشكيلة متنوعة من اللحوم والدجاج المتبلة والمشوية على الفحم.</t>
  </si>
  <si>
    <t>M13</t>
  </si>
  <si>
    <t>I59</t>
  </si>
  <si>
    <t>Chicken Malai Boti</t>
  </si>
  <si>
    <t>دجاج مالاي بوتي</t>
  </si>
  <si>
    <t>M14</t>
  </si>
  <si>
    <t>I60</t>
  </si>
  <si>
    <t>Chicken Tikka Boti</t>
  </si>
  <si>
    <t>دجاج تكا بوتي</t>
  </si>
  <si>
    <t>M15</t>
  </si>
  <si>
    <t>I61</t>
  </si>
  <si>
    <t>Chicken Leg</t>
  </si>
  <si>
    <t>فخذ دجاج</t>
  </si>
  <si>
    <t>I62</t>
  </si>
  <si>
    <t>Chicken Chest</t>
  </si>
  <si>
    <t>صدر دجاج</t>
  </si>
  <si>
    <t>I63</t>
  </si>
  <si>
    <t>Beef Kabab</t>
  </si>
  <si>
    <t>كباب لحم بقر</t>
  </si>
  <si>
    <t>I64</t>
  </si>
  <si>
    <t>Beef Dhaga Kabab Plate</t>
  </si>
  <si>
    <t xml:space="preserve">طبق كباب داغا لحم </t>
  </si>
  <si>
    <t>I65</t>
  </si>
  <si>
    <t>Reshmi Kabab</t>
  </si>
  <si>
    <t>ريشيمي كباب</t>
  </si>
  <si>
    <t>I66</t>
  </si>
  <si>
    <t>Chapli Kabab</t>
  </si>
  <si>
    <t>شابلي كباب</t>
  </si>
  <si>
    <t>I67</t>
  </si>
  <si>
    <t>Fish Fry</t>
  </si>
  <si>
    <t>سمك مقلي</t>
  </si>
  <si>
    <t>M16</t>
  </si>
  <si>
    <t>I68</t>
  </si>
  <si>
    <t>Fish Grill</t>
  </si>
  <si>
    <t>سمك مشوي</t>
  </si>
  <si>
    <t>M17</t>
  </si>
  <si>
    <t>I69</t>
  </si>
  <si>
    <t>Mix Palter</t>
  </si>
  <si>
    <t xml:space="preserve">طبق مشكل </t>
  </si>
  <si>
    <t>Assortment of different grilled meats, marinated in various spices, served hot.</t>
  </si>
  <si>
    <t>مشويات مشكلة: مجموعة متنوعة من اللحوم المشوية المتبلة ببهارات مختلفة، تُقدم ساخنة</t>
  </si>
  <si>
    <t>I70</t>
  </si>
  <si>
    <t>Tikka Role</t>
  </si>
  <si>
    <t>رول تكا</t>
  </si>
  <si>
    <t>I71</t>
  </si>
  <si>
    <t>Banana Shake</t>
  </si>
  <si>
    <t>ميلك شيك موز</t>
  </si>
  <si>
    <t>M18</t>
  </si>
  <si>
    <t>I72</t>
  </si>
  <si>
    <t>Mango Shake</t>
  </si>
  <si>
    <t>ميلك شيك مانجو</t>
  </si>
  <si>
    <t>I73</t>
  </si>
  <si>
    <t>Avocado Juice</t>
  </si>
  <si>
    <t>عصير أفوكادو</t>
  </si>
  <si>
    <t>I74</t>
  </si>
  <si>
    <t>Watermelon Juice</t>
  </si>
  <si>
    <t>عصير بطيخ</t>
  </si>
  <si>
    <t>M19</t>
  </si>
  <si>
    <t>I75</t>
  </si>
  <si>
    <t>Orange Juice</t>
  </si>
  <si>
    <t>عصير برتقال</t>
  </si>
  <si>
    <t>I76</t>
  </si>
  <si>
    <t>Pineapple Juice</t>
  </si>
  <si>
    <t>عصير أناناس</t>
  </si>
  <si>
    <t>I77</t>
  </si>
  <si>
    <t>Kiwi Juice</t>
  </si>
  <si>
    <t>عصير كيوي</t>
  </si>
  <si>
    <t>I78</t>
  </si>
  <si>
    <t>Lemon Juice</t>
  </si>
  <si>
    <t>عصير ليمون</t>
  </si>
  <si>
    <t>I79</t>
  </si>
  <si>
    <t>Lemon Mint Juice</t>
  </si>
  <si>
    <t>عصير ليمون ونعناع</t>
  </si>
  <si>
    <t>I80</t>
  </si>
  <si>
    <t>Pomegranate Juice</t>
  </si>
  <si>
    <t>عصير رمان</t>
  </si>
  <si>
    <t>I81</t>
  </si>
  <si>
    <t>Sweet Melon Juice</t>
  </si>
  <si>
    <t>عصير شمام</t>
  </si>
  <si>
    <t>I82</t>
  </si>
  <si>
    <t>Cocktail Juice</t>
  </si>
  <si>
    <t>عصير كوكتيل</t>
  </si>
  <si>
    <t>I83</t>
  </si>
  <si>
    <t>Papaya Juice</t>
  </si>
  <si>
    <t>عصير بابايا</t>
  </si>
  <si>
    <t>I84</t>
  </si>
  <si>
    <t>Grapes Juice</t>
  </si>
  <si>
    <t>عصير عنب</t>
  </si>
  <si>
    <t>I85</t>
  </si>
  <si>
    <t>Fruit Salad</t>
  </si>
  <si>
    <t>سلطة فواكه</t>
  </si>
  <si>
    <t>I86</t>
  </si>
  <si>
    <t>Cold Drink Small</t>
  </si>
  <si>
    <t>مشروب غازي صغير</t>
  </si>
  <si>
    <t>I87</t>
  </si>
  <si>
    <t>Cold Drink Big</t>
  </si>
  <si>
    <t>مشروب غازي كبير</t>
  </si>
  <si>
    <t>I88</t>
  </si>
  <si>
    <t>Water Small</t>
  </si>
  <si>
    <t>مياه صغيرة</t>
  </si>
  <si>
    <t>I89</t>
  </si>
  <si>
    <t>Water Big</t>
  </si>
  <si>
    <t>مياه كبيرة</t>
  </si>
  <si>
    <t>I90</t>
  </si>
  <si>
    <t>Black Coffee</t>
  </si>
  <si>
    <t>قهوة سوداء</t>
  </si>
  <si>
    <t>I91</t>
  </si>
  <si>
    <t>Fresh Milk Coffee</t>
  </si>
  <si>
    <t>قهوة بالحليب الطازج</t>
  </si>
  <si>
    <t>I92</t>
  </si>
  <si>
    <t>Fresh Milk Tea</t>
  </si>
  <si>
    <t>شاي بالحليب الطازج</t>
  </si>
  <si>
    <t>I93</t>
  </si>
  <si>
    <t>Green Tea</t>
  </si>
  <si>
    <t>شاي أخضر</t>
  </si>
  <si>
    <t>I94</t>
  </si>
  <si>
    <t>Sulaimani Tea</t>
  </si>
  <si>
    <t>شاي سليماني</t>
  </si>
  <si>
    <t>I95</t>
  </si>
  <si>
    <t>Karak Tea</t>
  </si>
  <si>
    <t>شاي كرك</t>
  </si>
  <si>
    <t>I96</t>
  </si>
  <si>
    <t>Milk</t>
  </si>
  <si>
    <t>حليب</t>
  </si>
  <si>
    <t>I97</t>
  </si>
  <si>
    <t>Horlicks</t>
  </si>
  <si>
    <t>هورليكس</t>
  </si>
  <si>
    <t>I98</t>
  </si>
  <si>
    <t>Dahi Bahaly</t>
  </si>
  <si>
    <t>داهي بالي</t>
  </si>
  <si>
    <t>I99</t>
  </si>
  <si>
    <t>Gol Gappay</t>
  </si>
  <si>
    <t>جول جابي</t>
  </si>
  <si>
    <t>I100</t>
  </si>
  <si>
    <t>Chana Chat</t>
  </si>
  <si>
    <t>شانا شات</t>
  </si>
  <si>
    <t>I101</t>
  </si>
  <si>
    <t>Kher</t>
  </si>
  <si>
    <t xml:space="preserve">خير </t>
  </si>
  <si>
    <t>modifier_group_code</t>
  </si>
  <si>
    <t>max_quantity_per_item</t>
  </si>
  <si>
    <t>max_total_selections</t>
  </si>
  <si>
    <t>min_total_selections</t>
  </si>
  <si>
    <t>modifier_items</t>
  </si>
  <si>
    <t>Choose</t>
  </si>
  <si>
    <t>O1,O2</t>
  </si>
  <si>
    <t>O3,O4</t>
  </si>
  <si>
    <t>O5,O6</t>
  </si>
  <si>
    <t>O7,O8</t>
  </si>
  <si>
    <t>O9,O10</t>
  </si>
  <si>
    <t>O11,O12</t>
  </si>
  <si>
    <t>O13,O14</t>
  </si>
  <si>
    <t>O15,O16</t>
  </si>
  <si>
    <t>O17,O18</t>
  </si>
  <si>
    <t>O19,O20</t>
  </si>
  <si>
    <t>O21,O22</t>
  </si>
  <si>
    <t>O23,O24</t>
  </si>
  <si>
    <t>O25,O26</t>
  </si>
  <si>
    <t>O27,O28</t>
  </si>
  <si>
    <t>O29,O30</t>
  </si>
  <si>
    <t>O31,O32</t>
  </si>
  <si>
    <t>O33,O34</t>
  </si>
  <si>
    <t>O35,O36</t>
  </si>
  <si>
    <t>O37,O38</t>
  </si>
  <si>
    <t>modifier_item_code</t>
  </si>
  <si>
    <t>modifier_type</t>
  </si>
  <si>
    <t>O1</t>
  </si>
  <si>
    <t>Half</t>
  </si>
  <si>
    <t>O2</t>
  </si>
  <si>
    <t>Full</t>
  </si>
  <si>
    <t>O3</t>
  </si>
  <si>
    <t>نصف</t>
  </si>
  <si>
    <t>O4</t>
  </si>
  <si>
    <t>كامل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</si>
  <si>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</si>
  <si>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</si>
  <si>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</si>
  <si>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</si>
  <si>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</si>
  <si>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</si>
  <si>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</si>
  <si>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</si>
  <si>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</si>
  <si>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</si>
  <si>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</si>
  <si>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</si>
  <si>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</si>
  <si>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</si>
  <si>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</si>
  <si>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</si>
  <si>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</si>
  <si>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</si>
  <si>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</si>
  <si>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</si>
  <si>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O25</t>
  </si>
  <si>
    <t>O26</t>
  </si>
  <si>
    <t>O27</t>
  </si>
  <si>
    <t>O28</t>
  </si>
  <si>
    <t>O29</t>
  </si>
  <si>
    <t>O30</t>
  </si>
  <si>
    <t>O31</t>
  </si>
  <si>
    <t>O32</t>
  </si>
  <si>
    <t>O33</t>
  </si>
  <si>
    <t>O34</t>
  </si>
  <si>
    <t>O35</t>
  </si>
  <si>
    <t>Small</t>
  </si>
  <si>
    <t>O36</t>
  </si>
  <si>
    <t>Large</t>
  </si>
  <si>
    <t>O37</t>
  </si>
  <si>
    <t>صغير</t>
  </si>
  <si>
    <t>O38</t>
  </si>
  <si>
    <t>كبير</t>
  </si>
  <si>
    <t>overriden_price</t>
  </si>
  <si>
    <t>date_start_at</t>
  </si>
  <si>
    <t>date_end_at</t>
  </si>
  <si>
    <t>periods</t>
  </si>
  <si>
    <t>S1</t>
  </si>
  <si>
    <t>{"0,1,2,3,4,5,6": [["11:00", "16:00"], ["16:01", "00:00"]]}</t>
  </si>
  <si>
    <t>S2</t>
  </si>
  <si>
    <t>{"0,1,2,3,4,5,6": [["11:00", "16:00"]]}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</si>
</sst>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4">
    <font>
      <sz val="10.0"/>
      <color rgb="FF000000"/>
      <name val="Arial"/>
      <scheme val="minor"/>
    </font>
    <font>
      <b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9.0"/>
      <color rgb="FF000000"/>
      <name val="&quot;Google Sans Mono&quot;"/>
    </font>
    <font>
      <sz val="11.0"/>
      <color rgb="FF000000"/>
      <name val="Docs-Calibri"/>
    </font>
    <font>
      <color theme="1"/>
      <name val="Arial"/>
      <scheme val="minor"/>
    </font>
    <font>
      <sz val="11.0"/>
      <color theme="1"/>
      <name val="Arial"/>
    </font>
    <font>
      <sz val="9.0"/>
      <color rgb="FF000000"/>
      <name val="&quot;docs-Google Sans Mono&quot;"/>
    </font>
    <font>
      <color rgb="FF2F3941"/>
      <name val="Arial"/>
    </font>
    <font>
      <color theme="1"/>
      <name val="Arial"/>
    </font>
    <font>
      <color theme="1"/>
      <name val="Calibri"/>
    </font>
    <font>
      <sz val="10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3" numFmtId="49" xfId="0" applyAlignment="1" applyFont="1" applyNumberFormat="1">
      <alignment horizontal="center" readingOrder="0" vertical="center"/>
    </xf>
    <xf borderId="0" fillId="4" fontId="3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4" fontId="5" numFmtId="0" xfId="0" applyAlignment="1" applyFont="1">
      <alignment horizontal="center" readingOrder="0" vertical="center"/>
    </xf>
    <xf borderId="0" fillId="0" fontId="4" numFmtId="0" xfId="0" applyAlignment="1" applyFont="1">
      <alignment horizontal="center" shrinkToFit="0" vertical="center" wrapText="1"/>
    </xf>
    <xf borderId="0" fillId="4" fontId="3" numFmtId="49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4" fontId="6" numFmtId="49" xfId="0" applyAlignment="1" applyFont="1" applyNumberFormat="1">
      <alignment horizontal="center" readingOrder="0" shrinkToFit="0" vertical="center" wrapText="1"/>
    </xf>
    <xf borderId="0" fillId="0" fontId="3" numFmtId="49" xfId="0" applyAlignment="1" applyFont="1" applyNumberFormat="1">
      <alignment horizontal="center" readingOrder="0" shrinkToFit="0" vertical="center" wrapText="1"/>
    </xf>
    <xf borderId="0" fillId="0" fontId="3" numFmtId="49" xfId="0" applyAlignment="1" applyFont="1" applyNumberForma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3" fontId="2" numFmtId="0" xfId="0" applyAlignment="1" applyFont="1">
      <alignment horizontal="center" shrinkToFit="0" vertical="center" wrapText="0"/>
    </xf>
    <xf borderId="0" fillId="3" fontId="2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horizontal="center" vertical="center"/>
    </xf>
    <xf borderId="0" fillId="0" fontId="7" numFmtId="49" xfId="0" applyAlignment="1" applyFont="1" applyNumberFormat="1">
      <alignment horizontal="center" readingOrder="0" shrinkToFit="0" vertical="center" wrapText="1"/>
    </xf>
    <xf borderId="0" fillId="0" fontId="3" numFmtId="4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5" fontId="7" numFmtId="49" xfId="0" applyAlignment="1" applyFill="1" applyFont="1" applyNumberFormat="1">
      <alignment horizontal="center" readingOrder="0" shrinkToFit="0" vertical="center" wrapText="1"/>
    </xf>
    <xf borderId="0" fillId="4" fontId="4" numFmtId="49" xfId="0" applyAlignment="1" applyFont="1" applyNumberFormat="1">
      <alignment horizontal="center" readingOrder="0" shrinkToFit="0" vertical="center" wrapText="1"/>
    </xf>
    <xf borderId="0" fillId="0" fontId="4" numFmtId="4" xfId="0" applyAlignment="1" applyFont="1" applyNumberFormat="1">
      <alignment horizontal="center" readingOrder="0" shrinkToFit="0" vertical="center" wrapText="1"/>
    </xf>
    <xf borderId="0" fillId="0" fontId="3" numFmtId="49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1"/>
    </xf>
    <xf borderId="0" fillId="5" fontId="3" numFmtId="49" xfId="0" applyAlignment="1" applyFont="1" applyNumberFormat="1">
      <alignment horizontal="center" readingOrder="0" shrinkToFit="0" vertical="center" wrapText="1"/>
    </xf>
    <xf borderId="0" fillId="5" fontId="3" numFmtId="0" xfId="0" applyAlignment="1" applyFont="1">
      <alignment horizontal="center" readingOrder="0" shrinkToFit="0" vertical="center" wrapText="1"/>
    </xf>
    <xf borderId="0" fillId="4" fontId="7" numFmtId="49" xfId="0" applyAlignment="1" applyFont="1" applyNumberFormat="1">
      <alignment horizontal="center" readingOrder="0" shrinkToFit="0" vertical="center" wrapText="1"/>
    </xf>
    <xf borderId="0" fillId="0" fontId="7" numFmtId="49" xfId="0" applyAlignment="1" applyFont="1" applyNumberFormat="1">
      <alignment horizontal="center" shrinkToFit="0" vertical="center" wrapText="1"/>
    </xf>
    <xf borderId="0" fillId="0" fontId="3" numFmtId="4" xfId="0" applyAlignment="1" applyFont="1" applyNumberFormat="1">
      <alignment horizontal="center" shrinkToFit="0" vertical="center" wrapText="1"/>
    </xf>
    <xf borderId="0" fillId="4" fontId="3" numFmtId="49" xfId="0" applyAlignment="1" applyFont="1" applyNumberFormat="1">
      <alignment horizontal="center" shrinkToFit="0" vertical="center" wrapText="1"/>
    </xf>
    <xf borderId="0" fillId="4" fontId="9" numFmtId="49" xfId="0" applyAlignment="1" applyFont="1" applyNumberFormat="1">
      <alignment horizontal="center" readingOrder="0" shrinkToFit="0" vertical="center" wrapText="1"/>
    </xf>
    <xf borderId="0" fillId="0" fontId="7" numFmtId="49" xfId="0" applyAlignment="1" applyFont="1" applyNumberFormat="1">
      <alignment horizontal="center" readingOrder="0" vertical="center"/>
    </xf>
    <xf borderId="0" fillId="0" fontId="10" numFmtId="4" xfId="0" applyAlignment="1" applyFont="1" applyNumberFormat="1">
      <alignment horizontal="center" readingOrder="0" shrinkToFit="0" vertical="center" wrapText="1"/>
    </xf>
    <xf borderId="0" fillId="0" fontId="11" numFmtId="0" xfId="0" applyAlignment="1" applyFont="1">
      <alignment horizontal="center" vertical="center"/>
    </xf>
    <xf borderId="0" fillId="0" fontId="12" numFmtId="0" xfId="0" applyAlignment="1" applyFont="1">
      <alignment horizontal="center" vertical="center"/>
    </xf>
    <xf borderId="0" fillId="0" fontId="3" numFmtId="0" xfId="0" applyAlignment="1" applyFont="1">
      <alignment horizontal="center" readingOrder="0" shrinkToFit="0" vertical="center" wrapText="1"/>
    </xf>
    <xf borderId="0" fillId="0" fontId="12" numFmtId="49" xfId="0" applyAlignment="1" applyFont="1" applyNumberFormat="1">
      <alignment horizontal="center" shrinkToFit="0" vertical="center" wrapText="1"/>
    </xf>
    <xf borderId="0" fillId="0" fontId="12" numFmtId="49" xfId="0" applyAlignment="1" applyFont="1" applyNumberFormat="1">
      <alignment horizontal="center" readingOrder="0" shrinkToFit="0" vertical="center" wrapText="1"/>
    </xf>
    <xf borderId="0" fillId="0" fontId="13" numFmtId="49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7" numFmtId="164" xfId="0" applyAlignment="1" applyFont="1" applyNumberFormat="1">
      <alignment horizontal="center" readingOrder="0" shrinkToFit="0" vertical="center" wrapText="0"/>
    </xf>
    <xf borderId="0" fillId="0" fontId="7" numFmtId="0" xfId="0" applyAlignment="1" applyFont="1">
      <alignment horizontal="center" readingOrder="0" vertical="center"/>
    </xf>
    <xf borderId="0" fillId="0" fontId="3" numFmtId="0" xfId="0" applyAlignment="1" applyFont="1">
      <alignment horizontal="center" shrinkToFit="0" vertical="center" wrapText="0"/>
    </xf>
    <xf borderId="0" fillId="0" fontId="7" numFmtId="0" xfId="0" applyAlignment="1" applyFont="1">
      <alignment horizontal="center" shrinkToFit="0" vertical="center" wrapText="0"/>
    </xf>
  </cellXfs>
  <cellStyles count="1">
    <cellStyle xfId="0" name="Normal" builtinId="0"/>
  </cellStyles>
  <dxfs count="9">
    <dxf>
      <font/>
      <fill>
        <patternFill patternType="solid">
          <fgColor rgb="FFF4CCCC"/>
          <bgColor rgb="FFF4CCCC"/>
        </patternFill>
      </fill>
      <border/>
    </dxf>
    <dxf>
      <font>
        <b/>
      </font>
      <fill>
        <patternFill patternType="solid">
          <fgColor rgb="FFF4CCCC"/>
          <bgColor rgb="FFF4CCCC"/>
        </patternFill>
      </fill>
      <border/>
    </dxf>
    <dxf>
      <font>
        <b/>
        <color rgb="FFFF0000"/>
      </font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46BDC6"/>
          <bgColor rgb="FF46BDC6"/>
        </patternFill>
      </fill>
      <border/>
    </dxf>
    <dxf>
      <font>
        <color rgb="FF000000"/>
      </font>
      <fill>
        <patternFill patternType="solid">
          <fgColor theme="6"/>
          <bgColor theme="6"/>
        </patternFill>
      </fill>
      <border/>
    </dxf>
    <dxf>
      <font>
        <color rgb="FF000000"/>
      </font>
      <fill>
        <patternFill patternType="solid">
          <fgColor rgb="FFFBBC04"/>
          <bgColor rgb="FFFBBC04"/>
        </patternFill>
      </fill>
      <border/>
    </dxf>
    <dxf>
      <font>
        <color rgb="FF000000"/>
      </font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FBBC04"/>
          <bgColor rgb="FFFBBC04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13"/>
    <col customWidth="1" min="2" max="2" width="20.5"/>
    <col customWidth="1" min="3" max="3" width="30.75"/>
    <col customWidth="1" min="4" max="4" width="15.0"/>
    <col customWidth="1" min="5" max="5" width="22.25"/>
    <col customWidth="1" min="6" max="6" width="23.63"/>
    <col customWidth="1" min="7" max="7" width="5.63"/>
  </cols>
  <sheetData>
    <row r="1" ht="18.0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4"/>
      <c r="I1" s="4"/>
    </row>
    <row r="2">
      <c r="A2" s="5" t="s">
        <v>7</v>
      </c>
      <c r="B2" s="6" t="s">
        <v>8</v>
      </c>
      <c r="C2" s="7" t="s">
        <v>9</v>
      </c>
      <c r="D2" s="5" t="str">
        <f>IF(B2&lt;&gt;"","20","")</f>
        <v>20</v>
      </c>
      <c r="E2" s="8"/>
      <c r="F2" s="9"/>
      <c r="G2" s="4" t="str">
        <f t="shared" ref="G2:G150" si="1">IF(B2&lt;&gt;"","1","")</f>
        <v>1</v>
      </c>
      <c r="H2" s="4"/>
      <c r="I2" s="4"/>
    </row>
    <row r="3">
      <c r="A3" s="5" t="s">
        <v>10</v>
      </c>
      <c r="B3" s="6" t="s">
        <v>11</v>
      </c>
      <c r="C3" s="7" t="s">
        <v>12</v>
      </c>
      <c r="D3" s="5">
        <v>20.0</v>
      </c>
      <c r="E3" s="8"/>
      <c r="F3" s="10"/>
      <c r="G3" s="4" t="str">
        <f t="shared" si="1"/>
        <v>1</v>
      </c>
      <c r="H3" s="4"/>
      <c r="I3" s="4"/>
    </row>
    <row r="4">
      <c r="A4" s="5" t="s">
        <v>13</v>
      </c>
      <c r="B4" s="6" t="s">
        <v>14</v>
      </c>
      <c r="C4" s="7" t="s">
        <v>15</v>
      </c>
      <c r="D4" s="5" t="str">
        <f t="shared" ref="D4:D13" si="2">IF(B4&lt;&gt;"","20","")</f>
        <v>20</v>
      </c>
      <c r="E4" s="8"/>
      <c r="F4" s="10"/>
      <c r="G4" s="4" t="str">
        <f t="shared" si="1"/>
        <v>1</v>
      </c>
      <c r="H4" s="4"/>
      <c r="I4" s="4"/>
    </row>
    <row r="5">
      <c r="A5" s="5" t="s">
        <v>16</v>
      </c>
      <c r="B5" s="6" t="s">
        <v>17</v>
      </c>
      <c r="C5" s="7" t="s">
        <v>18</v>
      </c>
      <c r="D5" s="5" t="str">
        <f t="shared" si="2"/>
        <v>20</v>
      </c>
      <c r="E5" s="8"/>
      <c r="F5" s="10"/>
      <c r="G5" s="4" t="str">
        <f t="shared" si="1"/>
        <v>1</v>
      </c>
      <c r="H5" s="4"/>
      <c r="I5" s="4"/>
    </row>
    <row r="6">
      <c r="A6" s="5" t="s">
        <v>19</v>
      </c>
      <c r="B6" s="6" t="s">
        <v>20</v>
      </c>
      <c r="C6" s="7" t="s">
        <v>21</v>
      </c>
      <c r="D6" s="5" t="str">
        <f t="shared" si="2"/>
        <v>20</v>
      </c>
      <c r="E6" s="8"/>
      <c r="F6" s="10"/>
      <c r="G6" s="4" t="str">
        <f t="shared" si="1"/>
        <v>1</v>
      </c>
      <c r="H6" s="4"/>
      <c r="I6" s="4"/>
    </row>
    <row r="7">
      <c r="A7" s="5" t="s">
        <v>22</v>
      </c>
      <c r="B7" s="11" t="s">
        <v>23</v>
      </c>
      <c r="C7" s="7" t="s">
        <v>24</v>
      </c>
      <c r="D7" s="5" t="str">
        <f t="shared" si="2"/>
        <v>20</v>
      </c>
      <c r="E7" s="8"/>
      <c r="F7" s="10"/>
      <c r="G7" s="4" t="str">
        <f t="shared" si="1"/>
        <v>1</v>
      </c>
      <c r="H7" s="4"/>
      <c r="I7" s="4"/>
    </row>
    <row r="8">
      <c r="A8" s="5" t="s">
        <v>25</v>
      </c>
      <c r="B8" s="11" t="s">
        <v>26</v>
      </c>
      <c r="C8" s="7" t="s">
        <v>27</v>
      </c>
      <c r="D8" s="5" t="str">
        <f t="shared" si="2"/>
        <v>20</v>
      </c>
      <c r="E8" s="8"/>
      <c r="F8" s="10"/>
      <c r="G8" s="4" t="str">
        <f t="shared" si="1"/>
        <v>1</v>
      </c>
      <c r="H8" s="4"/>
      <c r="I8" s="4"/>
    </row>
    <row r="9">
      <c r="A9" s="5" t="s">
        <v>28</v>
      </c>
      <c r="B9" s="11" t="s">
        <v>29</v>
      </c>
      <c r="C9" s="7" t="s">
        <v>30</v>
      </c>
      <c r="D9" s="5" t="str">
        <f t="shared" si="2"/>
        <v>20</v>
      </c>
      <c r="E9" s="8"/>
      <c r="F9" s="5"/>
      <c r="G9" s="4" t="str">
        <f t="shared" si="1"/>
        <v>1</v>
      </c>
      <c r="H9" s="4"/>
      <c r="I9" s="4"/>
    </row>
    <row r="10">
      <c r="A10" s="5" t="s">
        <v>31</v>
      </c>
      <c r="B10" s="11" t="s">
        <v>32</v>
      </c>
      <c r="C10" s="7" t="s">
        <v>33</v>
      </c>
      <c r="D10" s="5" t="str">
        <f t="shared" si="2"/>
        <v>20</v>
      </c>
      <c r="E10" s="8"/>
      <c r="F10" s="12"/>
      <c r="G10" s="4" t="str">
        <f t="shared" si="1"/>
        <v>1</v>
      </c>
      <c r="H10" s="4"/>
      <c r="I10" s="4"/>
    </row>
    <row r="11">
      <c r="A11" s="5"/>
      <c r="B11" s="11"/>
      <c r="C11" s="7" t="str">
        <f>IFERROR(__xludf.DUMMYFUNCTION("iferror(iferror(INDEX(IMPORTRANGE(""12vtnxaE_Q1s4tyr10kZQx7ZF_xG0lBFae4jQEUtgsMU"",""All!B2:B""),MATCH($B11,IMPORTRANGE(""12vtnxaE_Q1s4tyr10kZQx7ZF_xG0lBFae4jQEUtgsMU"",""All!A2:A""),0)),INDEX(IMPORTRANGE(""13KC70HngS4DDi8y9E5khtSpQEPG6owaQ9z4E-tR5mnY"","&amp;"""Non-Food!B2:B""),MATCH($B11,IMPORTRANGE(""13KC70HngS4DDi8y9E5khtSpQEPG6owaQ9z4E-tR5mnY"",""Non-Food!A2:A""),0))),"""")"),"")</f>
        <v/>
      </c>
      <c r="D11" s="5" t="str">
        <f t="shared" si="2"/>
        <v/>
      </c>
      <c r="E11" s="8"/>
      <c r="F11" s="10"/>
      <c r="G11" s="4" t="str">
        <f t="shared" si="1"/>
        <v/>
      </c>
      <c r="H11" s="4"/>
      <c r="I11" s="4"/>
    </row>
    <row r="12">
      <c r="A12" s="5"/>
      <c r="B12" s="11"/>
      <c r="C12" s="7" t="str">
        <f>IFERROR(__xludf.DUMMYFUNCTION("iferror(iferror(INDEX(IMPORTRANGE(""12vtnxaE_Q1s4tyr10kZQx7ZF_xG0lBFae4jQEUtgsMU"",""All!B2:B""),MATCH($B12,IMPORTRANGE(""12vtnxaE_Q1s4tyr10kZQx7ZF_xG0lBFae4jQEUtgsMU"",""All!A2:A""),0)),INDEX(IMPORTRANGE(""13KC70HngS4DDi8y9E5khtSpQEPG6owaQ9z4E-tR5mnY"","&amp;"""Non-Food!B2:B""),MATCH($B12,IMPORTRANGE(""13KC70HngS4DDi8y9E5khtSpQEPG6owaQ9z4E-tR5mnY"",""Non-Food!A2:A""),0))),"""")"),"")</f>
        <v/>
      </c>
      <c r="D12" s="5" t="str">
        <f t="shared" si="2"/>
        <v/>
      </c>
      <c r="E12" s="8"/>
      <c r="F12" s="10"/>
      <c r="G12" s="4" t="str">
        <f t="shared" si="1"/>
        <v/>
      </c>
      <c r="H12" s="4"/>
      <c r="I12" s="4"/>
    </row>
    <row r="13">
      <c r="A13" s="5"/>
      <c r="B13" s="11"/>
      <c r="C13" s="7" t="str">
        <f>IFERROR(__xludf.DUMMYFUNCTION("iferror(iferror(INDEX(IMPORTRANGE(""12vtnxaE_Q1s4tyr10kZQx7ZF_xG0lBFae4jQEUtgsMU"",""All!B2:B""),MATCH($B13,IMPORTRANGE(""12vtnxaE_Q1s4tyr10kZQx7ZF_xG0lBFae4jQEUtgsMU"",""All!A2:A""),0)),INDEX(IMPORTRANGE(""13KC70HngS4DDi8y9E5khtSpQEPG6owaQ9z4E-tR5mnY"","&amp;"""Non-Food!B2:B""),MATCH($B13,IMPORTRANGE(""13KC70HngS4DDi8y9E5khtSpQEPG6owaQ9z4E-tR5mnY"",""Non-Food!A2:A""),0))),"""")"),"")</f>
        <v/>
      </c>
      <c r="D13" s="5" t="str">
        <f t="shared" si="2"/>
        <v/>
      </c>
      <c r="E13" s="8"/>
      <c r="F13" s="10"/>
      <c r="G13" s="4" t="str">
        <f t="shared" si="1"/>
        <v/>
      </c>
      <c r="H13" s="4"/>
      <c r="I13" s="4"/>
    </row>
    <row r="14">
      <c r="A14" s="5"/>
      <c r="B14" s="11"/>
      <c r="C14" s="7" t="str">
        <f>IFERROR(__xludf.DUMMYFUNCTION("iferror(iferror(INDEX(IMPORTRANGE(""12vtnxaE_Q1s4tyr10kZQx7ZF_xG0lBFae4jQEUtgsMU"",""All!B2:B""),MATCH($B14,IMPORTRANGE(""12vtnxaE_Q1s4tyr10kZQx7ZF_xG0lBFae4jQEUtgsMU"",""All!A2:A""),0)),INDEX(IMPORTRANGE(""13KC70HngS4DDi8y9E5khtSpQEPG6owaQ9z4E-tR5mnY"","&amp;"""Non-Food!B2:B""),MATCH($B14,IMPORTRANGE(""13KC70HngS4DDi8y9E5khtSpQEPG6owaQ9z4E-tR5mnY"",""Non-Food!A2:A""),0))),"""")"),"")</f>
        <v/>
      </c>
      <c r="E14" s="8"/>
      <c r="F14" s="10"/>
      <c r="G14" s="4" t="str">
        <f t="shared" si="1"/>
        <v/>
      </c>
      <c r="H14" s="4"/>
      <c r="I14" s="5" t="str">
        <f>IF(B14&lt;&gt;"","20","")</f>
        <v/>
      </c>
    </row>
    <row r="15">
      <c r="A15" s="5"/>
      <c r="B15" s="11"/>
      <c r="C15" s="7" t="str">
        <f>IFERROR(__xludf.DUMMYFUNCTION("iferror(iferror(INDEX(IMPORTRANGE(""12vtnxaE_Q1s4tyr10kZQx7ZF_xG0lBFae4jQEUtgsMU"",""All!B2:B""),MATCH($B15,IMPORTRANGE(""12vtnxaE_Q1s4tyr10kZQx7ZF_xG0lBFae4jQEUtgsMU"",""All!A2:A""),0)),INDEX(IMPORTRANGE(""13KC70HngS4DDi8y9E5khtSpQEPG6owaQ9z4E-tR5mnY"","&amp;"""Non-Food!B2:B""),MATCH($B15,IMPORTRANGE(""13KC70HngS4DDi8y9E5khtSpQEPG6owaQ9z4E-tR5mnY"",""Non-Food!A2:A""),0))),"""")"),"")</f>
        <v/>
      </c>
      <c r="D15" s="5" t="str">
        <f t="shared" ref="D15:D300" si="3">IF(B15&lt;&gt;"","20","")</f>
        <v/>
      </c>
      <c r="E15" s="8"/>
      <c r="F15" s="10"/>
      <c r="G15" s="4" t="str">
        <f t="shared" si="1"/>
        <v/>
      </c>
      <c r="H15" s="4"/>
      <c r="I15" s="4"/>
    </row>
    <row r="16">
      <c r="A16" s="5"/>
      <c r="B16" s="11"/>
      <c r="C16" s="7" t="str">
        <f>IFERROR(__xludf.DUMMYFUNCTION("iferror(iferror(INDEX(IMPORTRANGE(""12vtnxaE_Q1s4tyr10kZQx7ZF_xG0lBFae4jQEUtgsMU"",""All!B2:B""),MATCH($B16,IMPORTRANGE(""12vtnxaE_Q1s4tyr10kZQx7ZF_xG0lBFae4jQEUtgsMU"",""All!A2:A""),0)),INDEX(IMPORTRANGE(""13KC70HngS4DDi8y9E5khtSpQEPG6owaQ9z4E-tR5mnY"","&amp;"""Non-Food!B2:B""),MATCH($B16,IMPORTRANGE(""13KC70HngS4DDi8y9E5khtSpQEPG6owaQ9z4E-tR5mnY"",""Non-Food!A2:A""),0))),"""")"),"")</f>
        <v/>
      </c>
      <c r="D16" s="5" t="str">
        <f t="shared" si="3"/>
        <v/>
      </c>
      <c r="E16" s="8"/>
      <c r="F16" s="10"/>
      <c r="G16" s="4" t="str">
        <f t="shared" si="1"/>
        <v/>
      </c>
      <c r="H16" s="4"/>
      <c r="I16" s="4"/>
    </row>
    <row r="17">
      <c r="A17" s="5"/>
      <c r="B17" s="13"/>
      <c r="C17" s="7" t="str">
        <f>IFERROR(__xludf.DUMMYFUNCTION("iferror(iferror(INDEX(IMPORTRANGE(""12vtnxaE_Q1s4tyr10kZQx7ZF_xG0lBFae4jQEUtgsMU"",""All!B2:B""),MATCH($B17,IMPORTRANGE(""12vtnxaE_Q1s4tyr10kZQx7ZF_xG0lBFae4jQEUtgsMU"",""All!A2:A""),0)),INDEX(IMPORTRANGE(""13KC70HngS4DDi8y9E5khtSpQEPG6owaQ9z4E-tR5mnY"","&amp;"""Non-Food!B2:B""),MATCH($B17,IMPORTRANGE(""13KC70HngS4DDi8y9E5khtSpQEPG6owaQ9z4E-tR5mnY"",""Non-Food!A2:A""),0))),"""")"),"")</f>
        <v/>
      </c>
      <c r="D17" s="5" t="str">
        <f t="shared" si="3"/>
        <v/>
      </c>
      <c r="E17" s="8"/>
      <c r="F17" s="10"/>
      <c r="G17" s="4" t="str">
        <f t="shared" si="1"/>
        <v/>
      </c>
      <c r="H17" s="4"/>
      <c r="I17" s="4"/>
    </row>
    <row r="18">
      <c r="A18" s="5"/>
      <c r="B18" s="11"/>
      <c r="C18" s="7" t="str">
        <f>IFERROR(__xludf.DUMMYFUNCTION("iferror(iferror(INDEX(IMPORTRANGE(""12vtnxaE_Q1s4tyr10kZQx7ZF_xG0lBFae4jQEUtgsMU"",""All!B2:B""),MATCH($B18,IMPORTRANGE(""12vtnxaE_Q1s4tyr10kZQx7ZF_xG0lBFae4jQEUtgsMU"",""All!A2:A""),0)),INDEX(IMPORTRANGE(""13KC70HngS4DDi8y9E5khtSpQEPG6owaQ9z4E-tR5mnY"","&amp;"""Non-Food!B2:B""),MATCH($B18,IMPORTRANGE(""13KC70HngS4DDi8y9E5khtSpQEPG6owaQ9z4E-tR5mnY"",""Non-Food!A2:A""),0))),"""")"),"")</f>
        <v/>
      </c>
      <c r="D18" s="5" t="str">
        <f t="shared" si="3"/>
        <v/>
      </c>
      <c r="E18" s="8"/>
      <c r="F18" s="10"/>
      <c r="G18" s="4" t="str">
        <f t="shared" si="1"/>
        <v/>
      </c>
      <c r="H18" s="4"/>
      <c r="I18" s="4"/>
    </row>
    <row r="19">
      <c r="A19" s="5"/>
      <c r="B19" s="11"/>
      <c r="C19" s="7" t="str">
        <f>IFERROR(__xludf.DUMMYFUNCTION("iferror(iferror(INDEX(IMPORTRANGE(""12vtnxaE_Q1s4tyr10kZQx7ZF_xG0lBFae4jQEUtgsMU"",""All!B2:B""),MATCH($B19,IMPORTRANGE(""12vtnxaE_Q1s4tyr10kZQx7ZF_xG0lBFae4jQEUtgsMU"",""All!A2:A""),0)),INDEX(IMPORTRANGE(""13KC70HngS4DDi8y9E5khtSpQEPG6owaQ9z4E-tR5mnY"","&amp;"""Non-Food!B2:B""),MATCH($B19,IMPORTRANGE(""13KC70HngS4DDi8y9E5khtSpQEPG6owaQ9z4E-tR5mnY"",""Non-Food!A2:A""),0))),"""")"),"")</f>
        <v/>
      </c>
      <c r="D19" s="5" t="str">
        <f t="shared" si="3"/>
        <v/>
      </c>
      <c r="E19" s="8"/>
      <c r="F19" s="10"/>
      <c r="G19" s="4" t="str">
        <f t="shared" si="1"/>
        <v/>
      </c>
      <c r="H19" s="4"/>
      <c r="I19" s="4"/>
    </row>
    <row r="20">
      <c r="A20" s="5"/>
      <c r="B20" s="11"/>
      <c r="C20" s="7" t="str">
        <f>IFERROR(__xludf.DUMMYFUNCTION("iferror(iferror(INDEX(IMPORTRANGE(""12vtnxaE_Q1s4tyr10kZQx7ZF_xG0lBFae4jQEUtgsMU"",""All!B2:B""),MATCH($B20,IMPORTRANGE(""12vtnxaE_Q1s4tyr10kZQx7ZF_xG0lBFae4jQEUtgsMU"",""All!A2:A""),0)),INDEX(IMPORTRANGE(""13KC70HngS4DDi8y9E5khtSpQEPG6owaQ9z4E-tR5mnY"","&amp;"""Non-Food!B2:B""),MATCH($B20,IMPORTRANGE(""13KC70HngS4DDi8y9E5khtSpQEPG6owaQ9z4E-tR5mnY"",""Non-Food!A2:A""),0))),"""")"),"")</f>
        <v/>
      </c>
      <c r="D20" s="5" t="str">
        <f t="shared" si="3"/>
        <v/>
      </c>
      <c r="E20" s="8"/>
      <c r="F20" s="10"/>
      <c r="G20" s="4" t="str">
        <f t="shared" si="1"/>
        <v/>
      </c>
      <c r="H20" s="4"/>
      <c r="I20" s="4"/>
    </row>
    <row r="21">
      <c r="A21" s="5"/>
      <c r="B21" s="14"/>
      <c r="C21" s="7" t="str">
        <f>IFERROR(__xludf.DUMMYFUNCTION("iferror(iferror(INDEX(IMPORTRANGE(""12vtnxaE_Q1s4tyr10kZQx7ZF_xG0lBFae4jQEUtgsMU"",""All!B2:B""),MATCH($B21,IMPORTRANGE(""12vtnxaE_Q1s4tyr10kZQx7ZF_xG0lBFae4jQEUtgsMU"",""All!A2:A""),0)),INDEX(IMPORTRANGE(""13KC70HngS4DDi8y9E5khtSpQEPG6owaQ9z4E-tR5mnY"","&amp;"""Non-Food!B2:B""),MATCH($B21,IMPORTRANGE(""13KC70HngS4DDi8y9E5khtSpQEPG6owaQ9z4E-tR5mnY"",""Non-Food!A2:A""),0))),"""")"),"")</f>
        <v/>
      </c>
      <c r="D21" s="5" t="str">
        <f t="shared" si="3"/>
        <v/>
      </c>
      <c r="E21" s="8"/>
      <c r="F21" s="10"/>
      <c r="G21" s="4" t="str">
        <f t="shared" si="1"/>
        <v/>
      </c>
      <c r="H21" s="4"/>
      <c r="I21" s="4"/>
    </row>
    <row r="22">
      <c r="A22" s="5"/>
      <c r="B22" s="14"/>
      <c r="C22" s="7" t="str">
        <f>IFERROR(__xludf.DUMMYFUNCTION("iferror(iferror(INDEX(IMPORTRANGE(""12vtnxaE_Q1s4tyr10kZQx7ZF_xG0lBFae4jQEUtgsMU"",""All!B2:B""),MATCH($B22,IMPORTRANGE(""12vtnxaE_Q1s4tyr10kZQx7ZF_xG0lBFae4jQEUtgsMU"",""All!A2:A""),0)),INDEX(IMPORTRANGE(""13KC70HngS4DDi8y9E5khtSpQEPG6owaQ9z4E-tR5mnY"","&amp;"""Non-Food!B2:B""),MATCH($B22,IMPORTRANGE(""13KC70HngS4DDi8y9E5khtSpQEPG6owaQ9z4E-tR5mnY"",""Non-Food!A2:A""),0))),"""")"),"")</f>
        <v/>
      </c>
      <c r="D22" s="5" t="str">
        <f t="shared" si="3"/>
        <v/>
      </c>
      <c r="E22" s="8"/>
      <c r="F22" s="10"/>
      <c r="G22" s="4" t="str">
        <f t="shared" si="1"/>
        <v/>
      </c>
      <c r="H22" s="4"/>
      <c r="I22" s="4"/>
    </row>
    <row r="23">
      <c r="A23" s="5"/>
      <c r="B23" s="14"/>
      <c r="C23" s="7" t="str">
        <f>IFERROR(__xludf.DUMMYFUNCTION("iferror(iferror(INDEX(IMPORTRANGE(""12vtnxaE_Q1s4tyr10kZQx7ZF_xG0lBFae4jQEUtgsMU"",""All!B2:B""),MATCH($B23,IMPORTRANGE(""12vtnxaE_Q1s4tyr10kZQx7ZF_xG0lBFae4jQEUtgsMU"",""All!A2:A""),0)),INDEX(IMPORTRANGE(""13KC70HngS4DDi8y9E5khtSpQEPG6owaQ9z4E-tR5mnY"","&amp;"""Non-Food!B2:B""),MATCH($B23,IMPORTRANGE(""13KC70HngS4DDi8y9E5khtSpQEPG6owaQ9z4E-tR5mnY"",""Non-Food!A2:A""),0))),"""")"),"")</f>
        <v/>
      </c>
      <c r="D23" s="5" t="str">
        <f t="shared" si="3"/>
        <v/>
      </c>
      <c r="E23" s="8"/>
      <c r="F23" s="10"/>
      <c r="G23" s="4" t="str">
        <f t="shared" si="1"/>
        <v/>
      </c>
      <c r="H23" s="4"/>
      <c r="I23" s="4"/>
    </row>
    <row r="24">
      <c r="A24" s="5"/>
      <c r="B24" s="14"/>
      <c r="C24" s="7" t="str">
        <f>IFERROR(__xludf.DUMMYFUNCTION("iferror(iferror(INDEX(IMPORTRANGE(""12vtnxaE_Q1s4tyr10kZQx7ZF_xG0lBFae4jQEUtgsMU"",""All!B2:B""),MATCH($B24,IMPORTRANGE(""12vtnxaE_Q1s4tyr10kZQx7ZF_xG0lBFae4jQEUtgsMU"",""All!A2:A""),0)),INDEX(IMPORTRANGE(""13KC70HngS4DDi8y9E5khtSpQEPG6owaQ9z4E-tR5mnY"","&amp;"""Non-Food!B2:B""),MATCH($B24,IMPORTRANGE(""13KC70HngS4DDi8y9E5khtSpQEPG6owaQ9z4E-tR5mnY"",""Non-Food!A2:A""),0))),"""")"),"")</f>
        <v/>
      </c>
      <c r="D24" s="5" t="str">
        <f t="shared" si="3"/>
        <v/>
      </c>
      <c r="E24" s="8"/>
      <c r="F24" s="10"/>
      <c r="G24" s="4" t="str">
        <f t="shared" si="1"/>
        <v/>
      </c>
      <c r="H24" s="4"/>
      <c r="I24" s="4"/>
    </row>
    <row r="25">
      <c r="A25" s="5"/>
      <c r="B25" s="14"/>
      <c r="C25" s="7" t="str">
        <f>IFERROR(__xludf.DUMMYFUNCTION("iferror(iferror(INDEX(IMPORTRANGE(""12vtnxaE_Q1s4tyr10kZQx7ZF_xG0lBFae4jQEUtgsMU"",""All!B2:B""),MATCH($B25,IMPORTRANGE(""12vtnxaE_Q1s4tyr10kZQx7ZF_xG0lBFae4jQEUtgsMU"",""All!A2:A""),0)),INDEX(IMPORTRANGE(""13KC70HngS4DDi8y9E5khtSpQEPG6owaQ9z4E-tR5mnY"","&amp;"""Non-Food!B2:B""),MATCH($B25,IMPORTRANGE(""13KC70HngS4DDi8y9E5khtSpQEPG6owaQ9z4E-tR5mnY"",""Non-Food!A2:A""),0))),"""")"),"")</f>
        <v/>
      </c>
      <c r="D25" s="5" t="str">
        <f t="shared" si="3"/>
        <v/>
      </c>
      <c r="E25" s="8"/>
      <c r="F25" s="10"/>
      <c r="G25" s="4" t="str">
        <f t="shared" si="1"/>
        <v/>
      </c>
      <c r="H25" s="4"/>
      <c r="I25" s="4"/>
    </row>
    <row r="26">
      <c r="A26" s="5"/>
      <c r="B26" s="14"/>
      <c r="C26" s="7" t="str">
        <f>IFERROR(__xludf.DUMMYFUNCTION("iferror(iferror(INDEX(IMPORTRANGE(""12vtnxaE_Q1s4tyr10kZQx7ZF_xG0lBFae4jQEUtgsMU"",""All!B2:B""),MATCH($B26,IMPORTRANGE(""12vtnxaE_Q1s4tyr10kZQx7ZF_xG0lBFae4jQEUtgsMU"",""All!A2:A""),0)),INDEX(IMPORTRANGE(""13KC70HngS4DDi8y9E5khtSpQEPG6owaQ9z4E-tR5mnY"","&amp;"""Non-Food!B2:B""),MATCH($B26,IMPORTRANGE(""13KC70HngS4DDi8y9E5khtSpQEPG6owaQ9z4E-tR5mnY"",""Non-Food!A2:A""),0))),"""")"),"")</f>
        <v/>
      </c>
      <c r="D26" s="5" t="str">
        <f t="shared" si="3"/>
        <v/>
      </c>
      <c r="E26" s="8"/>
      <c r="F26" s="10"/>
      <c r="G26" s="4" t="str">
        <f t="shared" si="1"/>
        <v/>
      </c>
      <c r="H26" s="4"/>
      <c r="I26" s="4"/>
    </row>
    <row r="27">
      <c r="A27" s="5"/>
      <c r="B27" s="14"/>
      <c r="C27" s="7" t="str">
        <f>IFERROR(__xludf.DUMMYFUNCTION("iferror(iferror(INDEX(IMPORTRANGE(""12vtnxaE_Q1s4tyr10kZQx7ZF_xG0lBFae4jQEUtgsMU"",""All!B2:B""),MATCH($B27,IMPORTRANGE(""12vtnxaE_Q1s4tyr10kZQx7ZF_xG0lBFae4jQEUtgsMU"",""All!A2:A""),0)),INDEX(IMPORTRANGE(""13KC70HngS4DDi8y9E5khtSpQEPG6owaQ9z4E-tR5mnY"","&amp;"""Non-Food!B2:B""),MATCH($B27,IMPORTRANGE(""13KC70HngS4DDi8y9E5khtSpQEPG6owaQ9z4E-tR5mnY"",""Non-Food!A2:A""),0))),"""")"),"")</f>
        <v/>
      </c>
      <c r="D27" s="5" t="str">
        <f t="shared" si="3"/>
        <v/>
      </c>
      <c r="E27" s="8"/>
      <c r="F27" s="10"/>
      <c r="G27" s="4" t="str">
        <f t="shared" si="1"/>
        <v/>
      </c>
      <c r="H27" s="4"/>
      <c r="I27" s="4"/>
    </row>
    <row r="28">
      <c r="A28" s="5"/>
      <c r="B28" s="14"/>
      <c r="C28" s="7" t="str">
        <f>IFERROR(__xludf.DUMMYFUNCTION("iferror(iferror(INDEX(IMPORTRANGE(""12vtnxaE_Q1s4tyr10kZQx7ZF_xG0lBFae4jQEUtgsMU"",""All!B2:B""),MATCH($B28,IMPORTRANGE(""12vtnxaE_Q1s4tyr10kZQx7ZF_xG0lBFae4jQEUtgsMU"",""All!A2:A""),0)),INDEX(IMPORTRANGE(""13KC70HngS4DDi8y9E5khtSpQEPG6owaQ9z4E-tR5mnY"","&amp;"""Non-Food!B2:B""),MATCH($B28,IMPORTRANGE(""13KC70HngS4DDi8y9E5khtSpQEPG6owaQ9z4E-tR5mnY"",""Non-Food!A2:A""),0))),"""")"),"")</f>
        <v/>
      </c>
      <c r="D28" s="5" t="str">
        <f t="shared" si="3"/>
        <v/>
      </c>
      <c r="E28" s="8"/>
      <c r="F28" s="10"/>
      <c r="G28" s="4" t="str">
        <f t="shared" si="1"/>
        <v/>
      </c>
      <c r="H28" s="4"/>
      <c r="I28" s="4"/>
    </row>
    <row r="29">
      <c r="A29" s="5"/>
      <c r="B29" s="14"/>
      <c r="C29" s="7" t="str">
        <f>IFERROR(__xludf.DUMMYFUNCTION("iferror(iferror(INDEX(IMPORTRANGE(""12vtnxaE_Q1s4tyr10kZQx7ZF_xG0lBFae4jQEUtgsMU"",""All!B2:B""),MATCH($B29,IMPORTRANGE(""12vtnxaE_Q1s4tyr10kZQx7ZF_xG0lBFae4jQEUtgsMU"",""All!A2:A""),0)),INDEX(IMPORTRANGE(""13KC70HngS4DDi8y9E5khtSpQEPG6owaQ9z4E-tR5mnY"","&amp;"""Non-Food!B2:B""),MATCH($B29,IMPORTRANGE(""13KC70HngS4DDi8y9E5khtSpQEPG6owaQ9z4E-tR5mnY"",""Non-Food!A2:A""),0))),"""")"),"")</f>
        <v/>
      </c>
      <c r="D29" s="5" t="str">
        <f t="shared" si="3"/>
        <v/>
      </c>
      <c r="E29" s="8"/>
      <c r="F29" s="10"/>
      <c r="G29" s="4" t="str">
        <f t="shared" si="1"/>
        <v/>
      </c>
      <c r="H29" s="4"/>
      <c r="I29" s="4"/>
    </row>
    <row r="30">
      <c r="A30" s="5"/>
      <c r="B30" s="14"/>
      <c r="C30" s="7" t="str">
        <f>IFERROR(__xludf.DUMMYFUNCTION("iferror(iferror(INDEX(IMPORTRANGE(""12vtnxaE_Q1s4tyr10kZQx7ZF_xG0lBFae4jQEUtgsMU"",""All!B2:B""),MATCH($B30,IMPORTRANGE(""12vtnxaE_Q1s4tyr10kZQx7ZF_xG0lBFae4jQEUtgsMU"",""All!A2:A""),0)),INDEX(IMPORTRANGE(""13KC70HngS4DDi8y9E5khtSpQEPG6owaQ9z4E-tR5mnY"","&amp;"""Non-Food!B2:B""),MATCH($B30,IMPORTRANGE(""13KC70HngS4DDi8y9E5khtSpQEPG6owaQ9z4E-tR5mnY"",""Non-Food!A2:A""),0))),"""")"),"")</f>
        <v/>
      </c>
      <c r="D30" s="5" t="str">
        <f t="shared" si="3"/>
        <v/>
      </c>
      <c r="E30" s="8"/>
      <c r="F30" s="10"/>
      <c r="G30" s="4" t="str">
        <f t="shared" si="1"/>
        <v/>
      </c>
      <c r="H30" s="4"/>
      <c r="I30" s="4"/>
    </row>
    <row r="31">
      <c r="A31" s="5"/>
      <c r="B31" s="14"/>
      <c r="C31" s="7" t="str">
        <f>IFERROR(__xludf.DUMMYFUNCTION("iferror(iferror(INDEX(IMPORTRANGE(""12vtnxaE_Q1s4tyr10kZQx7ZF_xG0lBFae4jQEUtgsMU"",""All!B2:B""),MATCH($B31,IMPORTRANGE(""12vtnxaE_Q1s4tyr10kZQx7ZF_xG0lBFae4jQEUtgsMU"",""All!A2:A""),0)),INDEX(IMPORTRANGE(""13KC70HngS4DDi8y9E5khtSpQEPG6owaQ9z4E-tR5mnY"","&amp;"""Non-Food!B2:B""),MATCH($B31,IMPORTRANGE(""13KC70HngS4DDi8y9E5khtSpQEPG6owaQ9z4E-tR5mnY"",""Non-Food!A2:A""),0))),"""")"),"")</f>
        <v/>
      </c>
      <c r="D31" s="5" t="str">
        <f t="shared" si="3"/>
        <v/>
      </c>
      <c r="E31" s="4"/>
      <c r="F31" s="10"/>
      <c r="G31" s="4" t="str">
        <f t="shared" si="1"/>
        <v/>
      </c>
      <c r="H31" s="4"/>
      <c r="I31" s="4"/>
    </row>
    <row r="32">
      <c r="A32" s="5"/>
      <c r="B32" s="14"/>
      <c r="C32" s="7" t="str">
        <f>IFERROR(__xludf.DUMMYFUNCTION("iferror(iferror(INDEX(IMPORTRANGE(""12vtnxaE_Q1s4tyr10kZQx7ZF_xG0lBFae4jQEUtgsMU"",""All!B2:B""),MATCH($B32,IMPORTRANGE(""12vtnxaE_Q1s4tyr10kZQx7ZF_xG0lBFae4jQEUtgsMU"",""All!A2:A""),0)),INDEX(IMPORTRANGE(""13KC70HngS4DDi8y9E5khtSpQEPG6owaQ9z4E-tR5mnY"","&amp;"""Non-Food!B2:B""),MATCH($B32,IMPORTRANGE(""13KC70HngS4DDi8y9E5khtSpQEPG6owaQ9z4E-tR5mnY"",""Non-Food!A2:A""),0))),"""")"),"")</f>
        <v/>
      </c>
      <c r="D32" s="5" t="str">
        <f t="shared" si="3"/>
        <v/>
      </c>
      <c r="E32" s="4"/>
      <c r="F32" s="10"/>
      <c r="G32" s="4" t="str">
        <f t="shared" si="1"/>
        <v/>
      </c>
      <c r="H32" s="4"/>
      <c r="I32" s="4"/>
    </row>
    <row r="33">
      <c r="A33" s="5"/>
      <c r="B33" s="15"/>
      <c r="C33" s="7" t="str">
        <f>IFERROR(__xludf.DUMMYFUNCTION("iferror(iferror(INDEX(IMPORTRANGE(""12vtnxaE_Q1s4tyr10kZQx7ZF_xG0lBFae4jQEUtgsMU"",""All!B2:B""),MATCH($B33,IMPORTRANGE(""12vtnxaE_Q1s4tyr10kZQx7ZF_xG0lBFae4jQEUtgsMU"",""All!A2:A""),0)),INDEX(IMPORTRANGE(""13KC70HngS4DDi8y9E5khtSpQEPG6owaQ9z4E-tR5mnY"","&amp;"""Non-Food!B2:B""),MATCH($B33,IMPORTRANGE(""13KC70HngS4DDi8y9E5khtSpQEPG6owaQ9z4E-tR5mnY"",""Non-Food!A2:A""),0))),"""")"),"")</f>
        <v/>
      </c>
      <c r="D33" s="5" t="str">
        <f t="shared" si="3"/>
        <v/>
      </c>
      <c r="E33" s="4"/>
      <c r="F33" s="10"/>
      <c r="G33" s="4" t="str">
        <f t="shared" si="1"/>
        <v/>
      </c>
      <c r="H33" s="4"/>
      <c r="I33" s="4"/>
    </row>
    <row r="34">
      <c r="A34" s="12"/>
      <c r="B34" s="15"/>
      <c r="C34" s="7" t="str">
        <f>IFERROR(__xludf.DUMMYFUNCTION("iferror(iferror(INDEX(IMPORTRANGE(""12vtnxaE_Q1s4tyr10kZQx7ZF_xG0lBFae4jQEUtgsMU"",""All!B2:B""),MATCH($B34,IMPORTRANGE(""12vtnxaE_Q1s4tyr10kZQx7ZF_xG0lBFae4jQEUtgsMU"",""All!A2:A""),0)),INDEX(IMPORTRANGE(""13KC70HngS4DDi8y9E5khtSpQEPG6owaQ9z4E-tR5mnY"","&amp;"""Non-Food!B2:B""),MATCH($B34,IMPORTRANGE(""13KC70HngS4DDi8y9E5khtSpQEPG6owaQ9z4E-tR5mnY"",""Non-Food!A2:A""),0))),"""")"),"")</f>
        <v/>
      </c>
      <c r="D34" s="5" t="str">
        <f t="shared" si="3"/>
        <v/>
      </c>
      <c r="E34" s="4"/>
      <c r="F34" s="10"/>
      <c r="G34" s="4" t="str">
        <f t="shared" si="1"/>
        <v/>
      </c>
      <c r="H34" s="4"/>
      <c r="I34" s="4"/>
    </row>
    <row r="35">
      <c r="A35" s="12"/>
      <c r="B35" s="15"/>
      <c r="C35" s="7" t="str">
        <f>IFERROR(__xludf.DUMMYFUNCTION("iferror(iferror(INDEX(IMPORTRANGE(""12vtnxaE_Q1s4tyr10kZQx7ZF_xG0lBFae4jQEUtgsMU"",""All!B2:B""),MATCH($B35,IMPORTRANGE(""12vtnxaE_Q1s4tyr10kZQx7ZF_xG0lBFae4jQEUtgsMU"",""All!A2:A""),0)),INDEX(IMPORTRANGE(""13KC70HngS4DDi8y9E5khtSpQEPG6owaQ9z4E-tR5mnY"","&amp;"""Non-Food!B2:B""),MATCH($B35,IMPORTRANGE(""13KC70HngS4DDi8y9E5khtSpQEPG6owaQ9z4E-tR5mnY"",""Non-Food!A2:A""),0))),"""")"),"")</f>
        <v/>
      </c>
      <c r="D35" s="5" t="str">
        <f t="shared" si="3"/>
        <v/>
      </c>
      <c r="E35" s="4"/>
      <c r="F35" s="10"/>
      <c r="G35" s="4" t="str">
        <f t="shared" si="1"/>
        <v/>
      </c>
      <c r="H35" s="4"/>
      <c r="I35" s="4"/>
    </row>
    <row r="36">
      <c r="A36" s="12"/>
      <c r="B36" s="15"/>
      <c r="C36" s="7" t="str">
        <f>IFERROR(__xludf.DUMMYFUNCTION("iferror(iferror(INDEX(IMPORTRANGE(""12vtnxaE_Q1s4tyr10kZQx7ZF_xG0lBFae4jQEUtgsMU"",""All!B2:B""),MATCH($B36,IMPORTRANGE(""12vtnxaE_Q1s4tyr10kZQx7ZF_xG0lBFae4jQEUtgsMU"",""All!A2:A""),0)),INDEX(IMPORTRANGE(""13KC70HngS4DDi8y9E5khtSpQEPG6owaQ9z4E-tR5mnY"","&amp;"""Non-Food!B2:B""),MATCH($B36,IMPORTRANGE(""13KC70HngS4DDi8y9E5khtSpQEPG6owaQ9z4E-tR5mnY"",""Non-Food!A2:A""),0))),"""")"),"")</f>
        <v/>
      </c>
      <c r="D36" s="5" t="str">
        <f t="shared" si="3"/>
        <v/>
      </c>
      <c r="E36" s="4"/>
      <c r="F36" s="10"/>
      <c r="G36" s="4" t="str">
        <f t="shared" si="1"/>
        <v/>
      </c>
      <c r="H36" s="4"/>
      <c r="I36" s="4"/>
    </row>
    <row r="37">
      <c r="A37" s="12"/>
      <c r="B37" s="15"/>
      <c r="C37" s="7" t="str">
        <f>IFERROR(__xludf.DUMMYFUNCTION("iferror(iferror(INDEX(IMPORTRANGE(""12vtnxaE_Q1s4tyr10kZQx7ZF_xG0lBFae4jQEUtgsMU"",""All!B2:B""),MATCH($B37,IMPORTRANGE(""12vtnxaE_Q1s4tyr10kZQx7ZF_xG0lBFae4jQEUtgsMU"",""All!A2:A""),0)),INDEX(IMPORTRANGE(""13KC70HngS4DDi8y9E5khtSpQEPG6owaQ9z4E-tR5mnY"","&amp;"""Non-Food!B2:B""),MATCH($B37,IMPORTRANGE(""13KC70HngS4DDi8y9E5khtSpQEPG6owaQ9z4E-tR5mnY"",""Non-Food!A2:A""),0))),"""")"),"")</f>
        <v/>
      </c>
      <c r="D37" s="5" t="str">
        <f t="shared" si="3"/>
        <v/>
      </c>
      <c r="E37" s="4"/>
      <c r="F37" s="10"/>
      <c r="G37" s="4" t="str">
        <f t="shared" si="1"/>
        <v/>
      </c>
      <c r="H37" s="4"/>
      <c r="I37" s="4"/>
    </row>
    <row r="38">
      <c r="A38" s="12"/>
      <c r="B38" s="15"/>
      <c r="C38" s="7" t="str">
        <f>IFERROR(__xludf.DUMMYFUNCTION("iferror(iferror(INDEX(IMPORTRANGE(""12vtnxaE_Q1s4tyr10kZQx7ZF_xG0lBFae4jQEUtgsMU"",""All!B2:B""),MATCH($B38,IMPORTRANGE(""12vtnxaE_Q1s4tyr10kZQx7ZF_xG0lBFae4jQEUtgsMU"",""All!A2:A""),0)),INDEX(IMPORTRANGE(""13KC70HngS4DDi8y9E5khtSpQEPG6owaQ9z4E-tR5mnY"","&amp;"""Non-Food!B2:B""),MATCH($B38,IMPORTRANGE(""13KC70HngS4DDi8y9E5khtSpQEPG6owaQ9z4E-tR5mnY"",""Non-Food!A2:A""),0))),"""")"),"")</f>
        <v/>
      </c>
      <c r="D38" s="5" t="str">
        <f t="shared" si="3"/>
        <v/>
      </c>
      <c r="E38" s="4"/>
      <c r="F38" s="4"/>
      <c r="G38" s="4" t="str">
        <f t="shared" si="1"/>
        <v/>
      </c>
      <c r="H38" s="4"/>
      <c r="I38" s="4"/>
    </row>
    <row r="39">
      <c r="A39" s="4"/>
      <c r="B39" s="15"/>
      <c r="C39" s="7" t="str">
        <f>IFERROR(__xludf.DUMMYFUNCTION("iferror(iferror(INDEX(IMPORTRANGE(""12vtnxaE_Q1s4tyr10kZQx7ZF_xG0lBFae4jQEUtgsMU"",""All!B2:B""),MATCH($B39,IMPORTRANGE(""12vtnxaE_Q1s4tyr10kZQx7ZF_xG0lBFae4jQEUtgsMU"",""All!A2:A""),0)),INDEX(IMPORTRANGE(""13KC70HngS4DDi8y9E5khtSpQEPG6owaQ9z4E-tR5mnY"","&amp;"""Non-Food!B2:B""),MATCH($B39,IMPORTRANGE(""13KC70HngS4DDi8y9E5khtSpQEPG6owaQ9z4E-tR5mnY"",""Non-Food!A2:A""),0))),"""")"),"")</f>
        <v/>
      </c>
      <c r="D39" s="5" t="str">
        <f t="shared" si="3"/>
        <v/>
      </c>
      <c r="E39" s="4"/>
      <c r="F39" s="4"/>
      <c r="G39" s="4" t="str">
        <f t="shared" si="1"/>
        <v/>
      </c>
      <c r="H39" s="4"/>
      <c r="I39" s="4"/>
    </row>
    <row r="40">
      <c r="A40" s="4"/>
      <c r="B40" s="15"/>
      <c r="C40" s="7" t="str">
        <f>IFERROR(__xludf.DUMMYFUNCTION("iferror(iferror(INDEX(IMPORTRANGE(""12vtnxaE_Q1s4tyr10kZQx7ZF_xG0lBFae4jQEUtgsMU"",""All!B2:B""),MATCH($B40,IMPORTRANGE(""12vtnxaE_Q1s4tyr10kZQx7ZF_xG0lBFae4jQEUtgsMU"",""All!A2:A""),0)),INDEX(IMPORTRANGE(""13KC70HngS4DDi8y9E5khtSpQEPG6owaQ9z4E-tR5mnY"","&amp;"""Non-Food!B2:B""),MATCH($B40,IMPORTRANGE(""13KC70HngS4DDi8y9E5khtSpQEPG6owaQ9z4E-tR5mnY"",""Non-Food!A2:A""),0))),"""")"),"")</f>
        <v/>
      </c>
      <c r="D40" s="5" t="str">
        <f t="shared" si="3"/>
        <v/>
      </c>
      <c r="E40" s="4"/>
      <c r="F40" s="4"/>
      <c r="G40" s="4" t="str">
        <f t="shared" si="1"/>
        <v/>
      </c>
      <c r="H40" s="4"/>
      <c r="I40" s="4"/>
    </row>
    <row r="41">
      <c r="A41" s="4"/>
      <c r="B41" s="15"/>
      <c r="C41" s="7" t="str">
        <f>IFERROR(__xludf.DUMMYFUNCTION("iferror(iferror(INDEX(IMPORTRANGE(""12vtnxaE_Q1s4tyr10kZQx7ZF_xG0lBFae4jQEUtgsMU"",""All!B2:B""),MATCH($B41,IMPORTRANGE(""12vtnxaE_Q1s4tyr10kZQx7ZF_xG0lBFae4jQEUtgsMU"",""All!A2:A""),0)),INDEX(IMPORTRANGE(""13KC70HngS4DDi8y9E5khtSpQEPG6owaQ9z4E-tR5mnY"","&amp;"""Non-Food!B2:B""),MATCH($B41,IMPORTRANGE(""13KC70HngS4DDi8y9E5khtSpQEPG6owaQ9z4E-tR5mnY"",""Non-Food!A2:A""),0))),"""")"),"")</f>
        <v/>
      </c>
      <c r="D41" s="5" t="str">
        <f t="shared" si="3"/>
        <v/>
      </c>
      <c r="E41" s="4"/>
      <c r="F41" s="4"/>
      <c r="G41" s="4" t="str">
        <f t="shared" si="1"/>
        <v/>
      </c>
      <c r="H41" s="4"/>
      <c r="I41" s="4"/>
    </row>
    <row r="42">
      <c r="A42" s="4"/>
      <c r="B42" s="15"/>
      <c r="C42" s="7" t="str">
        <f>IFERROR(__xludf.DUMMYFUNCTION("iferror(iferror(INDEX(IMPORTRANGE(""12vtnxaE_Q1s4tyr10kZQx7ZF_xG0lBFae4jQEUtgsMU"",""All!B2:B""),MATCH($B42,IMPORTRANGE(""12vtnxaE_Q1s4tyr10kZQx7ZF_xG0lBFae4jQEUtgsMU"",""All!A2:A""),0)),INDEX(IMPORTRANGE(""13KC70HngS4DDi8y9E5khtSpQEPG6owaQ9z4E-tR5mnY"","&amp;"""Non-Food!B2:B""),MATCH($B42,IMPORTRANGE(""13KC70HngS4DDi8y9E5khtSpQEPG6owaQ9z4E-tR5mnY"",""Non-Food!A2:A""),0))),"""")"),"")</f>
        <v/>
      </c>
      <c r="D42" s="5" t="str">
        <f t="shared" si="3"/>
        <v/>
      </c>
      <c r="E42" s="4"/>
      <c r="F42" s="4"/>
      <c r="G42" s="4" t="str">
        <f t="shared" si="1"/>
        <v/>
      </c>
      <c r="H42" s="4"/>
      <c r="I42" s="4"/>
    </row>
    <row r="43">
      <c r="A43" s="4"/>
      <c r="B43" s="15"/>
      <c r="C43" s="7" t="str">
        <f>IFERROR(__xludf.DUMMYFUNCTION("iferror(iferror(INDEX(IMPORTRANGE(""12vtnxaE_Q1s4tyr10kZQx7ZF_xG0lBFae4jQEUtgsMU"",""All!B2:B""),MATCH($B43,IMPORTRANGE(""12vtnxaE_Q1s4tyr10kZQx7ZF_xG0lBFae4jQEUtgsMU"",""All!A2:A""),0)),INDEX(IMPORTRANGE(""13KC70HngS4DDi8y9E5khtSpQEPG6owaQ9z4E-tR5mnY"","&amp;"""Non-Food!B2:B""),MATCH($B43,IMPORTRANGE(""13KC70HngS4DDi8y9E5khtSpQEPG6owaQ9z4E-tR5mnY"",""Non-Food!A2:A""),0))),"""")"),"")</f>
        <v/>
      </c>
      <c r="D43" s="5" t="str">
        <f t="shared" si="3"/>
        <v/>
      </c>
      <c r="E43" s="4"/>
      <c r="F43" s="4"/>
      <c r="G43" s="4" t="str">
        <f t="shared" si="1"/>
        <v/>
      </c>
      <c r="H43" s="4"/>
      <c r="I43" s="4"/>
    </row>
    <row r="44">
      <c r="A44" s="4"/>
      <c r="B44" s="15"/>
      <c r="C44" s="7" t="str">
        <f>IFERROR(__xludf.DUMMYFUNCTION("iferror(iferror(INDEX(IMPORTRANGE(""12vtnxaE_Q1s4tyr10kZQx7ZF_xG0lBFae4jQEUtgsMU"",""All!B2:B""),MATCH($B44,IMPORTRANGE(""12vtnxaE_Q1s4tyr10kZQx7ZF_xG0lBFae4jQEUtgsMU"",""All!A2:A""),0)),INDEX(IMPORTRANGE(""13KC70HngS4DDi8y9E5khtSpQEPG6owaQ9z4E-tR5mnY"","&amp;"""Non-Food!B2:B""),MATCH($B44,IMPORTRANGE(""13KC70HngS4DDi8y9E5khtSpQEPG6owaQ9z4E-tR5mnY"",""Non-Food!A2:A""),0))),"""")"),"")</f>
        <v/>
      </c>
      <c r="D44" s="5" t="str">
        <f t="shared" si="3"/>
        <v/>
      </c>
      <c r="E44" s="4"/>
      <c r="F44" s="4"/>
      <c r="G44" s="4" t="str">
        <f t="shared" si="1"/>
        <v/>
      </c>
      <c r="H44" s="4"/>
      <c r="I44" s="4"/>
    </row>
    <row r="45">
      <c r="A45" s="4"/>
      <c r="B45" s="15"/>
      <c r="C45" s="7" t="str">
        <f>IFERROR(__xludf.DUMMYFUNCTION("iferror(iferror(INDEX(IMPORTRANGE(""12vtnxaE_Q1s4tyr10kZQx7ZF_xG0lBFae4jQEUtgsMU"",""All!B2:B""),MATCH($B45,IMPORTRANGE(""12vtnxaE_Q1s4tyr10kZQx7ZF_xG0lBFae4jQEUtgsMU"",""All!A2:A""),0)),INDEX(IMPORTRANGE(""13KC70HngS4DDi8y9E5khtSpQEPG6owaQ9z4E-tR5mnY"","&amp;"""Non-Food!B2:B""),MATCH($B45,IMPORTRANGE(""13KC70HngS4DDi8y9E5khtSpQEPG6owaQ9z4E-tR5mnY"",""Non-Food!A2:A""),0))),"""")"),"")</f>
        <v/>
      </c>
      <c r="D45" s="5" t="str">
        <f t="shared" si="3"/>
        <v/>
      </c>
      <c r="E45" s="4"/>
      <c r="F45" s="4"/>
      <c r="G45" s="4" t="str">
        <f t="shared" si="1"/>
        <v/>
      </c>
      <c r="H45" s="4"/>
      <c r="I45" s="4"/>
    </row>
    <row r="46">
      <c r="A46" s="4"/>
      <c r="B46" s="15"/>
      <c r="C46" s="7" t="str">
        <f>IFERROR(__xludf.DUMMYFUNCTION("iferror(iferror(INDEX(IMPORTRANGE(""12vtnxaE_Q1s4tyr10kZQx7ZF_xG0lBFae4jQEUtgsMU"",""All!B2:B""),MATCH($B46,IMPORTRANGE(""12vtnxaE_Q1s4tyr10kZQx7ZF_xG0lBFae4jQEUtgsMU"",""All!A2:A""),0)),INDEX(IMPORTRANGE(""13KC70HngS4DDi8y9E5khtSpQEPG6owaQ9z4E-tR5mnY"","&amp;"""Non-Food!B2:B""),MATCH($B46,IMPORTRANGE(""13KC70HngS4DDi8y9E5khtSpQEPG6owaQ9z4E-tR5mnY"",""Non-Food!A2:A""),0))),"""")"),"")</f>
        <v/>
      </c>
      <c r="D46" s="5" t="str">
        <f t="shared" si="3"/>
        <v/>
      </c>
      <c r="E46" s="4"/>
      <c r="F46" s="4"/>
      <c r="G46" s="4" t="str">
        <f t="shared" si="1"/>
        <v/>
      </c>
      <c r="H46" s="4"/>
      <c r="I46" s="4"/>
    </row>
    <row r="47">
      <c r="A47" s="4"/>
      <c r="B47" s="15"/>
      <c r="C47" s="7" t="str">
        <f>IFERROR(__xludf.DUMMYFUNCTION("iferror(iferror(INDEX(IMPORTRANGE(""12vtnxaE_Q1s4tyr10kZQx7ZF_xG0lBFae4jQEUtgsMU"",""All!B2:B""),MATCH($B47,IMPORTRANGE(""12vtnxaE_Q1s4tyr10kZQx7ZF_xG0lBFae4jQEUtgsMU"",""All!A2:A""),0)),INDEX(IMPORTRANGE(""13KC70HngS4DDi8y9E5khtSpQEPG6owaQ9z4E-tR5mnY"","&amp;"""Non-Food!B2:B""),MATCH($B47,IMPORTRANGE(""13KC70HngS4DDi8y9E5khtSpQEPG6owaQ9z4E-tR5mnY"",""Non-Food!A2:A""),0))),"""")"),"")</f>
        <v/>
      </c>
      <c r="D47" s="5" t="str">
        <f t="shared" si="3"/>
        <v/>
      </c>
      <c r="E47" s="4"/>
      <c r="F47" s="4"/>
      <c r="G47" s="4" t="str">
        <f t="shared" si="1"/>
        <v/>
      </c>
      <c r="H47" s="4"/>
      <c r="I47" s="4"/>
    </row>
    <row r="48">
      <c r="A48" s="4"/>
      <c r="B48" s="15"/>
      <c r="C48" s="7" t="str">
        <f>IFERROR(__xludf.DUMMYFUNCTION("iferror(iferror(INDEX(IMPORTRANGE(""12vtnxaE_Q1s4tyr10kZQx7ZF_xG0lBFae4jQEUtgsMU"",""All!B2:B""),MATCH($B48,IMPORTRANGE(""12vtnxaE_Q1s4tyr10kZQx7ZF_xG0lBFae4jQEUtgsMU"",""All!A2:A""),0)),INDEX(IMPORTRANGE(""13KC70HngS4DDi8y9E5khtSpQEPG6owaQ9z4E-tR5mnY"","&amp;"""Non-Food!B2:B""),MATCH($B48,IMPORTRANGE(""13KC70HngS4DDi8y9E5khtSpQEPG6owaQ9z4E-tR5mnY"",""Non-Food!A2:A""),0))),"""")"),"")</f>
        <v/>
      </c>
      <c r="D48" s="5" t="str">
        <f t="shared" si="3"/>
        <v/>
      </c>
      <c r="E48" s="4"/>
      <c r="F48" s="4"/>
      <c r="G48" s="4" t="str">
        <f t="shared" si="1"/>
        <v/>
      </c>
      <c r="H48" s="4"/>
      <c r="I48" s="4"/>
    </row>
    <row r="49">
      <c r="A49" s="4"/>
      <c r="B49" s="15"/>
      <c r="C49" s="7" t="str">
        <f>IFERROR(__xludf.DUMMYFUNCTION("iferror(iferror(INDEX(IMPORTRANGE(""12vtnxaE_Q1s4tyr10kZQx7ZF_xG0lBFae4jQEUtgsMU"",""All!B2:B""),MATCH($B49,IMPORTRANGE(""12vtnxaE_Q1s4tyr10kZQx7ZF_xG0lBFae4jQEUtgsMU"",""All!A2:A""),0)),INDEX(IMPORTRANGE(""13KC70HngS4DDi8y9E5khtSpQEPG6owaQ9z4E-tR5mnY"","&amp;"""Non-Food!B2:B""),MATCH($B49,IMPORTRANGE(""13KC70HngS4DDi8y9E5khtSpQEPG6owaQ9z4E-tR5mnY"",""Non-Food!A2:A""),0))),"""")"),"")</f>
        <v/>
      </c>
      <c r="D49" s="5" t="str">
        <f t="shared" si="3"/>
        <v/>
      </c>
      <c r="E49" s="4"/>
      <c r="F49" s="4"/>
      <c r="G49" s="4" t="str">
        <f t="shared" si="1"/>
        <v/>
      </c>
      <c r="H49" s="4"/>
      <c r="I49" s="4"/>
    </row>
    <row r="50">
      <c r="A50" s="4"/>
      <c r="B50" s="15"/>
      <c r="C50" s="7" t="str">
        <f>IFERROR(__xludf.DUMMYFUNCTION("iferror(iferror(INDEX(IMPORTRANGE(""12vtnxaE_Q1s4tyr10kZQx7ZF_xG0lBFae4jQEUtgsMU"",""All!B2:B""),MATCH($B50,IMPORTRANGE(""12vtnxaE_Q1s4tyr10kZQx7ZF_xG0lBFae4jQEUtgsMU"",""All!A2:A""),0)),INDEX(IMPORTRANGE(""13KC70HngS4DDi8y9E5khtSpQEPG6owaQ9z4E-tR5mnY"","&amp;"""Non-Food!B2:B""),MATCH($B50,IMPORTRANGE(""13KC70HngS4DDi8y9E5khtSpQEPG6owaQ9z4E-tR5mnY"",""Non-Food!A2:A""),0))),"""")"),"")</f>
        <v/>
      </c>
      <c r="D50" s="5" t="str">
        <f t="shared" si="3"/>
        <v/>
      </c>
      <c r="E50" s="4"/>
      <c r="F50" s="4"/>
      <c r="G50" s="4" t="str">
        <f t="shared" si="1"/>
        <v/>
      </c>
      <c r="H50" s="4"/>
      <c r="I50" s="4"/>
    </row>
    <row r="51">
      <c r="A51" s="4"/>
      <c r="B51" s="15"/>
      <c r="C51" s="7" t="str">
        <f>IFERROR(__xludf.DUMMYFUNCTION("iferror(iferror(INDEX(IMPORTRANGE(""12vtnxaE_Q1s4tyr10kZQx7ZF_xG0lBFae4jQEUtgsMU"",""All!B2:B""),MATCH($B51,IMPORTRANGE(""12vtnxaE_Q1s4tyr10kZQx7ZF_xG0lBFae4jQEUtgsMU"",""All!A2:A""),0)),INDEX(IMPORTRANGE(""13KC70HngS4DDi8y9E5khtSpQEPG6owaQ9z4E-tR5mnY"","&amp;"""Non-Food!B2:B""),MATCH($B51,IMPORTRANGE(""13KC70HngS4DDi8y9E5khtSpQEPG6owaQ9z4E-tR5mnY"",""Non-Food!A2:A""),0))),"""")"),"")</f>
        <v/>
      </c>
      <c r="D51" s="5" t="str">
        <f t="shared" si="3"/>
        <v/>
      </c>
      <c r="E51" s="4"/>
      <c r="F51" s="4"/>
      <c r="G51" s="4" t="str">
        <f t="shared" si="1"/>
        <v/>
      </c>
      <c r="H51" s="4"/>
      <c r="I51" s="4"/>
    </row>
    <row r="52">
      <c r="A52" s="4"/>
      <c r="B52" s="15"/>
      <c r="C52" s="7" t="str">
        <f>IFERROR(__xludf.DUMMYFUNCTION("iferror(iferror(INDEX(IMPORTRANGE(""12vtnxaE_Q1s4tyr10kZQx7ZF_xG0lBFae4jQEUtgsMU"",""All!B2:B""),MATCH($B52,IMPORTRANGE(""12vtnxaE_Q1s4tyr10kZQx7ZF_xG0lBFae4jQEUtgsMU"",""All!A2:A""),0)),INDEX(IMPORTRANGE(""13KC70HngS4DDi8y9E5khtSpQEPG6owaQ9z4E-tR5mnY"","&amp;"""Non-Food!B2:B""),MATCH($B52,IMPORTRANGE(""13KC70HngS4DDi8y9E5khtSpQEPG6owaQ9z4E-tR5mnY"",""Non-Food!A2:A""),0))),"""")"),"")</f>
        <v/>
      </c>
      <c r="D52" s="5" t="str">
        <f t="shared" si="3"/>
        <v/>
      </c>
      <c r="E52" s="4"/>
      <c r="F52" s="4"/>
      <c r="G52" s="4" t="str">
        <f t="shared" si="1"/>
        <v/>
      </c>
      <c r="H52" s="4"/>
      <c r="I52" s="4"/>
    </row>
    <row r="53">
      <c r="A53" s="4"/>
      <c r="B53" s="15"/>
      <c r="C53" s="7" t="str">
        <f>IFERROR(__xludf.DUMMYFUNCTION("iferror(iferror(INDEX(IMPORTRANGE(""12vtnxaE_Q1s4tyr10kZQx7ZF_xG0lBFae4jQEUtgsMU"",""All!B2:B""),MATCH($B53,IMPORTRANGE(""12vtnxaE_Q1s4tyr10kZQx7ZF_xG0lBFae4jQEUtgsMU"",""All!A2:A""),0)),INDEX(IMPORTRANGE(""13KC70HngS4DDi8y9E5khtSpQEPG6owaQ9z4E-tR5mnY"","&amp;"""Non-Food!B2:B""),MATCH($B53,IMPORTRANGE(""13KC70HngS4DDi8y9E5khtSpQEPG6owaQ9z4E-tR5mnY"",""Non-Food!A2:A""),0))),"""")"),"")</f>
        <v/>
      </c>
      <c r="D53" s="5" t="str">
        <f t="shared" si="3"/>
        <v/>
      </c>
      <c r="E53" s="4"/>
      <c r="F53" s="4"/>
      <c r="G53" s="4" t="str">
        <f t="shared" si="1"/>
        <v/>
      </c>
      <c r="H53" s="4"/>
      <c r="I53" s="4"/>
    </row>
    <row r="54">
      <c r="A54" s="4"/>
      <c r="B54" s="15"/>
      <c r="C54" s="7" t="str">
        <f>IFERROR(__xludf.DUMMYFUNCTION("iferror(iferror(INDEX(IMPORTRANGE(""12vtnxaE_Q1s4tyr10kZQx7ZF_xG0lBFae4jQEUtgsMU"",""All!B2:B""),MATCH($B54,IMPORTRANGE(""12vtnxaE_Q1s4tyr10kZQx7ZF_xG0lBFae4jQEUtgsMU"",""All!A2:A""),0)),INDEX(IMPORTRANGE(""13KC70HngS4DDi8y9E5khtSpQEPG6owaQ9z4E-tR5mnY"","&amp;"""Non-Food!B2:B""),MATCH($B54,IMPORTRANGE(""13KC70HngS4DDi8y9E5khtSpQEPG6owaQ9z4E-tR5mnY"",""Non-Food!A2:A""),0))),"""")"),"")</f>
        <v/>
      </c>
      <c r="D54" s="5" t="str">
        <f t="shared" si="3"/>
        <v/>
      </c>
      <c r="E54" s="4"/>
      <c r="F54" s="4"/>
      <c r="G54" s="4" t="str">
        <f t="shared" si="1"/>
        <v/>
      </c>
      <c r="H54" s="4"/>
      <c r="I54" s="4"/>
    </row>
    <row r="55">
      <c r="A55" s="4"/>
      <c r="B55" s="15"/>
      <c r="C55" s="7" t="str">
        <f>IFERROR(__xludf.DUMMYFUNCTION("iferror(iferror(INDEX(IMPORTRANGE(""12vtnxaE_Q1s4tyr10kZQx7ZF_xG0lBFae4jQEUtgsMU"",""All!B2:B""),MATCH($B55,IMPORTRANGE(""12vtnxaE_Q1s4tyr10kZQx7ZF_xG0lBFae4jQEUtgsMU"",""All!A2:A""),0)),INDEX(IMPORTRANGE(""13KC70HngS4DDi8y9E5khtSpQEPG6owaQ9z4E-tR5mnY"","&amp;"""Non-Food!B2:B""),MATCH($B55,IMPORTRANGE(""13KC70HngS4DDi8y9E5khtSpQEPG6owaQ9z4E-tR5mnY"",""Non-Food!A2:A""),0))),"""")"),"")</f>
        <v/>
      </c>
      <c r="D55" s="5" t="str">
        <f t="shared" si="3"/>
        <v/>
      </c>
      <c r="E55" s="4"/>
      <c r="F55" s="4"/>
      <c r="G55" s="4" t="str">
        <f t="shared" si="1"/>
        <v/>
      </c>
      <c r="H55" s="4"/>
      <c r="I55" s="4"/>
    </row>
    <row r="56">
      <c r="A56" s="4"/>
      <c r="B56" s="15"/>
      <c r="C56" s="7" t="str">
        <f>IFERROR(__xludf.DUMMYFUNCTION("iferror(iferror(INDEX(IMPORTRANGE(""12vtnxaE_Q1s4tyr10kZQx7ZF_xG0lBFae4jQEUtgsMU"",""All!B2:B""),MATCH($B56,IMPORTRANGE(""12vtnxaE_Q1s4tyr10kZQx7ZF_xG0lBFae4jQEUtgsMU"",""All!A2:A""),0)),INDEX(IMPORTRANGE(""13KC70HngS4DDi8y9E5khtSpQEPG6owaQ9z4E-tR5mnY"","&amp;"""Non-Food!B2:B""),MATCH($B56,IMPORTRANGE(""13KC70HngS4DDi8y9E5khtSpQEPG6owaQ9z4E-tR5mnY"",""Non-Food!A2:A""),0))),"""")"),"")</f>
        <v/>
      </c>
      <c r="D56" s="5" t="str">
        <f t="shared" si="3"/>
        <v/>
      </c>
      <c r="E56" s="4"/>
      <c r="F56" s="4"/>
      <c r="G56" s="4" t="str">
        <f t="shared" si="1"/>
        <v/>
      </c>
      <c r="H56" s="4"/>
      <c r="I56" s="4"/>
    </row>
    <row r="57">
      <c r="A57" s="4"/>
      <c r="B57" s="15"/>
      <c r="C57" s="7" t="str">
        <f>IFERROR(__xludf.DUMMYFUNCTION("iferror(iferror(INDEX(IMPORTRANGE(""12vtnxaE_Q1s4tyr10kZQx7ZF_xG0lBFae4jQEUtgsMU"",""All!B2:B""),MATCH($B57,IMPORTRANGE(""12vtnxaE_Q1s4tyr10kZQx7ZF_xG0lBFae4jQEUtgsMU"",""All!A2:A""),0)),INDEX(IMPORTRANGE(""13KC70HngS4DDi8y9E5khtSpQEPG6owaQ9z4E-tR5mnY"","&amp;"""Non-Food!B2:B""),MATCH($B57,IMPORTRANGE(""13KC70HngS4DDi8y9E5khtSpQEPG6owaQ9z4E-tR5mnY"",""Non-Food!A2:A""),0))),"""")"),"")</f>
        <v/>
      </c>
      <c r="D57" s="5" t="str">
        <f t="shared" si="3"/>
        <v/>
      </c>
      <c r="E57" s="4"/>
      <c r="F57" s="4"/>
      <c r="G57" s="4" t="str">
        <f t="shared" si="1"/>
        <v/>
      </c>
      <c r="H57" s="4"/>
      <c r="I57" s="4"/>
    </row>
    <row r="58">
      <c r="A58" s="4"/>
      <c r="B58" s="15"/>
      <c r="C58" s="7" t="str">
        <f>IFERROR(__xludf.DUMMYFUNCTION("iferror(iferror(INDEX(IMPORTRANGE(""12vtnxaE_Q1s4tyr10kZQx7ZF_xG0lBFae4jQEUtgsMU"",""All!B2:B""),MATCH($B58,IMPORTRANGE(""12vtnxaE_Q1s4tyr10kZQx7ZF_xG0lBFae4jQEUtgsMU"",""All!A2:A""),0)),INDEX(IMPORTRANGE(""13KC70HngS4DDi8y9E5khtSpQEPG6owaQ9z4E-tR5mnY"","&amp;"""Non-Food!B2:B""),MATCH($B58,IMPORTRANGE(""13KC70HngS4DDi8y9E5khtSpQEPG6owaQ9z4E-tR5mnY"",""Non-Food!A2:A""),0))),"""")"),"")</f>
        <v/>
      </c>
      <c r="D58" s="5" t="str">
        <f t="shared" si="3"/>
        <v/>
      </c>
      <c r="E58" s="4"/>
      <c r="F58" s="4"/>
      <c r="G58" s="4" t="str">
        <f t="shared" si="1"/>
        <v/>
      </c>
      <c r="H58" s="4"/>
      <c r="I58" s="4"/>
    </row>
    <row r="59">
      <c r="A59" s="4"/>
      <c r="B59" s="15"/>
      <c r="C59" s="7" t="str">
        <f>IFERROR(__xludf.DUMMYFUNCTION("iferror(iferror(INDEX(IMPORTRANGE(""12vtnxaE_Q1s4tyr10kZQx7ZF_xG0lBFae4jQEUtgsMU"",""All!B2:B""),MATCH($B59,IMPORTRANGE(""12vtnxaE_Q1s4tyr10kZQx7ZF_xG0lBFae4jQEUtgsMU"",""All!A2:A""),0)),INDEX(IMPORTRANGE(""13KC70HngS4DDi8y9E5khtSpQEPG6owaQ9z4E-tR5mnY"","&amp;"""Non-Food!B2:B""),MATCH($B59,IMPORTRANGE(""13KC70HngS4DDi8y9E5khtSpQEPG6owaQ9z4E-tR5mnY"",""Non-Food!A2:A""),0))),"""")"),"")</f>
        <v/>
      </c>
      <c r="D59" s="5" t="str">
        <f t="shared" si="3"/>
        <v/>
      </c>
      <c r="E59" s="4"/>
      <c r="F59" s="4"/>
      <c r="G59" s="4" t="str">
        <f t="shared" si="1"/>
        <v/>
      </c>
      <c r="H59" s="4"/>
      <c r="I59" s="4"/>
    </row>
    <row r="60">
      <c r="A60" s="4"/>
      <c r="B60" s="15"/>
      <c r="C60" s="7" t="str">
        <f>IFERROR(__xludf.DUMMYFUNCTION("iferror(iferror(INDEX(IMPORTRANGE(""12vtnxaE_Q1s4tyr10kZQx7ZF_xG0lBFae4jQEUtgsMU"",""All!B2:B""),MATCH($B60,IMPORTRANGE(""12vtnxaE_Q1s4tyr10kZQx7ZF_xG0lBFae4jQEUtgsMU"",""All!A2:A""),0)),INDEX(IMPORTRANGE(""13KC70HngS4DDi8y9E5khtSpQEPG6owaQ9z4E-tR5mnY"","&amp;"""Non-Food!B2:B""),MATCH($B60,IMPORTRANGE(""13KC70HngS4DDi8y9E5khtSpQEPG6owaQ9z4E-tR5mnY"",""Non-Food!A2:A""),0))),"""")"),"")</f>
        <v/>
      </c>
      <c r="D60" s="5" t="str">
        <f t="shared" si="3"/>
        <v/>
      </c>
      <c r="E60" s="4"/>
      <c r="F60" s="4"/>
      <c r="G60" s="4" t="str">
        <f t="shared" si="1"/>
        <v/>
      </c>
      <c r="H60" s="4"/>
      <c r="I60" s="4"/>
    </row>
    <row r="61">
      <c r="A61" s="4"/>
      <c r="B61" s="15"/>
      <c r="C61" s="7" t="str">
        <f>IFERROR(__xludf.DUMMYFUNCTION("iferror(iferror(INDEX(IMPORTRANGE(""12vtnxaE_Q1s4tyr10kZQx7ZF_xG0lBFae4jQEUtgsMU"",""All!B2:B""),MATCH($B61,IMPORTRANGE(""12vtnxaE_Q1s4tyr10kZQx7ZF_xG0lBFae4jQEUtgsMU"",""All!A2:A""),0)),INDEX(IMPORTRANGE(""13KC70HngS4DDi8y9E5khtSpQEPG6owaQ9z4E-tR5mnY"","&amp;"""Non-Food!B2:B""),MATCH($B61,IMPORTRANGE(""13KC70HngS4DDi8y9E5khtSpQEPG6owaQ9z4E-tR5mnY"",""Non-Food!A2:A""),0))),"""")"),"")</f>
        <v/>
      </c>
      <c r="D61" s="5" t="str">
        <f t="shared" si="3"/>
        <v/>
      </c>
      <c r="E61" s="4"/>
      <c r="F61" s="4"/>
      <c r="G61" s="4" t="str">
        <f t="shared" si="1"/>
        <v/>
      </c>
      <c r="H61" s="4"/>
      <c r="I61" s="4"/>
    </row>
    <row r="62">
      <c r="A62" s="4"/>
      <c r="B62" s="15"/>
      <c r="C62" s="7" t="str">
        <f>IFERROR(__xludf.DUMMYFUNCTION("iferror(iferror(INDEX(IMPORTRANGE(""12vtnxaE_Q1s4tyr10kZQx7ZF_xG0lBFae4jQEUtgsMU"",""All!B2:B""),MATCH($B62,IMPORTRANGE(""12vtnxaE_Q1s4tyr10kZQx7ZF_xG0lBFae4jQEUtgsMU"",""All!A2:A""),0)),INDEX(IMPORTRANGE(""13KC70HngS4DDi8y9E5khtSpQEPG6owaQ9z4E-tR5mnY"","&amp;"""Non-Food!B2:B""),MATCH($B62,IMPORTRANGE(""13KC70HngS4DDi8y9E5khtSpQEPG6owaQ9z4E-tR5mnY"",""Non-Food!A2:A""),0))),"""")"),"")</f>
        <v/>
      </c>
      <c r="D62" s="5" t="str">
        <f t="shared" si="3"/>
        <v/>
      </c>
      <c r="E62" s="4"/>
      <c r="F62" s="4"/>
      <c r="G62" s="4" t="str">
        <f t="shared" si="1"/>
        <v/>
      </c>
      <c r="H62" s="4"/>
      <c r="I62" s="4"/>
    </row>
    <row r="63">
      <c r="A63" s="4"/>
      <c r="B63" s="15"/>
      <c r="C63" s="7" t="str">
        <f>IFERROR(__xludf.DUMMYFUNCTION("iferror(iferror(INDEX(IMPORTRANGE(""12vtnxaE_Q1s4tyr10kZQx7ZF_xG0lBFae4jQEUtgsMU"",""All!B2:B""),MATCH($B63,IMPORTRANGE(""12vtnxaE_Q1s4tyr10kZQx7ZF_xG0lBFae4jQEUtgsMU"",""All!A2:A""),0)),INDEX(IMPORTRANGE(""13KC70HngS4DDi8y9E5khtSpQEPG6owaQ9z4E-tR5mnY"","&amp;"""Non-Food!B2:B""),MATCH($B63,IMPORTRANGE(""13KC70HngS4DDi8y9E5khtSpQEPG6owaQ9z4E-tR5mnY"",""Non-Food!A2:A""),0))),"""")"),"")</f>
        <v/>
      </c>
      <c r="D63" s="5" t="str">
        <f t="shared" si="3"/>
        <v/>
      </c>
      <c r="E63" s="4"/>
      <c r="F63" s="4"/>
      <c r="G63" s="4" t="str">
        <f t="shared" si="1"/>
        <v/>
      </c>
      <c r="H63" s="4"/>
      <c r="I63" s="4"/>
    </row>
    <row r="64">
      <c r="A64" s="4"/>
      <c r="B64" s="15"/>
      <c r="C64" s="7" t="str">
        <f>IFERROR(__xludf.DUMMYFUNCTION("iferror(iferror(INDEX(IMPORTRANGE(""12vtnxaE_Q1s4tyr10kZQx7ZF_xG0lBFae4jQEUtgsMU"",""All!B2:B""),MATCH($B64,IMPORTRANGE(""12vtnxaE_Q1s4tyr10kZQx7ZF_xG0lBFae4jQEUtgsMU"",""All!A2:A""),0)),INDEX(IMPORTRANGE(""13KC70HngS4DDi8y9E5khtSpQEPG6owaQ9z4E-tR5mnY"","&amp;"""Non-Food!B2:B""),MATCH($B64,IMPORTRANGE(""13KC70HngS4DDi8y9E5khtSpQEPG6owaQ9z4E-tR5mnY"",""Non-Food!A2:A""),0))),"""")"),"")</f>
        <v/>
      </c>
      <c r="D64" s="5" t="str">
        <f t="shared" si="3"/>
        <v/>
      </c>
      <c r="E64" s="4"/>
      <c r="F64" s="4"/>
      <c r="G64" s="4" t="str">
        <f t="shared" si="1"/>
        <v/>
      </c>
      <c r="H64" s="4"/>
      <c r="I64" s="4"/>
    </row>
    <row r="65">
      <c r="A65" s="4"/>
      <c r="B65" s="15"/>
      <c r="C65" s="7" t="str">
        <f>IFERROR(__xludf.DUMMYFUNCTION("iferror(iferror(INDEX(IMPORTRANGE(""12vtnxaE_Q1s4tyr10kZQx7ZF_xG0lBFae4jQEUtgsMU"",""All!B2:B""),MATCH($B65,IMPORTRANGE(""12vtnxaE_Q1s4tyr10kZQx7ZF_xG0lBFae4jQEUtgsMU"",""All!A2:A""),0)),INDEX(IMPORTRANGE(""13KC70HngS4DDi8y9E5khtSpQEPG6owaQ9z4E-tR5mnY"","&amp;"""Non-Food!B2:B""),MATCH($B65,IMPORTRANGE(""13KC70HngS4DDi8y9E5khtSpQEPG6owaQ9z4E-tR5mnY"",""Non-Food!A2:A""),0))),"""")"),"")</f>
        <v/>
      </c>
      <c r="D65" s="5" t="str">
        <f t="shared" si="3"/>
        <v/>
      </c>
      <c r="E65" s="4"/>
      <c r="F65" s="4"/>
      <c r="G65" s="4" t="str">
        <f t="shared" si="1"/>
        <v/>
      </c>
      <c r="H65" s="4"/>
      <c r="I65" s="4"/>
    </row>
    <row r="66">
      <c r="A66" s="4"/>
      <c r="B66" s="15"/>
      <c r="C66" s="7" t="str">
        <f>IFERROR(__xludf.DUMMYFUNCTION("iferror(iferror(INDEX(IMPORTRANGE(""12vtnxaE_Q1s4tyr10kZQx7ZF_xG0lBFae4jQEUtgsMU"",""All!B2:B""),MATCH($B66,IMPORTRANGE(""12vtnxaE_Q1s4tyr10kZQx7ZF_xG0lBFae4jQEUtgsMU"",""All!A2:A""),0)),INDEX(IMPORTRANGE(""13KC70HngS4DDi8y9E5khtSpQEPG6owaQ9z4E-tR5mnY"","&amp;"""Non-Food!B2:B""),MATCH($B66,IMPORTRANGE(""13KC70HngS4DDi8y9E5khtSpQEPG6owaQ9z4E-tR5mnY"",""Non-Food!A2:A""),0))),"""")"),"")</f>
        <v/>
      </c>
      <c r="D66" s="5" t="str">
        <f t="shared" si="3"/>
        <v/>
      </c>
      <c r="E66" s="4"/>
      <c r="F66" s="4"/>
      <c r="G66" s="4" t="str">
        <f t="shared" si="1"/>
        <v/>
      </c>
      <c r="H66" s="4"/>
      <c r="I66" s="4"/>
    </row>
    <row r="67">
      <c r="A67" s="4"/>
      <c r="B67" s="15"/>
      <c r="C67" s="7" t="str">
        <f>IFERROR(__xludf.DUMMYFUNCTION("iferror(iferror(INDEX(IMPORTRANGE(""12vtnxaE_Q1s4tyr10kZQx7ZF_xG0lBFae4jQEUtgsMU"",""All!B2:B""),MATCH($B67,IMPORTRANGE(""12vtnxaE_Q1s4tyr10kZQx7ZF_xG0lBFae4jQEUtgsMU"",""All!A2:A""),0)),INDEX(IMPORTRANGE(""13KC70HngS4DDi8y9E5khtSpQEPG6owaQ9z4E-tR5mnY"","&amp;"""Non-Food!B2:B""),MATCH($B67,IMPORTRANGE(""13KC70HngS4DDi8y9E5khtSpQEPG6owaQ9z4E-tR5mnY"",""Non-Food!A2:A""),0))),"""")"),"")</f>
        <v/>
      </c>
      <c r="D67" s="5" t="str">
        <f t="shared" si="3"/>
        <v/>
      </c>
      <c r="E67" s="4"/>
      <c r="F67" s="4"/>
      <c r="G67" s="4" t="str">
        <f t="shared" si="1"/>
        <v/>
      </c>
      <c r="H67" s="4"/>
      <c r="I67" s="4"/>
    </row>
    <row r="68">
      <c r="A68" s="4"/>
      <c r="B68" s="15"/>
      <c r="C68" s="7" t="str">
        <f>IFERROR(__xludf.DUMMYFUNCTION("iferror(iferror(INDEX(IMPORTRANGE(""12vtnxaE_Q1s4tyr10kZQx7ZF_xG0lBFae4jQEUtgsMU"",""All!B2:B""),MATCH($B68,IMPORTRANGE(""12vtnxaE_Q1s4tyr10kZQx7ZF_xG0lBFae4jQEUtgsMU"",""All!A2:A""),0)),INDEX(IMPORTRANGE(""13KC70HngS4DDi8y9E5khtSpQEPG6owaQ9z4E-tR5mnY"","&amp;"""Non-Food!B2:B""),MATCH($B68,IMPORTRANGE(""13KC70HngS4DDi8y9E5khtSpQEPG6owaQ9z4E-tR5mnY"",""Non-Food!A2:A""),0))),"""")"),"")</f>
        <v/>
      </c>
      <c r="D68" s="5" t="str">
        <f t="shared" si="3"/>
        <v/>
      </c>
      <c r="E68" s="4"/>
      <c r="F68" s="4"/>
      <c r="G68" s="4" t="str">
        <f t="shared" si="1"/>
        <v/>
      </c>
      <c r="H68" s="4"/>
      <c r="I68" s="4"/>
    </row>
    <row r="69">
      <c r="A69" s="4"/>
      <c r="B69" s="15"/>
      <c r="C69" s="7" t="str">
        <f>IFERROR(__xludf.DUMMYFUNCTION("iferror(iferror(INDEX(IMPORTRANGE(""12vtnxaE_Q1s4tyr10kZQx7ZF_xG0lBFae4jQEUtgsMU"",""All!B2:B""),MATCH($B69,IMPORTRANGE(""12vtnxaE_Q1s4tyr10kZQx7ZF_xG0lBFae4jQEUtgsMU"",""All!A2:A""),0)),INDEX(IMPORTRANGE(""13KC70HngS4DDi8y9E5khtSpQEPG6owaQ9z4E-tR5mnY"","&amp;"""Non-Food!B2:B""),MATCH($B69,IMPORTRANGE(""13KC70HngS4DDi8y9E5khtSpQEPG6owaQ9z4E-tR5mnY"",""Non-Food!A2:A""),0))),"""")"),"")</f>
        <v/>
      </c>
      <c r="D69" s="5" t="str">
        <f t="shared" si="3"/>
        <v/>
      </c>
      <c r="E69" s="4"/>
      <c r="F69" s="4"/>
      <c r="G69" s="4" t="str">
        <f t="shared" si="1"/>
        <v/>
      </c>
      <c r="H69" s="4"/>
      <c r="I69" s="4"/>
    </row>
    <row r="70">
      <c r="A70" s="4"/>
      <c r="B70" s="15"/>
      <c r="C70" s="7" t="str">
        <f>IFERROR(__xludf.DUMMYFUNCTION("iferror(iferror(INDEX(IMPORTRANGE(""12vtnxaE_Q1s4tyr10kZQx7ZF_xG0lBFae4jQEUtgsMU"",""All!B2:B""),MATCH($B70,IMPORTRANGE(""12vtnxaE_Q1s4tyr10kZQx7ZF_xG0lBFae4jQEUtgsMU"",""All!A2:A""),0)),INDEX(IMPORTRANGE(""13KC70HngS4DDi8y9E5khtSpQEPG6owaQ9z4E-tR5mnY"","&amp;"""Non-Food!B2:B""),MATCH($B70,IMPORTRANGE(""13KC70HngS4DDi8y9E5khtSpQEPG6owaQ9z4E-tR5mnY"",""Non-Food!A2:A""),0))),"""")"),"")</f>
        <v/>
      </c>
      <c r="D70" s="5" t="str">
        <f t="shared" si="3"/>
        <v/>
      </c>
      <c r="E70" s="4"/>
      <c r="F70" s="4"/>
      <c r="G70" s="4" t="str">
        <f t="shared" si="1"/>
        <v/>
      </c>
      <c r="H70" s="4"/>
      <c r="I70" s="4"/>
    </row>
    <row r="71">
      <c r="A71" s="4"/>
      <c r="B71" s="15"/>
      <c r="C71" s="7" t="str">
        <f>IFERROR(__xludf.DUMMYFUNCTION("iferror(iferror(INDEX(IMPORTRANGE(""12vtnxaE_Q1s4tyr10kZQx7ZF_xG0lBFae4jQEUtgsMU"",""All!B2:B""),MATCH($B71,IMPORTRANGE(""12vtnxaE_Q1s4tyr10kZQx7ZF_xG0lBFae4jQEUtgsMU"",""All!A2:A""),0)),INDEX(IMPORTRANGE(""13KC70HngS4DDi8y9E5khtSpQEPG6owaQ9z4E-tR5mnY"","&amp;"""Non-Food!B2:B""),MATCH($B71,IMPORTRANGE(""13KC70HngS4DDi8y9E5khtSpQEPG6owaQ9z4E-tR5mnY"",""Non-Food!A2:A""),0))),"""")"),"")</f>
        <v/>
      </c>
      <c r="D71" s="5" t="str">
        <f t="shared" si="3"/>
        <v/>
      </c>
      <c r="E71" s="4"/>
      <c r="F71" s="4"/>
      <c r="G71" s="4" t="str">
        <f t="shared" si="1"/>
        <v/>
      </c>
      <c r="H71" s="4"/>
      <c r="I71" s="4"/>
    </row>
    <row r="72">
      <c r="A72" s="4"/>
      <c r="B72" s="15"/>
      <c r="C72" s="7" t="str">
        <f>IFERROR(__xludf.DUMMYFUNCTION("iferror(iferror(INDEX(IMPORTRANGE(""12vtnxaE_Q1s4tyr10kZQx7ZF_xG0lBFae4jQEUtgsMU"",""All!B2:B""),MATCH($B72,IMPORTRANGE(""12vtnxaE_Q1s4tyr10kZQx7ZF_xG0lBFae4jQEUtgsMU"",""All!A2:A""),0)),INDEX(IMPORTRANGE(""13KC70HngS4DDi8y9E5khtSpQEPG6owaQ9z4E-tR5mnY"","&amp;"""Non-Food!B2:B""),MATCH($B72,IMPORTRANGE(""13KC70HngS4DDi8y9E5khtSpQEPG6owaQ9z4E-tR5mnY"",""Non-Food!A2:A""),0))),"""")"),"")</f>
        <v/>
      </c>
      <c r="D72" s="5" t="str">
        <f t="shared" si="3"/>
        <v/>
      </c>
      <c r="E72" s="4"/>
      <c r="F72" s="4"/>
      <c r="G72" s="4" t="str">
        <f t="shared" si="1"/>
        <v/>
      </c>
      <c r="H72" s="4"/>
      <c r="I72" s="4"/>
    </row>
    <row r="73">
      <c r="A73" s="4"/>
      <c r="B73" s="15"/>
      <c r="C73" s="7" t="str">
        <f>IFERROR(__xludf.DUMMYFUNCTION("iferror(iferror(INDEX(IMPORTRANGE(""12vtnxaE_Q1s4tyr10kZQx7ZF_xG0lBFae4jQEUtgsMU"",""All!B2:B""),MATCH($B73,IMPORTRANGE(""12vtnxaE_Q1s4tyr10kZQx7ZF_xG0lBFae4jQEUtgsMU"",""All!A2:A""),0)),INDEX(IMPORTRANGE(""13KC70HngS4DDi8y9E5khtSpQEPG6owaQ9z4E-tR5mnY"","&amp;"""Non-Food!B2:B""),MATCH($B73,IMPORTRANGE(""13KC70HngS4DDi8y9E5khtSpQEPG6owaQ9z4E-tR5mnY"",""Non-Food!A2:A""),0))),"""")"),"")</f>
        <v/>
      </c>
      <c r="D73" s="5" t="str">
        <f t="shared" si="3"/>
        <v/>
      </c>
      <c r="E73" s="4"/>
      <c r="F73" s="4"/>
      <c r="G73" s="4" t="str">
        <f t="shared" si="1"/>
        <v/>
      </c>
      <c r="H73" s="4"/>
      <c r="I73" s="4"/>
    </row>
    <row r="74">
      <c r="A74" s="4"/>
      <c r="B74" s="15"/>
      <c r="C74" s="7" t="str">
        <f>IFERROR(__xludf.DUMMYFUNCTION("iferror(iferror(INDEX(IMPORTRANGE(""12vtnxaE_Q1s4tyr10kZQx7ZF_xG0lBFae4jQEUtgsMU"",""All!B2:B""),MATCH($B74,IMPORTRANGE(""12vtnxaE_Q1s4tyr10kZQx7ZF_xG0lBFae4jQEUtgsMU"",""All!A2:A""),0)),INDEX(IMPORTRANGE(""13KC70HngS4DDi8y9E5khtSpQEPG6owaQ9z4E-tR5mnY"","&amp;"""Non-Food!B2:B""),MATCH($B74,IMPORTRANGE(""13KC70HngS4DDi8y9E5khtSpQEPG6owaQ9z4E-tR5mnY"",""Non-Food!A2:A""),0))),"""")"),"")</f>
        <v/>
      </c>
      <c r="D74" s="5" t="str">
        <f t="shared" si="3"/>
        <v/>
      </c>
      <c r="E74" s="4"/>
      <c r="F74" s="4"/>
      <c r="G74" s="4" t="str">
        <f t="shared" si="1"/>
        <v/>
      </c>
      <c r="H74" s="4"/>
      <c r="I74" s="4"/>
    </row>
    <row r="75">
      <c r="A75" s="4"/>
      <c r="B75" s="15"/>
      <c r="C75" s="7" t="str">
        <f>IFERROR(__xludf.DUMMYFUNCTION("iferror(iferror(INDEX(IMPORTRANGE(""12vtnxaE_Q1s4tyr10kZQx7ZF_xG0lBFae4jQEUtgsMU"",""All!B2:B""),MATCH($B75,IMPORTRANGE(""12vtnxaE_Q1s4tyr10kZQx7ZF_xG0lBFae4jQEUtgsMU"",""All!A2:A""),0)),INDEX(IMPORTRANGE(""13KC70HngS4DDi8y9E5khtSpQEPG6owaQ9z4E-tR5mnY"","&amp;"""Non-Food!B2:B""),MATCH($B75,IMPORTRANGE(""13KC70HngS4DDi8y9E5khtSpQEPG6owaQ9z4E-tR5mnY"",""Non-Food!A2:A""),0))),"""")"),"")</f>
        <v/>
      </c>
      <c r="D75" s="5" t="str">
        <f t="shared" si="3"/>
        <v/>
      </c>
      <c r="E75" s="4"/>
      <c r="F75" s="4"/>
      <c r="G75" s="4" t="str">
        <f t="shared" si="1"/>
        <v/>
      </c>
      <c r="H75" s="4"/>
      <c r="I75" s="4"/>
    </row>
    <row r="76">
      <c r="A76" s="4"/>
      <c r="B76" s="15"/>
      <c r="C76" s="7" t="str">
        <f>IFERROR(__xludf.DUMMYFUNCTION("iferror(iferror(INDEX(IMPORTRANGE(""12vtnxaE_Q1s4tyr10kZQx7ZF_xG0lBFae4jQEUtgsMU"",""All!B2:B""),MATCH($B76,IMPORTRANGE(""12vtnxaE_Q1s4tyr10kZQx7ZF_xG0lBFae4jQEUtgsMU"",""All!A2:A""),0)),INDEX(IMPORTRANGE(""13KC70HngS4DDi8y9E5khtSpQEPG6owaQ9z4E-tR5mnY"","&amp;"""Non-Food!B2:B""),MATCH($B76,IMPORTRANGE(""13KC70HngS4DDi8y9E5khtSpQEPG6owaQ9z4E-tR5mnY"",""Non-Food!A2:A""),0))),"""")"),"")</f>
        <v/>
      </c>
      <c r="D76" s="5" t="str">
        <f t="shared" si="3"/>
        <v/>
      </c>
      <c r="E76" s="4"/>
      <c r="F76" s="4"/>
      <c r="G76" s="4" t="str">
        <f t="shared" si="1"/>
        <v/>
      </c>
      <c r="H76" s="4"/>
      <c r="I76" s="4"/>
    </row>
    <row r="77">
      <c r="A77" s="4"/>
      <c r="B77" s="15"/>
      <c r="C77" s="7" t="str">
        <f>IFERROR(__xludf.DUMMYFUNCTION("iferror(iferror(INDEX(IMPORTRANGE(""12vtnxaE_Q1s4tyr10kZQx7ZF_xG0lBFae4jQEUtgsMU"",""All!B2:B""),MATCH($B77,IMPORTRANGE(""12vtnxaE_Q1s4tyr10kZQx7ZF_xG0lBFae4jQEUtgsMU"",""All!A2:A""),0)),INDEX(IMPORTRANGE(""13KC70HngS4DDi8y9E5khtSpQEPG6owaQ9z4E-tR5mnY"","&amp;"""Non-Food!B2:B""),MATCH($B77,IMPORTRANGE(""13KC70HngS4DDi8y9E5khtSpQEPG6owaQ9z4E-tR5mnY"",""Non-Food!A2:A""),0))),"""")"),"")</f>
        <v/>
      </c>
      <c r="D77" s="5" t="str">
        <f t="shared" si="3"/>
        <v/>
      </c>
      <c r="E77" s="4"/>
      <c r="F77" s="4"/>
      <c r="G77" s="4" t="str">
        <f t="shared" si="1"/>
        <v/>
      </c>
      <c r="H77" s="4"/>
      <c r="I77" s="4"/>
    </row>
    <row r="78">
      <c r="A78" s="4"/>
      <c r="B78" s="15"/>
      <c r="C78" s="7" t="str">
        <f>IFERROR(__xludf.DUMMYFUNCTION("iferror(iferror(INDEX(IMPORTRANGE(""12vtnxaE_Q1s4tyr10kZQx7ZF_xG0lBFae4jQEUtgsMU"",""All!B2:B""),MATCH($B78,IMPORTRANGE(""12vtnxaE_Q1s4tyr10kZQx7ZF_xG0lBFae4jQEUtgsMU"",""All!A2:A""),0)),INDEX(IMPORTRANGE(""13KC70HngS4DDi8y9E5khtSpQEPG6owaQ9z4E-tR5mnY"","&amp;"""Non-Food!B2:B""),MATCH($B78,IMPORTRANGE(""13KC70HngS4DDi8y9E5khtSpQEPG6owaQ9z4E-tR5mnY"",""Non-Food!A2:A""),0))),"""")"),"")</f>
        <v/>
      </c>
      <c r="D78" s="5" t="str">
        <f t="shared" si="3"/>
        <v/>
      </c>
      <c r="E78" s="4"/>
      <c r="F78" s="4"/>
      <c r="G78" s="4" t="str">
        <f t="shared" si="1"/>
        <v/>
      </c>
      <c r="H78" s="4"/>
      <c r="I78" s="4"/>
    </row>
    <row r="79">
      <c r="A79" s="4"/>
      <c r="B79" s="15"/>
      <c r="C79" s="7" t="str">
        <f>IFERROR(__xludf.DUMMYFUNCTION("iferror(iferror(INDEX(IMPORTRANGE(""12vtnxaE_Q1s4tyr10kZQx7ZF_xG0lBFae4jQEUtgsMU"",""All!B2:B""),MATCH($B79,IMPORTRANGE(""12vtnxaE_Q1s4tyr10kZQx7ZF_xG0lBFae4jQEUtgsMU"",""All!A2:A""),0)),INDEX(IMPORTRANGE(""13KC70HngS4DDi8y9E5khtSpQEPG6owaQ9z4E-tR5mnY"","&amp;"""Non-Food!B2:B""),MATCH($B79,IMPORTRANGE(""13KC70HngS4DDi8y9E5khtSpQEPG6owaQ9z4E-tR5mnY"",""Non-Food!A2:A""),0))),"""")"),"")</f>
        <v/>
      </c>
      <c r="D79" s="5" t="str">
        <f t="shared" si="3"/>
        <v/>
      </c>
      <c r="E79" s="4"/>
      <c r="F79" s="4"/>
      <c r="G79" s="4" t="str">
        <f t="shared" si="1"/>
        <v/>
      </c>
      <c r="H79" s="4"/>
      <c r="I79" s="4"/>
    </row>
    <row r="80">
      <c r="A80" s="4"/>
      <c r="B80" s="15"/>
      <c r="C80" s="7" t="str">
        <f>IFERROR(__xludf.DUMMYFUNCTION("iferror(iferror(INDEX(IMPORTRANGE(""12vtnxaE_Q1s4tyr10kZQx7ZF_xG0lBFae4jQEUtgsMU"",""All!B2:B""),MATCH($B80,IMPORTRANGE(""12vtnxaE_Q1s4tyr10kZQx7ZF_xG0lBFae4jQEUtgsMU"",""All!A2:A""),0)),INDEX(IMPORTRANGE(""13KC70HngS4DDi8y9E5khtSpQEPG6owaQ9z4E-tR5mnY"","&amp;"""Non-Food!B2:B""),MATCH($B80,IMPORTRANGE(""13KC70HngS4DDi8y9E5khtSpQEPG6owaQ9z4E-tR5mnY"",""Non-Food!A2:A""),0))),"""")"),"")</f>
        <v/>
      </c>
      <c r="D80" s="5" t="str">
        <f t="shared" si="3"/>
        <v/>
      </c>
      <c r="E80" s="4"/>
      <c r="F80" s="4"/>
      <c r="G80" s="4" t="str">
        <f t="shared" si="1"/>
        <v/>
      </c>
      <c r="H80" s="4"/>
      <c r="I80" s="4"/>
    </row>
    <row r="81">
      <c r="A81" s="4"/>
      <c r="B81" s="15"/>
      <c r="C81" s="7" t="str">
        <f>IFERROR(__xludf.DUMMYFUNCTION("iferror(iferror(INDEX(IMPORTRANGE(""12vtnxaE_Q1s4tyr10kZQx7ZF_xG0lBFae4jQEUtgsMU"",""All!B2:B""),MATCH($B81,IMPORTRANGE(""12vtnxaE_Q1s4tyr10kZQx7ZF_xG0lBFae4jQEUtgsMU"",""All!A2:A""),0)),INDEX(IMPORTRANGE(""13KC70HngS4DDi8y9E5khtSpQEPG6owaQ9z4E-tR5mnY"","&amp;"""Non-Food!B2:B""),MATCH($B81,IMPORTRANGE(""13KC70HngS4DDi8y9E5khtSpQEPG6owaQ9z4E-tR5mnY"",""Non-Food!A2:A""),0))),"""")"),"")</f>
        <v/>
      </c>
      <c r="D81" s="5" t="str">
        <f t="shared" si="3"/>
        <v/>
      </c>
      <c r="E81" s="4"/>
      <c r="F81" s="4"/>
      <c r="G81" s="4" t="str">
        <f t="shared" si="1"/>
        <v/>
      </c>
      <c r="H81" s="4"/>
      <c r="I81" s="4"/>
    </row>
    <row r="82">
      <c r="A82" s="4"/>
      <c r="B82" s="15"/>
      <c r="C82" s="7" t="str">
        <f>IFERROR(__xludf.DUMMYFUNCTION("iferror(iferror(INDEX(IMPORTRANGE(""12vtnxaE_Q1s4tyr10kZQx7ZF_xG0lBFae4jQEUtgsMU"",""All!B2:B""),MATCH($B82,IMPORTRANGE(""12vtnxaE_Q1s4tyr10kZQx7ZF_xG0lBFae4jQEUtgsMU"",""All!A2:A""),0)),INDEX(IMPORTRANGE(""13KC70HngS4DDi8y9E5khtSpQEPG6owaQ9z4E-tR5mnY"","&amp;"""Non-Food!B2:B""),MATCH($B82,IMPORTRANGE(""13KC70HngS4DDi8y9E5khtSpQEPG6owaQ9z4E-tR5mnY"",""Non-Food!A2:A""),0))),"""")"),"")</f>
        <v/>
      </c>
      <c r="D82" s="5" t="str">
        <f t="shared" si="3"/>
        <v/>
      </c>
      <c r="E82" s="4"/>
      <c r="F82" s="4"/>
      <c r="G82" s="4" t="str">
        <f t="shared" si="1"/>
        <v/>
      </c>
      <c r="H82" s="4"/>
      <c r="I82" s="4"/>
    </row>
    <row r="83">
      <c r="A83" s="4"/>
      <c r="B83" s="15"/>
      <c r="C83" s="7" t="str">
        <f>IFERROR(__xludf.DUMMYFUNCTION("iferror(iferror(INDEX(IMPORTRANGE(""12vtnxaE_Q1s4tyr10kZQx7ZF_xG0lBFae4jQEUtgsMU"",""All!B2:B""),MATCH($B83,IMPORTRANGE(""12vtnxaE_Q1s4tyr10kZQx7ZF_xG0lBFae4jQEUtgsMU"",""All!A2:A""),0)),INDEX(IMPORTRANGE(""13KC70HngS4DDi8y9E5khtSpQEPG6owaQ9z4E-tR5mnY"","&amp;"""Non-Food!B2:B""),MATCH($B83,IMPORTRANGE(""13KC70HngS4DDi8y9E5khtSpQEPG6owaQ9z4E-tR5mnY"",""Non-Food!A2:A""),0))),"""")"),"")</f>
        <v/>
      </c>
      <c r="D83" s="5" t="str">
        <f t="shared" si="3"/>
        <v/>
      </c>
      <c r="E83" s="4"/>
      <c r="F83" s="4"/>
      <c r="G83" s="4" t="str">
        <f t="shared" si="1"/>
        <v/>
      </c>
      <c r="H83" s="4"/>
      <c r="I83" s="4"/>
    </row>
    <row r="84">
      <c r="A84" s="4"/>
      <c r="B84" s="15"/>
      <c r="C84" s="7" t="str">
        <f>IFERROR(__xludf.DUMMYFUNCTION("iferror(iferror(INDEX(IMPORTRANGE(""12vtnxaE_Q1s4tyr10kZQx7ZF_xG0lBFae4jQEUtgsMU"",""All!B2:B""),MATCH($B84,IMPORTRANGE(""12vtnxaE_Q1s4tyr10kZQx7ZF_xG0lBFae4jQEUtgsMU"",""All!A2:A""),0)),INDEX(IMPORTRANGE(""13KC70HngS4DDi8y9E5khtSpQEPG6owaQ9z4E-tR5mnY"","&amp;"""Non-Food!B2:B""),MATCH($B84,IMPORTRANGE(""13KC70HngS4DDi8y9E5khtSpQEPG6owaQ9z4E-tR5mnY"",""Non-Food!A2:A""),0))),"""")"),"")</f>
        <v/>
      </c>
      <c r="D84" s="5" t="str">
        <f t="shared" si="3"/>
        <v/>
      </c>
      <c r="E84" s="4"/>
      <c r="F84" s="4"/>
      <c r="G84" s="4" t="str">
        <f t="shared" si="1"/>
        <v/>
      </c>
      <c r="H84" s="4"/>
      <c r="I84" s="4"/>
    </row>
    <row r="85">
      <c r="A85" s="4"/>
      <c r="B85" s="15"/>
      <c r="C85" s="7" t="str">
        <f>IFERROR(__xludf.DUMMYFUNCTION("iferror(iferror(INDEX(IMPORTRANGE(""12vtnxaE_Q1s4tyr10kZQx7ZF_xG0lBFae4jQEUtgsMU"",""All!B2:B""),MATCH($B85,IMPORTRANGE(""12vtnxaE_Q1s4tyr10kZQx7ZF_xG0lBFae4jQEUtgsMU"",""All!A2:A""),0)),INDEX(IMPORTRANGE(""13KC70HngS4DDi8y9E5khtSpQEPG6owaQ9z4E-tR5mnY"","&amp;"""Non-Food!B2:B""),MATCH($B85,IMPORTRANGE(""13KC70HngS4DDi8y9E5khtSpQEPG6owaQ9z4E-tR5mnY"",""Non-Food!A2:A""),0))),"""")"),"")</f>
        <v/>
      </c>
      <c r="D85" s="5" t="str">
        <f t="shared" si="3"/>
        <v/>
      </c>
      <c r="E85" s="4"/>
      <c r="F85" s="4"/>
      <c r="G85" s="4" t="str">
        <f t="shared" si="1"/>
        <v/>
      </c>
      <c r="H85" s="4"/>
      <c r="I85" s="4"/>
    </row>
    <row r="86">
      <c r="A86" s="4"/>
      <c r="B86" s="15"/>
      <c r="C86" s="7" t="str">
        <f>IFERROR(__xludf.DUMMYFUNCTION("iferror(iferror(INDEX(IMPORTRANGE(""12vtnxaE_Q1s4tyr10kZQx7ZF_xG0lBFae4jQEUtgsMU"",""All!B2:B""),MATCH($B86,IMPORTRANGE(""12vtnxaE_Q1s4tyr10kZQx7ZF_xG0lBFae4jQEUtgsMU"",""All!A2:A""),0)),INDEX(IMPORTRANGE(""13KC70HngS4DDi8y9E5khtSpQEPG6owaQ9z4E-tR5mnY"","&amp;"""Non-Food!B2:B""),MATCH($B86,IMPORTRANGE(""13KC70HngS4DDi8y9E5khtSpQEPG6owaQ9z4E-tR5mnY"",""Non-Food!A2:A""),0))),"""")"),"")</f>
        <v/>
      </c>
      <c r="D86" s="5" t="str">
        <f t="shared" si="3"/>
        <v/>
      </c>
      <c r="E86" s="4"/>
      <c r="F86" s="4"/>
      <c r="G86" s="4" t="str">
        <f t="shared" si="1"/>
        <v/>
      </c>
      <c r="H86" s="4"/>
      <c r="I86" s="4"/>
    </row>
    <row r="87">
      <c r="A87" s="4"/>
      <c r="B87" s="15"/>
      <c r="C87" s="7" t="str">
        <f>IFERROR(__xludf.DUMMYFUNCTION("iferror(iferror(INDEX(IMPORTRANGE(""12vtnxaE_Q1s4tyr10kZQx7ZF_xG0lBFae4jQEUtgsMU"",""All!B2:B""),MATCH($B87,IMPORTRANGE(""12vtnxaE_Q1s4tyr10kZQx7ZF_xG0lBFae4jQEUtgsMU"",""All!A2:A""),0)),INDEX(IMPORTRANGE(""13KC70HngS4DDi8y9E5khtSpQEPG6owaQ9z4E-tR5mnY"","&amp;"""Non-Food!B2:B""),MATCH($B87,IMPORTRANGE(""13KC70HngS4DDi8y9E5khtSpQEPG6owaQ9z4E-tR5mnY"",""Non-Food!A2:A""),0))),"""")"),"")</f>
        <v/>
      </c>
      <c r="D87" s="5" t="str">
        <f t="shared" si="3"/>
        <v/>
      </c>
      <c r="E87" s="4"/>
      <c r="F87" s="4"/>
      <c r="G87" s="4" t="str">
        <f t="shared" si="1"/>
        <v/>
      </c>
      <c r="H87" s="4"/>
      <c r="I87" s="4"/>
    </row>
    <row r="88">
      <c r="A88" s="4"/>
      <c r="B88" s="15"/>
      <c r="C88" s="7" t="str">
        <f>IFERROR(__xludf.DUMMYFUNCTION("iferror(iferror(INDEX(IMPORTRANGE(""12vtnxaE_Q1s4tyr10kZQx7ZF_xG0lBFae4jQEUtgsMU"",""All!B2:B""),MATCH($B88,IMPORTRANGE(""12vtnxaE_Q1s4tyr10kZQx7ZF_xG0lBFae4jQEUtgsMU"",""All!A2:A""),0)),INDEX(IMPORTRANGE(""13KC70HngS4DDi8y9E5khtSpQEPG6owaQ9z4E-tR5mnY"","&amp;"""Non-Food!B2:B""),MATCH($B88,IMPORTRANGE(""13KC70HngS4DDi8y9E5khtSpQEPG6owaQ9z4E-tR5mnY"",""Non-Food!A2:A""),0))),"""")"),"")</f>
        <v/>
      </c>
      <c r="D88" s="5" t="str">
        <f t="shared" si="3"/>
        <v/>
      </c>
      <c r="E88" s="4"/>
      <c r="F88" s="4"/>
      <c r="G88" s="4" t="str">
        <f t="shared" si="1"/>
        <v/>
      </c>
      <c r="H88" s="4"/>
      <c r="I88" s="4"/>
    </row>
    <row r="89">
      <c r="A89" s="4"/>
      <c r="B89" s="15"/>
      <c r="C89" s="7" t="str">
        <f>IFERROR(__xludf.DUMMYFUNCTION("iferror(iferror(INDEX(IMPORTRANGE(""12vtnxaE_Q1s4tyr10kZQx7ZF_xG0lBFae4jQEUtgsMU"",""All!B2:B""),MATCH($B89,IMPORTRANGE(""12vtnxaE_Q1s4tyr10kZQx7ZF_xG0lBFae4jQEUtgsMU"",""All!A2:A""),0)),INDEX(IMPORTRANGE(""13KC70HngS4DDi8y9E5khtSpQEPG6owaQ9z4E-tR5mnY"","&amp;"""Non-Food!B2:B""),MATCH($B89,IMPORTRANGE(""13KC70HngS4DDi8y9E5khtSpQEPG6owaQ9z4E-tR5mnY"",""Non-Food!A2:A""),0))),"""")"),"")</f>
        <v/>
      </c>
      <c r="D89" s="5" t="str">
        <f t="shared" si="3"/>
        <v/>
      </c>
      <c r="E89" s="4"/>
      <c r="F89" s="4"/>
      <c r="G89" s="4" t="str">
        <f t="shared" si="1"/>
        <v/>
      </c>
      <c r="H89" s="4"/>
      <c r="I89" s="4"/>
    </row>
    <row r="90">
      <c r="A90" s="4"/>
      <c r="B90" s="15"/>
      <c r="C90" s="7" t="str">
        <f>IFERROR(__xludf.DUMMYFUNCTION("iferror(iferror(INDEX(IMPORTRANGE(""12vtnxaE_Q1s4tyr10kZQx7ZF_xG0lBFae4jQEUtgsMU"",""All!B2:B""),MATCH($B90,IMPORTRANGE(""12vtnxaE_Q1s4tyr10kZQx7ZF_xG0lBFae4jQEUtgsMU"",""All!A2:A""),0)),INDEX(IMPORTRANGE(""13KC70HngS4DDi8y9E5khtSpQEPG6owaQ9z4E-tR5mnY"","&amp;"""Non-Food!B2:B""),MATCH($B90,IMPORTRANGE(""13KC70HngS4DDi8y9E5khtSpQEPG6owaQ9z4E-tR5mnY"",""Non-Food!A2:A""),0))),"""")"),"")</f>
        <v/>
      </c>
      <c r="D90" s="5" t="str">
        <f t="shared" si="3"/>
        <v/>
      </c>
      <c r="E90" s="4"/>
      <c r="F90" s="4"/>
      <c r="G90" s="4" t="str">
        <f t="shared" si="1"/>
        <v/>
      </c>
      <c r="H90" s="4"/>
      <c r="I90" s="4"/>
    </row>
    <row r="91">
      <c r="A91" s="4"/>
      <c r="B91" s="15"/>
      <c r="C91" s="7" t="str">
        <f>IFERROR(__xludf.DUMMYFUNCTION("iferror(iferror(INDEX(IMPORTRANGE(""12vtnxaE_Q1s4tyr10kZQx7ZF_xG0lBFae4jQEUtgsMU"",""All!B2:B""),MATCH($B91,IMPORTRANGE(""12vtnxaE_Q1s4tyr10kZQx7ZF_xG0lBFae4jQEUtgsMU"",""All!A2:A""),0)),INDEX(IMPORTRANGE(""13KC70HngS4DDi8y9E5khtSpQEPG6owaQ9z4E-tR5mnY"","&amp;"""Non-Food!B2:B""),MATCH($B91,IMPORTRANGE(""13KC70HngS4DDi8y9E5khtSpQEPG6owaQ9z4E-tR5mnY"",""Non-Food!A2:A""),0))),"""")"),"")</f>
        <v/>
      </c>
      <c r="D91" s="5" t="str">
        <f t="shared" si="3"/>
        <v/>
      </c>
      <c r="E91" s="4"/>
      <c r="F91" s="4"/>
      <c r="G91" s="4" t="str">
        <f t="shared" si="1"/>
        <v/>
      </c>
      <c r="H91" s="4"/>
      <c r="I91" s="4"/>
    </row>
    <row r="92">
      <c r="A92" s="4"/>
      <c r="B92" s="15"/>
      <c r="C92" s="7" t="str">
        <f>IFERROR(__xludf.DUMMYFUNCTION("iferror(iferror(INDEX(IMPORTRANGE(""12vtnxaE_Q1s4tyr10kZQx7ZF_xG0lBFae4jQEUtgsMU"",""All!B2:B""),MATCH($B92,IMPORTRANGE(""12vtnxaE_Q1s4tyr10kZQx7ZF_xG0lBFae4jQEUtgsMU"",""All!A2:A""),0)),INDEX(IMPORTRANGE(""13KC70HngS4DDi8y9E5khtSpQEPG6owaQ9z4E-tR5mnY"","&amp;"""Non-Food!B2:B""),MATCH($B92,IMPORTRANGE(""13KC70HngS4DDi8y9E5khtSpQEPG6owaQ9z4E-tR5mnY"",""Non-Food!A2:A""),0))),"""")"),"")</f>
        <v/>
      </c>
      <c r="D92" s="5" t="str">
        <f t="shared" si="3"/>
        <v/>
      </c>
      <c r="E92" s="4"/>
      <c r="F92" s="4"/>
      <c r="G92" s="4" t="str">
        <f t="shared" si="1"/>
        <v/>
      </c>
      <c r="H92" s="4"/>
      <c r="I92" s="4"/>
    </row>
    <row r="93">
      <c r="A93" s="4"/>
      <c r="B93" s="15"/>
      <c r="C93" s="7" t="str">
        <f>IFERROR(__xludf.DUMMYFUNCTION("iferror(iferror(INDEX(IMPORTRANGE(""12vtnxaE_Q1s4tyr10kZQx7ZF_xG0lBFae4jQEUtgsMU"",""All!B2:B""),MATCH($B93,IMPORTRANGE(""12vtnxaE_Q1s4tyr10kZQx7ZF_xG0lBFae4jQEUtgsMU"",""All!A2:A""),0)),INDEX(IMPORTRANGE(""13KC70HngS4DDi8y9E5khtSpQEPG6owaQ9z4E-tR5mnY"","&amp;"""Non-Food!B2:B""),MATCH($B93,IMPORTRANGE(""13KC70HngS4DDi8y9E5khtSpQEPG6owaQ9z4E-tR5mnY"",""Non-Food!A2:A""),0))),"""")"),"")</f>
        <v/>
      </c>
      <c r="D93" s="5" t="str">
        <f t="shared" si="3"/>
        <v/>
      </c>
      <c r="E93" s="4"/>
      <c r="F93" s="4"/>
      <c r="G93" s="4" t="str">
        <f t="shared" si="1"/>
        <v/>
      </c>
      <c r="H93" s="4"/>
      <c r="I93" s="4"/>
    </row>
    <row r="94">
      <c r="A94" s="4"/>
      <c r="B94" s="15"/>
      <c r="C94" s="7" t="str">
        <f>IFERROR(__xludf.DUMMYFUNCTION("iferror(iferror(INDEX(IMPORTRANGE(""12vtnxaE_Q1s4tyr10kZQx7ZF_xG0lBFae4jQEUtgsMU"",""All!B2:B""),MATCH($B94,IMPORTRANGE(""12vtnxaE_Q1s4tyr10kZQx7ZF_xG0lBFae4jQEUtgsMU"",""All!A2:A""),0)),INDEX(IMPORTRANGE(""13KC70HngS4DDi8y9E5khtSpQEPG6owaQ9z4E-tR5mnY"","&amp;"""Non-Food!B2:B""),MATCH($B94,IMPORTRANGE(""13KC70HngS4DDi8y9E5khtSpQEPG6owaQ9z4E-tR5mnY"",""Non-Food!A2:A""),0))),"""")"),"")</f>
        <v/>
      </c>
      <c r="D94" s="5" t="str">
        <f t="shared" si="3"/>
        <v/>
      </c>
      <c r="E94" s="4"/>
      <c r="F94" s="4"/>
      <c r="G94" s="4" t="str">
        <f t="shared" si="1"/>
        <v/>
      </c>
      <c r="H94" s="4"/>
      <c r="I94" s="4"/>
    </row>
    <row r="95">
      <c r="A95" s="4"/>
      <c r="B95" s="15"/>
      <c r="C95" s="7" t="str">
        <f>IFERROR(__xludf.DUMMYFUNCTION("iferror(iferror(INDEX(IMPORTRANGE(""12vtnxaE_Q1s4tyr10kZQx7ZF_xG0lBFae4jQEUtgsMU"",""All!B2:B""),MATCH($B95,IMPORTRANGE(""12vtnxaE_Q1s4tyr10kZQx7ZF_xG0lBFae4jQEUtgsMU"",""All!A2:A""),0)),INDEX(IMPORTRANGE(""13KC70HngS4DDi8y9E5khtSpQEPG6owaQ9z4E-tR5mnY"","&amp;"""Non-Food!B2:B""),MATCH($B95,IMPORTRANGE(""13KC70HngS4DDi8y9E5khtSpQEPG6owaQ9z4E-tR5mnY"",""Non-Food!A2:A""),0))),"""")"),"")</f>
        <v/>
      </c>
      <c r="D95" s="5" t="str">
        <f t="shared" si="3"/>
        <v/>
      </c>
      <c r="E95" s="4"/>
      <c r="F95" s="4"/>
      <c r="G95" s="4" t="str">
        <f t="shared" si="1"/>
        <v/>
      </c>
      <c r="H95" s="4"/>
      <c r="I95" s="4"/>
    </row>
    <row r="96">
      <c r="A96" s="4"/>
      <c r="B96" s="15"/>
      <c r="C96" s="7" t="str">
        <f>IFERROR(__xludf.DUMMYFUNCTION("iferror(iferror(INDEX(IMPORTRANGE(""12vtnxaE_Q1s4tyr10kZQx7ZF_xG0lBFae4jQEUtgsMU"",""All!B2:B""),MATCH($B96,IMPORTRANGE(""12vtnxaE_Q1s4tyr10kZQx7ZF_xG0lBFae4jQEUtgsMU"",""All!A2:A""),0)),INDEX(IMPORTRANGE(""13KC70HngS4DDi8y9E5khtSpQEPG6owaQ9z4E-tR5mnY"","&amp;"""Non-Food!B2:B""),MATCH($B96,IMPORTRANGE(""13KC70HngS4DDi8y9E5khtSpQEPG6owaQ9z4E-tR5mnY"",""Non-Food!A2:A""),0))),"""")"),"")</f>
        <v/>
      </c>
      <c r="D96" s="5" t="str">
        <f t="shared" si="3"/>
        <v/>
      </c>
      <c r="E96" s="4"/>
      <c r="F96" s="4"/>
      <c r="G96" s="4" t="str">
        <f t="shared" si="1"/>
        <v/>
      </c>
      <c r="H96" s="4"/>
      <c r="I96" s="4"/>
    </row>
    <row r="97">
      <c r="A97" s="4"/>
      <c r="B97" s="15"/>
      <c r="C97" s="7" t="str">
        <f>IFERROR(__xludf.DUMMYFUNCTION("iferror(iferror(INDEX(IMPORTRANGE(""12vtnxaE_Q1s4tyr10kZQx7ZF_xG0lBFae4jQEUtgsMU"",""All!B2:B""),MATCH($B97,IMPORTRANGE(""12vtnxaE_Q1s4tyr10kZQx7ZF_xG0lBFae4jQEUtgsMU"",""All!A2:A""),0)),INDEX(IMPORTRANGE(""13KC70HngS4DDi8y9E5khtSpQEPG6owaQ9z4E-tR5mnY"","&amp;"""Non-Food!B2:B""),MATCH($B97,IMPORTRANGE(""13KC70HngS4DDi8y9E5khtSpQEPG6owaQ9z4E-tR5mnY"",""Non-Food!A2:A""),0))),"""")"),"")</f>
        <v/>
      </c>
      <c r="D97" s="5" t="str">
        <f t="shared" si="3"/>
        <v/>
      </c>
      <c r="E97" s="4"/>
      <c r="F97" s="4"/>
      <c r="G97" s="4" t="str">
        <f t="shared" si="1"/>
        <v/>
      </c>
      <c r="H97" s="4"/>
      <c r="I97" s="4"/>
    </row>
    <row r="98">
      <c r="A98" s="4"/>
      <c r="B98" s="15"/>
      <c r="C98" s="7" t="str">
        <f>IFERROR(__xludf.DUMMYFUNCTION("iferror(iferror(INDEX(IMPORTRANGE(""12vtnxaE_Q1s4tyr10kZQx7ZF_xG0lBFae4jQEUtgsMU"",""All!B2:B""),MATCH($B98,IMPORTRANGE(""12vtnxaE_Q1s4tyr10kZQx7ZF_xG0lBFae4jQEUtgsMU"",""All!A2:A""),0)),INDEX(IMPORTRANGE(""13KC70HngS4DDi8y9E5khtSpQEPG6owaQ9z4E-tR5mnY"","&amp;"""Non-Food!B2:B""),MATCH($B98,IMPORTRANGE(""13KC70HngS4DDi8y9E5khtSpQEPG6owaQ9z4E-tR5mnY"",""Non-Food!A2:A""),0))),"""")"),"")</f>
        <v/>
      </c>
      <c r="D98" s="5" t="str">
        <f t="shared" si="3"/>
        <v/>
      </c>
      <c r="E98" s="4"/>
      <c r="F98" s="4"/>
      <c r="G98" s="4" t="str">
        <f t="shared" si="1"/>
        <v/>
      </c>
      <c r="H98" s="4"/>
      <c r="I98" s="4"/>
    </row>
    <row r="99">
      <c r="A99" s="4"/>
      <c r="B99" s="15"/>
      <c r="C99" s="7" t="str">
        <f>IFERROR(__xludf.DUMMYFUNCTION("iferror(iferror(INDEX(IMPORTRANGE(""12vtnxaE_Q1s4tyr10kZQx7ZF_xG0lBFae4jQEUtgsMU"",""All!B2:B""),MATCH($B99,IMPORTRANGE(""12vtnxaE_Q1s4tyr10kZQx7ZF_xG0lBFae4jQEUtgsMU"",""All!A2:A""),0)),INDEX(IMPORTRANGE(""13KC70HngS4DDi8y9E5khtSpQEPG6owaQ9z4E-tR5mnY"","&amp;"""Non-Food!B2:B""),MATCH($B99,IMPORTRANGE(""13KC70HngS4DDi8y9E5khtSpQEPG6owaQ9z4E-tR5mnY"",""Non-Food!A2:A""),0))),"""")"),"")</f>
        <v/>
      </c>
      <c r="D99" s="5" t="str">
        <f t="shared" si="3"/>
        <v/>
      </c>
      <c r="E99" s="4"/>
      <c r="F99" s="4"/>
      <c r="G99" s="4" t="str">
        <f t="shared" si="1"/>
        <v/>
      </c>
      <c r="H99" s="4"/>
      <c r="I99" s="4"/>
    </row>
    <row r="100">
      <c r="A100" s="4"/>
      <c r="B100" s="15"/>
      <c r="C100" s="7" t="str">
        <f>IFERROR(__xludf.DUMMYFUNCTION("iferror(iferror(INDEX(IMPORTRANGE(""12vtnxaE_Q1s4tyr10kZQx7ZF_xG0lBFae4jQEUtgsMU"",""All!B2:B""),MATCH($B100,IMPORTRANGE(""12vtnxaE_Q1s4tyr10kZQx7ZF_xG0lBFae4jQEUtgsMU"",""All!A2:A""),0)),INDEX(IMPORTRANGE(""13KC70HngS4DDi8y9E5khtSpQEPG6owaQ9z4E-tR5mnY"","&amp;"""Non-Food!B2:B""),MATCH($B100,IMPORTRANGE(""13KC70HngS4DDi8y9E5khtSpQEPG6owaQ9z4E-tR5mnY"",""Non-Food!A2:A""),0))),"""")"),"")</f>
        <v/>
      </c>
      <c r="D100" s="5" t="str">
        <f t="shared" si="3"/>
        <v/>
      </c>
      <c r="E100" s="4"/>
      <c r="F100" s="4"/>
      <c r="G100" s="4" t="str">
        <f t="shared" si="1"/>
        <v/>
      </c>
      <c r="H100" s="4"/>
      <c r="I100" s="4"/>
    </row>
    <row r="101">
      <c r="A101" s="4"/>
      <c r="B101" s="15"/>
      <c r="C101" s="7" t="str">
        <f>IFERROR(__xludf.DUMMYFUNCTION("iferror(iferror(INDEX(IMPORTRANGE(""12vtnxaE_Q1s4tyr10kZQx7ZF_xG0lBFae4jQEUtgsMU"",""All!B2:B""),MATCH($B101,IMPORTRANGE(""12vtnxaE_Q1s4tyr10kZQx7ZF_xG0lBFae4jQEUtgsMU"",""All!A2:A""),0)),INDEX(IMPORTRANGE(""13KC70HngS4DDi8y9E5khtSpQEPG6owaQ9z4E-tR5mnY"","&amp;"""Non-Food!B2:B""),MATCH($B101,IMPORTRANGE(""13KC70HngS4DDi8y9E5khtSpQEPG6owaQ9z4E-tR5mnY"",""Non-Food!A2:A""),0))),"""")"),"")</f>
        <v/>
      </c>
      <c r="D101" s="5" t="str">
        <f t="shared" si="3"/>
        <v/>
      </c>
      <c r="E101" s="4"/>
      <c r="F101" s="4"/>
      <c r="G101" s="4" t="str">
        <f t="shared" si="1"/>
        <v/>
      </c>
      <c r="H101" s="4"/>
      <c r="I101" s="4"/>
    </row>
    <row r="102">
      <c r="A102" s="4"/>
      <c r="B102" s="15"/>
      <c r="C102" s="7" t="str">
        <f>IFERROR(__xludf.DUMMYFUNCTION("iferror(iferror(INDEX(IMPORTRANGE(""12vtnxaE_Q1s4tyr10kZQx7ZF_xG0lBFae4jQEUtgsMU"",""All!B2:B""),MATCH($B102,IMPORTRANGE(""12vtnxaE_Q1s4tyr10kZQx7ZF_xG0lBFae4jQEUtgsMU"",""All!A2:A""),0)),INDEX(IMPORTRANGE(""13KC70HngS4DDi8y9E5khtSpQEPG6owaQ9z4E-tR5mnY"","&amp;"""Non-Food!B2:B""),MATCH($B102,IMPORTRANGE(""13KC70HngS4DDi8y9E5khtSpQEPG6owaQ9z4E-tR5mnY"",""Non-Food!A2:A""),0))),"""")"),"")</f>
        <v/>
      </c>
      <c r="D102" s="5" t="str">
        <f t="shared" si="3"/>
        <v/>
      </c>
      <c r="E102" s="4"/>
      <c r="F102" s="4"/>
      <c r="G102" s="4" t="str">
        <f t="shared" si="1"/>
        <v/>
      </c>
      <c r="H102" s="4"/>
      <c r="I102" s="4"/>
    </row>
    <row r="103">
      <c r="A103" s="4"/>
      <c r="B103" s="15"/>
      <c r="C103" s="7" t="str">
        <f>IFERROR(__xludf.DUMMYFUNCTION("iferror(iferror(INDEX(IMPORTRANGE(""12vtnxaE_Q1s4tyr10kZQx7ZF_xG0lBFae4jQEUtgsMU"",""All!B2:B""),MATCH($B103,IMPORTRANGE(""12vtnxaE_Q1s4tyr10kZQx7ZF_xG0lBFae4jQEUtgsMU"",""All!A2:A""),0)),INDEX(IMPORTRANGE(""13KC70HngS4DDi8y9E5khtSpQEPG6owaQ9z4E-tR5mnY"","&amp;"""Non-Food!B2:B""),MATCH($B103,IMPORTRANGE(""13KC70HngS4DDi8y9E5khtSpQEPG6owaQ9z4E-tR5mnY"",""Non-Food!A2:A""),0))),"""")"),"")</f>
        <v/>
      </c>
      <c r="D103" s="5" t="str">
        <f t="shared" si="3"/>
        <v/>
      </c>
      <c r="E103" s="4"/>
      <c r="F103" s="4"/>
      <c r="G103" s="4" t="str">
        <f t="shared" si="1"/>
        <v/>
      </c>
      <c r="H103" s="4"/>
      <c r="I103" s="4"/>
    </row>
    <row r="104">
      <c r="A104" s="4"/>
      <c r="B104" s="15"/>
      <c r="C104" s="7" t="str">
        <f>IFERROR(__xludf.DUMMYFUNCTION("iferror(iferror(INDEX(IMPORTRANGE(""12vtnxaE_Q1s4tyr10kZQx7ZF_xG0lBFae4jQEUtgsMU"",""All!B2:B""),MATCH($B104,IMPORTRANGE(""12vtnxaE_Q1s4tyr10kZQx7ZF_xG0lBFae4jQEUtgsMU"",""All!A2:A""),0)),INDEX(IMPORTRANGE(""13KC70HngS4DDi8y9E5khtSpQEPG6owaQ9z4E-tR5mnY"","&amp;"""Non-Food!B2:B""),MATCH($B104,IMPORTRANGE(""13KC70HngS4DDi8y9E5khtSpQEPG6owaQ9z4E-tR5mnY"",""Non-Food!A2:A""),0))),"""")"),"")</f>
        <v/>
      </c>
      <c r="D104" s="5" t="str">
        <f t="shared" si="3"/>
        <v/>
      </c>
      <c r="E104" s="4"/>
      <c r="F104" s="4"/>
      <c r="G104" s="4" t="str">
        <f t="shared" si="1"/>
        <v/>
      </c>
      <c r="H104" s="4"/>
      <c r="I104" s="4"/>
    </row>
    <row r="105">
      <c r="A105" s="4"/>
      <c r="B105" s="15"/>
      <c r="C105" s="7" t="str">
        <f>IFERROR(__xludf.DUMMYFUNCTION("iferror(iferror(INDEX(IMPORTRANGE(""12vtnxaE_Q1s4tyr10kZQx7ZF_xG0lBFae4jQEUtgsMU"",""All!B2:B""),MATCH($B105,IMPORTRANGE(""12vtnxaE_Q1s4tyr10kZQx7ZF_xG0lBFae4jQEUtgsMU"",""All!A2:A""),0)),INDEX(IMPORTRANGE(""13KC70HngS4DDi8y9E5khtSpQEPG6owaQ9z4E-tR5mnY"","&amp;"""Non-Food!B2:B""),MATCH($B105,IMPORTRANGE(""13KC70HngS4DDi8y9E5khtSpQEPG6owaQ9z4E-tR5mnY"",""Non-Food!A2:A""),0))),"""")"),"")</f>
        <v/>
      </c>
      <c r="D105" s="5" t="str">
        <f t="shared" si="3"/>
        <v/>
      </c>
      <c r="E105" s="4"/>
      <c r="F105" s="4"/>
      <c r="G105" s="4" t="str">
        <f t="shared" si="1"/>
        <v/>
      </c>
      <c r="H105" s="4"/>
      <c r="I105" s="4"/>
    </row>
    <row r="106">
      <c r="A106" s="4"/>
      <c r="B106" s="15"/>
      <c r="C106" s="7" t="str">
        <f>IFERROR(__xludf.DUMMYFUNCTION("iferror(iferror(INDEX(IMPORTRANGE(""12vtnxaE_Q1s4tyr10kZQx7ZF_xG0lBFae4jQEUtgsMU"",""All!B2:B""),MATCH($B106,IMPORTRANGE(""12vtnxaE_Q1s4tyr10kZQx7ZF_xG0lBFae4jQEUtgsMU"",""All!A2:A""),0)),INDEX(IMPORTRANGE(""13KC70HngS4DDi8y9E5khtSpQEPG6owaQ9z4E-tR5mnY"","&amp;"""Non-Food!B2:B""),MATCH($B106,IMPORTRANGE(""13KC70HngS4DDi8y9E5khtSpQEPG6owaQ9z4E-tR5mnY"",""Non-Food!A2:A""),0))),"""")"),"")</f>
        <v/>
      </c>
      <c r="D106" s="5" t="str">
        <f t="shared" si="3"/>
        <v/>
      </c>
      <c r="E106" s="4"/>
      <c r="F106" s="4"/>
      <c r="G106" s="4" t="str">
        <f t="shared" si="1"/>
        <v/>
      </c>
      <c r="H106" s="4"/>
      <c r="I106" s="4"/>
    </row>
    <row r="107">
      <c r="A107" s="4"/>
      <c r="B107" s="15"/>
      <c r="C107" s="7" t="str">
        <f>IFERROR(__xludf.DUMMYFUNCTION("iferror(iferror(INDEX(IMPORTRANGE(""12vtnxaE_Q1s4tyr10kZQx7ZF_xG0lBFae4jQEUtgsMU"",""All!B2:B""),MATCH($B107,IMPORTRANGE(""12vtnxaE_Q1s4tyr10kZQx7ZF_xG0lBFae4jQEUtgsMU"",""All!A2:A""),0)),INDEX(IMPORTRANGE(""13KC70HngS4DDi8y9E5khtSpQEPG6owaQ9z4E-tR5mnY"","&amp;"""Non-Food!B2:B""),MATCH($B107,IMPORTRANGE(""13KC70HngS4DDi8y9E5khtSpQEPG6owaQ9z4E-tR5mnY"",""Non-Food!A2:A""),0))),"""")"),"")</f>
        <v/>
      </c>
      <c r="D107" s="5" t="str">
        <f t="shared" si="3"/>
        <v/>
      </c>
      <c r="E107" s="4"/>
      <c r="F107" s="4"/>
      <c r="G107" s="4" t="str">
        <f t="shared" si="1"/>
        <v/>
      </c>
      <c r="H107" s="4"/>
      <c r="I107" s="4"/>
    </row>
    <row r="108">
      <c r="A108" s="4"/>
      <c r="B108" s="15"/>
      <c r="C108" s="7" t="str">
        <f>IFERROR(__xludf.DUMMYFUNCTION("iferror(iferror(INDEX(IMPORTRANGE(""12vtnxaE_Q1s4tyr10kZQx7ZF_xG0lBFae4jQEUtgsMU"",""All!B2:B""),MATCH($B108,IMPORTRANGE(""12vtnxaE_Q1s4tyr10kZQx7ZF_xG0lBFae4jQEUtgsMU"",""All!A2:A""),0)),INDEX(IMPORTRANGE(""13KC70HngS4DDi8y9E5khtSpQEPG6owaQ9z4E-tR5mnY"","&amp;"""Non-Food!B2:B""),MATCH($B108,IMPORTRANGE(""13KC70HngS4DDi8y9E5khtSpQEPG6owaQ9z4E-tR5mnY"",""Non-Food!A2:A""),0))),"""")"),"")</f>
        <v/>
      </c>
      <c r="D108" s="5" t="str">
        <f t="shared" si="3"/>
        <v/>
      </c>
      <c r="E108" s="4"/>
      <c r="F108" s="4"/>
      <c r="G108" s="4" t="str">
        <f t="shared" si="1"/>
        <v/>
      </c>
      <c r="H108" s="4"/>
      <c r="I108" s="4"/>
    </row>
    <row r="109">
      <c r="A109" s="4"/>
      <c r="B109" s="15"/>
      <c r="C109" s="7" t="str">
        <f>IFERROR(__xludf.DUMMYFUNCTION("iferror(iferror(INDEX(IMPORTRANGE(""12vtnxaE_Q1s4tyr10kZQx7ZF_xG0lBFae4jQEUtgsMU"",""All!B2:B""),MATCH($B109,IMPORTRANGE(""12vtnxaE_Q1s4tyr10kZQx7ZF_xG0lBFae4jQEUtgsMU"",""All!A2:A""),0)),INDEX(IMPORTRANGE(""13KC70HngS4DDi8y9E5khtSpQEPG6owaQ9z4E-tR5mnY"","&amp;"""Non-Food!B2:B""),MATCH($B109,IMPORTRANGE(""13KC70HngS4DDi8y9E5khtSpQEPG6owaQ9z4E-tR5mnY"",""Non-Food!A2:A""),0))),"""")"),"")</f>
        <v/>
      </c>
      <c r="D109" s="5" t="str">
        <f t="shared" si="3"/>
        <v/>
      </c>
      <c r="E109" s="4"/>
      <c r="F109" s="4"/>
      <c r="G109" s="4" t="str">
        <f t="shared" si="1"/>
        <v/>
      </c>
      <c r="H109" s="4"/>
      <c r="I109" s="4"/>
    </row>
    <row r="110">
      <c r="A110" s="4"/>
      <c r="B110" s="15"/>
      <c r="C110" s="7" t="str">
        <f>IFERROR(__xludf.DUMMYFUNCTION("iferror(iferror(INDEX(IMPORTRANGE(""12vtnxaE_Q1s4tyr10kZQx7ZF_xG0lBFae4jQEUtgsMU"",""All!B2:B""),MATCH($B110,IMPORTRANGE(""12vtnxaE_Q1s4tyr10kZQx7ZF_xG0lBFae4jQEUtgsMU"",""All!A2:A""),0)),INDEX(IMPORTRANGE(""13KC70HngS4DDi8y9E5khtSpQEPG6owaQ9z4E-tR5mnY"","&amp;"""Non-Food!B2:B""),MATCH($B110,IMPORTRANGE(""13KC70HngS4DDi8y9E5khtSpQEPG6owaQ9z4E-tR5mnY"",""Non-Food!A2:A""),0))),"""")"),"")</f>
        <v/>
      </c>
      <c r="D110" s="5" t="str">
        <f t="shared" si="3"/>
        <v/>
      </c>
      <c r="E110" s="4"/>
      <c r="F110" s="4"/>
      <c r="G110" s="4" t="str">
        <f t="shared" si="1"/>
        <v/>
      </c>
      <c r="H110" s="4"/>
      <c r="I110" s="4"/>
    </row>
    <row r="111">
      <c r="A111" s="4"/>
      <c r="B111" s="15"/>
      <c r="C111" s="7" t="str">
        <f>IFERROR(__xludf.DUMMYFUNCTION("iferror(iferror(INDEX(IMPORTRANGE(""12vtnxaE_Q1s4tyr10kZQx7ZF_xG0lBFae4jQEUtgsMU"",""All!B2:B""),MATCH($B111,IMPORTRANGE(""12vtnxaE_Q1s4tyr10kZQx7ZF_xG0lBFae4jQEUtgsMU"",""All!A2:A""),0)),INDEX(IMPORTRANGE(""13KC70HngS4DDi8y9E5khtSpQEPG6owaQ9z4E-tR5mnY"","&amp;"""Non-Food!B2:B""),MATCH($B111,IMPORTRANGE(""13KC70HngS4DDi8y9E5khtSpQEPG6owaQ9z4E-tR5mnY"",""Non-Food!A2:A""),0))),"""")"),"")</f>
        <v/>
      </c>
      <c r="D111" s="5" t="str">
        <f t="shared" si="3"/>
        <v/>
      </c>
      <c r="E111" s="4"/>
      <c r="F111" s="4"/>
      <c r="G111" s="4" t="str">
        <f t="shared" si="1"/>
        <v/>
      </c>
      <c r="H111" s="4"/>
      <c r="I111" s="4"/>
    </row>
    <row r="112">
      <c r="A112" s="4"/>
      <c r="B112" s="15"/>
      <c r="C112" s="7" t="str">
        <f>IFERROR(__xludf.DUMMYFUNCTION("iferror(iferror(INDEX(IMPORTRANGE(""12vtnxaE_Q1s4tyr10kZQx7ZF_xG0lBFae4jQEUtgsMU"",""All!B2:B""),MATCH($B112,IMPORTRANGE(""12vtnxaE_Q1s4tyr10kZQx7ZF_xG0lBFae4jQEUtgsMU"",""All!A2:A""),0)),INDEX(IMPORTRANGE(""13KC70HngS4DDi8y9E5khtSpQEPG6owaQ9z4E-tR5mnY"","&amp;"""Non-Food!B2:B""),MATCH($B112,IMPORTRANGE(""13KC70HngS4DDi8y9E5khtSpQEPG6owaQ9z4E-tR5mnY"",""Non-Food!A2:A""),0))),"""")"),"")</f>
        <v/>
      </c>
      <c r="D112" s="5" t="str">
        <f t="shared" si="3"/>
        <v/>
      </c>
      <c r="E112" s="4"/>
      <c r="F112" s="4"/>
      <c r="G112" s="4" t="str">
        <f t="shared" si="1"/>
        <v/>
      </c>
      <c r="H112" s="4"/>
      <c r="I112" s="4"/>
    </row>
    <row r="113">
      <c r="A113" s="4"/>
      <c r="B113" s="15"/>
      <c r="C113" s="7" t="str">
        <f>IFERROR(__xludf.DUMMYFUNCTION("iferror(iferror(INDEX(IMPORTRANGE(""12vtnxaE_Q1s4tyr10kZQx7ZF_xG0lBFae4jQEUtgsMU"",""All!B2:B""),MATCH($B113,IMPORTRANGE(""12vtnxaE_Q1s4tyr10kZQx7ZF_xG0lBFae4jQEUtgsMU"",""All!A2:A""),0)),INDEX(IMPORTRANGE(""13KC70HngS4DDi8y9E5khtSpQEPG6owaQ9z4E-tR5mnY"","&amp;"""Non-Food!B2:B""),MATCH($B113,IMPORTRANGE(""13KC70HngS4DDi8y9E5khtSpQEPG6owaQ9z4E-tR5mnY"",""Non-Food!A2:A""),0))),"""")"),"")</f>
        <v/>
      </c>
      <c r="D113" s="5" t="str">
        <f t="shared" si="3"/>
        <v/>
      </c>
      <c r="E113" s="4"/>
      <c r="F113" s="4"/>
      <c r="G113" s="4" t="str">
        <f t="shared" si="1"/>
        <v/>
      </c>
      <c r="H113" s="4"/>
      <c r="I113" s="4"/>
    </row>
    <row r="114">
      <c r="A114" s="4"/>
      <c r="B114" s="15"/>
      <c r="C114" s="7" t="str">
        <f>IFERROR(__xludf.DUMMYFUNCTION("iferror(iferror(INDEX(IMPORTRANGE(""12vtnxaE_Q1s4tyr10kZQx7ZF_xG0lBFae4jQEUtgsMU"",""All!B2:B""),MATCH($B114,IMPORTRANGE(""12vtnxaE_Q1s4tyr10kZQx7ZF_xG0lBFae4jQEUtgsMU"",""All!A2:A""),0)),INDEX(IMPORTRANGE(""13KC70HngS4DDi8y9E5khtSpQEPG6owaQ9z4E-tR5mnY"","&amp;"""Non-Food!B2:B""),MATCH($B114,IMPORTRANGE(""13KC70HngS4DDi8y9E5khtSpQEPG6owaQ9z4E-tR5mnY"",""Non-Food!A2:A""),0))),"""")"),"")</f>
        <v/>
      </c>
      <c r="D114" s="5" t="str">
        <f t="shared" si="3"/>
        <v/>
      </c>
      <c r="E114" s="4"/>
      <c r="F114" s="4"/>
      <c r="G114" s="4" t="str">
        <f t="shared" si="1"/>
        <v/>
      </c>
      <c r="H114" s="4"/>
      <c r="I114" s="4"/>
    </row>
    <row r="115">
      <c r="A115" s="4"/>
      <c r="B115" s="15"/>
      <c r="C115" s="7" t="str">
        <f>IFERROR(__xludf.DUMMYFUNCTION("iferror(iferror(INDEX(IMPORTRANGE(""12vtnxaE_Q1s4tyr10kZQx7ZF_xG0lBFae4jQEUtgsMU"",""All!B2:B""),MATCH($B115,IMPORTRANGE(""12vtnxaE_Q1s4tyr10kZQx7ZF_xG0lBFae4jQEUtgsMU"",""All!A2:A""),0)),INDEX(IMPORTRANGE(""13KC70HngS4DDi8y9E5khtSpQEPG6owaQ9z4E-tR5mnY"","&amp;"""Non-Food!B2:B""),MATCH($B115,IMPORTRANGE(""13KC70HngS4DDi8y9E5khtSpQEPG6owaQ9z4E-tR5mnY"",""Non-Food!A2:A""),0))),"""")"),"")</f>
        <v/>
      </c>
      <c r="D115" s="5" t="str">
        <f t="shared" si="3"/>
        <v/>
      </c>
      <c r="E115" s="4"/>
      <c r="F115" s="4"/>
      <c r="G115" s="4" t="str">
        <f t="shared" si="1"/>
        <v/>
      </c>
      <c r="H115" s="4"/>
      <c r="I115" s="4"/>
    </row>
    <row r="116">
      <c r="A116" s="4"/>
      <c r="B116" s="15"/>
      <c r="C116" s="7" t="str">
        <f>IFERROR(__xludf.DUMMYFUNCTION("iferror(iferror(INDEX(IMPORTRANGE(""12vtnxaE_Q1s4tyr10kZQx7ZF_xG0lBFae4jQEUtgsMU"",""All!B2:B""),MATCH($B116,IMPORTRANGE(""12vtnxaE_Q1s4tyr10kZQx7ZF_xG0lBFae4jQEUtgsMU"",""All!A2:A""),0)),INDEX(IMPORTRANGE(""13KC70HngS4DDi8y9E5khtSpQEPG6owaQ9z4E-tR5mnY"","&amp;"""Non-Food!B2:B""),MATCH($B116,IMPORTRANGE(""13KC70HngS4DDi8y9E5khtSpQEPG6owaQ9z4E-tR5mnY"",""Non-Food!A2:A""),0))),"""")"),"")</f>
        <v/>
      </c>
      <c r="D116" s="5" t="str">
        <f t="shared" si="3"/>
        <v/>
      </c>
      <c r="E116" s="4"/>
      <c r="F116" s="4"/>
      <c r="G116" s="4" t="str">
        <f t="shared" si="1"/>
        <v/>
      </c>
      <c r="H116" s="4"/>
      <c r="I116" s="4"/>
    </row>
    <row r="117">
      <c r="A117" s="4"/>
      <c r="B117" s="15"/>
      <c r="C117" s="7" t="str">
        <f>IFERROR(__xludf.DUMMYFUNCTION("iferror(iferror(INDEX(IMPORTRANGE(""12vtnxaE_Q1s4tyr10kZQx7ZF_xG0lBFae4jQEUtgsMU"",""All!B2:B""),MATCH($B117,IMPORTRANGE(""12vtnxaE_Q1s4tyr10kZQx7ZF_xG0lBFae4jQEUtgsMU"",""All!A2:A""),0)),INDEX(IMPORTRANGE(""13KC70HngS4DDi8y9E5khtSpQEPG6owaQ9z4E-tR5mnY"","&amp;"""Non-Food!B2:B""),MATCH($B117,IMPORTRANGE(""13KC70HngS4DDi8y9E5khtSpQEPG6owaQ9z4E-tR5mnY"",""Non-Food!A2:A""),0))),"""")"),"")</f>
        <v/>
      </c>
      <c r="D117" s="5" t="str">
        <f t="shared" si="3"/>
        <v/>
      </c>
      <c r="E117" s="4"/>
      <c r="F117" s="4"/>
      <c r="G117" s="4" t="str">
        <f t="shared" si="1"/>
        <v/>
      </c>
      <c r="H117" s="4"/>
      <c r="I117" s="4"/>
    </row>
    <row r="118">
      <c r="A118" s="4"/>
      <c r="B118" s="15"/>
      <c r="C118" s="7" t="str">
        <f>IFERROR(__xludf.DUMMYFUNCTION("iferror(iferror(INDEX(IMPORTRANGE(""12vtnxaE_Q1s4tyr10kZQx7ZF_xG0lBFae4jQEUtgsMU"",""All!B2:B""),MATCH($B118,IMPORTRANGE(""12vtnxaE_Q1s4tyr10kZQx7ZF_xG0lBFae4jQEUtgsMU"",""All!A2:A""),0)),INDEX(IMPORTRANGE(""13KC70HngS4DDi8y9E5khtSpQEPG6owaQ9z4E-tR5mnY"","&amp;"""Non-Food!B2:B""),MATCH($B118,IMPORTRANGE(""13KC70HngS4DDi8y9E5khtSpQEPG6owaQ9z4E-tR5mnY"",""Non-Food!A2:A""),0))),"""")"),"")</f>
        <v/>
      </c>
      <c r="D118" s="5" t="str">
        <f t="shared" si="3"/>
        <v/>
      </c>
      <c r="E118" s="4"/>
      <c r="F118" s="4"/>
      <c r="G118" s="4" t="str">
        <f t="shared" si="1"/>
        <v/>
      </c>
      <c r="H118" s="4"/>
      <c r="I118" s="4"/>
    </row>
    <row r="119">
      <c r="A119" s="4"/>
      <c r="B119" s="15"/>
      <c r="C119" s="7" t="str">
        <f>IFERROR(__xludf.DUMMYFUNCTION("iferror(iferror(INDEX(IMPORTRANGE(""12vtnxaE_Q1s4tyr10kZQx7ZF_xG0lBFae4jQEUtgsMU"",""All!B2:B""),MATCH($B119,IMPORTRANGE(""12vtnxaE_Q1s4tyr10kZQx7ZF_xG0lBFae4jQEUtgsMU"",""All!A2:A""),0)),INDEX(IMPORTRANGE(""13KC70HngS4DDi8y9E5khtSpQEPG6owaQ9z4E-tR5mnY"","&amp;"""Non-Food!B2:B""),MATCH($B119,IMPORTRANGE(""13KC70HngS4DDi8y9E5khtSpQEPG6owaQ9z4E-tR5mnY"",""Non-Food!A2:A""),0))),"""")"),"")</f>
        <v/>
      </c>
      <c r="D119" s="5" t="str">
        <f t="shared" si="3"/>
        <v/>
      </c>
      <c r="E119" s="4"/>
      <c r="F119" s="4"/>
      <c r="G119" s="4" t="str">
        <f t="shared" si="1"/>
        <v/>
      </c>
      <c r="H119" s="4"/>
      <c r="I119" s="4"/>
    </row>
    <row r="120">
      <c r="A120" s="4"/>
      <c r="B120" s="15"/>
      <c r="C120" s="7" t="str">
        <f>IFERROR(__xludf.DUMMYFUNCTION("iferror(iferror(INDEX(IMPORTRANGE(""12vtnxaE_Q1s4tyr10kZQx7ZF_xG0lBFae4jQEUtgsMU"",""All!B2:B""),MATCH($B120,IMPORTRANGE(""12vtnxaE_Q1s4tyr10kZQx7ZF_xG0lBFae4jQEUtgsMU"",""All!A2:A""),0)),INDEX(IMPORTRANGE(""13KC70HngS4DDi8y9E5khtSpQEPG6owaQ9z4E-tR5mnY"","&amp;"""Non-Food!B2:B""),MATCH($B120,IMPORTRANGE(""13KC70HngS4DDi8y9E5khtSpQEPG6owaQ9z4E-tR5mnY"",""Non-Food!A2:A""),0))),"""")"),"")</f>
        <v/>
      </c>
      <c r="D120" s="5" t="str">
        <f t="shared" si="3"/>
        <v/>
      </c>
      <c r="E120" s="4"/>
      <c r="F120" s="4"/>
      <c r="G120" s="4" t="str">
        <f t="shared" si="1"/>
        <v/>
      </c>
      <c r="H120" s="4"/>
      <c r="I120" s="4"/>
    </row>
    <row r="121">
      <c r="A121" s="4"/>
      <c r="B121" s="15"/>
      <c r="C121" s="7" t="str">
        <f>IFERROR(__xludf.DUMMYFUNCTION("iferror(iferror(INDEX(IMPORTRANGE(""12vtnxaE_Q1s4tyr10kZQx7ZF_xG0lBFae4jQEUtgsMU"",""All!B2:B""),MATCH($B121,IMPORTRANGE(""12vtnxaE_Q1s4tyr10kZQx7ZF_xG0lBFae4jQEUtgsMU"",""All!A2:A""),0)),INDEX(IMPORTRANGE(""13KC70HngS4DDi8y9E5khtSpQEPG6owaQ9z4E-tR5mnY"","&amp;"""Non-Food!B2:B""),MATCH($B121,IMPORTRANGE(""13KC70HngS4DDi8y9E5khtSpQEPG6owaQ9z4E-tR5mnY"",""Non-Food!A2:A""),0))),"""")"),"")</f>
        <v/>
      </c>
      <c r="D121" s="5" t="str">
        <f t="shared" si="3"/>
        <v/>
      </c>
      <c r="E121" s="4"/>
      <c r="F121" s="4"/>
      <c r="G121" s="4" t="str">
        <f t="shared" si="1"/>
        <v/>
      </c>
      <c r="H121" s="4"/>
      <c r="I121" s="4"/>
    </row>
    <row r="122">
      <c r="A122" s="4"/>
      <c r="B122" s="15"/>
      <c r="C122" s="7" t="str">
        <f>IFERROR(__xludf.DUMMYFUNCTION("iferror(iferror(INDEX(IMPORTRANGE(""12vtnxaE_Q1s4tyr10kZQx7ZF_xG0lBFae4jQEUtgsMU"",""All!B2:B""),MATCH($B122,IMPORTRANGE(""12vtnxaE_Q1s4tyr10kZQx7ZF_xG0lBFae4jQEUtgsMU"",""All!A2:A""),0)),INDEX(IMPORTRANGE(""13KC70HngS4DDi8y9E5khtSpQEPG6owaQ9z4E-tR5mnY"","&amp;"""Non-Food!B2:B""),MATCH($B122,IMPORTRANGE(""13KC70HngS4DDi8y9E5khtSpQEPG6owaQ9z4E-tR5mnY"",""Non-Food!A2:A""),0))),"""")"),"")</f>
        <v/>
      </c>
      <c r="D122" s="5" t="str">
        <f t="shared" si="3"/>
        <v/>
      </c>
      <c r="E122" s="4"/>
      <c r="F122" s="4"/>
      <c r="G122" s="4" t="str">
        <f t="shared" si="1"/>
        <v/>
      </c>
      <c r="H122" s="4"/>
      <c r="I122" s="4"/>
    </row>
    <row r="123">
      <c r="A123" s="4"/>
      <c r="B123" s="15"/>
      <c r="C123" s="7" t="str">
        <f>IFERROR(__xludf.DUMMYFUNCTION("iferror(iferror(INDEX(IMPORTRANGE(""12vtnxaE_Q1s4tyr10kZQx7ZF_xG0lBFae4jQEUtgsMU"",""All!B2:B""),MATCH($B123,IMPORTRANGE(""12vtnxaE_Q1s4tyr10kZQx7ZF_xG0lBFae4jQEUtgsMU"",""All!A2:A""),0)),INDEX(IMPORTRANGE(""13KC70HngS4DDi8y9E5khtSpQEPG6owaQ9z4E-tR5mnY"","&amp;"""Non-Food!B2:B""),MATCH($B123,IMPORTRANGE(""13KC70HngS4DDi8y9E5khtSpQEPG6owaQ9z4E-tR5mnY"",""Non-Food!A2:A""),0))),"""")"),"")</f>
        <v/>
      </c>
      <c r="D123" s="5" t="str">
        <f t="shared" si="3"/>
        <v/>
      </c>
      <c r="E123" s="4"/>
      <c r="F123" s="4"/>
      <c r="G123" s="4" t="str">
        <f t="shared" si="1"/>
        <v/>
      </c>
      <c r="H123" s="4"/>
      <c r="I123" s="4"/>
    </row>
    <row r="124">
      <c r="A124" s="4"/>
      <c r="B124" s="15"/>
      <c r="C124" s="7" t="str">
        <f>IFERROR(__xludf.DUMMYFUNCTION("iferror(iferror(INDEX(IMPORTRANGE(""12vtnxaE_Q1s4tyr10kZQx7ZF_xG0lBFae4jQEUtgsMU"",""All!B2:B""),MATCH($B124,IMPORTRANGE(""12vtnxaE_Q1s4tyr10kZQx7ZF_xG0lBFae4jQEUtgsMU"",""All!A2:A""),0)),INDEX(IMPORTRANGE(""13KC70HngS4DDi8y9E5khtSpQEPG6owaQ9z4E-tR5mnY"","&amp;"""Non-Food!B2:B""),MATCH($B124,IMPORTRANGE(""13KC70HngS4DDi8y9E5khtSpQEPG6owaQ9z4E-tR5mnY"",""Non-Food!A2:A""),0))),"""")"),"")</f>
        <v/>
      </c>
      <c r="D124" s="5" t="str">
        <f t="shared" si="3"/>
        <v/>
      </c>
      <c r="E124" s="4"/>
      <c r="F124" s="4"/>
      <c r="G124" s="4" t="str">
        <f t="shared" si="1"/>
        <v/>
      </c>
      <c r="H124" s="4"/>
      <c r="I124" s="4"/>
    </row>
    <row r="125">
      <c r="A125" s="4"/>
      <c r="B125" s="15"/>
      <c r="C125" s="7" t="str">
        <f>IFERROR(__xludf.DUMMYFUNCTION("iferror(iferror(INDEX(IMPORTRANGE(""12vtnxaE_Q1s4tyr10kZQx7ZF_xG0lBFae4jQEUtgsMU"",""All!B2:B""),MATCH($B125,IMPORTRANGE(""12vtnxaE_Q1s4tyr10kZQx7ZF_xG0lBFae4jQEUtgsMU"",""All!A2:A""),0)),INDEX(IMPORTRANGE(""13KC70HngS4DDi8y9E5khtSpQEPG6owaQ9z4E-tR5mnY"","&amp;"""Non-Food!B2:B""),MATCH($B125,IMPORTRANGE(""13KC70HngS4DDi8y9E5khtSpQEPG6owaQ9z4E-tR5mnY"",""Non-Food!A2:A""),0))),"""")"),"")</f>
        <v/>
      </c>
      <c r="D125" s="5" t="str">
        <f t="shared" si="3"/>
        <v/>
      </c>
      <c r="E125" s="4"/>
      <c r="F125" s="4"/>
      <c r="G125" s="4" t="str">
        <f t="shared" si="1"/>
        <v/>
      </c>
      <c r="H125" s="4"/>
      <c r="I125" s="4"/>
    </row>
    <row r="126">
      <c r="A126" s="4"/>
      <c r="B126" s="15"/>
      <c r="C126" s="7" t="str">
        <f>IFERROR(__xludf.DUMMYFUNCTION("iferror(iferror(INDEX(IMPORTRANGE(""12vtnxaE_Q1s4tyr10kZQx7ZF_xG0lBFae4jQEUtgsMU"",""All!B2:B""),MATCH($B126,IMPORTRANGE(""12vtnxaE_Q1s4tyr10kZQx7ZF_xG0lBFae4jQEUtgsMU"",""All!A2:A""),0)),INDEX(IMPORTRANGE(""13KC70HngS4DDi8y9E5khtSpQEPG6owaQ9z4E-tR5mnY"","&amp;"""Non-Food!B2:B""),MATCH($B126,IMPORTRANGE(""13KC70HngS4DDi8y9E5khtSpQEPG6owaQ9z4E-tR5mnY"",""Non-Food!A2:A""),0))),"""")"),"")</f>
        <v/>
      </c>
      <c r="D126" s="5" t="str">
        <f t="shared" si="3"/>
        <v/>
      </c>
      <c r="E126" s="4"/>
      <c r="F126" s="4"/>
      <c r="G126" s="4" t="str">
        <f t="shared" si="1"/>
        <v/>
      </c>
      <c r="H126" s="4"/>
      <c r="I126" s="4"/>
    </row>
    <row r="127">
      <c r="A127" s="4"/>
      <c r="B127" s="15"/>
      <c r="C127" s="7" t="str">
        <f>IFERROR(__xludf.DUMMYFUNCTION("iferror(iferror(INDEX(IMPORTRANGE(""12vtnxaE_Q1s4tyr10kZQx7ZF_xG0lBFae4jQEUtgsMU"",""All!B2:B""),MATCH($B127,IMPORTRANGE(""12vtnxaE_Q1s4tyr10kZQx7ZF_xG0lBFae4jQEUtgsMU"",""All!A2:A""),0)),INDEX(IMPORTRANGE(""13KC70HngS4DDi8y9E5khtSpQEPG6owaQ9z4E-tR5mnY"","&amp;"""Non-Food!B2:B""),MATCH($B127,IMPORTRANGE(""13KC70HngS4DDi8y9E5khtSpQEPG6owaQ9z4E-tR5mnY"",""Non-Food!A2:A""),0))),"""")"),"")</f>
        <v/>
      </c>
      <c r="D127" s="5" t="str">
        <f t="shared" si="3"/>
        <v/>
      </c>
      <c r="E127" s="4"/>
      <c r="F127" s="4"/>
      <c r="G127" s="4" t="str">
        <f t="shared" si="1"/>
        <v/>
      </c>
      <c r="H127" s="4"/>
      <c r="I127" s="4"/>
    </row>
    <row r="128">
      <c r="A128" s="4"/>
      <c r="B128" s="15"/>
      <c r="C128" s="7" t="str">
        <f>IFERROR(__xludf.DUMMYFUNCTION("iferror(iferror(INDEX(IMPORTRANGE(""12vtnxaE_Q1s4tyr10kZQx7ZF_xG0lBFae4jQEUtgsMU"",""All!B2:B""),MATCH($B128,IMPORTRANGE(""12vtnxaE_Q1s4tyr10kZQx7ZF_xG0lBFae4jQEUtgsMU"",""All!A2:A""),0)),INDEX(IMPORTRANGE(""13KC70HngS4DDi8y9E5khtSpQEPG6owaQ9z4E-tR5mnY"","&amp;"""Non-Food!B2:B""),MATCH($B128,IMPORTRANGE(""13KC70HngS4DDi8y9E5khtSpQEPG6owaQ9z4E-tR5mnY"",""Non-Food!A2:A""),0))),"""")"),"")</f>
        <v/>
      </c>
      <c r="D128" s="5" t="str">
        <f t="shared" si="3"/>
        <v/>
      </c>
      <c r="E128" s="4"/>
      <c r="F128" s="4"/>
      <c r="G128" s="4" t="str">
        <f t="shared" si="1"/>
        <v/>
      </c>
      <c r="H128" s="4"/>
      <c r="I128" s="4"/>
    </row>
    <row r="129">
      <c r="A129" s="4"/>
      <c r="B129" s="15"/>
      <c r="C129" s="7" t="str">
        <f>IFERROR(__xludf.DUMMYFUNCTION("iferror(iferror(INDEX(IMPORTRANGE(""12vtnxaE_Q1s4tyr10kZQx7ZF_xG0lBFae4jQEUtgsMU"",""All!B2:B""),MATCH($B129,IMPORTRANGE(""12vtnxaE_Q1s4tyr10kZQx7ZF_xG0lBFae4jQEUtgsMU"",""All!A2:A""),0)),INDEX(IMPORTRANGE(""13KC70HngS4DDi8y9E5khtSpQEPG6owaQ9z4E-tR5mnY"","&amp;"""Non-Food!B2:B""),MATCH($B129,IMPORTRANGE(""13KC70HngS4DDi8y9E5khtSpQEPG6owaQ9z4E-tR5mnY"",""Non-Food!A2:A""),0))),"""")"),"")</f>
        <v/>
      </c>
      <c r="D129" s="5" t="str">
        <f t="shared" si="3"/>
        <v/>
      </c>
      <c r="E129" s="4"/>
      <c r="F129" s="4"/>
      <c r="G129" s="4" t="str">
        <f t="shared" si="1"/>
        <v/>
      </c>
      <c r="H129" s="4"/>
      <c r="I129" s="4"/>
    </row>
    <row r="130">
      <c r="A130" s="4"/>
      <c r="B130" s="15"/>
      <c r="C130" s="7" t="str">
        <f>IFERROR(__xludf.DUMMYFUNCTION("iferror(iferror(INDEX(IMPORTRANGE(""12vtnxaE_Q1s4tyr10kZQx7ZF_xG0lBFae4jQEUtgsMU"",""All!B2:B""),MATCH($B130,IMPORTRANGE(""12vtnxaE_Q1s4tyr10kZQx7ZF_xG0lBFae4jQEUtgsMU"",""All!A2:A""),0)),INDEX(IMPORTRANGE(""13KC70HngS4DDi8y9E5khtSpQEPG6owaQ9z4E-tR5mnY"","&amp;"""Non-Food!B2:B""),MATCH($B130,IMPORTRANGE(""13KC70HngS4DDi8y9E5khtSpQEPG6owaQ9z4E-tR5mnY"",""Non-Food!A2:A""),0))),"""")"),"")</f>
        <v/>
      </c>
      <c r="D130" s="5" t="str">
        <f t="shared" si="3"/>
        <v/>
      </c>
      <c r="E130" s="4"/>
      <c r="F130" s="4"/>
      <c r="G130" s="4" t="str">
        <f t="shared" si="1"/>
        <v/>
      </c>
      <c r="H130" s="4"/>
      <c r="I130" s="4"/>
    </row>
    <row r="131">
      <c r="A131" s="4"/>
      <c r="B131" s="15"/>
      <c r="C131" s="7" t="str">
        <f>IFERROR(__xludf.DUMMYFUNCTION("iferror(iferror(INDEX(IMPORTRANGE(""12vtnxaE_Q1s4tyr10kZQx7ZF_xG0lBFae4jQEUtgsMU"",""All!B2:B""),MATCH($B131,IMPORTRANGE(""12vtnxaE_Q1s4tyr10kZQx7ZF_xG0lBFae4jQEUtgsMU"",""All!A2:A""),0)),INDEX(IMPORTRANGE(""13KC70HngS4DDi8y9E5khtSpQEPG6owaQ9z4E-tR5mnY"","&amp;"""Non-Food!B2:B""),MATCH($B131,IMPORTRANGE(""13KC70HngS4DDi8y9E5khtSpQEPG6owaQ9z4E-tR5mnY"",""Non-Food!A2:A""),0))),"""")"),"")</f>
        <v/>
      </c>
      <c r="D131" s="5" t="str">
        <f t="shared" si="3"/>
        <v/>
      </c>
      <c r="E131" s="4"/>
      <c r="F131" s="4"/>
      <c r="G131" s="4" t="str">
        <f t="shared" si="1"/>
        <v/>
      </c>
      <c r="H131" s="4"/>
      <c r="I131" s="4"/>
    </row>
    <row r="132">
      <c r="A132" s="4"/>
      <c r="B132" s="15"/>
      <c r="C132" s="7" t="str">
        <f>IFERROR(__xludf.DUMMYFUNCTION("iferror(iferror(INDEX(IMPORTRANGE(""12vtnxaE_Q1s4tyr10kZQx7ZF_xG0lBFae4jQEUtgsMU"",""All!B2:B""),MATCH($B132,IMPORTRANGE(""12vtnxaE_Q1s4tyr10kZQx7ZF_xG0lBFae4jQEUtgsMU"",""All!A2:A""),0)),INDEX(IMPORTRANGE(""13KC70HngS4DDi8y9E5khtSpQEPG6owaQ9z4E-tR5mnY"","&amp;"""Non-Food!B2:B""),MATCH($B132,IMPORTRANGE(""13KC70HngS4DDi8y9E5khtSpQEPG6owaQ9z4E-tR5mnY"",""Non-Food!A2:A""),0))),"""")"),"")</f>
        <v/>
      </c>
      <c r="D132" s="5" t="str">
        <f t="shared" si="3"/>
        <v/>
      </c>
      <c r="E132" s="4"/>
      <c r="F132" s="4"/>
      <c r="G132" s="4" t="str">
        <f t="shared" si="1"/>
        <v/>
      </c>
      <c r="H132" s="4"/>
      <c r="I132" s="4"/>
    </row>
    <row r="133">
      <c r="A133" s="4"/>
      <c r="B133" s="15"/>
      <c r="C133" s="7" t="str">
        <f>IFERROR(__xludf.DUMMYFUNCTION("iferror(iferror(INDEX(IMPORTRANGE(""12vtnxaE_Q1s4tyr10kZQx7ZF_xG0lBFae4jQEUtgsMU"",""All!B2:B""),MATCH($B133,IMPORTRANGE(""12vtnxaE_Q1s4tyr10kZQx7ZF_xG0lBFae4jQEUtgsMU"",""All!A2:A""),0)),INDEX(IMPORTRANGE(""13KC70HngS4DDi8y9E5khtSpQEPG6owaQ9z4E-tR5mnY"","&amp;"""Non-Food!B2:B""),MATCH($B133,IMPORTRANGE(""13KC70HngS4DDi8y9E5khtSpQEPG6owaQ9z4E-tR5mnY"",""Non-Food!A2:A""),0))),"""")"),"")</f>
        <v/>
      </c>
      <c r="D133" s="5" t="str">
        <f t="shared" si="3"/>
        <v/>
      </c>
      <c r="E133" s="4"/>
      <c r="F133" s="4"/>
      <c r="G133" s="4" t="str">
        <f t="shared" si="1"/>
        <v/>
      </c>
      <c r="H133" s="4"/>
      <c r="I133" s="4"/>
    </row>
    <row r="134">
      <c r="A134" s="4"/>
      <c r="B134" s="15"/>
      <c r="C134" s="7" t="str">
        <f>IFERROR(__xludf.DUMMYFUNCTION("iferror(iferror(INDEX(IMPORTRANGE(""12vtnxaE_Q1s4tyr10kZQx7ZF_xG0lBFae4jQEUtgsMU"",""All!B2:B""),MATCH($B134,IMPORTRANGE(""12vtnxaE_Q1s4tyr10kZQx7ZF_xG0lBFae4jQEUtgsMU"",""All!A2:A""),0)),INDEX(IMPORTRANGE(""13KC70HngS4DDi8y9E5khtSpQEPG6owaQ9z4E-tR5mnY"","&amp;"""Non-Food!B2:B""),MATCH($B134,IMPORTRANGE(""13KC70HngS4DDi8y9E5khtSpQEPG6owaQ9z4E-tR5mnY"",""Non-Food!A2:A""),0))),"""")"),"")</f>
        <v/>
      </c>
      <c r="D134" s="5" t="str">
        <f t="shared" si="3"/>
        <v/>
      </c>
      <c r="E134" s="4"/>
      <c r="F134" s="4"/>
      <c r="G134" s="4" t="str">
        <f t="shared" si="1"/>
        <v/>
      </c>
      <c r="H134" s="4"/>
      <c r="I134" s="4"/>
    </row>
    <row r="135">
      <c r="A135" s="4"/>
      <c r="B135" s="15"/>
      <c r="C135" s="7" t="str">
        <f>IFERROR(__xludf.DUMMYFUNCTION("iferror(iferror(INDEX(IMPORTRANGE(""12vtnxaE_Q1s4tyr10kZQx7ZF_xG0lBFae4jQEUtgsMU"",""All!B2:B""),MATCH($B135,IMPORTRANGE(""12vtnxaE_Q1s4tyr10kZQx7ZF_xG0lBFae4jQEUtgsMU"",""All!A2:A""),0)),INDEX(IMPORTRANGE(""13KC70HngS4DDi8y9E5khtSpQEPG6owaQ9z4E-tR5mnY"","&amp;"""Non-Food!B2:B""),MATCH($B135,IMPORTRANGE(""13KC70HngS4DDi8y9E5khtSpQEPG6owaQ9z4E-tR5mnY"",""Non-Food!A2:A""),0))),"""")"),"")</f>
        <v/>
      </c>
      <c r="D135" s="5" t="str">
        <f t="shared" si="3"/>
        <v/>
      </c>
      <c r="E135" s="4"/>
      <c r="F135" s="4"/>
      <c r="G135" s="4" t="str">
        <f t="shared" si="1"/>
        <v/>
      </c>
      <c r="H135" s="4"/>
      <c r="I135" s="4"/>
    </row>
    <row r="136">
      <c r="A136" s="4"/>
      <c r="B136" s="15"/>
      <c r="C136" s="7" t="str">
        <f>IFERROR(__xludf.DUMMYFUNCTION("iferror(iferror(INDEX(IMPORTRANGE(""12vtnxaE_Q1s4tyr10kZQx7ZF_xG0lBFae4jQEUtgsMU"",""All!B2:B""),MATCH($B136,IMPORTRANGE(""12vtnxaE_Q1s4tyr10kZQx7ZF_xG0lBFae4jQEUtgsMU"",""All!A2:A""),0)),INDEX(IMPORTRANGE(""13KC70HngS4DDi8y9E5khtSpQEPG6owaQ9z4E-tR5mnY"","&amp;"""Non-Food!B2:B""),MATCH($B136,IMPORTRANGE(""13KC70HngS4DDi8y9E5khtSpQEPG6owaQ9z4E-tR5mnY"",""Non-Food!A2:A""),0))),"""")"),"")</f>
        <v/>
      </c>
      <c r="D136" s="5" t="str">
        <f t="shared" si="3"/>
        <v/>
      </c>
      <c r="E136" s="4"/>
      <c r="F136" s="4"/>
      <c r="G136" s="4" t="str">
        <f t="shared" si="1"/>
        <v/>
      </c>
      <c r="H136" s="4"/>
      <c r="I136" s="4"/>
    </row>
    <row r="137">
      <c r="A137" s="4"/>
      <c r="B137" s="15"/>
      <c r="C137" s="7" t="str">
        <f>IFERROR(__xludf.DUMMYFUNCTION("iferror(iferror(INDEX(IMPORTRANGE(""12vtnxaE_Q1s4tyr10kZQx7ZF_xG0lBFae4jQEUtgsMU"",""All!B2:B""),MATCH($B137,IMPORTRANGE(""12vtnxaE_Q1s4tyr10kZQx7ZF_xG0lBFae4jQEUtgsMU"",""All!A2:A""),0)),INDEX(IMPORTRANGE(""13KC70HngS4DDi8y9E5khtSpQEPG6owaQ9z4E-tR5mnY"","&amp;"""Non-Food!B2:B""),MATCH($B137,IMPORTRANGE(""13KC70HngS4DDi8y9E5khtSpQEPG6owaQ9z4E-tR5mnY"",""Non-Food!A2:A""),0))),"""")"),"")</f>
        <v/>
      </c>
      <c r="D137" s="5" t="str">
        <f t="shared" si="3"/>
        <v/>
      </c>
      <c r="E137" s="4"/>
      <c r="F137" s="4"/>
      <c r="G137" s="4" t="str">
        <f t="shared" si="1"/>
        <v/>
      </c>
      <c r="H137" s="4"/>
      <c r="I137" s="4"/>
    </row>
    <row r="138">
      <c r="A138" s="4"/>
      <c r="B138" s="15"/>
      <c r="C138" s="7" t="str">
        <f>IFERROR(__xludf.DUMMYFUNCTION("iferror(iferror(INDEX(IMPORTRANGE(""12vtnxaE_Q1s4tyr10kZQx7ZF_xG0lBFae4jQEUtgsMU"",""All!B2:B""),MATCH($B138,IMPORTRANGE(""12vtnxaE_Q1s4tyr10kZQx7ZF_xG0lBFae4jQEUtgsMU"",""All!A2:A""),0)),INDEX(IMPORTRANGE(""13KC70HngS4DDi8y9E5khtSpQEPG6owaQ9z4E-tR5mnY"","&amp;"""Non-Food!B2:B""),MATCH($B138,IMPORTRANGE(""13KC70HngS4DDi8y9E5khtSpQEPG6owaQ9z4E-tR5mnY"",""Non-Food!A2:A""),0))),"""")"),"")</f>
        <v/>
      </c>
      <c r="D138" s="5" t="str">
        <f t="shared" si="3"/>
        <v/>
      </c>
      <c r="E138" s="4"/>
      <c r="F138" s="4"/>
      <c r="G138" s="4" t="str">
        <f t="shared" si="1"/>
        <v/>
      </c>
      <c r="H138" s="4"/>
      <c r="I138" s="4"/>
    </row>
    <row r="139">
      <c r="A139" s="4"/>
      <c r="B139" s="15"/>
      <c r="C139" s="7" t="str">
        <f>IFERROR(__xludf.DUMMYFUNCTION("iferror(iferror(INDEX(IMPORTRANGE(""12vtnxaE_Q1s4tyr10kZQx7ZF_xG0lBFae4jQEUtgsMU"",""All!B2:B""),MATCH($B139,IMPORTRANGE(""12vtnxaE_Q1s4tyr10kZQx7ZF_xG0lBFae4jQEUtgsMU"",""All!A2:A""),0)),INDEX(IMPORTRANGE(""13KC70HngS4DDi8y9E5khtSpQEPG6owaQ9z4E-tR5mnY"","&amp;"""Non-Food!B2:B""),MATCH($B139,IMPORTRANGE(""13KC70HngS4DDi8y9E5khtSpQEPG6owaQ9z4E-tR5mnY"",""Non-Food!A2:A""),0))),"""")"),"")</f>
        <v/>
      </c>
      <c r="D139" s="5" t="str">
        <f t="shared" si="3"/>
        <v/>
      </c>
      <c r="E139" s="4"/>
      <c r="F139" s="4"/>
      <c r="G139" s="4" t="str">
        <f t="shared" si="1"/>
        <v/>
      </c>
      <c r="H139" s="4"/>
      <c r="I139" s="4"/>
    </row>
    <row r="140">
      <c r="A140" s="4"/>
      <c r="B140" s="15"/>
      <c r="C140" s="7" t="str">
        <f>IFERROR(__xludf.DUMMYFUNCTION("iferror(iferror(INDEX(IMPORTRANGE(""12vtnxaE_Q1s4tyr10kZQx7ZF_xG0lBFae4jQEUtgsMU"",""All!B2:B""),MATCH($B140,IMPORTRANGE(""12vtnxaE_Q1s4tyr10kZQx7ZF_xG0lBFae4jQEUtgsMU"",""All!A2:A""),0)),INDEX(IMPORTRANGE(""13KC70HngS4DDi8y9E5khtSpQEPG6owaQ9z4E-tR5mnY"","&amp;"""Non-Food!B2:B""),MATCH($B140,IMPORTRANGE(""13KC70HngS4DDi8y9E5khtSpQEPG6owaQ9z4E-tR5mnY"",""Non-Food!A2:A""),0))),"""")"),"")</f>
        <v/>
      </c>
      <c r="D140" s="5" t="str">
        <f t="shared" si="3"/>
        <v/>
      </c>
      <c r="E140" s="4"/>
      <c r="F140" s="4"/>
      <c r="G140" s="4" t="str">
        <f t="shared" si="1"/>
        <v/>
      </c>
      <c r="H140" s="4"/>
      <c r="I140" s="4"/>
    </row>
    <row r="141">
      <c r="A141" s="4"/>
      <c r="B141" s="15"/>
      <c r="C141" s="7" t="str">
        <f>IFERROR(__xludf.DUMMYFUNCTION("iferror(iferror(INDEX(IMPORTRANGE(""12vtnxaE_Q1s4tyr10kZQx7ZF_xG0lBFae4jQEUtgsMU"",""All!B2:B""),MATCH($B141,IMPORTRANGE(""12vtnxaE_Q1s4tyr10kZQx7ZF_xG0lBFae4jQEUtgsMU"",""All!A2:A""),0)),INDEX(IMPORTRANGE(""13KC70HngS4DDi8y9E5khtSpQEPG6owaQ9z4E-tR5mnY"","&amp;"""Non-Food!B2:B""),MATCH($B141,IMPORTRANGE(""13KC70HngS4DDi8y9E5khtSpQEPG6owaQ9z4E-tR5mnY"",""Non-Food!A2:A""),0))),"""")"),"")</f>
        <v/>
      </c>
      <c r="D141" s="5" t="str">
        <f t="shared" si="3"/>
        <v/>
      </c>
      <c r="E141" s="4"/>
      <c r="F141" s="4"/>
      <c r="G141" s="4" t="str">
        <f t="shared" si="1"/>
        <v/>
      </c>
      <c r="H141" s="4"/>
      <c r="I141" s="4"/>
    </row>
    <row r="142">
      <c r="A142" s="4"/>
      <c r="B142" s="15"/>
      <c r="C142" s="7" t="str">
        <f>IFERROR(__xludf.DUMMYFUNCTION("iferror(iferror(INDEX(IMPORTRANGE(""12vtnxaE_Q1s4tyr10kZQx7ZF_xG0lBFae4jQEUtgsMU"",""All!B2:B""),MATCH($B142,IMPORTRANGE(""12vtnxaE_Q1s4tyr10kZQx7ZF_xG0lBFae4jQEUtgsMU"",""All!A2:A""),0)),INDEX(IMPORTRANGE(""13KC70HngS4DDi8y9E5khtSpQEPG6owaQ9z4E-tR5mnY"","&amp;"""Non-Food!B2:B""),MATCH($B142,IMPORTRANGE(""13KC70HngS4DDi8y9E5khtSpQEPG6owaQ9z4E-tR5mnY"",""Non-Food!A2:A""),0))),"""")"),"")</f>
        <v/>
      </c>
      <c r="D142" s="5" t="str">
        <f t="shared" si="3"/>
        <v/>
      </c>
      <c r="E142" s="4"/>
      <c r="F142" s="4"/>
      <c r="G142" s="4" t="str">
        <f t="shared" si="1"/>
        <v/>
      </c>
      <c r="H142" s="4"/>
      <c r="I142" s="4"/>
    </row>
    <row r="143">
      <c r="A143" s="4"/>
      <c r="B143" s="15"/>
      <c r="C143" s="7" t="str">
        <f>IFERROR(__xludf.DUMMYFUNCTION("iferror(iferror(INDEX(IMPORTRANGE(""12vtnxaE_Q1s4tyr10kZQx7ZF_xG0lBFae4jQEUtgsMU"",""All!B2:B""),MATCH($B143,IMPORTRANGE(""12vtnxaE_Q1s4tyr10kZQx7ZF_xG0lBFae4jQEUtgsMU"",""All!A2:A""),0)),INDEX(IMPORTRANGE(""13KC70HngS4DDi8y9E5khtSpQEPG6owaQ9z4E-tR5mnY"","&amp;"""Non-Food!B2:B""),MATCH($B143,IMPORTRANGE(""13KC70HngS4DDi8y9E5khtSpQEPG6owaQ9z4E-tR5mnY"",""Non-Food!A2:A""),0))),"""")"),"")</f>
        <v/>
      </c>
      <c r="D143" s="5" t="str">
        <f t="shared" si="3"/>
        <v/>
      </c>
      <c r="E143" s="4"/>
      <c r="F143" s="4"/>
      <c r="G143" s="4" t="str">
        <f t="shared" si="1"/>
        <v/>
      </c>
      <c r="H143" s="4"/>
      <c r="I143" s="4"/>
    </row>
    <row r="144">
      <c r="A144" s="4"/>
      <c r="B144" s="15"/>
      <c r="C144" s="7" t="str">
        <f>IFERROR(__xludf.DUMMYFUNCTION("iferror(iferror(INDEX(IMPORTRANGE(""12vtnxaE_Q1s4tyr10kZQx7ZF_xG0lBFae4jQEUtgsMU"",""All!B2:B""),MATCH($B144,IMPORTRANGE(""12vtnxaE_Q1s4tyr10kZQx7ZF_xG0lBFae4jQEUtgsMU"",""All!A2:A""),0)),INDEX(IMPORTRANGE(""13KC70HngS4DDi8y9E5khtSpQEPG6owaQ9z4E-tR5mnY"","&amp;"""Non-Food!B2:B""),MATCH($B144,IMPORTRANGE(""13KC70HngS4DDi8y9E5khtSpQEPG6owaQ9z4E-tR5mnY"",""Non-Food!A2:A""),0))),"""")"),"")</f>
        <v/>
      </c>
      <c r="D144" s="5" t="str">
        <f t="shared" si="3"/>
        <v/>
      </c>
      <c r="E144" s="4"/>
      <c r="F144" s="4"/>
      <c r="G144" s="4" t="str">
        <f t="shared" si="1"/>
        <v/>
      </c>
      <c r="H144" s="4"/>
      <c r="I144" s="4"/>
    </row>
    <row r="145">
      <c r="A145" s="4"/>
      <c r="B145" s="15"/>
      <c r="C145" s="7" t="str">
        <f>IFERROR(__xludf.DUMMYFUNCTION("iferror(iferror(INDEX(IMPORTRANGE(""12vtnxaE_Q1s4tyr10kZQx7ZF_xG0lBFae4jQEUtgsMU"",""All!B2:B""),MATCH($B145,IMPORTRANGE(""12vtnxaE_Q1s4tyr10kZQx7ZF_xG0lBFae4jQEUtgsMU"",""All!A2:A""),0)),INDEX(IMPORTRANGE(""13KC70HngS4DDi8y9E5khtSpQEPG6owaQ9z4E-tR5mnY"","&amp;"""Non-Food!B2:B""),MATCH($B145,IMPORTRANGE(""13KC70HngS4DDi8y9E5khtSpQEPG6owaQ9z4E-tR5mnY"",""Non-Food!A2:A""),0))),"""")"),"")</f>
        <v/>
      </c>
      <c r="D145" s="5" t="str">
        <f t="shared" si="3"/>
        <v/>
      </c>
      <c r="E145" s="4"/>
      <c r="F145" s="4"/>
      <c r="G145" s="4" t="str">
        <f t="shared" si="1"/>
        <v/>
      </c>
      <c r="H145" s="4"/>
      <c r="I145" s="4"/>
    </row>
    <row r="146">
      <c r="A146" s="4"/>
      <c r="B146" s="15"/>
      <c r="C146" s="7" t="str">
        <f>IFERROR(__xludf.DUMMYFUNCTION("iferror(iferror(INDEX(IMPORTRANGE(""12vtnxaE_Q1s4tyr10kZQx7ZF_xG0lBFae4jQEUtgsMU"",""All!B2:B""),MATCH($B146,IMPORTRANGE(""12vtnxaE_Q1s4tyr10kZQx7ZF_xG0lBFae4jQEUtgsMU"",""All!A2:A""),0)),INDEX(IMPORTRANGE(""13KC70HngS4DDi8y9E5khtSpQEPG6owaQ9z4E-tR5mnY"","&amp;"""Non-Food!B2:B""),MATCH($B146,IMPORTRANGE(""13KC70HngS4DDi8y9E5khtSpQEPG6owaQ9z4E-tR5mnY"",""Non-Food!A2:A""),0))),"""")"),"")</f>
        <v/>
      </c>
      <c r="D146" s="5" t="str">
        <f t="shared" si="3"/>
        <v/>
      </c>
      <c r="E146" s="4"/>
      <c r="F146" s="4"/>
      <c r="G146" s="4" t="str">
        <f t="shared" si="1"/>
        <v/>
      </c>
      <c r="H146" s="4"/>
      <c r="I146" s="4"/>
    </row>
    <row r="147">
      <c r="A147" s="4"/>
      <c r="B147" s="15"/>
      <c r="C147" s="7" t="str">
        <f>IFERROR(__xludf.DUMMYFUNCTION("iferror(iferror(INDEX(IMPORTRANGE(""12vtnxaE_Q1s4tyr10kZQx7ZF_xG0lBFae4jQEUtgsMU"",""All!B2:B""),MATCH($B147,IMPORTRANGE(""12vtnxaE_Q1s4tyr10kZQx7ZF_xG0lBFae4jQEUtgsMU"",""All!A2:A""),0)),INDEX(IMPORTRANGE(""13KC70HngS4DDi8y9E5khtSpQEPG6owaQ9z4E-tR5mnY"","&amp;"""Non-Food!B2:B""),MATCH($B147,IMPORTRANGE(""13KC70HngS4DDi8y9E5khtSpQEPG6owaQ9z4E-tR5mnY"",""Non-Food!A2:A""),0))),"""")"),"")</f>
        <v/>
      </c>
      <c r="D147" s="5" t="str">
        <f t="shared" si="3"/>
        <v/>
      </c>
      <c r="E147" s="4"/>
      <c r="F147" s="4"/>
      <c r="G147" s="4" t="str">
        <f t="shared" si="1"/>
        <v/>
      </c>
      <c r="H147" s="4"/>
      <c r="I147" s="4"/>
    </row>
    <row r="148">
      <c r="A148" s="4"/>
      <c r="B148" s="15"/>
      <c r="C148" s="7" t="str">
        <f>IFERROR(__xludf.DUMMYFUNCTION("iferror(iferror(INDEX(IMPORTRANGE(""12vtnxaE_Q1s4tyr10kZQx7ZF_xG0lBFae4jQEUtgsMU"",""All!B2:B""),MATCH($B148,IMPORTRANGE(""12vtnxaE_Q1s4tyr10kZQx7ZF_xG0lBFae4jQEUtgsMU"",""All!A2:A""),0)),INDEX(IMPORTRANGE(""13KC70HngS4DDi8y9E5khtSpQEPG6owaQ9z4E-tR5mnY"","&amp;"""Non-Food!B2:B""),MATCH($B148,IMPORTRANGE(""13KC70HngS4DDi8y9E5khtSpQEPG6owaQ9z4E-tR5mnY"",""Non-Food!A2:A""),0))),"""")"),"")</f>
        <v/>
      </c>
      <c r="D148" s="5" t="str">
        <f t="shared" si="3"/>
        <v/>
      </c>
      <c r="E148" s="4"/>
      <c r="F148" s="4"/>
      <c r="G148" s="4" t="str">
        <f t="shared" si="1"/>
        <v/>
      </c>
      <c r="H148" s="4"/>
      <c r="I148" s="4"/>
    </row>
    <row r="149">
      <c r="A149" s="4"/>
      <c r="B149" s="15"/>
      <c r="C149" s="7" t="str">
        <f>IFERROR(__xludf.DUMMYFUNCTION("iferror(iferror(INDEX(IMPORTRANGE(""12vtnxaE_Q1s4tyr10kZQx7ZF_xG0lBFae4jQEUtgsMU"",""All!B2:B""),MATCH($B149,IMPORTRANGE(""12vtnxaE_Q1s4tyr10kZQx7ZF_xG0lBFae4jQEUtgsMU"",""All!A2:A""),0)),INDEX(IMPORTRANGE(""13KC70HngS4DDi8y9E5khtSpQEPG6owaQ9z4E-tR5mnY"","&amp;"""Non-Food!B2:B""),MATCH($B149,IMPORTRANGE(""13KC70HngS4DDi8y9E5khtSpQEPG6owaQ9z4E-tR5mnY"",""Non-Food!A2:A""),0))),"""")"),"")</f>
        <v/>
      </c>
      <c r="D149" s="5" t="str">
        <f t="shared" si="3"/>
        <v/>
      </c>
      <c r="E149" s="4"/>
      <c r="F149" s="4"/>
      <c r="G149" s="4" t="str">
        <f t="shared" si="1"/>
        <v/>
      </c>
      <c r="H149" s="4"/>
      <c r="I149" s="4"/>
    </row>
    <row r="150">
      <c r="A150" s="4"/>
      <c r="B150" s="15"/>
      <c r="C150" s="7" t="str">
        <f>IFERROR(__xludf.DUMMYFUNCTION("iferror(iferror(INDEX(IMPORTRANGE(""12vtnxaE_Q1s4tyr10kZQx7ZF_xG0lBFae4jQEUtgsMU"",""All!B2:B""),MATCH($B150,IMPORTRANGE(""12vtnxaE_Q1s4tyr10kZQx7ZF_xG0lBFae4jQEUtgsMU"",""All!A2:A""),0)),INDEX(IMPORTRANGE(""13KC70HngS4DDi8y9E5khtSpQEPG6owaQ9z4E-tR5mnY"","&amp;"""Non-Food!B2:B""),MATCH($B150,IMPORTRANGE(""13KC70HngS4DDi8y9E5khtSpQEPG6owaQ9z4E-tR5mnY"",""Non-Food!A2:A""),0))),"""")"),"")</f>
        <v/>
      </c>
      <c r="D150" s="5" t="str">
        <f t="shared" si="3"/>
        <v/>
      </c>
      <c r="E150" s="4"/>
      <c r="F150" s="4"/>
      <c r="G150" s="4" t="str">
        <f t="shared" si="1"/>
        <v/>
      </c>
      <c r="H150" s="4"/>
      <c r="I150" s="4"/>
    </row>
    <row r="151">
      <c r="A151" s="4"/>
      <c r="B151" s="15"/>
      <c r="C151" s="7" t="str">
        <f>IFERROR(__xludf.DUMMYFUNCTION("iferror(iferror(INDEX(IMPORTRANGE(""12vtnxaE_Q1s4tyr10kZQx7ZF_xG0lBFae4jQEUtgsMU"",""All!B2:B""),MATCH($B151,IMPORTRANGE(""12vtnxaE_Q1s4tyr10kZQx7ZF_xG0lBFae4jQEUtgsMU"",""All!A2:A""),0)),INDEX(IMPORTRANGE(""13KC70HngS4DDi8y9E5khtSpQEPG6owaQ9z4E-tR5mnY"","&amp;"""Non-Food!B2:B""),MATCH($B151,IMPORTRANGE(""13KC70HngS4DDi8y9E5khtSpQEPG6owaQ9z4E-tR5mnY"",""Non-Food!A2:A""),0))),"""")"),"")</f>
        <v/>
      </c>
      <c r="D151" s="5" t="str">
        <f t="shared" si="3"/>
        <v/>
      </c>
      <c r="E151" s="4"/>
      <c r="F151" s="4"/>
      <c r="G151" s="4"/>
      <c r="H151" s="4"/>
      <c r="I151" s="4"/>
    </row>
    <row r="152">
      <c r="A152" s="4"/>
      <c r="B152" s="15"/>
      <c r="C152" s="7" t="str">
        <f>IFERROR(__xludf.DUMMYFUNCTION("iferror(iferror(INDEX(IMPORTRANGE(""12vtnxaE_Q1s4tyr10kZQx7ZF_xG0lBFae4jQEUtgsMU"",""All!B2:B""),MATCH($B152,IMPORTRANGE(""12vtnxaE_Q1s4tyr10kZQx7ZF_xG0lBFae4jQEUtgsMU"",""All!A2:A""),0)),INDEX(IMPORTRANGE(""13KC70HngS4DDi8y9E5khtSpQEPG6owaQ9z4E-tR5mnY"","&amp;"""Non-Food!B2:B""),MATCH($B152,IMPORTRANGE(""13KC70HngS4DDi8y9E5khtSpQEPG6owaQ9z4E-tR5mnY"",""Non-Food!A2:A""),0))),"""")"),"")</f>
        <v/>
      </c>
      <c r="D152" s="5" t="str">
        <f t="shared" si="3"/>
        <v/>
      </c>
      <c r="E152" s="4"/>
      <c r="F152" s="4"/>
      <c r="G152" s="4"/>
      <c r="H152" s="4"/>
      <c r="I152" s="4"/>
    </row>
    <row r="153">
      <c r="A153" s="4"/>
      <c r="B153" s="15"/>
      <c r="C153" s="7" t="str">
        <f>IFERROR(__xludf.DUMMYFUNCTION("iferror(iferror(INDEX(IMPORTRANGE(""12vtnxaE_Q1s4tyr10kZQx7ZF_xG0lBFae4jQEUtgsMU"",""All!B2:B""),MATCH($B153,IMPORTRANGE(""12vtnxaE_Q1s4tyr10kZQx7ZF_xG0lBFae4jQEUtgsMU"",""All!A2:A""),0)),INDEX(IMPORTRANGE(""13KC70HngS4DDi8y9E5khtSpQEPG6owaQ9z4E-tR5mnY"","&amp;"""Non-Food!B2:B""),MATCH($B153,IMPORTRANGE(""13KC70HngS4DDi8y9E5khtSpQEPG6owaQ9z4E-tR5mnY"",""Non-Food!A2:A""),0))),"""")"),"")</f>
        <v/>
      </c>
      <c r="D153" s="5" t="str">
        <f t="shared" si="3"/>
        <v/>
      </c>
      <c r="E153" s="4"/>
      <c r="F153" s="4"/>
      <c r="G153" s="4"/>
      <c r="H153" s="4"/>
      <c r="I153" s="4"/>
    </row>
    <row r="154">
      <c r="A154" s="4"/>
      <c r="B154" s="15"/>
      <c r="C154" s="7" t="str">
        <f>IFERROR(__xludf.DUMMYFUNCTION("iferror(iferror(INDEX(IMPORTRANGE(""12vtnxaE_Q1s4tyr10kZQx7ZF_xG0lBFae4jQEUtgsMU"",""All!B2:B""),MATCH($B154,IMPORTRANGE(""12vtnxaE_Q1s4tyr10kZQx7ZF_xG0lBFae4jQEUtgsMU"",""All!A2:A""),0)),INDEX(IMPORTRANGE(""13KC70HngS4DDi8y9E5khtSpQEPG6owaQ9z4E-tR5mnY"","&amp;"""Non-Food!B2:B""),MATCH($B154,IMPORTRANGE(""13KC70HngS4DDi8y9E5khtSpQEPG6owaQ9z4E-tR5mnY"",""Non-Food!A2:A""),0))),"""")"),"")</f>
        <v/>
      </c>
      <c r="D154" s="5" t="str">
        <f t="shared" si="3"/>
        <v/>
      </c>
      <c r="E154" s="4"/>
      <c r="F154" s="4"/>
      <c r="G154" s="4"/>
      <c r="H154" s="4"/>
      <c r="I154" s="4"/>
    </row>
    <row r="155">
      <c r="A155" s="4"/>
      <c r="B155" s="15"/>
      <c r="C155" s="7" t="str">
        <f>IFERROR(__xludf.DUMMYFUNCTION("iferror(iferror(INDEX(IMPORTRANGE(""12vtnxaE_Q1s4tyr10kZQx7ZF_xG0lBFae4jQEUtgsMU"",""All!B2:B""),MATCH($B155,IMPORTRANGE(""12vtnxaE_Q1s4tyr10kZQx7ZF_xG0lBFae4jQEUtgsMU"",""All!A2:A""),0)),INDEX(IMPORTRANGE(""13KC70HngS4DDi8y9E5khtSpQEPG6owaQ9z4E-tR5mnY"","&amp;"""Non-Food!B2:B""),MATCH($B155,IMPORTRANGE(""13KC70HngS4DDi8y9E5khtSpQEPG6owaQ9z4E-tR5mnY"",""Non-Food!A2:A""),0))),"""")"),"")</f>
        <v/>
      </c>
      <c r="D155" s="5" t="str">
        <f t="shared" si="3"/>
        <v/>
      </c>
      <c r="E155" s="4"/>
      <c r="F155" s="4"/>
      <c r="G155" s="4"/>
      <c r="H155" s="4"/>
      <c r="I155" s="4"/>
    </row>
    <row r="156">
      <c r="A156" s="4"/>
      <c r="B156" s="15"/>
      <c r="C156" s="7" t="str">
        <f>IFERROR(__xludf.DUMMYFUNCTION("iferror(iferror(INDEX(IMPORTRANGE(""12vtnxaE_Q1s4tyr10kZQx7ZF_xG0lBFae4jQEUtgsMU"",""All!B2:B""),MATCH($B156,IMPORTRANGE(""12vtnxaE_Q1s4tyr10kZQx7ZF_xG0lBFae4jQEUtgsMU"",""All!A2:A""),0)),INDEX(IMPORTRANGE(""13KC70HngS4DDi8y9E5khtSpQEPG6owaQ9z4E-tR5mnY"","&amp;"""Non-Food!B2:B""),MATCH($B156,IMPORTRANGE(""13KC70HngS4DDi8y9E5khtSpQEPG6owaQ9z4E-tR5mnY"",""Non-Food!A2:A""),0))),"""")"),"")</f>
        <v/>
      </c>
      <c r="D156" s="5" t="str">
        <f t="shared" si="3"/>
        <v/>
      </c>
      <c r="E156" s="4"/>
      <c r="F156" s="4"/>
      <c r="G156" s="4"/>
      <c r="H156" s="4"/>
      <c r="I156" s="4"/>
    </row>
    <row r="157">
      <c r="A157" s="4"/>
      <c r="B157" s="15"/>
      <c r="C157" s="7" t="str">
        <f>IFERROR(__xludf.DUMMYFUNCTION("iferror(iferror(INDEX(IMPORTRANGE(""12vtnxaE_Q1s4tyr10kZQx7ZF_xG0lBFae4jQEUtgsMU"",""All!B2:B""),MATCH($B157,IMPORTRANGE(""12vtnxaE_Q1s4tyr10kZQx7ZF_xG0lBFae4jQEUtgsMU"",""All!A2:A""),0)),INDEX(IMPORTRANGE(""13KC70HngS4DDi8y9E5khtSpQEPG6owaQ9z4E-tR5mnY"","&amp;"""Non-Food!B2:B""),MATCH($B157,IMPORTRANGE(""13KC70HngS4DDi8y9E5khtSpQEPG6owaQ9z4E-tR5mnY"",""Non-Food!A2:A""),0))),"""")"),"")</f>
        <v/>
      </c>
      <c r="D157" s="5" t="str">
        <f t="shared" si="3"/>
        <v/>
      </c>
      <c r="E157" s="4"/>
      <c r="F157" s="4"/>
      <c r="G157" s="4"/>
      <c r="H157" s="4"/>
      <c r="I157" s="4"/>
    </row>
    <row r="158">
      <c r="A158" s="4"/>
      <c r="B158" s="15"/>
      <c r="C158" s="7" t="str">
        <f>IFERROR(__xludf.DUMMYFUNCTION("iferror(iferror(INDEX(IMPORTRANGE(""12vtnxaE_Q1s4tyr10kZQx7ZF_xG0lBFae4jQEUtgsMU"",""All!B2:B""),MATCH($B158,IMPORTRANGE(""12vtnxaE_Q1s4tyr10kZQx7ZF_xG0lBFae4jQEUtgsMU"",""All!A2:A""),0)),INDEX(IMPORTRANGE(""13KC70HngS4DDi8y9E5khtSpQEPG6owaQ9z4E-tR5mnY"","&amp;"""Non-Food!B2:B""),MATCH($B158,IMPORTRANGE(""13KC70HngS4DDi8y9E5khtSpQEPG6owaQ9z4E-tR5mnY"",""Non-Food!A2:A""),0))),"""")"),"")</f>
        <v/>
      </c>
      <c r="D158" s="5" t="str">
        <f t="shared" si="3"/>
        <v/>
      </c>
      <c r="E158" s="4"/>
      <c r="F158" s="4"/>
      <c r="G158" s="4"/>
      <c r="H158" s="4"/>
      <c r="I158" s="4"/>
    </row>
    <row r="159">
      <c r="A159" s="4"/>
      <c r="B159" s="15"/>
      <c r="C159" s="7" t="str">
        <f>IFERROR(__xludf.DUMMYFUNCTION("iferror(iferror(INDEX(IMPORTRANGE(""12vtnxaE_Q1s4tyr10kZQx7ZF_xG0lBFae4jQEUtgsMU"",""All!B2:B""),MATCH($B159,IMPORTRANGE(""12vtnxaE_Q1s4tyr10kZQx7ZF_xG0lBFae4jQEUtgsMU"",""All!A2:A""),0)),INDEX(IMPORTRANGE(""13KC70HngS4DDi8y9E5khtSpQEPG6owaQ9z4E-tR5mnY"","&amp;"""Non-Food!B2:B""),MATCH($B159,IMPORTRANGE(""13KC70HngS4DDi8y9E5khtSpQEPG6owaQ9z4E-tR5mnY"",""Non-Food!A2:A""),0))),"""")"),"")</f>
        <v/>
      </c>
      <c r="D159" s="5" t="str">
        <f t="shared" si="3"/>
        <v/>
      </c>
      <c r="E159" s="4"/>
      <c r="F159" s="4"/>
      <c r="G159" s="4"/>
      <c r="H159" s="4"/>
      <c r="I159" s="4"/>
    </row>
    <row r="160">
      <c r="A160" s="4"/>
      <c r="B160" s="15"/>
      <c r="C160" s="7" t="str">
        <f>IFERROR(__xludf.DUMMYFUNCTION("iferror(iferror(INDEX(IMPORTRANGE(""12vtnxaE_Q1s4tyr10kZQx7ZF_xG0lBFae4jQEUtgsMU"",""All!B2:B""),MATCH($B160,IMPORTRANGE(""12vtnxaE_Q1s4tyr10kZQx7ZF_xG0lBFae4jQEUtgsMU"",""All!A2:A""),0)),INDEX(IMPORTRANGE(""13KC70HngS4DDi8y9E5khtSpQEPG6owaQ9z4E-tR5mnY"","&amp;"""Non-Food!B2:B""),MATCH($B160,IMPORTRANGE(""13KC70HngS4DDi8y9E5khtSpQEPG6owaQ9z4E-tR5mnY"",""Non-Food!A2:A""),0))),"""")"),"")</f>
        <v/>
      </c>
      <c r="D160" s="5" t="str">
        <f t="shared" si="3"/>
        <v/>
      </c>
      <c r="E160" s="4"/>
      <c r="F160" s="4"/>
      <c r="G160" s="4"/>
      <c r="H160" s="4"/>
      <c r="I160" s="4"/>
    </row>
    <row r="161">
      <c r="A161" s="4"/>
      <c r="B161" s="15"/>
      <c r="C161" s="7" t="str">
        <f>IFERROR(__xludf.DUMMYFUNCTION("iferror(iferror(INDEX(IMPORTRANGE(""12vtnxaE_Q1s4tyr10kZQx7ZF_xG0lBFae4jQEUtgsMU"",""All!B2:B""),MATCH($B161,IMPORTRANGE(""12vtnxaE_Q1s4tyr10kZQx7ZF_xG0lBFae4jQEUtgsMU"",""All!A2:A""),0)),INDEX(IMPORTRANGE(""13KC70HngS4DDi8y9E5khtSpQEPG6owaQ9z4E-tR5mnY"","&amp;"""Non-Food!B2:B""),MATCH($B161,IMPORTRANGE(""13KC70HngS4DDi8y9E5khtSpQEPG6owaQ9z4E-tR5mnY"",""Non-Food!A2:A""),0))),"""")"),"")</f>
        <v/>
      </c>
      <c r="D161" s="5" t="str">
        <f t="shared" si="3"/>
        <v/>
      </c>
      <c r="E161" s="4"/>
      <c r="F161" s="4"/>
      <c r="G161" s="4"/>
      <c r="H161" s="4"/>
      <c r="I161" s="4"/>
    </row>
    <row r="162">
      <c r="A162" s="4"/>
      <c r="B162" s="15"/>
      <c r="C162" s="7" t="str">
        <f>IFERROR(__xludf.DUMMYFUNCTION("iferror(iferror(INDEX(IMPORTRANGE(""12vtnxaE_Q1s4tyr10kZQx7ZF_xG0lBFae4jQEUtgsMU"",""All!B2:B""),MATCH($B162,IMPORTRANGE(""12vtnxaE_Q1s4tyr10kZQx7ZF_xG0lBFae4jQEUtgsMU"",""All!A2:A""),0)),INDEX(IMPORTRANGE(""13KC70HngS4DDi8y9E5khtSpQEPG6owaQ9z4E-tR5mnY"","&amp;"""Non-Food!B2:B""),MATCH($B162,IMPORTRANGE(""13KC70HngS4DDi8y9E5khtSpQEPG6owaQ9z4E-tR5mnY"",""Non-Food!A2:A""),0))),"""")"),"")</f>
        <v/>
      </c>
      <c r="D162" s="5" t="str">
        <f t="shared" si="3"/>
        <v/>
      </c>
      <c r="E162" s="4"/>
      <c r="F162" s="4"/>
      <c r="G162" s="4"/>
      <c r="H162" s="4"/>
      <c r="I162" s="4"/>
    </row>
    <row r="163">
      <c r="A163" s="4"/>
      <c r="B163" s="15"/>
      <c r="C163" s="7" t="str">
        <f>IFERROR(__xludf.DUMMYFUNCTION("iferror(iferror(INDEX(IMPORTRANGE(""12vtnxaE_Q1s4tyr10kZQx7ZF_xG0lBFae4jQEUtgsMU"",""All!B2:B""),MATCH($B163,IMPORTRANGE(""12vtnxaE_Q1s4tyr10kZQx7ZF_xG0lBFae4jQEUtgsMU"",""All!A2:A""),0)),INDEX(IMPORTRANGE(""13KC70HngS4DDi8y9E5khtSpQEPG6owaQ9z4E-tR5mnY"","&amp;"""Non-Food!B2:B""),MATCH($B163,IMPORTRANGE(""13KC70HngS4DDi8y9E5khtSpQEPG6owaQ9z4E-tR5mnY"",""Non-Food!A2:A""),0))),"""")"),"")</f>
        <v/>
      </c>
      <c r="D163" s="5" t="str">
        <f t="shared" si="3"/>
        <v/>
      </c>
      <c r="E163" s="4"/>
      <c r="F163" s="4"/>
      <c r="G163" s="4"/>
      <c r="H163" s="4"/>
      <c r="I163" s="4"/>
    </row>
    <row r="164">
      <c r="A164" s="4"/>
      <c r="B164" s="15"/>
      <c r="C164" s="7" t="str">
        <f>IFERROR(__xludf.DUMMYFUNCTION("iferror(iferror(INDEX(IMPORTRANGE(""12vtnxaE_Q1s4tyr10kZQx7ZF_xG0lBFae4jQEUtgsMU"",""All!B2:B""),MATCH($B164,IMPORTRANGE(""12vtnxaE_Q1s4tyr10kZQx7ZF_xG0lBFae4jQEUtgsMU"",""All!A2:A""),0)),INDEX(IMPORTRANGE(""13KC70HngS4DDi8y9E5khtSpQEPG6owaQ9z4E-tR5mnY"","&amp;"""Non-Food!B2:B""),MATCH($B164,IMPORTRANGE(""13KC70HngS4DDi8y9E5khtSpQEPG6owaQ9z4E-tR5mnY"",""Non-Food!A2:A""),0))),"""")"),"")</f>
        <v/>
      </c>
      <c r="D164" s="5" t="str">
        <f t="shared" si="3"/>
        <v/>
      </c>
      <c r="E164" s="4"/>
      <c r="F164" s="4"/>
      <c r="G164" s="4"/>
      <c r="H164" s="4"/>
      <c r="I164" s="4"/>
    </row>
    <row r="165">
      <c r="A165" s="4"/>
      <c r="B165" s="15"/>
      <c r="C165" s="7" t="str">
        <f>IFERROR(__xludf.DUMMYFUNCTION("iferror(iferror(INDEX(IMPORTRANGE(""12vtnxaE_Q1s4tyr10kZQx7ZF_xG0lBFae4jQEUtgsMU"",""All!B2:B""),MATCH($B165,IMPORTRANGE(""12vtnxaE_Q1s4tyr10kZQx7ZF_xG0lBFae4jQEUtgsMU"",""All!A2:A""),0)),INDEX(IMPORTRANGE(""13KC70HngS4DDi8y9E5khtSpQEPG6owaQ9z4E-tR5mnY"","&amp;"""Non-Food!B2:B""),MATCH($B165,IMPORTRANGE(""13KC70HngS4DDi8y9E5khtSpQEPG6owaQ9z4E-tR5mnY"",""Non-Food!A2:A""),0))),"""")"),"")</f>
        <v/>
      </c>
      <c r="D165" s="5" t="str">
        <f t="shared" si="3"/>
        <v/>
      </c>
      <c r="E165" s="4"/>
      <c r="F165" s="4"/>
      <c r="G165" s="4"/>
      <c r="H165" s="4"/>
      <c r="I165" s="4"/>
    </row>
    <row r="166">
      <c r="A166" s="4"/>
      <c r="B166" s="15"/>
      <c r="C166" s="7" t="str">
        <f>IFERROR(__xludf.DUMMYFUNCTION("iferror(iferror(INDEX(IMPORTRANGE(""12vtnxaE_Q1s4tyr10kZQx7ZF_xG0lBFae4jQEUtgsMU"",""All!B2:B""),MATCH($B166,IMPORTRANGE(""12vtnxaE_Q1s4tyr10kZQx7ZF_xG0lBFae4jQEUtgsMU"",""All!A2:A""),0)),INDEX(IMPORTRANGE(""13KC70HngS4DDi8y9E5khtSpQEPG6owaQ9z4E-tR5mnY"","&amp;"""Non-Food!B2:B""),MATCH($B166,IMPORTRANGE(""13KC70HngS4DDi8y9E5khtSpQEPG6owaQ9z4E-tR5mnY"",""Non-Food!A2:A""),0))),"""")"),"")</f>
        <v/>
      </c>
      <c r="D166" s="5" t="str">
        <f t="shared" si="3"/>
        <v/>
      </c>
      <c r="E166" s="4"/>
      <c r="F166" s="4"/>
      <c r="G166" s="4"/>
      <c r="H166" s="4"/>
      <c r="I166" s="4"/>
    </row>
    <row r="167">
      <c r="A167" s="4"/>
      <c r="B167" s="15"/>
      <c r="C167" s="7" t="str">
        <f>IFERROR(__xludf.DUMMYFUNCTION("iferror(iferror(INDEX(IMPORTRANGE(""12vtnxaE_Q1s4tyr10kZQx7ZF_xG0lBFae4jQEUtgsMU"",""All!B2:B""),MATCH($B167,IMPORTRANGE(""12vtnxaE_Q1s4tyr10kZQx7ZF_xG0lBFae4jQEUtgsMU"",""All!A2:A""),0)),INDEX(IMPORTRANGE(""13KC70HngS4DDi8y9E5khtSpQEPG6owaQ9z4E-tR5mnY"","&amp;"""Non-Food!B2:B""),MATCH($B167,IMPORTRANGE(""13KC70HngS4DDi8y9E5khtSpQEPG6owaQ9z4E-tR5mnY"",""Non-Food!A2:A""),0))),"""")"),"")</f>
        <v/>
      </c>
      <c r="D167" s="5" t="str">
        <f t="shared" si="3"/>
        <v/>
      </c>
      <c r="E167" s="4"/>
      <c r="F167" s="4"/>
      <c r="G167" s="4"/>
      <c r="H167" s="4"/>
      <c r="I167" s="4"/>
    </row>
    <row r="168">
      <c r="A168" s="4"/>
      <c r="B168" s="15"/>
      <c r="C168" s="7" t="str">
        <f>IFERROR(__xludf.DUMMYFUNCTION("iferror(iferror(INDEX(IMPORTRANGE(""12vtnxaE_Q1s4tyr10kZQx7ZF_xG0lBFae4jQEUtgsMU"",""All!B2:B""),MATCH($B168,IMPORTRANGE(""12vtnxaE_Q1s4tyr10kZQx7ZF_xG0lBFae4jQEUtgsMU"",""All!A2:A""),0)),INDEX(IMPORTRANGE(""13KC70HngS4DDi8y9E5khtSpQEPG6owaQ9z4E-tR5mnY"","&amp;"""Non-Food!B2:B""),MATCH($B168,IMPORTRANGE(""13KC70HngS4DDi8y9E5khtSpQEPG6owaQ9z4E-tR5mnY"",""Non-Food!A2:A""),0))),"""")"),"")</f>
        <v/>
      </c>
      <c r="D168" s="5" t="str">
        <f t="shared" si="3"/>
        <v/>
      </c>
      <c r="E168" s="4"/>
      <c r="F168" s="4"/>
      <c r="G168" s="4"/>
      <c r="H168" s="4"/>
      <c r="I168" s="4"/>
    </row>
    <row r="169">
      <c r="A169" s="4"/>
      <c r="B169" s="15"/>
      <c r="C169" s="7" t="str">
        <f>IFERROR(__xludf.DUMMYFUNCTION("iferror(iferror(INDEX(IMPORTRANGE(""12vtnxaE_Q1s4tyr10kZQx7ZF_xG0lBFae4jQEUtgsMU"",""All!B2:B""),MATCH($B169,IMPORTRANGE(""12vtnxaE_Q1s4tyr10kZQx7ZF_xG0lBFae4jQEUtgsMU"",""All!A2:A""),0)),INDEX(IMPORTRANGE(""13KC70HngS4DDi8y9E5khtSpQEPG6owaQ9z4E-tR5mnY"","&amp;"""Non-Food!B2:B""),MATCH($B169,IMPORTRANGE(""13KC70HngS4DDi8y9E5khtSpQEPG6owaQ9z4E-tR5mnY"",""Non-Food!A2:A""),0))),"""")"),"")</f>
        <v/>
      </c>
      <c r="D169" s="5" t="str">
        <f t="shared" si="3"/>
        <v/>
      </c>
      <c r="E169" s="4"/>
      <c r="F169" s="4"/>
      <c r="G169" s="4"/>
      <c r="H169" s="4"/>
      <c r="I169" s="4"/>
    </row>
    <row r="170">
      <c r="A170" s="4"/>
      <c r="B170" s="15"/>
      <c r="C170" s="7" t="str">
        <f>IFERROR(__xludf.DUMMYFUNCTION("iferror(iferror(INDEX(IMPORTRANGE(""12vtnxaE_Q1s4tyr10kZQx7ZF_xG0lBFae4jQEUtgsMU"",""All!B2:B""),MATCH($B170,IMPORTRANGE(""12vtnxaE_Q1s4tyr10kZQx7ZF_xG0lBFae4jQEUtgsMU"",""All!A2:A""),0)),INDEX(IMPORTRANGE(""13KC70HngS4DDi8y9E5khtSpQEPG6owaQ9z4E-tR5mnY"","&amp;"""Non-Food!B2:B""),MATCH($B170,IMPORTRANGE(""13KC70HngS4DDi8y9E5khtSpQEPG6owaQ9z4E-tR5mnY"",""Non-Food!A2:A""),0))),"""")"),"")</f>
        <v/>
      </c>
      <c r="D170" s="5" t="str">
        <f t="shared" si="3"/>
        <v/>
      </c>
      <c r="E170" s="4"/>
      <c r="F170" s="4"/>
      <c r="G170" s="4"/>
      <c r="H170" s="4"/>
      <c r="I170" s="4"/>
    </row>
    <row r="171">
      <c r="A171" s="4"/>
      <c r="B171" s="15"/>
      <c r="C171" s="7" t="str">
        <f>IFERROR(__xludf.DUMMYFUNCTION("iferror(iferror(INDEX(IMPORTRANGE(""12vtnxaE_Q1s4tyr10kZQx7ZF_xG0lBFae4jQEUtgsMU"",""All!B2:B""),MATCH($B171,IMPORTRANGE(""12vtnxaE_Q1s4tyr10kZQx7ZF_xG0lBFae4jQEUtgsMU"",""All!A2:A""),0)),INDEX(IMPORTRANGE(""13KC70HngS4DDi8y9E5khtSpQEPG6owaQ9z4E-tR5mnY"","&amp;"""Non-Food!B2:B""),MATCH($B171,IMPORTRANGE(""13KC70HngS4DDi8y9E5khtSpQEPG6owaQ9z4E-tR5mnY"",""Non-Food!A2:A""),0))),"""")"),"")</f>
        <v/>
      </c>
      <c r="D171" s="5" t="str">
        <f t="shared" si="3"/>
        <v/>
      </c>
      <c r="E171" s="4"/>
      <c r="F171" s="4"/>
      <c r="G171" s="4"/>
      <c r="H171" s="4"/>
      <c r="I171" s="4"/>
    </row>
    <row r="172">
      <c r="A172" s="4"/>
      <c r="B172" s="15"/>
      <c r="C172" s="7" t="str">
        <f>IFERROR(__xludf.DUMMYFUNCTION("iferror(iferror(INDEX(IMPORTRANGE(""12vtnxaE_Q1s4tyr10kZQx7ZF_xG0lBFae4jQEUtgsMU"",""All!B2:B""),MATCH($B172,IMPORTRANGE(""12vtnxaE_Q1s4tyr10kZQx7ZF_xG0lBFae4jQEUtgsMU"",""All!A2:A""),0)),INDEX(IMPORTRANGE(""13KC70HngS4DDi8y9E5khtSpQEPG6owaQ9z4E-tR5mnY"","&amp;"""Non-Food!B2:B""),MATCH($B172,IMPORTRANGE(""13KC70HngS4DDi8y9E5khtSpQEPG6owaQ9z4E-tR5mnY"",""Non-Food!A2:A""),0))),"""")"),"")</f>
        <v/>
      </c>
      <c r="D172" s="5" t="str">
        <f t="shared" si="3"/>
        <v/>
      </c>
      <c r="E172" s="4"/>
      <c r="F172" s="4"/>
      <c r="G172" s="4"/>
      <c r="H172" s="4"/>
      <c r="I172" s="4"/>
    </row>
    <row r="173">
      <c r="A173" s="4"/>
      <c r="B173" s="15"/>
      <c r="C173" s="7" t="str">
        <f>IFERROR(__xludf.DUMMYFUNCTION("iferror(iferror(INDEX(IMPORTRANGE(""12vtnxaE_Q1s4tyr10kZQx7ZF_xG0lBFae4jQEUtgsMU"",""All!B2:B""),MATCH($B173,IMPORTRANGE(""12vtnxaE_Q1s4tyr10kZQx7ZF_xG0lBFae4jQEUtgsMU"",""All!A2:A""),0)),INDEX(IMPORTRANGE(""13KC70HngS4DDi8y9E5khtSpQEPG6owaQ9z4E-tR5mnY"","&amp;"""Non-Food!B2:B""),MATCH($B173,IMPORTRANGE(""13KC70HngS4DDi8y9E5khtSpQEPG6owaQ9z4E-tR5mnY"",""Non-Food!A2:A""),0))),"""")"),"")</f>
        <v/>
      </c>
      <c r="D173" s="5" t="str">
        <f t="shared" si="3"/>
        <v/>
      </c>
      <c r="E173" s="4"/>
      <c r="F173" s="4"/>
      <c r="G173" s="4"/>
      <c r="H173" s="4"/>
      <c r="I173" s="4"/>
    </row>
    <row r="174">
      <c r="A174" s="4"/>
      <c r="B174" s="15"/>
      <c r="C174" s="7" t="str">
        <f>IFERROR(__xludf.DUMMYFUNCTION("iferror(iferror(INDEX(IMPORTRANGE(""12vtnxaE_Q1s4tyr10kZQx7ZF_xG0lBFae4jQEUtgsMU"",""All!B2:B""),MATCH($B174,IMPORTRANGE(""12vtnxaE_Q1s4tyr10kZQx7ZF_xG0lBFae4jQEUtgsMU"",""All!A2:A""),0)),INDEX(IMPORTRANGE(""13KC70HngS4DDi8y9E5khtSpQEPG6owaQ9z4E-tR5mnY"","&amp;"""Non-Food!B2:B""),MATCH($B174,IMPORTRANGE(""13KC70HngS4DDi8y9E5khtSpQEPG6owaQ9z4E-tR5mnY"",""Non-Food!A2:A""),0))),"""")"),"")</f>
        <v/>
      </c>
      <c r="D174" s="5" t="str">
        <f t="shared" si="3"/>
        <v/>
      </c>
      <c r="E174" s="4"/>
      <c r="F174" s="4"/>
      <c r="G174" s="4"/>
      <c r="H174" s="4"/>
      <c r="I174" s="4"/>
    </row>
    <row r="175">
      <c r="A175" s="4"/>
      <c r="B175" s="15"/>
      <c r="C175" s="7" t="str">
        <f>IFERROR(__xludf.DUMMYFUNCTION("iferror(iferror(INDEX(IMPORTRANGE(""12vtnxaE_Q1s4tyr10kZQx7ZF_xG0lBFae4jQEUtgsMU"",""All!B2:B""),MATCH($B175,IMPORTRANGE(""12vtnxaE_Q1s4tyr10kZQx7ZF_xG0lBFae4jQEUtgsMU"",""All!A2:A""),0)),INDEX(IMPORTRANGE(""13KC70HngS4DDi8y9E5khtSpQEPG6owaQ9z4E-tR5mnY"","&amp;"""Non-Food!B2:B""),MATCH($B175,IMPORTRANGE(""13KC70HngS4DDi8y9E5khtSpQEPG6owaQ9z4E-tR5mnY"",""Non-Food!A2:A""),0))),"""")"),"")</f>
        <v/>
      </c>
      <c r="D175" s="5" t="str">
        <f t="shared" si="3"/>
        <v/>
      </c>
      <c r="E175" s="4"/>
      <c r="F175" s="4"/>
      <c r="G175" s="4"/>
      <c r="H175" s="4"/>
      <c r="I175" s="4"/>
    </row>
    <row r="176">
      <c r="A176" s="4"/>
      <c r="B176" s="15"/>
      <c r="C176" s="7" t="str">
        <f>IFERROR(__xludf.DUMMYFUNCTION("iferror(iferror(INDEX(IMPORTRANGE(""12vtnxaE_Q1s4tyr10kZQx7ZF_xG0lBFae4jQEUtgsMU"",""All!B2:B""),MATCH($B176,IMPORTRANGE(""12vtnxaE_Q1s4tyr10kZQx7ZF_xG0lBFae4jQEUtgsMU"",""All!A2:A""),0)),INDEX(IMPORTRANGE(""13KC70HngS4DDi8y9E5khtSpQEPG6owaQ9z4E-tR5mnY"","&amp;"""Non-Food!B2:B""),MATCH($B176,IMPORTRANGE(""13KC70HngS4DDi8y9E5khtSpQEPG6owaQ9z4E-tR5mnY"",""Non-Food!A2:A""),0))),"""")"),"")</f>
        <v/>
      </c>
      <c r="D176" s="5" t="str">
        <f t="shared" si="3"/>
        <v/>
      </c>
      <c r="E176" s="4"/>
      <c r="F176" s="4"/>
      <c r="G176" s="4"/>
      <c r="H176" s="4"/>
      <c r="I176" s="4"/>
    </row>
    <row r="177">
      <c r="A177" s="4"/>
      <c r="B177" s="15"/>
      <c r="C177" s="7" t="str">
        <f>IFERROR(__xludf.DUMMYFUNCTION("iferror(iferror(INDEX(IMPORTRANGE(""12vtnxaE_Q1s4tyr10kZQx7ZF_xG0lBFae4jQEUtgsMU"",""All!B2:B""),MATCH($B177,IMPORTRANGE(""12vtnxaE_Q1s4tyr10kZQx7ZF_xG0lBFae4jQEUtgsMU"",""All!A2:A""),0)),INDEX(IMPORTRANGE(""13KC70HngS4DDi8y9E5khtSpQEPG6owaQ9z4E-tR5mnY"","&amp;"""Non-Food!B2:B""),MATCH($B177,IMPORTRANGE(""13KC70HngS4DDi8y9E5khtSpQEPG6owaQ9z4E-tR5mnY"",""Non-Food!A2:A""),0))),"""")"),"")</f>
        <v/>
      </c>
      <c r="D177" s="5" t="str">
        <f t="shared" si="3"/>
        <v/>
      </c>
      <c r="E177" s="4"/>
      <c r="F177" s="4"/>
      <c r="G177" s="4"/>
      <c r="H177" s="4"/>
      <c r="I177" s="4"/>
    </row>
    <row r="178">
      <c r="A178" s="4"/>
      <c r="B178" s="15"/>
      <c r="C178" s="7" t="str">
        <f>IFERROR(__xludf.DUMMYFUNCTION("iferror(iferror(INDEX(IMPORTRANGE(""12vtnxaE_Q1s4tyr10kZQx7ZF_xG0lBFae4jQEUtgsMU"",""All!B2:B""),MATCH($B178,IMPORTRANGE(""12vtnxaE_Q1s4tyr10kZQx7ZF_xG0lBFae4jQEUtgsMU"",""All!A2:A""),0)),INDEX(IMPORTRANGE(""13KC70HngS4DDi8y9E5khtSpQEPG6owaQ9z4E-tR5mnY"","&amp;"""Non-Food!B2:B""),MATCH($B178,IMPORTRANGE(""13KC70HngS4DDi8y9E5khtSpQEPG6owaQ9z4E-tR5mnY"",""Non-Food!A2:A""),0))),"""")"),"")</f>
        <v/>
      </c>
      <c r="D178" s="5" t="str">
        <f t="shared" si="3"/>
        <v/>
      </c>
      <c r="E178" s="4"/>
      <c r="F178" s="4"/>
      <c r="G178" s="4"/>
      <c r="H178" s="4"/>
      <c r="I178" s="4"/>
    </row>
    <row r="179">
      <c r="A179" s="4"/>
      <c r="B179" s="15"/>
      <c r="C179" s="7" t="str">
        <f>IFERROR(__xludf.DUMMYFUNCTION("iferror(iferror(INDEX(IMPORTRANGE(""12vtnxaE_Q1s4tyr10kZQx7ZF_xG0lBFae4jQEUtgsMU"",""All!B2:B""),MATCH($B179,IMPORTRANGE(""12vtnxaE_Q1s4tyr10kZQx7ZF_xG0lBFae4jQEUtgsMU"",""All!A2:A""),0)),INDEX(IMPORTRANGE(""13KC70HngS4DDi8y9E5khtSpQEPG6owaQ9z4E-tR5mnY"","&amp;"""Non-Food!B2:B""),MATCH($B179,IMPORTRANGE(""13KC70HngS4DDi8y9E5khtSpQEPG6owaQ9z4E-tR5mnY"",""Non-Food!A2:A""),0))),"""")"),"")</f>
        <v/>
      </c>
      <c r="D179" s="5" t="str">
        <f t="shared" si="3"/>
        <v/>
      </c>
      <c r="E179" s="4"/>
      <c r="F179" s="4"/>
      <c r="G179" s="4"/>
      <c r="H179" s="4"/>
      <c r="I179" s="4"/>
    </row>
    <row r="180">
      <c r="A180" s="4"/>
      <c r="B180" s="15"/>
      <c r="C180" s="7" t="str">
        <f>IFERROR(__xludf.DUMMYFUNCTION("iferror(iferror(INDEX(IMPORTRANGE(""12vtnxaE_Q1s4tyr10kZQx7ZF_xG0lBFae4jQEUtgsMU"",""All!B2:B""),MATCH($B180,IMPORTRANGE(""12vtnxaE_Q1s4tyr10kZQx7ZF_xG0lBFae4jQEUtgsMU"",""All!A2:A""),0)),INDEX(IMPORTRANGE(""13KC70HngS4DDi8y9E5khtSpQEPG6owaQ9z4E-tR5mnY"","&amp;"""Non-Food!B2:B""),MATCH($B180,IMPORTRANGE(""13KC70HngS4DDi8y9E5khtSpQEPG6owaQ9z4E-tR5mnY"",""Non-Food!A2:A""),0))),"""")"),"")</f>
        <v/>
      </c>
      <c r="D180" s="5" t="str">
        <f t="shared" si="3"/>
        <v/>
      </c>
      <c r="E180" s="4"/>
      <c r="F180" s="4"/>
      <c r="G180" s="4"/>
      <c r="H180" s="4"/>
      <c r="I180" s="4"/>
    </row>
    <row r="181">
      <c r="A181" s="4"/>
      <c r="B181" s="15"/>
      <c r="C181" s="7" t="str">
        <f>IFERROR(__xludf.DUMMYFUNCTION("iferror(iferror(INDEX(IMPORTRANGE(""12vtnxaE_Q1s4tyr10kZQx7ZF_xG0lBFae4jQEUtgsMU"",""All!B2:B""),MATCH($B181,IMPORTRANGE(""12vtnxaE_Q1s4tyr10kZQx7ZF_xG0lBFae4jQEUtgsMU"",""All!A2:A""),0)),INDEX(IMPORTRANGE(""13KC70HngS4DDi8y9E5khtSpQEPG6owaQ9z4E-tR5mnY"","&amp;"""Non-Food!B2:B""),MATCH($B181,IMPORTRANGE(""13KC70HngS4DDi8y9E5khtSpQEPG6owaQ9z4E-tR5mnY"",""Non-Food!A2:A""),0))),"""")"),"")</f>
        <v/>
      </c>
      <c r="D181" s="5" t="str">
        <f t="shared" si="3"/>
        <v/>
      </c>
      <c r="E181" s="4"/>
      <c r="F181" s="4"/>
      <c r="G181" s="4"/>
      <c r="H181" s="4"/>
      <c r="I181" s="4"/>
    </row>
    <row r="182">
      <c r="A182" s="4"/>
      <c r="B182" s="15"/>
      <c r="C182" s="7" t="str">
        <f>IFERROR(__xludf.DUMMYFUNCTION("iferror(iferror(INDEX(IMPORTRANGE(""12vtnxaE_Q1s4tyr10kZQx7ZF_xG0lBFae4jQEUtgsMU"",""All!B2:B""),MATCH($B182,IMPORTRANGE(""12vtnxaE_Q1s4tyr10kZQx7ZF_xG0lBFae4jQEUtgsMU"",""All!A2:A""),0)),INDEX(IMPORTRANGE(""13KC70HngS4DDi8y9E5khtSpQEPG6owaQ9z4E-tR5mnY"","&amp;"""Non-Food!B2:B""),MATCH($B182,IMPORTRANGE(""13KC70HngS4DDi8y9E5khtSpQEPG6owaQ9z4E-tR5mnY"",""Non-Food!A2:A""),0))),"""")"),"")</f>
        <v/>
      </c>
      <c r="D182" s="5" t="str">
        <f t="shared" si="3"/>
        <v/>
      </c>
      <c r="E182" s="4"/>
      <c r="F182" s="4"/>
      <c r="G182" s="4"/>
      <c r="H182" s="4"/>
      <c r="I182" s="4"/>
    </row>
    <row r="183">
      <c r="A183" s="4"/>
      <c r="B183" s="15"/>
      <c r="C183" s="7" t="str">
        <f>IFERROR(__xludf.DUMMYFUNCTION("iferror(iferror(INDEX(IMPORTRANGE(""12vtnxaE_Q1s4tyr10kZQx7ZF_xG0lBFae4jQEUtgsMU"",""All!B2:B""),MATCH($B183,IMPORTRANGE(""12vtnxaE_Q1s4tyr10kZQx7ZF_xG0lBFae4jQEUtgsMU"",""All!A2:A""),0)),INDEX(IMPORTRANGE(""13KC70HngS4DDi8y9E5khtSpQEPG6owaQ9z4E-tR5mnY"","&amp;"""Non-Food!B2:B""),MATCH($B183,IMPORTRANGE(""13KC70HngS4DDi8y9E5khtSpQEPG6owaQ9z4E-tR5mnY"",""Non-Food!A2:A""),0))),"""")"),"")</f>
        <v/>
      </c>
      <c r="D183" s="5" t="str">
        <f t="shared" si="3"/>
        <v/>
      </c>
      <c r="E183" s="4"/>
      <c r="F183" s="4"/>
      <c r="G183" s="4"/>
      <c r="H183" s="4"/>
      <c r="I183" s="4"/>
    </row>
    <row r="184">
      <c r="A184" s="4"/>
      <c r="B184" s="15"/>
      <c r="C184" s="7" t="str">
        <f>IFERROR(__xludf.DUMMYFUNCTION("iferror(iferror(INDEX(IMPORTRANGE(""12vtnxaE_Q1s4tyr10kZQx7ZF_xG0lBFae4jQEUtgsMU"",""All!B2:B""),MATCH($B184,IMPORTRANGE(""12vtnxaE_Q1s4tyr10kZQx7ZF_xG0lBFae4jQEUtgsMU"",""All!A2:A""),0)),INDEX(IMPORTRANGE(""13KC70HngS4DDi8y9E5khtSpQEPG6owaQ9z4E-tR5mnY"","&amp;"""Non-Food!B2:B""),MATCH($B184,IMPORTRANGE(""13KC70HngS4DDi8y9E5khtSpQEPG6owaQ9z4E-tR5mnY"",""Non-Food!A2:A""),0))),"""")"),"")</f>
        <v/>
      </c>
      <c r="D184" s="5" t="str">
        <f t="shared" si="3"/>
        <v/>
      </c>
      <c r="E184" s="4"/>
      <c r="F184" s="4"/>
      <c r="G184" s="4"/>
      <c r="H184" s="4"/>
      <c r="I184" s="4"/>
    </row>
    <row r="185">
      <c r="A185" s="4"/>
      <c r="B185" s="15"/>
      <c r="C185" s="7" t="str">
        <f>IFERROR(__xludf.DUMMYFUNCTION("iferror(iferror(INDEX(IMPORTRANGE(""12vtnxaE_Q1s4tyr10kZQx7ZF_xG0lBFae4jQEUtgsMU"",""All!B2:B""),MATCH($B185,IMPORTRANGE(""12vtnxaE_Q1s4tyr10kZQx7ZF_xG0lBFae4jQEUtgsMU"",""All!A2:A""),0)),INDEX(IMPORTRANGE(""13KC70HngS4DDi8y9E5khtSpQEPG6owaQ9z4E-tR5mnY"","&amp;"""Non-Food!B2:B""),MATCH($B185,IMPORTRANGE(""13KC70HngS4DDi8y9E5khtSpQEPG6owaQ9z4E-tR5mnY"",""Non-Food!A2:A""),0))),"""")"),"")</f>
        <v/>
      </c>
      <c r="D185" s="5" t="str">
        <f t="shared" si="3"/>
        <v/>
      </c>
      <c r="E185" s="4"/>
      <c r="F185" s="4"/>
      <c r="G185" s="4"/>
      <c r="H185" s="4"/>
      <c r="I185" s="4"/>
    </row>
    <row r="186">
      <c r="A186" s="4"/>
      <c r="B186" s="15"/>
      <c r="C186" s="7" t="str">
        <f>IFERROR(__xludf.DUMMYFUNCTION("iferror(iferror(INDEX(IMPORTRANGE(""12vtnxaE_Q1s4tyr10kZQx7ZF_xG0lBFae4jQEUtgsMU"",""All!B2:B""),MATCH($B186,IMPORTRANGE(""12vtnxaE_Q1s4tyr10kZQx7ZF_xG0lBFae4jQEUtgsMU"",""All!A2:A""),0)),INDEX(IMPORTRANGE(""13KC70HngS4DDi8y9E5khtSpQEPG6owaQ9z4E-tR5mnY"","&amp;"""Non-Food!B2:B""),MATCH($B186,IMPORTRANGE(""13KC70HngS4DDi8y9E5khtSpQEPG6owaQ9z4E-tR5mnY"",""Non-Food!A2:A""),0))),"""")"),"")</f>
        <v/>
      </c>
      <c r="D186" s="5" t="str">
        <f t="shared" si="3"/>
        <v/>
      </c>
      <c r="E186" s="4"/>
      <c r="F186" s="4"/>
      <c r="G186" s="4"/>
      <c r="H186" s="4"/>
      <c r="I186" s="4"/>
    </row>
    <row r="187">
      <c r="A187" s="4"/>
      <c r="B187" s="15"/>
      <c r="C187" s="7" t="str">
        <f>IFERROR(__xludf.DUMMYFUNCTION("iferror(iferror(INDEX(IMPORTRANGE(""12vtnxaE_Q1s4tyr10kZQx7ZF_xG0lBFae4jQEUtgsMU"",""All!B2:B""),MATCH($B187,IMPORTRANGE(""12vtnxaE_Q1s4tyr10kZQx7ZF_xG0lBFae4jQEUtgsMU"",""All!A2:A""),0)),INDEX(IMPORTRANGE(""13KC70HngS4DDi8y9E5khtSpQEPG6owaQ9z4E-tR5mnY"","&amp;"""Non-Food!B2:B""),MATCH($B187,IMPORTRANGE(""13KC70HngS4DDi8y9E5khtSpQEPG6owaQ9z4E-tR5mnY"",""Non-Food!A2:A""),0))),"""")"),"")</f>
        <v/>
      </c>
      <c r="D187" s="5" t="str">
        <f t="shared" si="3"/>
        <v/>
      </c>
      <c r="E187" s="4"/>
      <c r="F187" s="4"/>
      <c r="G187" s="4"/>
      <c r="H187" s="4"/>
      <c r="I187" s="4"/>
    </row>
    <row r="188">
      <c r="A188" s="4"/>
      <c r="B188" s="15"/>
      <c r="C188" s="7" t="str">
        <f>IFERROR(__xludf.DUMMYFUNCTION("iferror(iferror(INDEX(IMPORTRANGE(""12vtnxaE_Q1s4tyr10kZQx7ZF_xG0lBFae4jQEUtgsMU"",""All!B2:B""),MATCH($B188,IMPORTRANGE(""12vtnxaE_Q1s4tyr10kZQx7ZF_xG0lBFae4jQEUtgsMU"",""All!A2:A""),0)),INDEX(IMPORTRANGE(""13KC70HngS4DDi8y9E5khtSpQEPG6owaQ9z4E-tR5mnY"","&amp;"""Non-Food!B2:B""),MATCH($B188,IMPORTRANGE(""13KC70HngS4DDi8y9E5khtSpQEPG6owaQ9z4E-tR5mnY"",""Non-Food!A2:A""),0))),"""")"),"")</f>
        <v/>
      </c>
      <c r="D188" s="5" t="str">
        <f t="shared" si="3"/>
        <v/>
      </c>
      <c r="E188" s="4"/>
      <c r="F188" s="4"/>
      <c r="G188" s="4"/>
      <c r="H188" s="4"/>
      <c r="I188" s="4"/>
    </row>
    <row r="189">
      <c r="A189" s="4"/>
      <c r="B189" s="15"/>
      <c r="C189" s="7" t="str">
        <f>IFERROR(__xludf.DUMMYFUNCTION("iferror(iferror(INDEX(IMPORTRANGE(""12vtnxaE_Q1s4tyr10kZQx7ZF_xG0lBFae4jQEUtgsMU"",""All!B2:B""),MATCH($B189,IMPORTRANGE(""12vtnxaE_Q1s4tyr10kZQx7ZF_xG0lBFae4jQEUtgsMU"",""All!A2:A""),0)),INDEX(IMPORTRANGE(""13KC70HngS4DDi8y9E5khtSpQEPG6owaQ9z4E-tR5mnY"","&amp;"""Non-Food!B2:B""),MATCH($B189,IMPORTRANGE(""13KC70HngS4DDi8y9E5khtSpQEPG6owaQ9z4E-tR5mnY"",""Non-Food!A2:A""),0))),"""")"),"")</f>
        <v/>
      </c>
      <c r="D189" s="5" t="str">
        <f t="shared" si="3"/>
        <v/>
      </c>
      <c r="E189" s="4"/>
      <c r="F189" s="4"/>
      <c r="G189" s="4"/>
      <c r="H189" s="4"/>
      <c r="I189" s="4"/>
    </row>
    <row r="190">
      <c r="A190" s="4"/>
      <c r="B190" s="15"/>
      <c r="C190" s="7" t="str">
        <f>IFERROR(__xludf.DUMMYFUNCTION("iferror(iferror(INDEX(IMPORTRANGE(""12vtnxaE_Q1s4tyr10kZQx7ZF_xG0lBFae4jQEUtgsMU"",""All!B2:B""),MATCH($B190,IMPORTRANGE(""12vtnxaE_Q1s4tyr10kZQx7ZF_xG0lBFae4jQEUtgsMU"",""All!A2:A""),0)),INDEX(IMPORTRANGE(""13KC70HngS4DDi8y9E5khtSpQEPG6owaQ9z4E-tR5mnY"","&amp;"""Non-Food!B2:B""),MATCH($B190,IMPORTRANGE(""13KC70HngS4DDi8y9E5khtSpQEPG6owaQ9z4E-tR5mnY"",""Non-Food!A2:A""),0))),"""")"),"")</f>
        <v/>
      </c>
      <c r="D190" s="5" t="str">
        <f t="shared" si="3"/>
        <v/>
      </c>
      <c r="E190" s="4"/>
      <c r="F190" s="4"/>
      <c r="G190" s="4"/>
      <c r="H190" s="4"/>
      <c r="I190" s="4"/>
    </row>
    <row r="191">
      <c r="A191" s="4"/>
      <c r="B191" s="15"/>
      <c r="C191" s="7" t="str">
        <f>IFERROR(__xludf.DUMMYFUNCTION("iferror(iferror(INDEX(IMPORTRANGE(""12vtnxaE_Q1s4tyr10kZQx7ZF_xG0lBFae4jQEUtgsMU"",""All!B2:B""),MATCH($B191,IMPORTRANGE(""12vtnxaE_Q1s4tyr10kZQx7ZF_xG0lBFae4jQEUtgsMU"",""All!A2:A""),0)),INDEX(IMPORTRANGE(""13KC70HngS4DDi8y9E5khtSpQEPG6owaQ9z4E-tR5mnY"","&amp;"""Non-Food!B2:B""),MATCH($B191,IMPORTRANGE(""13KC70HngS4DDi8y9E5khtSpQEPG6owaQ9z4E-tR5mnY"",""Non-Food!A2:A""),0))),"""")"),"")</f>
        <v/>
      </c>
      <c r="D191" s="5" t="str">
        <f t="shared" si="3"/>
        <v/>
      </c>
      <c r="E191" s="4"/>
      <c r="F191" s="4"/>
      <c r="G191" s="4"/>
      <c r="H191" s="4"/>
      <c r="I191" s="4"/>
    </row>
    <row r="192">
      <c r="A192" s="4"/>
      <c r="B192" s="15"/>
      <c r="C192" s="7" t="str">
        <f>IFERROR(__xludf.DUMMYFUNCTION("iferror(iferror(INDEX(IMPORTRANGE(""12vtnxaE_Q1s4tyr10kZQx7ZF_xG0lBFae4jQEUtgsMU"",""All!B2:B""),MATCH($B192,IMPORTRANGE(""12vtnxaE_Q1s4tyr10kZQx7ZF_xG0lBFae4jQEUtgsMU"",""All!A2:A""),0)),INDEX(IMPORTRANGE(""13KC70HngS4DDi8y9E5khtSpQEPG6owaQ9z4E-tR5mnY"","&amp;"""Non-Food!B2:B""),MATCH($B192,IMPORTRANGE(""13KC70HngS4DDi8y9E5khtSpQEPG6owaQ9z4E-tR5mnY"",""Non-Food!A2:A""),0))),"""")"),"")</f>
        <v/>
      </c>
      <c r="D192" s="5" t="str">
        <f t="shared" si="3"/>
        <v/>
      </c>
      <c r="E192" s="4"/>
      <c r="F192" s="4"/>
      <c r="G192" s="4"/>
      <c r="H192" s="4"/>
      <c r="I192" s="4"/>
    </row>
    <row r="193">
      <c r="A193" s="4"/>
      <c r="B193" s="15"/>
      <c r="C193" s="7" t="str">
        <f>IFERROR(__xludf.DUMMYFUNCTION("iferror(iferror(INDEX(IMPORTRANGE(""12vtnxaE_Q1s4tyr10kZQx7ZF_xG0lBFae4jQEUtgsMU"",""All!B2:B""),MATCH($B193,IMPORTRANGE(""12vtnxaE_Q1s4tyr10kZQx7ZF_xG0lBFae4jQEUtgsMU"",""All!A2:A""),0)),INDEX(IMPORTRANGE(""13KC70HngS4DDi8y9E5khtSpQEPG6owaQ9z4E-tR5mnY"","&amp;"""Non-Food!B2:B""),MATCH($B193,IMPORTRANGE(""13KC70HngS4DDi8y9E5khtSpQEPG6owaQ9z4E-tR5mnY"",""Non-Food!A2:A""),0))),"""")"),"")</f>
        <v/>
      </c>
      <c r="D193" s="5" t="str">
        <f t="shared" si="3"/>
        <v/>
      </c>
      <c r="E193" s="4"/>
      <c r="F193" s="4"/>
      <c r="G193" s="4"/>
      <c r="H193" s="4"/>
      <c r="I193" s="4"/>
    </row>
    <row r="194">
      <c r="A194" s="4"/>
      <c r="B194" s="15"/>
      <c r="C194" s="7" t="str">
        <f>IFERROR(__xludf.DUMMYFUNCTION("iferror(iferror(INDEX(IMPORTRANGE(""12vtnxaE_Q1s4tyr10kZQx7ZF_xG0lBFae4jQEUtgsMU"",""All!B2:B""),MATCH($B194,IMPORTRANGE(""12vtnxaE_Q1s4tyr10kZQx7ZF_xG0lBFae4jQEUtgsMU"",""All!A2:A""),0)),INDEX(IMPORTRANGE(""13KC70HngS4DDi8y9E5khtSpQEPG6owaQ9z4E-tR5mnY"","&amp;"""Non-Food!B2:B""),MATCH($B194,IMPORTRANGE(""13KC70HngS4DDi8y9E5khtSpQEPG6owaQ9z4E-tR5mnY"",""Non-Food!A2:A""),0))),"""")"),"")</f>
        <v/>
      </c>
      <c r="D194" s="5" t="str">
        <f t="shared" si="3"/>
        <v/>
      </c>
      <c r="E194" s="4"/>
      <c r="F194" s="4"/>
      <c r="G194" s="4"/>
      <c r="H194" s="4"/>
      <c r="I194" s="4"/>
    </row>
    <row r="195">
      <c r="A195" s="4"/>
      <c r="B195" s="15"/>
      <c r="C195" s="7" t="str">
        <f>IFERROR(__xludf.DUMMYFUNCTION("iferror(iferror(INDEX(IMPORTRANGE(""12vtnxaE_Q1s4tyr10kZQx7ZF_xG0lBFae4jQEUtgsMU"",""All!B2:B""),MATCH($B195,IMPORTRANGE(""12vtnxaE_Q1s4tyr10kZQx7ZF_xG0lBFae4jQEUtgsMU"",""All!A2:A""),0)),INDEX(IMPORTRANGE(""13KC70HngS4DDi8y9E5khtSpQEPG6owaQ9z4E-tR5mnY"","&amp;"""Non-Food!B2:B""),MATCH($B195,IMPORTRANGE(""13KC70HngS4DDi8y9E5khtSpQEPG6owaQ9z4E-tR5mnY"",""Non-Food!A2:A""),0))),"""")"),"")</f>
        <v/>
      </c>
      <c r="D195" s="5" t="str">
        <f t="shared" si="3"/>
        <v/>
      </c>
      <c r="E195" s="4"/>
      <c r="F195" s="4"/>
      <c r="G195" s="4"/>
      <c r="H195" s="4"/>
      <c r="I195" s="4"/>
    </row>
    <row r="196">
      <c r="A196" s="4"/>
      <c r="B196" s="15"/>
      <c r="C196" s="7" t="str">
        <f>IFERROR(__xludf.DUMMYFUNCTION("iferror(iferror(INDEX(IMPORTRANGE(""12vtnxaE_Q1s4tyr10kZQx7ZF_xG0lBFae4jQEUtgsMU"",""All!B2:B""),MATCH($B196,IMPORTRANGE(""12vtnxaE_Q1s4tyr10kZQx7ZF_xG0lBFae4jQEUtgsMU"",""All!A2:A""),0)),INDEX(IMPORTRANGE(""13KC70HngS4DDi8y9E5khtSpQEPG6owaQ9z4E-tR5mnY"","&amp;"""Non-Food!B2:B""),MATCH($B196,IMPORTRANGE(""13KC70HngS4DDi8y9E5khtSpQEPG6owaQ9z4E-tR5mnY"",""Non-Food!A2:A""),0))),"""")"),"")</f>
        <v/>
      </c>
      <c r="D196" s="5" t="str">
        <f t="shared" si="3"/>
        <v/>
      </c>
      <c r="E196" s="4"/>
      <c r="F196" s="4"/>
      <c r="G196" s="4"/>
      <c r="H196" s="4"/>
      <c r="I196" s="4"/>
    </row>
    <row r="197">
      <c r="A197" s="4"/>
      <c r="B197" s="15"/>
      <c r="C197" s="7" t="str">
        <f>IFERROR(__xludf.DUMMYFUNCTION("iferror(iferror(INDEX(IMPORTRANGE(""12vtnxaE_Q1s4tyr10kZQx7ZF_xG0lBFae4jQEUtgsMU"",""All!B2:B""),MATCH($B197,IMPORTRANGE(""12vtnxaE_Q1s4tyr10kZQx7ZF_xG0lBFae4jQEUtgsMU"",""All!A2:A""),0)),INDEX(IMPORTRANGE(""13KC70HngS4DDi8y9E5khtSpQEPG6owaQ9z4E-tR5mnY"","&amp;"""Non-Food!B2:B""),MATCH($B197,IMPORTRANGE(""13KC70HngS4DDi8y9E5khtSpQEPG6owaQ9z4E-tR5mnY"",""Non-Food!A2:A""),0))),"""")"),"")</f>
        <v/>
      </c>
      <c r="D197" s="5" t="str">
        <f t="shared" si="3"/>
        <v/>
      </c>
      <c r="E197" s="4"/>
      <c r="F197" s="4"/>
      <c r="G197" s="4"/>
      <c r="H197" s="4"/>
      <c r="I197" s="4"/>
    </row>
    <row r="198">
      <c r="A198" s="4"/>
      <c r="B198" s="15"/>
      <c r="C198" s="7" t="str">
        <f>IFERROR(__xludf.DUMMYFUNCTION("iferror(iferror(INDEX(IMPORTRANGE(""12vtnxaE_Q1s4tyr10kZQx7ZF_xG0lBFae4jQEUtgsMU"",""All!B2:B""),MATCH($B198,IMPORTRANGE(""12vtnxaE_Q1s4tyr10kZQx7ZF_xG0lBFae4jQEUtgsMU"",""All!A2:A""),0)),INDEX(IMPORTRANGE(""13KC70HngS4DDi8y9E5khtSpQEPG6owaQ9z4E-tR5mnY"","&amp;"""Non-Food!B2:B""),MATCH($B198,IMPORTRANGE(""13KC70HngS4DDi8y9E5khtSpQEPG6owaQ9z4E-tR5mnY"",""Non-Food!A2:A""),0))),"""")"),"")</f>
        <v/>
      </c>
      <c r="D198" s="5" t="str">
        <f t="shared" si="3"/>
        <v/>
      </c>
      <c r="E198" s="4"/>
      <c r="F198" s="4"/>
      <c r="G198" s="4"/>
      <c r="H198" s="4"/>
      <c r="I198" s="4"/>
    </row>
    <row r="199">
      <c r="A199" s="4"/>
      <c r="B199" s="15"/>
      <c r="C199" s="7" t="str">
        <f>IFERROR(__xludf.DUMMYFUNCTION("iferror(iferror(INDEX(IMPORTRANGE(""12vtnxaE_Q1s4tyr10kZQx7ZF_xG0lBFae4jQEUtgsMU"",""All!B2:B""),MATCH($B199,IMPORTRANGE(""12vtnxaE_Q1s4tyr10kZQx7ZF_xG0lBFae4jQEUtgsMU"",""All!A2:A""),0)),INDEX(IMPORTRANGE(""13KC70HngS4DDi8y9E5khtSpQEPG6owaQ9z4E-tR5mnY"","&amp;"""Non-Food!B2:B""),MATCH($B199,IMPORTRANGE(""13KC70HngS4DDi8y9E5khtSpQEPG6owaQ9z4E-tR5mnY"",""Non-Food!A2:A""),0))),"""")"),"")</f>
        <v/>
      </c>
      <c r="D199" s="5" t="str">
        <f t="shared" si="3"/>
        <v/>
      </c>
      <c r="E199" s="4"/>
      <c r="F199" s="4"/>
      <c r="G199" s="4"/>
      <c r="H199" s="4"/>
      <c r="I199" s="4"/>
    </row>
    <row r="200">
      <c r="A200" s="4"/>
      <c r="B200" s="15"/>
      <c r="C200" s="7" t="str">
        <f>IFERROR(__xludf.DUMMYFUNCTION("iferror(iferror(INDEX(IMPORTRANGE(""12vtnxaE_Q1s4tyr10kZQx7ZF_xG0lBFae4jQEUtgsMU"",""All!B2:B""),MATCH($B200,IMPORTRANGE(""12vtnxaE_Q1s4tyr10kZQx7ZF_xG0lBFae4jQEUtgsMU"",""All!A2:A""),0)),INDEX(IMPORTRANGE(""13KC70HngS4DDi8y9E5khtSpQEPG6owaQ9z4E-tR5mnY"","&amp;"""Non-Food!B2:B""),MATCH($B200,IMPORTRANGE(""13KC70HngS4DDi8y9E5khtSpQEPG6owaQ9z4E-tR5mnY"",""Non-Food!A2:A""),0))),"""")"),"")</f>
        <v/>
      </c>
      <c r="D200" s="5" t="str">
        <f t="shared" si="3"/>
        <v/>
      </c>
      <c r="E200" s="4"/>
      <c r="F200" s="4"/>
      <c r="G200" s="4"/>
      <c r="H200" s="4"/>
      <c r="I200" s="4"/>
    </row>
    <row r="201">
      <c r="A201" s="4"/>
      <c r="B201" s="15"/>
      <c r="C201" s="7" t="str">
        <f>IFERROR(__xludf.DUMMYFUNCTION("iferror(iferror(INDEX(IMPORTRANGE(""12vtnxaE_Q1s4tyr10kZQx7ZF_xG0lBFae4jQEUtgsMU"",""All!B2:B""),MATCH($B201,IMPORTRANGE(""12vtnxaE_Q1s4tyr10kZQx7ZF_xG0lBFae4jQEUtgsMU"",""All!A2:A""),0)),INDEX(IMPORTRANGE(""13KC70HngS4DDi8y9E5khtSpQEPG6owaQ9z4E-tR5mnY"","&amp;"""Non-Food!B2:B""),MATCH($B201,IMPORTRANGE(""13KC70HngS4DDi8y9E5khtSpQEPG6owaQ9z4E-tR5mnY"",""Non-Food!A2:A""),0))),"""")"),"")</f>
        <v/>
      </c>
      <c r="D201" s="5" t="str">
        <f t="shared" si="3"/>
        <v/>
      </c>
      <c r="E201" s="4"/>
      <c r="F201" s="4"/>
      <c r="G201" s="4"/>
      <c r="H201" s="4"/>
      <c r="I201" s="4"/>
    </row>
    <row r="202">
      <c r="A202" s="4"/>
      <c r="B202" s="15"/>
      <c r="C202" s="7" t="str">
        <f>IFERROR(__xludf.DUMMYFUNCTION("iferror(iferror(INDEX(IMPORTRANGE(""12vtnxaE_Q1s4tyr10kZQx7ZF_xG0lBFae4jQEUtgsMU"",""All!B2:B""),MATCH($B202,IMPORTRANGE(""12vtnxaE_Q1s4tyr10kZQx7ZF_xG0lBFae4jQEUtgsMU"",""All!A2:A""),0)),INDEX(IMPORTRANGE(""13KC70HngS4DDi8y9E5khtSpQEPG6owaQ9z4E-tR5mnY"","&amp;"""Non-Food!B2:B""),MATCH($B202,IMPORTRANGE(""13KC70HngS4DDi8y9E5khtSpQEPG6owaQ9z4E-tR5mnY"",""Non-Food!A2:A""),0))),"""")"),"")</f>
        <v/>
      </c>
      <c r="D202" s="5" t="str">
        <f t="shared" si="3"/>
        <v/>
      </c>
      <c r="E202" s="4"/>
      <c r="F202" s="4"/>
      <c r="G202" s="4"/>
      <c r="H202" s="4"/>
      <c r="I202" s="4"/>
    </row>
    <row r="203">
      <c r="A203" s="4"/>
      <c r="B203" s="15"/>
      <c r="C203" s="7" t="str">
        <f>IFERROR(__xludf.DUMMYFUNCTION("iferror(iferror(INDEX(IMPORTRANGE(""12vtnxaE_Q1s4tyr10kZQx7ZF_xG0lBFae4jQEUtgsMU"",""All!B2:B""),MATCH($B203,IMPORTRANGE(""12vtnxaE_Q1s4tyr10kZQx7ZF_xG0lBFae4jQEUtgsMU"",""All!A2:A""),0)),INDEX(IMPORTRANGE(""13KC70HngS4DDi8y9E5khtSpQEPG6owaQ9z4E-tR5mnY"","&amp;"""Non-Food!B2:B""),MATCH($B203,IMPORTRANGE(""13KC70HngS4DDi8y9E5khtSpQEPG6owaQ9z4E-tR5mnY"",""Non-Food!A2:A""),0))),"""")"),"")</f>
        <v/>
      </c>
      <c r="D203" s="5" t="str">
        <f t="shared" si="3"/>
        <v/>
      </c>
      <c r="E203" s="4"/>
      <c r="F203" s="4"/>
      <c r="G203" s="4"/>
      <c r="H203" s="4"/>
      <c r="I203" s="4"/>
    </row>
    <row r="204">
      <c r="A204" s="4"/>
      <c r="B204" s="15"/>
      <c r="C204" s="7" t="str">
        <f>IFERROR(__xludf.DUMMYFUNCTION("iferror(iferror(INDEX(IMPORTRANGE(""12vtnxaE_Q1s4tyr10kZQx7ZF_xG0lBFae4jQEUtgsMU"",""All!B2:B""),MATCH($B204,IMPORTRANGE(""12vtnxaE_Q1s4tyr10kZQx7ZF_xG0lBFae4jQEUtgsMU"",""All!A2:A""),0)),INDEX(IMPORTRANGE(""13KC70HngS4DDi8y9E5khtSpQEPG6owaQ9z4E-tR5mnY"","&amp;"""Non-Food!B2:B""),MATCH($B204,IMPORTRANGE(""13KC70HngS4DDi8y9E5khtSpQEPG6owaQ9z4E-tR5mnY"",""Non-Food!A2:A""),0))),"""")"),"")</f>
        <v/>
      </c>
      <c r="D204" s="5" t="str">
        <f t="shared" si="3"/>
        <v/>
      </c>
      <c r="E204" s="4"/>
      <c r="F204" s="4"/>
      <c r="G204" s="4"/>
      <c r="H204" s="4"/>
      <c r="I204" s="4"/>
    </row>
    <row r="205">
      <c r="A205" s="4"/>
      <c r="B205" s="15"/>
      <c r="C205" s="7" t="str">
        <f>IFERROR(__xludf.DUMMYFUNCTION("iferror(iferror(INDEX(IMPORTRANGE(""12vtnxaE_Q1s4tyr10kZQx7ZF_xG0lBFae4jQEUtgsMU"",""All!B2:B""),MATCH($B205,IMPORTRANGE(""12vtnxaE_Q1s4tyr10kZQx7ZF_xG0lBFae4jQEUtgsMU"",""All!A2:A""),0)),INDEX(IMPORTRANGE(""13KC70HngS4DDi8y9E5khtSpQEPG6owaQ9z4E-tR5mnY"","&amp;"""Non-Food!B2:B""),MATCH($B205,IMPORTRANGE(""13KC70HngS4DDi8y9E5khtSpQEPG6owaQ9z4E-tR5mnY"",""Non-Food!A2:A""),0))),"""")"),"")</f>
        <v/>
      </c>
      <c r="D205" s="5" t="str">
        <f t="shared" si="3"/>
        <v/>
      </c>
      <c r="E205" s="4"/>
      <c r="F205" s="4"/>
      <c r="G205" s="4"/>
      <c r="H205" s="4"/>
      <c r="I205" s="4"/>
    </row>
    <row r="206">
      <c r="A206" s="4"/>
      <c r="B206" s="15"/>
      <c r="C206" s="7" t="str">
        <f>IFERROR(__xludf.DUMMYFUNCTION("iferror(iferror(INDEX(IMPORTRANGE(""12vtnxaE_Q1s4tyr10kZQx7ZF_xG0lBFae4jQEUtgsMU"",""All!B2:B""),MATCH($B206,IMPORTRANGE(""12vtnxaE_Q1s4tyr10kZQx7ZF_xG0lBFae4jQEUtgsMU"",""All!A2:A""),0)),INDEX(IMPORTRANGE(""13KC70HngS4DDi8y9E5khtSpQEPG6owaQ9z4E-tR5mnY"","&amp;"""Non-Food!B2:B""),MATCH($B206,IMPORTRANGE(""13KC70HngS4DDi8y9E5khtSpQEPG6owaQ9z4E-tR5mnY"",""Non-Food!A2:A""),0))),"""")"),"")</f>
        <v/>
      </c>
      <c r="D206" s="5" t="str">
        <f t="shared" si="3"/>
        <v/>
      </c>
      <c r="E206" s="4"/>
      <c r="F206" s="4"/>
      <c r="G206" s="4"/>
      <c r="H206" s="4"/>
      <c r="I206" s="4"/>
    </row>
    <row r="207">
      <c r="A207" s="4"/>
      <c r="B207" s="15"/>
      <c r="C207" s="7" t="str">
        <f>IFERROR(__xludf.DUMMYFUNCTION("iferror(iferror(INDEX(IMPORTRANGE(""12vtnxaE_Q1s4tyr10kZQx7ZF_xG0lBFae4jQEUtgsMU"",""All!B2:B""),MATCH($B207,IMPORTRANGE(""12vtnxaE_Q1s4tyr10kZQx7ZF_xG0lBFae4jQEUtgsMU"",""All!A2:A""),0)),INDEX(IMPORTRANGE(""13KC70HngS4DDi8y9E5khtSpQEPG6owaQ9z4E-tR5mnY"","&amp;"""Non-Food!B2:B""),MATCH($B207,IMPORTRANGE(""13KC70HngS4DDi8y9E5khtSpQEPG6owaQ9z4E-tR5mnY"",""Non-Food!A2:A""),0))),"""")"),"")</f>
        <v/>
      </c>
      <c r="D207" s="5" t="str">
        <f t="shared" si="3"/>
        <v/>
      </c>
      <c r="E207" s="4"/>
      <c r="F207" s="4"/>
      <c r="G207" s="4"/>
      <c r="H207" s="4"/>
      <c r="I207" s="4"/>
    </row>
    <row r="208">
      <c r="A208" s="4"/>
      <c r="B208" s="15"/>
      <c r="C208" s="7" t="str">
        <f>IFERROR(__xludf.DUMMYFUNCTION("iferror(iferror(INDEX(IMPORTRANGE(""12vtnxaE_Q1s4tyr10kZQx7ZF_xG0lBFae4jQEUtgsMU"",""All!B2:B""),MATCH($B208,IMPORTRANGE(""12vtnxaE_Q1s4tyr10kZQx7ZF_xG0lBFae4jQEUtgsMU"",""All!A2:A""),0)),INDEX(IMPORTRANGE(""13KC70HngS4DDi8y9E5khtSpQEPG6owaQ9z4E-tR5mnY"","&amp;"""Non-Food!B2:B""),MATCH($B208,IMPORTRANGE(""13KC70HngS4DDi8y9E5khtSpQEPG6owaQ9z4E-tR5mnY"",""Non-Food!A2:A""),0))),"""")"),"")</f>
        <v/>
      </c>
      <c r="D208" s="5" t="str">
        <f t="shared" si="3"/>
        <v/>
      </c>
      <c r="E208" s="4"/>
      <c r="F208" s="4"/>
      <c r="G208" s="4"/>
      <c r="H208" s="4"/>
      <c r="I208" s="4"/>
    </row>
    <row r="209">
      <c r="A209" s="4"/>
      <c r="B209" s="15"/>
      <c r="C209" s="7" t="str">
        <f>IFERROR(__xludf.DUMMYFUNCTION("iferror(iferror(INDEX(IMPORTRANGE(""12vtnxaE_Q1s4tyr10kZQx7ZF_xG0lBFae4jQEUtgsMU"",""All!B2:B""),MATCH($B209,IMPORTRANGE(""12vtnxaE_Q1s4tyr10kZQx7ZF_xG0lBFae4jQEUtgsMU"",""All!A2:A""),0)),INDEX(IMPORTRANGE(""13KC70HngS4DDi8y9E5khtSpQEPG6owaQ9z4E-tR5mnY"","&amp;"""Non-Food!B2:B""),MATCH($B209,IMPORTRANGE(""13KC70HngS4DDi8y9E5khtSpQEPG6owaQ9z4E-tR5mnY"",""Non-Food!A2:A""),0))),"""")"),"")</f>
        <v/>
      </c>
      <c r="D209" s="5" t="str">
        <f t="shared" si="3"/>
        <v/>
      </c>
      <c r="E209" s="4"/>
      <c r="F209" s="4"/>
      <c r="G209" s="4"/>
      <c r="H209" s="4"/>
      <c r="I209" s="4"/>
    </row>
    <row r="210">
      <c r="A210" s="4"/>
      <c r="B210" s="15"/>
      <c r="C210" s="7" t="str">
        <f>IFERROR(__xludf.DUMMYFUNCTION("iferror(iferror(INDEX(IMPORTRANGE(""12vtnxaE_Q1s4tyr10kZQx7ZF_xG0lBFae4jQEUtgsMU"",""All!B2:B""),MATCH($B210,IMPORTRANGE(""12vtnxaE_Q1s4tyr10kZQx7ZF_xG0lBFae4jQEUtgsMU"",""All!A2:A""),0)),INDEX(IMPORTRANGE(""13KC70HngS4DDi8y9E5khtSpQEPG6owaQ9z4E-tR5mnY"","&amp;"""Non-Food!B2:B""),MATCH($B210,IMPORTRANGE(""13KC70HngS4DDi8y9E5khtSpQEPG6owaQ9z4E-tR5mnY"",""Non-Food!A2:A""),0))),"""")"),"")</f>
        <v/>
      </c>
      <c r="D210" s="5" t="str">
        <f t="shared" si="3"/>
        <v/>
      </c>
      <c r="E210" s="4"/>
      <c r="F210" s="4"/>
      <c r="G210" s="4"/>
      <c r="H210" s="4"/>
      <c r="I210" s="4"/>
    </row>
    <row r="211">
      <c r="A211" s="4"/>
      <c r="B211" s="15"/>
      <c r="C211" s="7" t="str">
        <f>IFERROR(__xludf.DUMMYFUNCTION("iferror(iferror(INDEX(IMPORTRANGE(""12vtnxaE_Q1s4tyr10kZQx7ZF_xG0lBFae4jQEUtgsMU"",""All!B2:B""),MATCH($B211,IMPORTRANGE(""12vtnxaE_Q1s4tyr10kZQx7ZF_xG0lBFae4jQEUtgsMU"",""All!A2:A""),0)),INDEX(IMPORTRANGE(""13KC70HngS4DDi8y9E5khtSpQEPG6owaQ9z4E-tR5mnY"","&amp;"""Non-Food!B2:B""),MATCH($B211,IMPORTRANGE(""13KC70HngS4DDi8y9E5khtSpQEPG6owaQ9z4E-tR5mnY"",""Non-Food!A2:A""),0))),"""")"),"")</f>
        <v/>
      </c>
      <c r="D211" s="5" t="str">
        <f t="shared" si="3"/>
        <v/>
      </c>
      <c r="E211" s="4"/>
      <c r="F211" s="4"/>
      <c r="G211" s="4"/>
      <c r="H211" s="4"/>
      <c r="I211" s="4"/>
    </row>
    <row r="212">
      <c r="A212" s="4"/>
      <c r="B212" s="15"/>
      <c r="C212" s="7" t="str">
        <f>IFERROR(__xludf.DUMMYFUNCTION("iferror(iferror(INDEX(IMPORTRANGE(""12vtnxaE_Q1s4tyr10kZQx7ZF_xG0lBFae4jQEUtgsMU"",""All!B2:B""),MATCH($B212,IMPORTRANGE(""12vtnxaE_Q1s4tyr10kZQx7ZF_xG0lBFae4jQEUtgsMU"",""All!A2:A""),0)),INDEX(IMPORTRANGE(""13KC70HngS4DDi8y9E5khtSpQEPG6owaQ9z4E-tR5mnY"","&amp;"""Non-Food!B2:B""),MATCH($B212,IMPORTRANGE(""13KC70HngS4DDi8y9E5khtSpQEPG6owaQ9z4E-tR5mnY"",""Non-Food!A2:A""),0))),"""")"),"")</f>
        <v/>
      </c>
      <c r="D212" s="5" t="str">
        <f t="shared" si="3"/>
        <v/>
      </c>
      <c r="E212" s="4"/>
      <c r="F212" s="4"/>
      <c r="G212" s="4"/>
      <c r="H212" s="4"/>
      <c r="I212" s="4"/>
    </row>
    <row r="213">
      <c r="A213" s="4"/>
      <c r="B213" s="15"/>
      <c r="C213" s="7" t="str">
        <f>IFERROR(__xludf.DUMMYFUNCTION("iferror(iferror(INDEX(IMPORTRANGE(""12vtnxaE_Q1s4tyr10kZQx7ZF_xG0lBFae4jQEUtgsMU"",""All!B2:B""),MATCH($B213,IMPORTRANGE(""12vtnxaE_Q1s4tyr10kZQx7ZF_xG0lBFae4jQEUtgsMU"",""All!A2:A""),0)),INDEX(IMPORTRANGE(""13KC70HngS4DDi8y9E5khtSpQEPG6owaQ9z4E-tR5mnY"","&amp;"""Non-Food!B2:B""),MATCH($B213,IMPORTRANGE(""13KC70HngS4DDi8y9E5khtSpQEPG6owaQ9z4E-tR5mnY"",""Non-Food!A2:A""),0))),"""")"),"")</f>
        <v/>
      </c>
      <c r="D213" s="5" t="str">
        <f t="shared" si="3"/>
        <v/>
      </c>
      <c r="E213" s="4"/>
      <c r="F213" s="4"/>
      <c r="G213" s="4"/>
      <c r="H213" s="4"/>
      <c r="I213" s="4"/>
    </row>
    <row r="214">
      <c r="A214" s="4"/>
      <c r="B214" s="15"/>
      <c r="C214" s="7" t="str">
        <f>IFERROR(__xludf.DUMMYFUNCTION("iferror(iferror(INDEX(IMPORTRANGE(""12vtnxaE_Q1s4tyr10kZQx7ZF_xG0lBFae4jQEUtgsMU"",""All!B2:B""),MATCH($B214,IMPORTRANGE(""12vtnxaE_Q1s4tyr10kZQx7ZF_xG0lBFae4jQEUtgsMU"",""All!A2:A""),0)),INDEX(IMPORTRANGE(""13KC70HngS4DDi8y9E5khtSpQEPG6owaQ9z4E-tR5mnY"","&amp;"""Non-Food!B2:B""),MATCH($B214,IMPORTRANGE(""13KC70HngS4DDi8y9E5khtSpQEPG6owaQ9z4E-tR5mnY"",""Non-Food!A2:A""),0))),"""")"),"")</f>
        <v/>
      </c>
      <c r="D214" s="5" t="str">
        <f t="shared" si="3"/>
        <v/>
      </c>
      <c r="E214" s="4"/>
      <c r="F214" s="4"/>
      <c r="G214" s="4"/>
      <c r="H214" s="4"/>
      <c r="I214" s="4"/>
    </row>
    <row r="215">
      <c r="A215" s="4"/>
      <c r="B215" s="15"/>
      <c r="C215" s="7" t="str">
        <f>IFERROR(__xludf.DUMMYFUNCTION("iferror(iferror(INDEX(IMPORTRANGE(""12vtnxaE_Q1s4tyr10kZQx7ZF_xG0lBFae4jQEUtgsMU"",""All!B2:B""),MATCH($B215,IMPORTRANGE(""12vtnxaE_Q1s4tyr10kZQx7ZF_xG0lBFae4jQEUtgsMU"",""All!A2:A""),0)),INDEX(IMPORTRANGE(""13KC70HngS4DDi8y9E5khtSpQEPG6owaQ9z4E-tR5mnY"","&amp;"""Non-Food!B2:B""),MATCH($B215,IMPORTRANGE(""13KC70HngS4DDi8y9E5khtSpQEPG6owaQ9z4E-tR5mnY"",""Non-Food!A2:A""),0))),"""")"),"")</f>
        <v/>
      </c>
      <c r="D215" s="5" t="str">
        <f t="shared" si="3"/>
        <v/>
      </c>
      <c r="E215" s="4"/>
      <c r="F215" s="4"/>
      <c r="G215" s="4"/>
      <c r="H215" s="4"/>
      <c r="I215" s="4"/>
    </row>
    <row r="216">
      <c r="A216" s="4"/>
      <c r="B216" s="15"/>
      <c r="C216" s="7" t="str">
        <f>IFERROR(__xludf.DUMMYFUNCTION("iferror(iferror(INDEX(IMPORTRANGE(""12vtnxaE_Q1s4tyr10kZQx7ZF_xG0lBFae4jQEUtgsMU"",""All!B2:B""),MATCH($B216,IMPORTRANGE(""12vtnxaE_Q1s4tyr10kZQx7ZF_xG0lBFae4jQEUtgsMU"",""All!A2:A""),0)),INDEX(IMPORTRANGE(""13KC70HngS4DDi8y9E5khtSpQEPG6owaQ9z4E-tR5mnY"","&amp;"""Non-Food!B2:B""),MATCH($B216,IMPORTRANGE(""13KC70HngS4DDi8y9E5khtSpQEPG6owaQ9z4E-tR5mnY"",""Non-Food!A2:A""),0))),"""")"),"")</f>
        <v/>
      </c>
      <c r="D216" s="5" t="str">
        <f t="shared" si="3"/>
        <v/>
      </c>
      <c r="E216" s="4"/>
      <c r="F216" s="4"/>
      <c r="G216" s="4"/>
      <c r="H216" s="4"/>
      <c r="I216" s="4"/>
    </row>
    <row r="217">
      <c r="A217" s="4"/>
      <c r="B217" s="15"/>
      <c r="C217" s="7" t="str">
        <f>IFERROR(__xludf.DUMMYFUNCTION("iferror(iferror(INDEX(IMPORTRANGE(""12vtnxaE_Q1s4tyr10kZQx7ZF_xG0lBFae4jQEUtgsMU"",""All!B2:B""),MATCH($B217,IMPORTRANGE(""12vtnxaE_Q1s4tyr10kZQx7ZF_xG0lBFae4jQEUtgsMU"",""All!A2:A""),0)),INDEX(IMPORTRANGE(""13KC70HngS4DDi8y9E5khtSpQEPG6owaQ9z4E-tR5mnY"","&amp;"""Non-Food!B2:B""),MATCH($B217,IMPORTRANGE(""13KC70HngS4DDi8y9E5khtSpQEPG6owaQ9z4E-tR5mnY"",""Non-Food!A2:A""),0))),"""")"),"")</f>
        <v/>
      </c>
      <c r="D217" s="5" t="str">
        <f t="shared" si="3"/>
        <v/>
      </c>
      <c r="E217" s="4"/>
      <c r="F217" s="4"/>
      <c r="G217" s="4"/>
      <c r="H217" s="4"/>
      <c r="I217" s="4"/>
    </row>
    <row r="218">
      <c r="A218" s="4"/>
      <c r="B218" s="15"/>
      <c r="C218" s="7" t="str">
        <f>IFERROR(__xludf.DUMMYFUNCTION("iferror(iferror(INDEX(IMPORTRANGE(""12vtnxaE_Q1s4tyr10kZQx7ZF_xG0lBFae4jQEUtgsMU"",""All!B2:B""),MATCH($B218,IMPORTRANGE(""12vtnxaE_Q1s4tyr10kZQx7ZF_xG0lBFae4jQEUtgsMU"",""All!A2:A""),0)),INDEX(IMPORTRANGE(""13KC70HngS4DDi8y9E5khtSpQEPG6owaQ9z4E-tR5mnY"","&amp;"""Non-Food!B2:B""),MATCH($B218,IMPORTRANGE(""13KC70HngS4DDi8y9E5khtSpQEPG6owaQ9z4E-tR5mnY"",""Non-Food!A2:A""),0))),"""")"),"")</f>
        <v/>
      </c>
      <c r="D218" s="5" t="str">
        <f t="shared" si="3"/>
        <v/>
      </c>
      <c r="E218" s="4"/>
      <c r="F218" s="4"/>
      <c r="G218" s="4"/>
      <c r="H218" s="4"/>
      <c r="I218" s="4"/>
    </row>
    <row r="219">
      <c r="A219" s="4"/>
      <c r="B219" s="15"/>
      <c r="C219" s="7" t="str">
        <f>IFERROR(__xludf.DUMMYFUNCTION("iferror(iferror(INDEX(IMPORTRANGE(""12vtnxaE_Q1s4tyr10kZQx7ZF_xG0lBFae4jQEUtgsMU"",""All!B2:B""),MATCH($B219,IMPORTRANGE(""12vtnxaE_Q1s4tyr10kZQx7ZF_xG0lBFae4jQEUtgsMU"",""All!A2:A""),0)),INDEX(IMPORTRANGE(""13KC70HngS4DDi8y9E5khtSpQEPG6owaQ9z4E-tR5mnY"","&amp;"""Non-Food!B2:B""),MATCH($B219,IMPORTRANGE(""13KC70HngS4DDi8y9E5khtSpQEPG6owaQ9z4E-tR5mnY"",""Non-Food!A2:A""),0))),"""")"),"")</f>
        <v/>
      </c>
      <c r="D219" s="5" t="str">
        <f t="shared" si="3"/>
        <v/>
      </c>
      <c r="E219" s="4"/>
      <c r="F219" s="4"/>
      <c r="G219" s="4"/>
      <c r="H219" s="4"/>
      <c r="I219" s="4"/>
    </row>
    <row r="220">
      <c r="A220" s="4"/>
      <c r="B220" s="15"/>
      <c r="C220" s="7" t="str">
        <f>IFERROR(__xludf.DUMMYFUNCTION("iferror(iferror(INDEX(IMPORTRANGE(""12vtnxaE_Q1s4tyr10kZQx7ZF_xG0lBFae4jQEUtgsMU"",""All!B2:B""),MATCH($B220,IMPORTRANGE(""12vtnxaE_Q1s4tyr10kZQx7ZF_xG0lBFae4jQEUtgsMU"",""All!A2:A""),0)),INDEX(IMPORTRANGE(""13KC70HngS4DDi8y9E5khtSpQEPG6owaQ9z4E-tR5mnY"","&amp;"""Non-Food!B2:B""),MATCH($B220,IMPORTRANGE(""13KC70HngS4DDi8y9E5khtSpQEPG6owaQ9z4E-tR5mnY"",""Non-Food!A2:A""),0))),"""")"),"")</f>
        <v/>
      </c>
      <c r="D220" s="5" t="str">
        <f t="shared" si="3"/>
        <v/>
      </c>
      <c r="E220" s="4"/>
      <c r="F220" s="4"/>
      <c r="G220" s="4"/>
      <c r="H220" s="4"/>
      <c r="I220" s="4"/>
    </row>
    <row r="221">
      <c r="A221" s="4"/>
      <c r="B221" s="15"/>
      <c r="C221" s="7" t="str">
        <f>IFERROR(__xludf.DUMMYFUNCTION("iferror(iferror(INDEX(IMPORTRANGE(""12vtnxaE_Q1s4tyr10kZQx7ZF_xG0lBFae4jQEUtgsMU"",""All!B2:B""),MATCH($B221,IMPORTRANGE(""12vtnxaE_Q1s4tyr10kZQx7ZF_xG0lBFae4jQEUtgsMU"",""All!A2:A""),0)),INDEX(IMPORTRANGE(""13KC70HngS4DDi8y9E5khtSpQEPG6owaQ9z4E-tR5mnY"","&amp;"""Non-Food!B2:B""),MATCH($B221,IMPORTRANGE(""13KC70HngS4DDi8y9E5khtSpQEPG6owaQ9z4E-tR5mnY"",""Non-Food!A2:A""),0))),"""")"),"")</f>
        <v/>
      </c>
      <c r="D221" s="5" t="str">
        <f t="shared" si="3"/>
        <v/>
      </c>
      <c r="E221" s="4"/>
      <c r="F221" s="4"/>
      <c r="G221" s="4"/>
      <c r="H221" s="4"/>
      <c r="I221" s="4"/>
    </row>
    <row r="222">
      <c r="A222" s="4"/>
      <c r="B222" s="15"/>
      <c r="C222" s="7" t="str">
        <f>IFERROR(__xludf.DUMMYFUNCTION("iferror(iferror(INDEX(IMPORTRANGE(""12vtnxaE_Q1s4tyr10kZQx7ZF_xG0lBFae4jQEUtgsMU"",""All!B2:B""),MATCH($B222,IMPORTRANGE(""12vtnxaE_Q1s4tyr10kZQx7ZF_xG0lBFae4jQEUtgsMU"",""All!A2:A""),0)),INDEX(IMPORTRANGE(""13KC70HngS4DDi8y9E5khtSpQEPG6owaQ9z4E-tR5mnY"","&amp;"""Non-Food!B2:B""),MATCH($B222,IMPORTRANGE(""13KC70HngS4DDi8y9E5khtSpQEPG6owaQ9z4E-tR5mnY"",""Non-Food!A2:A""),0))),"""")"),"")</f>
        <v/>
      </c>
      <c r="D222" s="5" t="str">
        <f t="shared" si="3"/>
        <v/>
      </c>
      <c r="E222" s="4"/>
      <c r="F222" s="4"/>
      <c r="G222" s="4"/>
      <c r="H222" s="4"/>
      <c r="I222" s="4"/>
    </row>
    <row r="223">
      <c r="A223" s="4"/>
      <c r="B223" s="15"/>
      <c r="C223" s="7" t="str">
        <f>IFERROR(__xludf.DUMMYFUNCTION("iferror(iferror(INDEX(IMPORTRANGE(""12vtnxaE_Q1s4tyr10kZQx7ZF_xG0lBFae4jQEUtgsMU"",""All!B2:B""),MATCH($B223,IMPORTRANGE(""12vtnxaE_Q1s4tyr10kZQx7ZF_xG0lBFae4jQEUtgsMU"",""All!A2:A""),0)),INDEX(IMPORTRANGE(""13KC70HngS4DDi8y9E5khtSpQEPG6owaQ9z4E-tR5mnY"","&amp;"""Non-Food!B2:B""),MATCH($B223,IMPORTRANGE(""13KC70HngS4DDi8y9E5khtSpQEPG6owaQ9z4E-tR5mnY"",""Non-Food!A2:A""),0))),"""")"),"")</f>
        <v/>
      </c>
      <c r="D223" s="5" t="str">
        <f t="shared" si="3"/>
        <v/>
      </c>
      <c r="E223" s="4"/>
      <c r="F223" s="4"/>
      <c r="G223" s="4"/>
      <c r="H223" s="4"/>
      <c r="I223" s="4"/>
    </row>
    <row r="224">
      <c r="A224" s="4"/>
      <c r="B224" s="15"/>
      <c r="C224" s="7" t="str">
        <f>IFERROR(__xludf.DUMMYFUNCTION("iferror(iferror(INDEX(IMPORTRANGE(""12vtnxaE_Q1s4tyr10kZQx7ZF_xG0lBFae4jQEUtgsMU"",""All!B2:B""),MATCH($B224,IMPORTRANGE(""12vtnxaE_Q1s4tyr10kZQx7ZF_xG0lBFae4jQEUtgsMU"",""All!A2:A""),0)),INDEX(IMPORTRANGE(""13KC70HngS4DDi8y9E5khtSpQEPG6owaQ9z4E-tR5mnY"","&amp;"""Non-Food!B2:B""),MATCH($B224,IMPORTRANGE(""13KC70HngS4DDi8y9E5khtSpQEPG6owaQ9z4E-tR5mnY"",""Non-Food!A2:A""),0))),"""")"),"")</f>
        <v/>
      </c>
      <c r="D224" s="5" t="str">
        <f t="shared" si="3"/>
        <v/>
      </c>
      <c r="E224" s="4"/>
      <c r="F224" s="4"/>
      <c r="G224" s="4"/>
      <c r="H224" s="4"/>
      <c r="I224" s="4"/>
    </row>
    <row r="225">
      <c r="A225" s="4"/>
      <c r="B225" s="15"/>
      <c r="C225" s="7" t="str">
        <f>IFERROR(__xludf.DUMMYFUNCTION("iferror(iferror(INDEX(IMPORTRANGE(""12vtnxaE_Q1s4tyr10kZQx7ZF_xG0lBFae4jQEUtgsMU"",""All!B2:B""),MATCH($B225,IMPORTRANGE(""12vtnxaE_Q1s4tyr10kZQx7ZF_xG0lBFae4jQEUtgsMU"",""All!A2:A""),0)),INDEX(IMPORTRANGE(""13KC70HngS4DDi8y9E5khtSpQEPG6owaQ9z4E-tR5mnY"","&amp;"""Non-Food!B2:B""),MATCH($B225,IMPORTRANGE(""13KC70HngS4DDi8y9E5khtSpQEPG6owaQ9z4E-tR5mnY"",""Non-Food!A2:A""),0))),"""")"),"")</f>
        <v/>
      </c>
      <c r="D225" s="5" t="str">
        <f t="shared" si="3"/>
        <v/>
      </c>
      <c r="E225" s="4"/>
      <c r="F225" s="4"/>
      <c r="G225" s="4"/>
      <c r="H225" s="4"/>
      <c r="I225" s="4"/>
    </row>
    <row r="226">
      <c r="A226" s="4"/>
      <c r="B226" s="15"/>
      <c r="C226" s="7" t="str">
        <f>IFERROR(__xludf.DUMMYFUNCTION("iferror(iferror(INDEX(IMPORTRANGE(""12vtnxaE_Q1s4tyr10kZQx7ZF_xG0lBFae4jQEUtgsMU"",""All!B2:B""),MATCH($B226,IMPORTRANGE(""12vtnxaE_Q1s4tyr10kZQx7ZF_xG0lBFae4jQEUtgsMU"",""All!A2:A""),0)),INDEX(IMPORTRANGE(""13KC70HngS4DDi8y9E5khtSpQEPG6owaQ9z4E-tR5mnY"","&amp;"""Non-Food!B2:B""),MATCH($B226,IMPORTRANGE(""13KC70HngS4DDi8y9E5khtSpQEPG6owaQ9z4E-tR5mnY"",""Non-Food!A2:A""),0))),"""")"),"")</f>
        <v/>
      </c>
      <c r="D226" s="5" t="str">
        <f t="shared" si="3"/>
        <v/>
      </c>
      <c r="E226" s="4"/>
      <c r="F226" s="4"/>
      <c r="G226" s="4"/>
      <c r="H226" s="4"/>
      <c r="I226" s="4"/>
    </row>
    <row r="227">
      <c r="A227" s="4"/>
      <c r="B227" s="15"/>
      <c r="C227" s="7" t="str">
        <f>IFERROR(__xludf.DUMMYFUNCTION("iferror(iferror(INDEX(IMPORTRANGE(""12vtnxaE_Q1s4tyr10kZQx7ZF_xG0lBFae4jQEUtgsMU"",""All!B2:B""),MATCH($B227,IMPORTRANGE(""12vtnxaE_Q1s4tyr10kZQx7ZF_xG0lBFae4jQEUtgsMU"",""All!A2:A""),0)),INDEX(IMPORTRANGE(""13KC70HngS4DDi8y9E5khtSpQEPG6owaQ9z4E-tR5mnY"","&amp;"""Non-Food!B2:B""),MATCH($B227,IMPORTRANGE(""13KC70HngS4DDi8y9E5khtSpQEPG6owaQ9z4E-tR5mnY"",""Non-Food!A2:A""),0))),"""")"),"")</f>
        <v/>
      </c>
      <c r="D227" s="5" t="str">
        <f t="shared" si="3"/>
        <v/>
      </c>
      <c r="E227" s="4"/>
      <c r="F227" s="4"/>
      <c r="G227" s="4"/>
      <c r="H227" s="4"/>
      <c r="I227" s="4"/>
    </row>
    <row r="228">
      <c r="A228" s="4"/>
      <c r="B228" s="15"/>
      <c r="C228" s="7" t="str">
        <f>IFERROR(__xludf.DUMMYFUNCTION("iferror(iferror(INDEX(IMPORTRANGE(""12vtnxaE_Q1s4tyr10kZQx7ZF_xG0lBFae4jQEUtgsMU"",""All!B2:B""),MATCH($B228,IMPORTRANGE(""12vtnxaE_Q1s4tyr10kZQx7ZF_xG0lBFae4jQEUtgsMU"",""All!A2:A""),0)),INDEX(IMPORTRANGE(""13KC70HngS4DDi8y9E5khtSpQEPG6owaQ9z4E-tR5mnY"","&amp;"""Non-Food!B2:B""),MATCH($B228,IMPORTRANGE(""13KC70HngS4DDi8y9E5khtSpQEPG6owaQ9z4E-tR5mnY"",""Non-Food!A2:A""),0))),"""")"),"")</f>
        <v/>
      </c>
      <c r="D228" s="5" t="str">
        <f t="shared" si="3"/>
        <v/>
      </c>
      <c r="E228" s="4"/>
      <c r="F228" s="4"/>
      <c r="G228" s="4"/>
      <c r="H228" s="4"/>
      <c r="I228" s="4"/>
    </row>
    <row r="229">
      <c r="A229" s="4"/>
      <c r="B229" s="15"/>
      <c r="C229" s="7" t="str">
        <f>IFERROR(__xludf.DUMMYFUNCTION("iferror(iferror(INDEX(IMPORTRANGE(""12vtnxaE_Q1s4tyr10kZQx7ZF_xG0lBFae4jQEUtgsMU"",""All!B2:B""),MATCH($B229,IMPORTRANGE(""12vtnxaE_Q1s4tyr10kZQx7ZF_xG0lBFae4jQEUtgsMU"",""All!A2:A""),0)),INDEX(IMPORTRANGE(""13KC70HngS4DDi8y9E5khtSpQEPG6owaQ9z4E-tR5mnY"","&amp;"""Non-Food!B2:B""),MATCH($B229,IMPORTRANGE(""13KC70HngS4DDi8y9E5khtSpQEPG6owaQ9z4E-tR5mnY"",""Non-Food!A2:A""),0))),"""")"),"")</f>
        <v/>
      </c>
      <c r="D229" s="5" t="str">
        <f t="shared" si="3"/>
        <v/>
      </c>
      <c r="E229" s="4"/>
      <c r="F229" s="4"/>
      <c r="G229" s="4"/>
      <c r="H229" s="4"/>
      <c r="I229" s="4"/>
    </row>
    <row r="230">
      <c r="A230" s="4"/>
      <c r="B230" s="15"/>
      <c r="C230" s="7" t="str">
        <f>IFERROR(__xludf.DUMMYFUNCTION("iferror(iferror(INDEX(IMPORTRANGE(""12vtnxaE_Q1s4tyr10kZQx7ZF_xG0lBFae4jQEUtgsMU"",""All!B2:B""),MATCH($B230,IMPORTRANGE(""12vtnxaE_Q1s4tyr10kZQx7ZF_xG0lBFae4jQEUtgsMU"",""All!A2:A""),0)),INDEX(IMPORTRANGE(""13KC70HngS4DDi8y9E5khtSpQEPG6owaQ9z4E-tR5mnY"","&amp;"""Non-Food!B2:B""),MATCH($B230,IMPORTRANGE(""13KC70HngS4DDi8y9E5khtSpQEPG6owaQ9z4E-tR5mnY"",""Non-Food!A2:A""),0))),"""")"),"")</f>
        <v/>
      </c>
      <c r="D230" s="5" t="str">
        <f t="shared" si="3"/>
        <v/>
      </c>
      <c r="E230" s="4"/>
      <c r="F230" s="4"/>
      <c r="G230" s="4"/>
      <c r="H230" s="4"/>
      <c r="I230" s="4"/>
    </row>
    <row r="231">
      <c r="A231" s="4"/>
      <c r="B231" s="15"/>
      <c r="C231" s="7" t="str">
        <f>IFERROR(__xludf.DUMMYFUNCTION("iferror(iferror(INDEX(IMPORTRANGE(""12vtnxaE_Q1s4tyr10kZQx7ZF_xG0lBFae4jQEUtgsMU"",""All!B2:B""),MATCH($B231,IMPORTRANGE(""12vtnxaE_Q1s4tyr10kZQx7ZF_xG0lBFae4jQEUtgsMU"",""All!A2:A""),0)),INDEX(IMPORTRANGE(""13KC70HngS4DDi8y9E5khtSpQEPG6owaQ9z4E-tR5mnY"","&amp;"""Non-Food!B2:B""),MATCH($B231,IMPORTRANGE(""13KC70HngS4DDi8y9E5khtSpQEPG6owaQ9z4E-tR5mnY"",""Non-Food!A2:A""),0))),"""")"),"")</f>
        <v/>
      </c>
      <c r="D231" s="5" t="str">
        <f t="shared" si="3"/>
        <v/>
      </c>
      <c r="E231" s="4"/>
      <c r="F231" s="4"/>
      <c r="G231" s="4"/>
      <c r="H231" s="4"/>
      <c r="I231" s="4"/>
    </row>
    <row r="232">
      <c r="A232" s="4"/>
      <c r="B232" s="15"/>
      <c r="C232" s="7" t="str">
        <f>IFERROR(__xludf.DUMMYFUNCTION("iferror(iferror(INDEX(IMPORTRANGE(""12vtnxaE_Q1s4tyr10kZQx7ZF_xG0lBFae4jQEUtgsMU"",""All!B2:B""),MATCH($B232,IMPORTRANGE(""12vtnxaE_Q1s4tyr10kZQx7ZF_xG0lBFae4jQEUtgsMU"",""All!A2:A""),0)),INDEX(IMPORTRANGE(""13KC70HngS4DDi8y9E5khtSpQEPG6owaQ9z4E-tR5mnY"","&amp;"""Non-Food!B2:B""),MATCH($B232,IMPORTRANGE(""13KC70HngS4DDi8y9E5khtSpQEPG6owaQ9z4E-tR5mnY"",""Non-Food!A2:A""),0))),"""")"),"")</f>
        <v/>
      </c>
      <c r="D232" s="5" t="str">
        <f t="shared" si="3"/>
        <v/>
      </c>
      <c r="E232" s="4"/>
      <c r="F232" s="4"/>
      <c r="G232" s="4"/>
      <c r="H232" s="4"/>
      <c r="I232" s="4"/>
    </row>
    <row r="233">
      <c r="A233" s="4"/>
      <c r="B233" s="15"/>
      <c r="C233" s="7" t="str">
        <f>IFERROR(__xludf.DUMMYFUNCTION("iferror(iferror(INDEX(IMPORTRANGE(""12vtnxaE_Q1s4tyr10kZQx7ZF_xG0lBFae4jQEUtgsMU"",""All!B2:B""),MATCH($B233,IMPORTRANGE(""12vtnxaE_Q1s4tyr10kZQx7ZF_xG0lBFae4jQEUtgsMU"",""All!A2:A""),0)),INDEX(IMPORTRANGE(""13KC70HngS4DDi8y9E5khtSpQEPG6owaQ9z4E-tR5mnY"","&amp;"""Non-Food!B2:B""),MATCH($B233,IMPORTRANGE(""13KC70HngS4DDi8y9E5khtSpQEPG6owaQ9z4E-tR5mnY"",""Non-Food!A2:A""),0))),"""")"),"")</f>
        <v/>
      </c>
      <c r="D233" s="5" t="str">
        <f t="shared" si="3"/>
        <v/>
      </c>
      <c r="E233" s="4"/>
      <c r="F233" s="4"/>
      <c r="G233" s="4"/>
      <c r="H233" s="4"/>
      <c r="I233" s="4"/>
    </row>
    <row r="234">
      <c r="A234" s="4"/>
      <c r="B234" s="15"/>
      <c r="C234" s="7" t="str">
        <f>IFERROR(__xludf.DUMMYFUNCTION("iferror(iferror(INDEX(IMPORTRANGE(""12vtnxaE_Q1s4tyr10kZQx7ZF_xG0lBFae4jQEUtgsMU"",""All!B2:B""),MATCH($B234,IMPORTRANGE(""12vtnxaE_Q1s4tyr10kZQx7ZF_xG0lBFae4jQEUtgsMU"",""All!A2:A""),0)),INDEX(IMPORTRANGE(""13KC70HngS4DDi8y9E5khtSpQEPG6owaQ9z4E-tR5mnY"","&amp;"""Non-Food!B2:B""),MATCH($B234,IMPORTRANGE(""13KC70HngS4DDi8y9E5khtSpQEPG6owaQ9z4E-tR5mnY"",""Non-Food!A2:A""),0))),"""")"),"")</f>
        <v/>
      </c>
      <c r="D234" s="5" t="str">
        <f t="shared" si="3"/>
        <v/>
      </c>
      <c r="E234" s="4"/>
      <c r="F234" s="4"/>
      <c r="G234" s="4"/>
      <c r="H234" s="4"/>
      <c r="I234" s="4"/>
    </row>
    <row r="235">
      <c r="A235" s="4"/>
      <c r="B235" s="15"/>
      <c r="C235" s="7" t="str">
        <f>IFERROR(__xludf.DUMMYFUNCTION("iferror(iferror(INDEX(IMPORTRANGE(""12vtnxaE_Q1s4tyr10kZQx7ZF_xG0lBFae4jQEUtgsMU"",""All!B2:B""),MATCH($B235,IMPORTRANGE(""12vtnxaE_Q1s4tyr10kZQx7ZF_xG0lBFae4jQEUtgsMU"",""All!A2:A""),0)),INDEX(IMPORTRANGE(""13KC70HngS4DDi8y9E5khtSpQEPG6owaQ9z4E-tR5mnY"","&amp;"""Non-Food!B2:B""),MATCH($B235,IMPORTRANGE(""13KC70HngS4DDi8y9E5khtSpQEPG6owaQ9z4E-tR5mnY"",""Non-Food!A2:A""),0))),"""")"),"")</f>
        <v/>
      </c>
      <c r="D235" s="5" t="str">
        <f t="shared" si="3"/>
        <v/>
      </c>
      <c r="E235" s="4"/>
      <c r="F235" s="4"/>
      <c r="G235" s="4"/>
      <c r="H235" s="4"/>
      <c r="I235" s="4"/>
    </row>
    <row r="236">
      <c r="A236" s="4"/>
      <c r="B236" s="15"/>
      <c r="C236" s="7" t="str">
        <f>IFERROR(__xludf.DUMMYFUNCTION("iferror(iferror(INDEX(IMPORTRANGE(""12vtnxaE_Q1s4tyr10kZQx7ZF_xG0lBFae4jQEUtgsMU"",""All!B2:B""),MATCH($B236,IMPORTRANGE(""12vtnxaE_Q1s4tyr10kZQx7ZF_xG0lBFae4jQEUtgsMU"",""All!A2:A""),0)),INDEX(IMPORTRANGE(""13KC70HngS4DDi8y9E5khtSpQEPG6owaQ9z4E-tR5mnY"","&amp;"""Non-Food!B2:B""),MATCH($B236,IMPORTRANGE(""13KC70HngS4DDi8y9E5khtSpQEPG6owaQ9z4E-tR5mnY"",""Non-Food!A2:A""),0))),"""")"),"")</f>
        <v/>
      </c>
      <c r="D236" s="5" t="str">
        <f t="shared" si="3"/>
        <v/>
      </c>
      <c r="E236" s="4"/>
      <c r="F236" s="4"/>
      <c r="G236" s="4"/>
      <c r="H236" s="4"/>
      <c r="I236" s="4"/>
    </row>
    <row r="237">
      <c r="A237" s="4"/>
      <c r="B237" s="15"/>
      <c r="C237" s="7" t="str">
        <f>IFERROR(__xludf.DUMMYFUNCTION("iferror(iferror(INDEX(IMPORTRANGE(""12vtnxaE_Q1s4tyr10kZQx7ZF_xG0lBFae4jQEUtgsMU"",""All!B2:B""),MATCH($B237,IMPORTRANGE(""12vtnxaE_Q1s4tyr10kZQx7ZF_xG0lBFae4jQEUtgsMU"",""All!A2:A""),0)),INDEX(IMPORTRANGE(""13KC70HngS4DDi8y9E5khtSpQEPG6owaQ9z4E-tR5mnY"","&amp;"""Non-Food!B2:B""),MATCH($B237,IMPORTRANGE(""13KC70HngS4DDi8y9E5khtSpQEPG6owaQ9z4E-tR5mnY"",""Non-Food!A2:A""),0))),"""")"),"")</f>
        <v/>
      </c>
      <c r="D237" s="5" t="str">
        <f t="shared" si="3"/>
        <v/>
      </c>
      <c r="E237" s="4"/>
      <c r="F237" s="4"/>
      <c r="G237" s="4"/>
      <c r="H237" s="4"/>
      <c r="I237" s="4"/>
    </row>
    <row r="238">
      <c r="A238" s="4"/>
      <c r="B238" s="15"/>
      <c r="C238" s="7" t="str">
        <f>IFERROR(__xludf.DUMMYFUNCTION("iferror(iferror(INDEX(IMPORTRANGE(""12vtnxaE_Q1s4tyr10kZQx7ZF_xG0lBFae4jQEUtgsMU"",""All!B2:B""),MATCH($B238,IMPORTRANGE(""12vtnxaE_Q1s4tyr10kZQx7ZF_xG0lBFae4jQEUtgsMU"",""All!A2:A""),0)),INDEX(IMPORTRANGE(""13KC70HngS4DDi8y9E5khtSpQEPG6owaQ9z4E-tR5mnY"","&amp;"""Non-Food!B2:B""),MATCH($B238,IMPORTRANGE(""13KC70HngS4DDi8y9E5khtSpQEPG6owaQ9z4E-tR5mnY"",""Non-Food!A2:A""),0))),"""")"),"")</f>
        <v/>
      </c>
      <c r="D238" s="5" t="str">
        <f t="shared" si="3"/>
        <v/>
      </c>
      <c r="E238" s="4"/>
      <c r="F238" s="4"/>
      <c r="G238" s="4"/>
      <c r="H238" s="4"/>
      <c r="I238" s="4"/>
    </row>
    <row r="239">
      <c r="A239" s="4"/>
      <c r="B239" s="15"/>
      <c r="C239" s="7" t="str">
        <f>IFERROR(__xludf.DUMMYFUNCTION("iferror(iferror(INDEX(IMPORTRANGE(""12vtnxaE_Q1s4tyr10kZQx7ZF_xG0lBFae4jQEUtgsMU"",""All!B2:B""),MATCH($B239,IMPORTRANGE(""12vtnxaE_Q1s4tyr10kZQx7ZF_xG0lBFae4jQEUtgsMU"",""All!A2:A""),0)),INDEX(IMPORTRANGE(""13KC70HngS4DDi8y9E5khtSpQEPG6owaQ9z4E-tR5mnY"","&amp;"""Non-Food!B2:B""),MATCH($B239,IMPORTRANGE(""13KC70HngS4DDi8y9E5khtSpQEPG6owaQ9z4E-tR5mnY"",""Non-Food!A2:A""),0))),"""")"),"")</f>
        <v/>
      </c>
      <c r="D239" s="5" t="str">
        <f t="shared" si="3"/>
        <v/>
      </c>
      <c r="E239" s="4"/>
      <c r="F239" s="4"/>
      <c r="G239" s="4"/>
      <c r="H239" s="4"/>
      <c r="I239" s="4"/>
    </row>
    <row r="240">
      <c r="A240" s="4"/>
      <c r="B240" s="15"/>
      <c r="C240" s="7" t="str">
        <f>IFERROR(__xludf.DUMMYFUNCTION("iferror(iferror(INDEX(IMPORTRANGE(""12vtnxaE_Q1s4tyr10kZQx7ZF_xG0lBFae4jQEUtgsMU"",""All!B2:B""),MATCH($B240,IMPORTRANGE(""12vtnxaE_Q1s4tyr10kZQx7ZF_xG0lBFae4jQEUtgsMU"",""All!A2:A""),0)),INDEX(IMPORTRANGE(""13KC70HngS4DDi8y9E5khtSpQEPG6owaQ9z4E-tR5mnY"","&amp;"""Non-Food!B2:B""),MATCH($B240,IMPORTRANGE(""13KC70HngS4DDi8y9E5khtSpQEPG6owaQ9z4E-tR5mnY"",""Non-Food!A2:A""),0))),"""")"),"")</f>
        <v/>
      </c>
      <c r="D240" s="5" t="str">
        <f t="shared" si="3"/>
        <v/>
      </c>
      <c r="E240" s="4"/>
      <c r="F240" s="4"/>
      <c r="G240" s="4"/>
      <c r="H240" s="4"/>
      <c r="I240" s="4"/>
    </row>
    <row r="241">
      <c r="A241" s="4"/>
      <c r="B241" s="15"/>
      <c r="C241" s="7" t="str">
        <f>IFERROR(__xludf.DUMMYFUNCTION("iferror(iferror(INDEX(IMPORTRANGE(""12vtnxaE_Q1s4tyr10kZQx7ZF_xG0lBFae4jQEUtgsMU"",""All!B2:B""),MATCH($B241,IMPORTRANGE(""12vtnxaE_Q1s4tyr10kZQx7ZF_xG0lBFae4jQEUtgsMU"",""All!A2:A""),0)),INDEX(IMPORTRANGE(""13KC70HngS4DDi8y9E5khtSpQEPG6owaQ9z4E-tR5mnY"","&amp;"""Non-Food!B2:B""),MATCH($B241,IMPORTRANGE(""13KC70HngS4DDi8y9E5khtSpQEPG6owaQ9z4E-tR5mnY"",""Non-Food!A2:A""),0))),"""")"),"")</f>
        <v/>
      </c>
      <c r="D241" s="5" t="str">
        <f t="shared" si="3"/>
        <v/>
      </c>
      <c r="E241" s="4"/>
      <c r="F241" s="4"/>
      <c r="G241" s="4"/>
      <c r="H241" s="4"/>
      <c r="I241" s="4"/>
    </row>
    <row r="242">
      <c r="A242" s="4"/>
      <c r="B242" s="15"/>
      <c r="C242" s="7" t="str">
        <f>IFERROR(__xludf.DUMMYFUNCTION("iferror(iferror(INDEX(IMPORTRANGE(""12vtnxaE_Q1s4tyr10kZQx7ZF_xG0lBFae4jQEUtgsMU"",""All!B2:B""),MATCH($B242,IMPORTRANGE(""12vtnxaE_Q1s4tyr10kZQx7ZF_xG0lBFae4jQEUtgsMU"",""All!A2:A""),0)),INDEX(IMPORTRANGE(""13KC70HngS4DDi8y9E5khtSpQEPG6owaQ9z4E-tR5mnY"","&amp;"""Non-Food!B2:B""),MATCH($B242,IMPORTRANGE(""13KC70HngS4DDi8y9E5khtSpQEPG6owaQ9z4E-tR5mnY"",""Non-Food!A2:A""),0))),"""")"),"")</f>
        <v/>
      </c>
      <c r="D242" s="5" t="str">
        <f t="shared" si="3"/>
        <v/>
      </c>
      <c r="E242" s="4"/>
      <c r="F242" s="4"/>
      <c r="G242" s="4"/>
      <c r="H242" s="4"/>
      <c r="I242" s="4"/>
    </row>
    <row r="243">
      <c r="A243" s="4"/>
      <c r="B243" s="15"/>
      <c r="C243" s="7" t="str">
        <f>IFERROR(__xludf.DUMMYFUNCTION("iferror(iferror(INDEX(IMPORTRANGE(""12vtnxaE_Q1s4tyr10kZQx7ZF_xG0lBFae4jQEUtgsMU"",""All!B2:B""),MATCH($B243,IMPORTRANGE(""12vtnxaE_Q1s4tyr10kZQx7ZF_xG0lBFae4jQEUtgsMU"",""All!A2:A""),0)),INDEX(IMPORTRANGE(""13KC70HngS4DDi8y9E5khtSpQEPG6owaQ9z4E-tR5mnY"","&amp;"""Non-Food!B2:B""),MATCH($B243,IMPORTRANGE(""13KC70HngS4DDi8y9E5khtSpQEPG6owaQ9z4E-tR5mnY"",""Non-Food!A2:A""),0))),"""")"),"")</f>
        <v/>
      </c>
      <c r="D243" s="5" t="str">
        <f t="shared" si="3"/>
        <v/>
      </c>
      <c r="E243" s="4"/>
      <c r="F243" s="4"/>
      <c r="G243" s="4"/>
      <c r="H243" s="4"/>
      <c r="I243" s="4"/>
    </row>
    <row r="244">
      <c r="A244" s="4"/>
      <c r="B244" s="15"/>
      <c r="C244" s="7" t="str">
        <f>IFERROR(__xludf.DUMMYFUNCTION("iferror(iferror(INDEX(IMPORTRANGE(""12vtnxaE_Q1s4tyr10kZQx7ZF_xG0lBFae4jQEUtgsMU"",""All!B2:B""),MATCH($B244,IMPORTRANGE(""12vtnxaE_Q1s4tyr10kZQx7ZF_xG0lBFae4jQEUtgsMU"",""All!A2:A""),0)),INDEX(IMPORTRANGE(""13KC70HngS4DDi8y9E5khtSpQEPG6owaQ9z4E-tR5mnY"","&amp;"""Non-Food!B2:B""),MATCH($B244,IMPORTRANGE(""13KC70HngS4DDi8y9E5khtSpQEPG6owaQ9z4E-tR5mnY"",""Non-Food!A2:A""),0))),"""")"),"")</f>
        <v/>
      </c>
      <c r="D244" s="5" t="str">
        <f t="shared" si="3"/>
        <v/>
      </c>
      <c r="E244" s="4"/>
      <c r="F244" s="4"/>
      <c r="G244" s="4"/>
      <c r="H244" s="4"/>
      <c r="I244" s="4"/>
    </row>
    <row r="245">
      <c r="A245" s="4"/>
      <c r="B245" s="15"/>
      <c r="C245" s="7" t="str">
        <f>IFERROR(__xludf.DUMMYFUNCTION("iferror(iferror(INDEX(IMPORTRANGE(""12vtnxaE_Q1s4tyr10kZQx7ZF_xG0lBFae4jQEUtgsMU"",""All!B2:B""),MATCH($B245,IMPORTRANGE(""12vtnxaE_Q1s4tyr10kZQx7ZF_xG0lBFae4jQEUtgsMU"",""All!A2:A""),0)),INDEX(IMPORTRANGE(""13KC70HngS4DDi8y9E5khtSpQEPG6owaQ9z4E-tR5mnY"","&amp;"""Non-Food!B2:B""),MATCH($B245,IMPORTRANGE(""13KC70HngS4DDi8y9E5khtSpQEPG6owaQ9z4E-tR5mnY"",""Non-Food!A2:A""),0))),"""")"),"")</f>
        <v/>
      </c>
      <c r="D245" s="5" t="str">
        <f t="shared" si="3"/>
        <v/>
      </c>
      <c r="E245" s="4"/>
      <c r="F245" s="4"/>
      <c r="G245" s="4"/>
      <c r="H245" s="4"/>
      <c r="I245" s="4"/>
    </row>
    <row r="246">
      <c r="A246" s="4"/>
      <c r="B246" s="15"/>
      <c r="C246" s="7" t="str">
        <f>IFERROR(__xludf.DUMMYFUNCTION("iferror(iferror(INDEX(IMPORTRANGE(""12vtnxaE_Q1s4tyr10kZQx7ZF_xG0lBFae4jQEUtgsMU"",""All!B2:B""),MATCH($B246,IMPORTRANGE(""12vtnxaE_Q1s4tyr10kZQx7ZF_xG0lBFae4jQEUtgsMU"",""All!A2:A""),0)),INDEX(IMPORTRANGE(""13KC70HngS4DDi8y9E5khtSpQEPG6owaQ9z4E-tR5mnY"","&amp;"""Non-Food!B2:B""),MATCH($B246,IMPORTRANGE(""13KC70HngS4DDi8y9E5khtSpQEPG6owaQ9z4E-tR5mnY"",""Non-Food!A2:A""),0))),"""")"),"")</f>
        <v/>
      </c>
      <c r="D246" s="5" t="str">
        <f t="shared" si="3"/>
        <v/>
      </c>
      <c r="E246" s="4"/>
      <c r="F246" s="4"/>
      <c r="G246" s="4"/>
      <c r="H246" s="4"/>
      <c r="I246" s="4"/>
    </row>
    <row r="247">
      <c r="A247" s="4"/>
      <c r="B247" s="15"/>
      <c r="C247" s="7" t="str">
        <f>IFERROR(__xludf.DUMMYFUNCTION("iferror(iferror(INDEX(IMPORTRANGE(""12vtnxaE_Q1s4tyr10kZQx7ZF_xG0lBFae4jQEUtgsMU"",""All!B2:B""),MATCH($B247,IMPORTRANGE(""12vtnxaE_Q1s4tyr10kZQx7ZF_xG0lBFae4jQEUtgsMU"",""All!A2:A""),0)),INDEX(IMPORTRANGE(""13KC70HngS4DDi8y9E5khtSpQEPG6owaQ9z4E-tR5mnY"","&amp;"""Non-Food!B2:B""),MATCH($B247,IMPORTRANGE(""13KC70HngS4DDi8y9E5khtSpQEPG6owaQ9z4E-tR5mnY"",""Non-Food!A2:A""),0))),"""")"),"")</f>
        <v/>
      </c>
      <c r="D247" s="5" t="str">
        <f t="shared" si="3"/>
        <v/>
      </c>
      <c r="E247" s="4"/>
      <c r="F247" s="4"/>
      <c r="G247" s="4"/>
      <c r="H247" s="4"/>
      <c r="I247" s="4"/>
    </row>
    <row r="248">
      <c r="A248" s="4"/>
      <c r="B248" s="15"/>
      <c r="C248" s="7" t="str">
        <f>IFERROR(__xludf.DUMMYFUNCTION("iferror(iferror(INDEX(IMPORTRANGE(""12vtnxaE_Q1s4tyr10kZQx7ZF_xG0lBFae4jQEUtgsMU"",""All!B2:B""),MATCH($B248,IMPORTRANGE(""12vtnxaE_Q1s4tyr10kZQx7ZF_xG0lBFae4jQEUtgsMU"",""All!A2:A""),0)),INDEX(IMPORTRANGE(""13KC70HngS4DDi8y9E5khtSpQEPG6owaQ9z4E-tR5mnY"","&amp;"""Non-Food!B2:B""),MATCH($B248,IMPORTRANGE(""13KC70HngS4DDi8y9E5khtSpQEPG6owaQ9z4E-tR5mnY"",""Non-Food!A2:A""),0))),"""")"),"")</f>
        <v/>
      </c>
      <c r="D248" s="5" t="str">
        <f t="shared" si="3"/>
        <v/>
      </c>
      <c r="E248" s="4"/>
      <c r="F248" s="4"/>
      <c r="G248" s="4"/>
      <c r="H248" s="4"/>
      <c r="I248" s="4"/>
    </row>
    <row r="249">
      <c r="A249" s="4"/>
      <c r="B249" s="15"/>
      <c r="C249" s="7" t="str">
        <f>IFERROR(__xludf.DUMMYFUNCTION("iferror(iferror(INDEX(IMPORTRANGE(""12vtnxaE_Q1s4tyr10kZQx7ZF_xG0lBFae4jQEUtgsMU"",""All!B2:B""),MATCH($B249,IMPORTRANGE(""12vtnxaE_Q1s4tyr10kZQx7ZF_xG0lBFae4jQEUtgsMU"",""All!A2:A""),0)),INDEX(IMPORTRANGE(""13KC70HngS4DDi8y9E5khtSpQEPG6owaQ9z4E-tR5mnY"","&amp;"""Non-Food!B2:B""),MATCH($B249,IMPORTRANGE(""13KC70HngS4DDi8y9E5khtSpQEPG6owaQ9z4E-tR5mnY"",""Non-Food!A2:A""),0))),"""")"),"")</f>
        <v/>
      </c>
      <c r="D249" s="5" t="str">
        <f t="shared" si="3"/>
        <v/>
      </c>
      <c r="E249" s="4"/>
      <c r="F249" s="4"/>
      <c r="G249" s="4"/>
      <c r="H249" s="4"/>
      <c r="I249" s="4"/>
    </row>
    <row r="250">
      <c r="A250" s="4"/>
      <c r="B250" s="15"/>
      <c r="C250" s="7" t="str">
        <f>IFERROR(__xludf.DUMMYFUNCTION("iferror(iferror(INDEX(IMPORTRANGE(""12vtnxaE_Q1s4tyr10kZQx7ZF_xG0lBFae4jQEUtgsMU"",""All!B2:B""),MATCH($B250,IMPORTRANGE(""12vtnxaE_Q1s4tyr10kZQx7ZF_xG0lBFae4jQEUtgsMU"",""All!A2:A""),0)),INDEX(IMPORTRANGE(""13KC70HngS4DDi8y9E5khtSpQEPG6owaQ9z4E-tR5mnY"","&amp;"""Non-Food!B2:B""),MATCH($B250,IMPORTRANGE(""13KC70HngS4DDi8y9E5khtSpQEPG6owaQ9z4E-tR5mnY"",""Non-Food!A2:A""),0))),"""")"),"")</f>
        <v/>
      </c>
      <c r="D250" s="5" t="str">
        <f t="shared" si="3"/>
        <v/>
      </c>
      <c r="E250" s="4"/>
      <c r="F250" s="4"/>
      <c r="G250" s="4"/>
      <c r="H250" s="4"/>
      <c r="I250" s="4"/>
    </row>
    <row r="251">
      <c r="A251" s="4"/>
      <c r="B251" s="15"/>
      <c r="C251" s="7" t="str">
        <f>IFERROR(__xludf.DUMMYFUNCTION("iferror(iferror(INDEX(IMPORTRANGE(""12vtnxaE_Q1s4tyr10kZQx7ZF_xG0lBFae4jQEUtgsMU"",""All!B2:B""),MATCH($B251,IMPORTRANGE(""12vtnxaE_Q1s4tyr10kZQx7ZF_xG0lBFae4jQEUtgsMU"",""All!A2:A""),0)),INDEX(IMPORTRANGE(""13KC70HngS4DDi8y9E5khtSpQEPG6owaQ9z4E-tR5mnY"","&amp;"""Non-Food!B2:B""),MATCH($B251,IMPORTRANGE(""13KC70HngS4DDi8y9E5khtSpQEPG6owaQ9z4E-tR5mnY"",""Non-Food!A2:A""),0))),"""")"),"")</f>
        <v/>
      </c>
      <c r="D251" s="5" t="str">
        <f t="shared" si="3"/>
        <v/>
      </c>
      <c r="E251" s="4"/>
      <c r="F251" s="4"/>
      <c r="G251" s="4"/>
      <c r="H251" s="4"/>
      <c r="I251" s="4"/>
    </row>
    <row r="252">
      <c r="A252" s="4"/>
      <c r="B252" s="15"/>
      <c r="C252" s="7" t="str">
        <f>IFERROR(__xludf.DUMMYFUNCTION("iferror(iferror(INDEX(IMPORTRANGE(""12vtnxaE_Q1s4tyr10kZQx7ZF_xG0lBFae4jQEUtgsMU"",""All!B2:B""),MATCH($B252,IMPORTRANGE(""12vtnxaE_Q1s4tyr10kZQx7ZF_xG0lBFae4jQEUtgsMU"",""All!A2:A""),0)),INDEX(IMPORTRANGE(""13KC70HngS4DDi8y9E5khtSpQEPG6owaQ9z4E-tR5mnY"","&amp;"""Non-Food!B2:B""),MATCH($B252,IMPORTRANGE(""13KC70HngS4DDi8y9E5khtSpQEPG6owaQ9z4E-tR5mnY"",""Non-Food!A2:A""),0))),"""")"),"")</f>
        <v/>
      </c>
      <c r="D252" s="5" t="str">
        <f t="shared" si="3"/>
        <v/>
      </c>
      <c r="E252" s="4"/>
      <c r="F252" s="4"/>
      <c r="G252" s="4"/>
      <c r="H252" s="4"/>
      <c r="I252" s="4"/>
    </row>
    <row r="253">
      <c r="A253" s="4"/>
      <c r="B253" s="15"/>
      <c r="C253" s="7" t="str">
        <f>IFERROR(__xludf.DUMMYFUNCTION("iferror(iferror(INDEX(IMPORTRANGE(""12vtnxaE_Q1s4tyr10kZQx7ZF_xG0lBFae4jQEUtgsMU"",""All!B2:B""),MATCH($B253,IMPORTRANGE(""12vtnxaE_Q1s4tyr10kZQx7ZF_xG0lBFae4jQEUtgsMU"",""All!A2:A""),0)),INDEX(IMPORTRANGE(""13KC70HngS4DDi8y9E5khtSpQEPG6owaQ9z4E-tR5mnY"","&amp;"""Non-Food!B2:B""),MATCH($B253,IMPORTRANGE(""13KC70HngS4DDi8y9E5khtSpQEPG6owaQ9z4E-tR5mnY"",""Non-Food!A2:A""),0))),"""")"),"")</f>
        <v/>
      </c>
      <c r="D253" s="5" t="str">
        <f t="shared" si="3"/>
        <v/>
      </c>
      <c r="E253" s="4"/>
      <c r="F253" s="4"/>
      <c r="G253" s="4"/>
      <c r="H253" s="4"/>
      <c r="I253" s="4"/>
    </row>
    <row r="254">
      <c r="A254" s="4"/>
      <c r="B254" s="15"/>
      <c r="C254" s="7" t="str">
        <f>IFERROR(__xludf.DUMMYFUNCTION("iferror(iferror(INDEX(IMPORTRANGE(""12vtnxaE_Q1s4tyr10kZQx7ZF_xG0lBFae4jQEUtgsMU"",""All!B2:B""),MATCH($B254,IMPORTRANGE(""12vtnxaE_Q1s4tyr10kZQx7ZF_xG0lBFae4jQEUtgsMU"",""All!A2:A""),0)),INDEX(IMPORTRANGE(""13KC70HngS4DDi8y9E5khtSpQEPG6owaQ9z4E-tR5mnY"","&amp;"""Non-Food!B2:B""),MATCH($B254,IMPORTRANGE(""13KC70HngS4DDi8y9E5khtSpQEPG6owaQ9z4E-tR5mnY"",""Non-Food!A2:A""),0))),"""")"),"")</f>
        <v/>
      </c>
      <c r="D254" s="5" t="str">
        <f t="shared" si="3"/>
        <v/>
      </c>
      <c r="E254" s="4"/>
      <c r="F254" s="4"/>
      <c r="G254" s="4"/>
      <c r="H254" s="4"/>
      <c r="I254" s="4"/>
    </row>
    <row r="255">
      <c r="A255" s="4"/>
      <c r="B255" s="15"/>
      <c r="C255" s="7" t="str">
        <f>IFERROR(__xludf.DUMMYFUNCTION("iferror(iferror(INDEX(IMPORTRANGE(""12vtnxaE_Q1s4tyr10kZQx7ZF_xG0lBFae4jQEUtgsMU"",""All!B2:B""),MATCH($B255,IMPORTRANGE(""12vtnxaE_Q1s4tyr10kZQx7ZF_xG0lBFae4jQEUtgsMU"",""All!A2:A""),0)),INDEX(IMPORTRANGE(""13KC70HngS4DDi8y9E5khtSpQEPG6owaQ9z4E-tR5mnY"","&amp;"""Non-Food!B2:B""),MATCH($B255,IMPORTRANGE(""13KC70HngS4DDi8y9E5khtSpQEPG6owaQ9z4E-tR5mnY"",""Non-Food!A2:A""),0))),"""")"),"")</f>
        <v/>
      </c>
      <c r="D255" s="5" t="str">
        <f t="shared" si="3"/>
        <v/>
      </c>
      <c r="E255" s="4"/>
      <c r="F255" s="4"/>
      <c r="G255" s="4"/>
      <c r="H255" s="4"/>
      <c r="I255" s="4"/>
    </row>
    <row r="256">
      <c r="A256" s="4"/>
      <c r="B256" s="15"/>
      <c r="C256" s="7" t="str">
        <f>IFERROR(__xludf.DUMMYFUNCTION("iferror(iferror(INDEX(IMPORTRANGE(""12vtnxaE_Q1s4tyr10kZQx7ZF_xG0lBFae4jQEUtgsMU"",""All!B2:B""),MATCH($B256,IMPORTRANGE(""12vtnxaE_Q1s4tyr10kZQx7ZF_xG0lBFae4jQEUtgsMU"",""All!A2:A""),0)),INDEX(IMPORTRANGE(""13KC70HngS4DDi8y9E5khtSpQEPG6owaQ9z4E-tR5mnY"","&amp;"""Non-Food!B2:B""),MATCH($B256,IMPORTRANGE(""13KC70HngS4DDi8y9E5khtSpQEPG6owaQ9z4E-tR5mnY"",""Non-Food!A2:A""),0))),"""")"),"")</f>
        <v/>
      </c>
      <c r="D256" s="5" t="str">
        <f t="shared" si="3"/>
        <v/>
      </c>
      <c r="E256" s="4"/>
      <c r="F256" s="4"/>
      <c r="G256" s="4"/>
      <c r="H256" s="4"/>
      <c r="I256" s="4"/>
    </row>
    <row r="257">
      <c r="A257" s="4"/>
      <c r="B257" s="15"/>
      <c r="C257" s="7" t="str">
        <f>IFERROR(__xludf.DUMMYFUNCTION("iferror(iferror(INDEX(IMPORTRANGE(""12vtnxaE_Q1s4tyr10kZQx7ZF_xG0lBFae4jQEUtgsMU"",""All!B2:B""),MATCH($B257,IMPORTRANGE(""12vtnxaE_Q1s4tyr10kZQx7ZF_xG0lBFae4jQEUtgsMU"",""All!A2:A""),0)),INDEX(IMPORTRANGE(""13KC70HngS4DDi8y9E5khtSpQEPG6owaQ9z4E-tR5mnY"","&amp;"""Non-Food!B2:B""),MATCH($B257,IMPORTRANGE(""13KC70HngS4DDi8y9E5khtSpQEPG6owaQ9z4E-tR5mnY"",""Non-Food!A2:A""),0))),"""")"),"")</f>
        <v/>
      </c>
      <c r="D257" s="5" t="str">
        <f t="shared" si="3"/>
        <v/>
      </c>
      <c r="E257" s="4"/>
      <c r="F257" s="4"/>
      <c r="G257" s="4"/>
      <c r="H257" s="4"/>
      <c r="I257" s="4"/>
    </row>
    <row r="258">
      <c r="A258" s="4"/>
      <c r="B258" s="15"/>
      <c r="C258" s="7" t="str">
        <f>IFERROR(__xludf.DUMMYFUNCTION("iferror(iferror(INDEX(IMPORTRANGE(""12vtnxaE_Q1s4tyr10kZQx7ZF_xG0lBFae4jQEUtgsMU"",""All!B2:B""),MATCH($B258,IMPORTRANGE(""12vtnxaE_Q1s4tyr10kZQx7ZF_xG0lBFae4jQEUtgsMU"",""All!A2:A""),0)),INDEX(IMPORTRANGE(""13KC70HngS4DDi8y9E5khtSpQEPG6owaQ9z4E-tR5mnY"","&amp;"""Non-Food!B2:B""),MATCH($B258,IMPORTRANGE(""13KC70HngS4DDi8y9E5khtSpQEPG6owaQ9z4E-tR5mnY"",""Non-Food!A2:A""),0))),"""")"),"")</f>
        <v/>
      </c>
      <c r="D258" s="5" t="str">
        <f t="shared" si="3"/>
        <v/>
      </c>
      <c r="E258" s="4"/>
      <c r="F258" s="4"/>
      <c r="G258" s="4"/>
      <c r="H258" s="4"/>
      <c r="I258" s="4"/>
    </row>
    <row r="259">
      <c r="A259" s="4"/>
      <c r="B259" s="15"/>
      <c r="C259" s="7" t="str">
        <f>IFERROR(__xludf.DUMMYFUNCTION("iferror(iferror(INDEX(IMPORTRANGE(""12vtnxaE_Q1s4tyr10kZQx7ZF_xG0lBFae4jQEUtgsMU"",""All!B2:B""),MATCH($B259,IMPORTRANGE(""12vtnxaE_Q1s4tyr10kZQx7ZF_xG0lBFae4jQEUtgsMU"",""All!A2:A""),0)),INDEX(IMPORTRANGE(""13KC70HngS4DDi8y9E5khtSpQEPG6owaQ9z4E-tR5mnY"","&amp;"""Non-Food!B2:B""),MATCH($B259,IMPORTRANGE(""13KC70HngS4DDi8y9E5khtSpQEPG6owaQ9z4E-tR5mnY"",""Non-Food!A2:A""),0))),"""")"),"")</f>
        <v/>
      </c>
      <c r="D259" s="5" t="str">
        <f t="shared" si="3"/>
        <v/>
      </c>
      <c r="E259" s="4"/>
      <c r="F259" s="4"/>
      <c r="G259" s="4"/>
      <c r="H259" s="4"/>
      <c r="I259" s="4"/>
    </row>
    <row r="260">
      <c r="A260" s="4"/>
      <c r="B260" s="15"/>
      <c r="C260" s="7" t="str">
        <f>IFERROR(__xludf.DUMMYFUNCTION("iferror(iferror(INDEX(IMPORTRANGE(""12vtnxaE_Q1s4tyr10kZQx7ZF_xG0lBFae4jQEUtgsMU"",""All!B2:B""),MATCH($B260,IMPORTRANGE(""12vtnxaE_Q1s4tyr10kZQx7ZF_xG0lBFae4jQEUtgsMU"",""All!A2:A""),0)),INDEX(IMPORTRANGE(""13KC70HngS4DDi8y9E5khtSpQEPG6owaQ9z4E-tR5mnY"","&amp;"""Non-Food!B2:B""),MATCH($B260,IMPORTRANGE(""13KC70HngS4DDi8y9E5khtSpQEPG6owaQ9z4E-tR5mnY"",""Non-Food!A2:A""),0))),"""")"),"")</f>
        <v/>
      </c>
      <c r="D260" s="5" t="str">
        <f t="shared" si="3"/>
        <v/>
      </c>
      <c r="E260" s="4"/>
      <c r="F260" s="4"/>
      <c r="G260" s="4"/>
      <c r="H260" s="4"/>
      <c r="I260" s="4"/>
    </row>
    <row r="261">
      <c r="A261" s="4"/>
      <c r="B261" s="15"/>
      <c r="C261" s="7" t="str">
        <f>IFERROR(__xludf.DUMMYFUNCTION("iferror(iferror(INDEX(IMPORTRANGE(""12vtnxaE_Q1s4tyr10kZQx7ZF_xG0lBFae4jQEUtgsMU"",""All!B2:B""),MATCH($B261,IMPORTRANGE(""12vtnxaE_Q1s4tyr10kZQx7ZF_xG0lBFae4jQEUtgsMU"",""All!A2:A""),0)),INDEX(IMPORTRANGE(""13KC70HngS4DDi8y9E5khtSpQEPG6owaQ9z4E-tR5mnY"","&amp;"""Non-Food!B2:B""),MATCH($B261,IMPORTRANGE(""13KC70HngS4DDi8y9E5khtSpQEPG6owaQ9z4E-tR5mnY"",""Non-Food!A2:A""),0))),"""")"),"")</f>
        <v/>
      </c>
      <c r="D261" s="5" t="str">
        <f t="shared" si="3"/>
        <v/>
      </c>
      <c r="E261" s="4"/>
      <c r="F261" s="4"/>
      <c r="G261" s="4"/>
      <c r="H261" s="4"/>
      <c r="I261" s="4"/>
    </row>
    <row r="262">
      <c r="A262" s="4"/>
      <c r="B262" s="15"/>
      <c r="C262" s="7" t="str">
        <f>IFERROR(__xludf.DUMMYFUNCTION("iferror(iferror(INDEX(IMPORTRANGE(""12vtnxaE_Q1s4tyr10kZQx7ZF_xG0lBFae4jQEUtgsMU"",""All!B2:B""),MATCH($B262,IMPORTRANGE(""12vtnxaE_Q1s4tyr10kZQx7ZF_xG0lBFae4jQEUtgsMU"",""All!A2:A""),0)),INDEX(IMPORTRANGE(""13KC70HngS4DDi8y9E5khtSpQEPG6owaQ9z4E-tR5mnY"","&amp;"""Non-Food!B2:B""),MATCH($B262,IMPORTRANGE(""13KC70HngS4DDi8y9E5khtSpQEPG6owaQ9z4E-tR5mnY"",""Non-Food!A2:A""),0))),"""")"),"")</f>
        <v/>
      </c>
      <c r="D262" s="5" t="str">
        <f t="shared" si="3"/>
        <v/>
      </c>
      <c r="E262" s="4"/>
      <c r="F262" s="4"/>
      <c r="G262" s="4"/>
      <c r="H262" s="4"/>
      <c r="I262" s="4"/>
    </row>
    <row r="263">
      <c r="A263" s="4"/>
      <c r="B263" s="15"/>
      <c r="C263" s="7" t="str">
        <f>IFERROR(__xludf.DUMMYFUNCTION("iferror(iferror(INDEX(IMPORTRANGE(""12vtnxaE_Q1s4tyr10kZQx7ZF_xG0lBFae4jQEUtgsMU"",""All!B2:B""),MATCH($B263,IMPORTRANGE(""12vtnxaE_Q1s4tyr10kZQx7ZF_xG0lBFae4jQEUtgsMU"",""All!A2:A""),0)),INDEX(IMPORTRANGE(""13KC70HngS4DDi8y9E5khtSpQEPG6owaQ9z4E-tR5mnY"","&amp;"""Non-Food!B2:B""),MATCH($B263,IMPORTRANGE(""13KC70HngS4DDi8y9E5khtSpQEPG6owaQ9z4E-tR5mnY"",""Non-Food!A2:A""),0))),"""")"),"")</f>
        <v/>
      </c>
      <c r="D263" s="5" t="str">
        <f t="shared" si="3"/>
        <v/>
      </c>
      <c r="E263" s="4"/>
      <c r="F263" s="4"/>
      <c r="G263" s="4"/>
      <c r="H263" s="4"/>
      <c r="I263" s="4"/>
    </row>
    <row r="264">
      <c r="A264" s="4"/>
      <c r="B264" s="15"/>
      <c r="C264" s="7" t="str">
        <f>IFERROR(__xludf.DUMMYFUNCTION("iferror(iferror(INDEX(IMPORTRANGE(""12vtnxaE_Q1s4tyr10kZQx7ZF_xG0lBFae4jQEUtgsMU"",""All!B2:B""),MATCH($B264,IMPORTRANGE(""12vtnxaE_Q1s4tyr10kZQx7ZF_xG0lBFae4jQEUtgsMU"",""All!A2:A""),0)),INDEX(IMPORTRANGE(""13KC70HngS4DDi8y9E5khtSpQEPG6owaQ9z4E-tR5mnY"","&amp;"""Non-Food!B2:B""),MATCH($B264,IMPORTRANGE(""13KC70HngS4DDi8y9E5khtSpQEPG6owaQ9z4E-tR5mnY"",""Non-Food!A2:A""),0))),"""")"),"")</f>
        <v/>
      </c>
      <c r="D264" s="5" t="str">
        <f t="shared" si="3"/>
        <v/>
      </c>
      <c r="E264" s="4"/>
      <c r="F264" s="4"/>
      <c r="G264" s="4"/>
      <c r="H264" s="4"/>
      <c r="I264" s="4"/>
    </row>
    <row r="265">
      <c r="A265" s="4"/>
      <c r="B265" s="15"/>
      <c r="C265" s="7" t="str">
        <f>IFERROR(__xludf.DUMMYFUNCTION("iferror(iferror(INDEX(IMPORTRANGE(""12vtnxaE_Q1s4tyr10kZQx7ZF_xG0lBFae4jQEUtgsMU"",""All!B2:B""),MATCH($B265,IMPORTRANGE(""12vtnxaE_Q1s4tyr10kZQx7ZF_xG0lBFae4jQEUtgsMU"",""All!A2:A""),0)),INDEX(IMPORTRANGE(""13KC70HngS4DDi8y9E5khtSpQEPG6owaQ9z4E-tR5mnY"","&amp;"""Non-Food!B2:B""),MATCH($B265,IMPORTRANGE(""13KC70HngS4DDi8y9E5khtSpQEPG6owaQ9z4E-tR5mnY"",""Non-Food!A2:A""),0))),"""")"),"")</f>
        <v/>
      </c>
      <c r="D265" s="5" t="str">
        <f t="shared" si="3"/>
        <v/>
      </c>
      <c r="E265" s="4"/>
      <c r="F265" s="4"/>
      <c r="G265" s="4"/>
      <c r="H265" s="4"/>
      <c r="I265" s="4"/>
    </row>
    <row r="266">
      <c r="A266" s="4"/>
      <c r="B266" s="15"/>
      <c r="C266" s="7" t="str">
        <f>IFERROR(__xludf.DUMMYFUNCTION("iferror(iferror(INDEX(IMPORTRANGE(""12vtnxaE_Q1s4tyr10kZQx7ZF_xG0lBFae4jQEUtgsMU"",""All!B2:B""),MATCH($B266,IMPORTRANGE(""12vtnxaE_Q1s4tyr10kZQx7ZF_xG0lBFae4jQEUtgsMU"",""All!A2:A""),0)),INDEX(IMPORTRANGE(""13KC70HngS4DDi8y9E5khtSpQEPG6owaQ9z4E-tR5mnY"","&amp;"""Non-Food!B2:B""),MATCH($B266,IMPORTRANGE(""13KC70HngS4DDi8y9E5khtSpQEPG6owaQ9z4E-tR5mnY"",""Non-Food!A2:A""),0))),"""")"),"")</f>
        <v/>
      </c>
      <c r="D266" s="5" t="str">
        <f t="shared" si="3"/>
        <v/>
      </c>
      <c r="E266" s="4"/>
      <c r="F266" s="4"/>
      <c r="G266" s="4"/>
      <c r="H266" s="4"/>
      <c r="I266" s="4"/>
    </row>
    <row r="267">
      <c r="A267" s="4"/>
      <c r="B267" s="15"/>
      <c r="C267" s="7" t="str">
        <f>IFERROR(__xludf.DUMMYFUNCTION("iferror(iferror(INDEX(IMPORTRANGE(""12vtnxaE_Q1s4tyr10kZQx7ZF_xG0lBFae4jQEUtgsMU"",""All!B2:B""),MATCH($B267,IMPORTRANGE(""12vtnxaE_Q1s4tyr10kZQx7ZF_xG0lBFae4jQEUtgsMU"",""All!A2:A""),0)),INDEX(IMPORTRANGE(""13KC70HngS4DDi8y9E5khtSpQEPG6owaQ9z4E-tR5mnY"","&amp;"""Non-Food!B2:B""),MATCH($B267,IMPORTRANGE(""13KC70HngS4DDi8y9E5khtSpQEPG6owaQ9z4E-tR5mnY"",""Non-Food!A2:A""),0))),"""")"),"")</f>
        <v/>
      </c>
      <c r="D267" s="5" t="str">
        <f t="shared" si="3"/>
        <v/>
      </c>
      <c r="E267" s="4"/>
      <c r="F267" s="4"/>
      <c r="G267" s="4"/>
      <c r="H267" s="4"/>
      <c r="I267" s="4"/>
    </row>
    <row r="268">
      <c r="A268" s="4"/>
      <c r="B268" s="15"/>
      <c r="C268" s="7" t="str">
        <f>IFERROR(__xludf.DUMMYFUNCTION("iferror(iferror(INDEX(IMPORTRANGE(""12vtnxaE_Q1s4tyr10kZQx7ZF_xG0lBFae4jQEUtgsMU"",""All!B2:B""),MATCH($B268,IMPORTRANGE(""12vtnxaE_Q1s4tyr10kZQx7ZF_xG0lBFae4jQEUtgsMU"",""All!A2:A""),0)),INDEX(IMPORTRANGE(""13KC70HngS4DDi8y9E5khtSpQEPG6owaQ9z4E-tR5mnY"","&amp;"""Non-Food!B2:B""),MATCH($B268,IMPORTRANGE(""13KC70HngS4DDi8y9E5khtSpQEPG6owaQ9z4E-tR5mnY"",""Non-Food!A2:A""),0))),"""")"),"")</f>
        <v/>
      </c>
      <c r="D268" s="5" t="str">
        <f t="shared" si="3"/>
        <v/>
      </c>
      <c r="E268" s="4"/>
      <c r="F268" s="4"/>
      <c r="G268" s="4"/>
      <c r="H268" s="4"/>
      <c r="I268" s="4"/>
    </row>
    <row r="269">
      <c r="A269" s="4"/>
      <c r="B269" s="15"/>
      <c r="C269" s="7" t="str">
        <f>IFERROR(__xludf.DUMMYFUNCTION("iferror(iferror(INDEX(IMPORTRANGE(""12vtnxaE_Q1s4tyr10kZQx7ZF_xG0lBFae4jQEUtgsMU"",""All!B2:B""),MATCH($B269,IMPORTRANGE(""12vtnxaE_Q1s4tyr10kZQx7ZF_xG0lBFae4jQEUtgsMU"",""All!A2:A""),0)),INDEX(IMPORTRANGE(""13KC70HngS4DDi8y9E5khtSpQEPG6owaQ9z4E-tR5mnY"","&amp;"""Non-Food!B2:B""),MATCH($B269,IMPORTRANGE(""13KC70HngS4DDi8y9E5khtSpQEPG6owaQ9z4E-tR5mnY"",""Non-Food!A2:A""),0))),"""")"),"")</f>
        <v/>
      </c>
      <c r="D269" s="5" t="str">
        <f t="shared" si="3"/>
        <v/>
      </c>
      <c r="E269" s="4"/>
      <c r="F269" s="4"/>
      <c r="G269" s="4"/>
      <c r="H269" s="4"/>
      <c r="I269" s="4"/>
    </row>
    <row r="270">
      <c r="A270" s="4"/>
      <c r="B270" s="15"/>
      <c r="C270" s="7" t="str">
        <f>IFERROR(__xludf.DUMMYFUNCTION("iferror(iferror(INDEX(IMPORTRANGE(""12vtnxaE_Q1s4tyr10kZQx7ZF_xG0lBFae4jQEUtgsMU"",""All!B2:B""),MATCH($B270,IMPORTRANGE(""12vtnxaE_Q1s4tyr10kZQx7ZF_xG0lBFae4jQEUtgsMU"",""All!A2:A""),0)),INDEX(IMPORTRANGE(""13KC70HngS4DDi8y9E5khtSpQEPG6owaQ9z4E-tR5mnY"","&amp;"""Non-Food!B2:B""),MATCH($B270,IMPORTRANGE(""13KC70HngS4DDi8y9E5khtSpQEPG6owaQ9z4E-tR5mnY"",""Non-Food!A2:A""),0))),"""")"),"")</f>
        <v/>
      </c>
      <c r="D270" s="5" t="str">
        <f t="shared" si="3"/>
        <v/>
      </c>
      <c r="E270" s="4"/>
      <c r="F270" s="4"/>
      <c r="G270" s="4"/>
      <c r="H270" s="4"/>
      <c r="I270" s="4"/>
    </row>
    <row r="271">
      <c r="A271" s="4"/>
      <c r="B271" s="15"/>
      <c r="C271" s="7" t="str">
        <f>IFERROR(__xludf.DUMMYFUNCTION("iferror(iferror(INDEX(IMPORTRANGE(""12vtnxaE_Q1s4tyr10kZQx7ZF_xG0lBFae4jQEUtgsMU"",""All!B2:B""),MATCH($B271,IMPORTRANGE(""12vtnxaE_Q1s4tyr10kZQx7ZF_xG0lBFae4jQEUtgsMU"",""All!A2:A""),0)),INDEX(IMPORTRANGE(""13KC70HngS4DDi8y9E5khtSpQEPG6owaQ9z4E-tR5mnY"","&amp;"""Non-Food!B2:B""),MATCH($B271,IMPORTRANGE(""13KC70HngS4DDi8y9E5khtSpQEPG6owaQ9z4E-tR5mnY"",""Non-Food!A2:A""),0))),"""")"),"")</f>
        <v/>
      </c>
      <c r="D271" s="5" t="str">
        <f t="shared" si="3"/>
        <v/>
      </c>
      <c r="E271" s="4"/>
      <c r="F271" s="4"/>
      <c r="G271" s="4"/>
      <c r="H271" s="4"/>
      <c r="I271" s="4"/>
    </row>
    <row r="272">
      <c r="A272" s="4"/>
      <c r="B272" s="15"/>
      <c r="C272" s="7" t="str">
        <f>IFERROR(__xludf.DUMMYFUNCTION("iferror(iferror(INDEX(IMPORTRANGE(""12vtnxaE_Q1s4tyr10kZQx7ZF_xG0lBFae4jQEUtgsMU"",""All!B2:B""),MATCH($B272,IMPORTRANGE(""12vtnxaE_Q1s4tyr10kZQx7ZF_xG0lBFae4jQEUtgsMU"",""All!A2:A""),0)),INDEX(IMPORTRANGE(""13KC70HngS4DDi8y9E5khtSpQEPG6owaQ9z4E-tR5mnY"","&amp;"""Non-Food!B2:B""),MATCH($B272,IMPORTRANGE(""13KC70HngS4DDi8y9E5khtSpQEPG6owaQ9z4E-tR5mnY"",""Non-Food!A2:A""),0))),"""")"),"")</f>
        <v/>
      </c>
      <c r="D272" s="5" t="str">
        <f t="shared" si="3"/>
        <v/>
      </c>
      <c r="E272" s="4"/>
      <c r="F272" s="4"/>
      <c r="G272" s="4"/>
      <c r="H272" s="4"/>
      <c r="I272" s="4"/>
    </row>
    <row r="273">
      <c r="A273" s="4"/>
      <c r="B273" s="15"/>
      <c r="C273" s="7" t="str">
        <f>IFERROR(__xludf.DUMMYFUNCTION("iferror(iferror(INDEX(IMPORTRANGE(""12vtnxaE_Q1s4tyr10kZQx7ZF_xG0lBFae4jQEUtgsMU"",""All!B2:B""),MATCH($B273,IMPORTRANGE(""12vtnxaE_Q1s4tyr10kZQx7ZF_xG0lBFae4jQEUtgsMU"",""All!A2:A""),0)),INDEX(IMPORTRANGE(""13KC70HngS4DDi8y9E5khtSpQEPG6owaQ9z4E-tR5mnY"","&amp;"""Non-Food!B2:B""),MATCH($B273,IMPORTRANGE(""13KC70HngS4DDi8y9E5khtSpQEPG6owaQ9z4E-tR5mnY"",""Non-Food!A2:A""),0))),"""")"),"")</f>
        <v/>
      </c>
      <c r="D273" s="5" t="str">
        <f t="shared" si="3"/>
        <v/>
      </c>
      <c r="E273" s="4"/>
      <c r="F273" s="4"/>
      <c r="G273" s="4"/>
      <c r="H273" s="4"/>
      <c r="I273" s="4"/>
    </row>
    <row r="274">
      <c r="A274" s="4"/>
      <c r="B274" s="15"/>
      <c r="C274" s="7" t="str">
        <f>IFERROR(__xludf.DUMMYFUNCTION("iferror(iferror(INDEX(IMPORTRANGE(""12vtnxaE_Q1s4tyr10kZQx7ZF_xG0lBFae4jQEUtgsMU"",""All!B2:B""),MATCH($B274,IMPORTRANGE(""12vtnxaE_Q1s4tyr10kZQx7ZF_xG0lBFae4jQEUtgsMU"",""All!A2:A""),0)),INDEX(IMPORTRANGE(""13KC70HngS4DDi8y9E5khtSpQEPG6owaQ9z4E-tR5mnY"","&amp;"""Non-Food!B2:B""),MATCH($B274,IMPORTRANGE(""13KC70HngS4DDi8y9E5khtSpQEPG6owaQ9z4E-tR5mnY"",""Non-Food!A2:A""),0))),"""")"),"")</f>
        <v/>
      </c>
      <c r="D274" s="5" t="str">
        <f t="shared" si="3"/>
        <v/>
      </c>
      <c r="E274" s="4"/>
      <c r="F274" s="4"/>
      <c r="G274" s="4"/>
      <c r="H274" s="4"/>
      <c r="I274" s="4"/>
    </row>
    <row r="275">
      <c r="A275" s="4"/>
      <c r="B275" s="15"/>
      <c r="C275" s="7" t="str">
        <f>IFERROR(__xludf.DUMMYFUNCTION("iferror(iferror(INDEX(IMPORTRANGE(""12vtnxaE_Q1s4tyr10kZQx7ZF_xG0lBFae4jQEUtgsMU"",""All!B2:B""),MATCH($B275,IMPORTRANGE(""12vtnxaE_Q1s4tyr10kZQx7ZF_xG0lBFae4jQEUtgsMU"",""All!A2:A""),0)),INDEX(IMPORTRANGE(""13KC70HngS4DDi8y9E5khtSpQEPG6owaQ9z4E-tR5mnY"","&amp;"""Non-Food!B2:B""),MATCH($B275,IMPORTRANGE(""13KC70HngS4DDi8y9E5khtSpQEPG6owaQ9z4E-tR5mnY"",""Non-Food!A2:A""),0))),"""")"),"")</f>
        <v/>
      </c>
      <c r="D275" s="5" t="str">
        <f t="shared" si="3"/>
        <v/>
      </c>
      <c r="E275" s="4"/>
      <c r="F275" s="4"/>
      <c r="G275" s="4"/>
      <c r="H275" s="4"/>
      <c r="I275" s="4"/>
    </row>
    <row r="276">
      <c r="A276" s="4"/>
      <c r="B276" s="15"/>
      <c r="C276" s="7" t="str">
        <f>IFERROR(__xludf.DUMMYFUNCTION("iferror(iferror(INDEX(IMPORTRANGE(""12vtnxaE_Q1s4tyr10kZQx7ZF_xG0lBFae4jQEUtgsMU"",""All!B2:B""),MATCH($B276,IMPORTRANGE(""12vtnxaE_Q1s4tyr10kZQx7ZF_xG0lBFae4jQEUtgsMU"",""All!A2:A""),0)),INDEX(IMPORTRANGE(""13KC70HngS4DDi8y9E5khtSpQEPG6owaQ9z4E-tR5mnY"","&amp;"""Non-Food!B2:B""),MATCH($B276,IMPORTRANGE(""13KC70HngS4DDi8y9E5khtSpQEPG6owaQ9z4E-tR5mnY"",""Non-Food!A2:A""),0))),"""")"),"")</f>
        <v/>
      </c>
      <c r="D276" s="5" t="str">
        <f t="shared" si="3"/>
        <v/>
      </c>
      <c r="E276" s="4"/>
      <c r="F276" s="4"/>
      <c r="G276" s="4"/>
      <c r="H276" s="4"/>
      <c r="I276" s="4"/>
    </row>
    <row r="277">
      <c r="A277" s="4"/>
      <c r="B277" s="15"/>
      <c r="C277" s="7" t="str">
        <f>IFERROR(__xludf.DUMMYFUNCTION("iferror(iferror(INDEX(IMPORTRANGE(""12vtnxaE_Q1s4tyr10kZQx7ZF_xG0lBFae4jQEUtgsMU"",""All!B2:B""),MATCH($B277,IMPORTRANGE(""12vtnxaE_Q1s4tyr10kZQx7ZF_xG0lBFae4jQEUtgsMU"",""All!A2:A""),0)),INDEX(IMPORTRANGE(""13KC70HngS4DDi8y9E5khtSpQEPG6owaQ9z4E-tR5mnY"","&amp;"""Non-Food!B2:B""),MATCH($B277,IMPORTRANGE(""13KC70HngS4DDi8y9E5khtSpQEPG6owaQ9z4E-tR5mnY"",""Non-Food!A2:A""),0))),"""")"),"")</f>
        <v/>
      </c>
      <c r="D277" s="5" t="str">
        <f t="shared" si="3"/>
        <v/>
      </c>
      <c r="E277" s="4"/>
      <c r="F277" s="4"/>
      <c r="G277" s="4"/>
      <c r="H277" s="4"/>
      <c r="I277" s="4"/>
    </row>
    <row r="278">
      <c r="A278" s="4"/>
      <c r="B278" s="15"/>
      <c r="C278" s="7" t="str">
        <f>IFERROR(__xludf.DUMMYFUNCTION("iferror(iferror(INDEX(IMPORTRANGE(""12vtnxaE_Q1s4tyr10kZQx7ZF_xG0lBFae4jQEUtgsMU"",""All!B2:B""),MATCH($B278,IMPORTRANGE(""12vtnxaE_Q1s4tyr10kZQx7ZF_xG0lBFae4jQEUtgsMU"",""All!A2:A""),0)),INDEX(IMPORTRANGE(""13KC70HngS4DDi8y9E5khtSpQEPG6owaQ9z4E-tR5mnY"","&amp;"""Non-Food!B2:B""),MATCH($B278,IMPORTRANGE(""13KC70HngS4DDi8y9E5khtSpQEPG6owaQ9z4E-tR5mnY"",""Non-Food!A2:A""),0))),"""")"),"")</f>
        <v/>
      </c>
      <c r="D278" s="5" t="str">
        <f t="shared" si="3"/>
        <v/>
      </c>
      <c r="E278" s="4"/>
      <c r="F278" s="4"/>
      <c r="G278" s="4"/>
      <c r="H278" s="4"/>
      <c r="I278" s="4"/>
    </row>
    <row r="279">
      <c r="A279" s="4"/>
      <c r="B279" s="15"/>
      <c r="C279" s="7" t="str">
        <f>IFERROR(__xludf.DUMMYFUNCTION("iferror(iferror(INDEX(IMPORTRANGE(""12vtnxaE_Q1s4tyr10kZQx7ZF_xG0lBFae4jQEUtgsMU"",""All!B2:B""),MATCH($B279,IMPORTRANGE(""12vtnxaE_Q1s4tyr10kZQx7ZF_xG0lBFae4jQEUtgsMU"",""All!A2:A""),0)),INDEX(IMPORTRANGE(""13KC70HngS4DDi8y9E5khtSpQEPG6owaQ9z4E-tR5mnY"","&amp;"""Non-Food!B2:B""),MATCH($B279,IMPORTRANGE(""13KC70HngS4DDi8y9E5khtSpQEPG6owaQ9z4E-tR5mnY"",""Non-Food!A2:A""),0))),"""")"),"")</f>
        <v/>
      </c>
      <c r="D279" s="5" t="str">
        <f t="shared" si="3"/>
        <v/>
      </c>
      <c r="E279" s="4"/>
      <c r="F279" s="4"/>
      <c r="G279" s="4"/>
      <c r="H279" s="4"/>
      <c r="I279" s="4"/>
    </row>
    <row r="280">
      <c r="A280" s="4"/>
      <c r="B280" s="15"/>
      <c r="C280" s="7" t="str">
        <f>IFERROR(__xludf.DUMMYFUNCTION("iferror(iferror(INDEX(IMPORTRANGE(""12vtnxaE_Q1s4tyr10kZQx7ZF_xG0lBFae4jQEUtgsMU"",""All!B2:B""),MATCH($B280,IMPORTRANGE(""12vtnxaE_Q1s4tyr10kZQx7ZF_xG0lBFae4jQEUtgsMU"",""All!A2:A""),0)),INDEX(IMPORTRANGE(""13KC70HngS4DDi8y9E5khtSpQEPG6owaQ9z4E-tR5mnY"","&amp;"""Non-Food!B2:B""),MATCH($B280,IMPORTRANGE(""13KC70HngS4DDi8y9E5khtSpQEPG6owaQ9z4E-tR5mnY"",""Non-Food!A2:A""),0))),"""")"),"")</f>
        <v/>
      </c>
      <c r="D280" s="5" t="str">
        <f t="shared" si="3"/>
        <v/>
      </c>
      <c r="E280" s="4"/>
      <c r="F280" s="4"/>
      <c r="G280" s="4"/>
      <c r="H280" s="4"/>
      <c r="I280" s="4"/>
    </row>
    <row r="281">
      <c r="A281" s="4"/>
      <c r="B281" s="15"/>
      <c r="C281" s="7" t="str">
        <f>IFERROR(__xludf.DUMMYFUNCTION("iferror(iferror(INDEX(IMPORTRANGE(""12vtnxaE_Q1s4tyr10kZQx7ZF_xG0lBFae4jQEUtgsMU"",""All!B2:B""),MATCH($B281,IMPORTRANGE(""12vtnxaE_Q1s4tyr10kZQx7ZF_xG0lBFae4jQEUtgsMU"",""All!A2:A""),0)),INDEX(IMPORTRANGE(""13KC70HngS4DDi8y9E5khtSpQEPG6owaQ9z4E-tR5mnY"","&amp;"""Non-Food!B2:B""),MATCH($B281,IMPORTRANGE(""13KC70HngS4DDi8y9E5khtSpQEPG6owaQ9z4E-tR5mnY"",""Non-Food!A2:A""),0))),"""")"),"")</f>
        <v/>
      </c>
      <c r="D281" s="5" t="str">
        <f t="shared" si="3"/>
        <v/>
      </c>
      <c r="E281" s="4"/>
      <c r="F281" s="4"/>
      <c r="G281" s="4"/>
      <c r="H281" s="4"/>
      <c r="I281" s="4"/>
    </row>
    <row r="282">
      <c r="A282" s="4"/>
      <c r="B282" s="15"/>
      <c r="C282" s="7" t="str">
        <f>IFERROR(__xludf.DUMMYFUNCTION("iferror(iferror(INDEX(IMPORTRANGE(""12vtnxaE_Q1s4tyr10kZQx7ZF_xG0lBFae4jQEUtgsMU"",""All!B2:B""),MATCH($B282,IMPORTRANGE(""12vtnxaE_Q1s4tyr10kZQx7ZF_xG0lBFae4jQEUtgsMU"",""All!A2:A""),0)),INDEX(IMPORTRANGE(""13KC70HngS4DDi8y9E5khtSpQEPG6owaQ9z4E-tR5mnY"","&amp;"""Non-Food!B2:B""),MATCH($B282,IMPORTRANGE(""13KC70HngS4DDi8y9E5khtSpQEPG6owaQ9z4E-tR5mnY"",""Non-Food!A2:A""),0))),"""")"),"")</f>
        <v/>
      </c>
      <c r="D282" s="5" t="str">
        <f t="shared" si="3"/>
        <v/>
      </c>
      <c r="E282" s="4"/>
      <c r="F282" s="4"/>
      <c r="G282" s="4"/>
      <c r="H282" s="4"/>
      <c r="I282" s="4"/>
    </row>
    <row r="283">
      <c r="A283" s="4"/>
      <c r="B283" s="15"/>
      <c r="C283" s="7" t="str">
        <f>IFERROR(__xludf.DUMMYFUNCTION("iferror(iferror(INDEX(IMPORTRANGE(""12vtnxaE_Q1s4tyr10kZQx7ZF_xG0lBFae4jQEUtgsMU"",""All!B2:B""),MATCH($B283,IMPORTRANGE(""12vtnxaE_Q1s4tyr10kZQx7ZF_xG0lBFae4jQEUtgsMU"",""All!A2:A""),0)),INDEX(IMPORTRANGE(""13KC70HngS4DDi8y9E5khtSpQEPG6owaQ9z4E-tR5mnY"","&amp;"""Non-Food!B2:B""),MATCH($B283,IMPORTRANGE(""13KC70HngS4DDi8y9E5khtSpQEPG6owaQ9z4E-tR5mnY"",""Non-Food!A2:A""),0))),"""")"),"")</f>
        <v/>
      </c>
      <c r="D283" s="5" t="str">
        <f t="shared" si="3"/>
        <v/>
      </c>
      <c r="E283" s="4"/>
      <c r="F283" s="4"/>
      <c r="G283" s="4"/>
      <c r="H283" s="4"/>
      <c r="I283" s="4"/>
    </row>
    <row r="284">
      <c r="A284" s="4"/>
      <c r="B284" s="15"/>
      <c r="C284" s="7" t="str">
        <f>IFERROR(__xludf.DUMMYFUNCTION("iferror(iferror(INDEX(IMPORTRANGE(""12vtnxaE_Q1s4tyr10kZQx7ZF_xG0lBFae4jQEUtgsMU"",""All!B2:B""),MATCH($B284,IMPORTRANGE(""12vtnxaE_Q1s4tyr10kZQx7ZF_xG0lBFae4jQEUtgsMU"",""All!A2:A""),0)),INDEX(IMPORTRANGE(""13KC70HngS4DDi8y9E5khtSpQEPG6owaQ9z4E-tR5mnY"","&amp;"""Non-Food!B2:B""),MATCH($B284,IMPORTRANGE(""13KC70HngS4DDi8y9E5khtSpQEPG6owaQ9z4E-tR5mnY"",""Non-Food!A2:A""),0))),"""")"),"")</f>
        <v/>
      </c>
      <c r="D284" s="5" t="str">
        <f t="shared" si="3"/>
        <v/>
      </c>
      <c r="E284" s="4"/>
      <c r="F284" s="4"/>
      <c r="G284" s="4"/>
      <c r="H284" s="4"/>
      <c r="I284" s="4"/>
    </row>
    <row r="285">
      <c r="A285" s="4"/>
      <c r="B285" s="15"/>
      <c r="C285" s="7" t="str">
        <f>IFERROR(__xludf.DUMMYFUNCTION("iferror(iferror(INDEX(IMPORTRANGE(""12vtnxaE_Q1s4tyr10kZQx7ZF_xG0lBFae4jQEUtgsMU"",""All!B2:B""),MATCH($B285,IMPORTRANGE(""12vtnxaE_Q1s4tyr10kZQx7ZF_xG0lBFae4jQEUtgsMU"",""All!A2:A""),0)),INDEX(IMPORTRANGE(""13KC70HngS4DDi8y9E5khtSpQEPG6owaQ9z4E-tR5mnY"","&amp;"""Non-Food!B2:B""),MATCH($B285,IMPORTRANGE(""13KC70HngS4DDi8y9E5khtSpQEPG6owaQ9z4E-tR5mnY"",""Non-Food!A2:A""),0))),"""")"),"")</f>
        <v/>
      </c>
      <c r="D285" s="5" t="str">
        <f t="shared" si="3"/>
        <v/>
      </c>
      <c r="E285" s="4"/>
      <c r="F285" s="4"/>
      <c r="G285" s="4"/>
      <c r="H285" s="4"/>
      <c r="I285" s="4"/>
    </row>
    <row r="286">
      <c r="A286" s="4"/>
      <c r="B286" s="15"/>
      <c r="C286" s="7" t="str">
        <f>IFERROR(__xludf.DUMMYFUNCTION("iferror(iferror(INDEX(IMPORTRANGE(""12vtnxaE_Q1s4tyr10kZQx7ZF_xG0lBFae4jQEUtgsMU"",""All!B2:B""),MATCH($B286,IMPORTRANGE(""12vtnxaE_Q1s4tyr10kZQx7ZF_xG0lBFae4jQEUtgsMU"",""All!A2:A""),0)),INDEX(IMPORTRANGE(""13KC70HngS4DDi8y9E5khtSpQEPG6owaQ9z4E-tR5mnY"","&amp;"""Non-Food!B2:B""),MATCH($B286,IMPORTRANGE(""13KC70HngS4DDi8y9E5khtSpQEPG6owaQ9z4E-tR5mnY"",""Non-Food!A2:A""),0))),"""")"),"")</f>
        <v/>
      </c>
      <c r="D286" s="5" t="str">
        <f t="shared" si="3"/>
        <v/>
      </c>
      <c r="E286" s="4"/>
      <c r="F286" s="4"/>
      <c r="G286" s="4"/>
      <c r="H286" s="4"/>
      <c r="I286" s="4"/>
    </row>
    <row r="287">
      <c r="A287" s="4"/>
      <c r="B287" s="15"/>
      <c r="C287" s="7" t="str">
        <f>IFERROR(__xludf.DUMMYFUNCTION("iferror(iferror(INDEX(IMPORTRANGE(""12vtnxaE_Q1s4tyr10kZQx7ZF_xG0lBFae4jQEUtgsMU"",""All!B2:B""),MATCH($B287,IMPORTRANGE(""12vtnxaE_Q1s4tyr10kZQx7ZF_xG0lBFae4jQEUtgsMU"",""All!A2:A""),0)),INDEX(IMPORTRANGE(""13KC70HngS4DDi8y9E5khtSpQEPG6owaQ9z4E-tR5mnY"","&amp;"""Non-Food!B2:B""),MATCH($B287,IMPORTRANGE(""13KC70HngS4DDi8y9E5khtSpQEPG6owaQ9z4E-tR5mnY"",""Non-Food!A2:A""),0))),"""")"),"")</f>
        <v/>
      </c>
      <c r="D287" s="5" t="str">
        <f t="shared" si="3"/>
        <v/>
      </c>
      <c r="E287" s="4"/>
      <c r="F287" s="4"/>
      <c r="G287" s="4"/>
      <c r="H287" s="4"/>
      <c r="I287" s="4"/>
    </row>
    <row r="288">
      <c r="A288" s="4"/>
      <c r="B288" s="15"/>
      <c r="C288" s="7" t="str">
        <f>IFERROR(__xludf.DUMMYFUNCTION("iferror(iferror(INDEX(IMPORTRANGE(""12vtnxaE_Q1s4tyr10kZQx7ZF_xG0lBFae4jQEUtgsMU"",""All!B2:B""),MATCH($B288,IMPORTRANGE(""12vtnxaE_Q1s4tyr10kZQx7ZF_xG0lBFae4jQEUtgsMU"",""All!A2:A""),0)),INDEX(IMPORTRANGE(""13KC70HngS4DDi8y9E5khtSpQEPG6owaQ9z4E-tR5mnY"","&amp;"""Non-Food!B2:B""),MATCH($B288,IMPORTRANGE(""13KC70HngS4DDi8y9E5khtSpQEPG6owaQ9z4E-tR5mnY"",""Non-Food!A2:A""),0))),"""")"),"")</f>
        <v/>
      </c>
      <c r="D288" s="5" t="str">
        <f t="shared" si="3"/>
        <v/>
      </c>
      <c r="E288" s="4"/>
      <c r="F288" s="4"/>
      <c r="G288" s="4"/>
      <c r="H288" s="4"/>
      <c r="I288" s="4"/>
    </row>
    <row r="289">
      <c r="A289" s="4"/>
      <c r="B289" s="15"/>
      <c r="C289" s="7" t="str">
        <f>IFERROR(__xludf.DUMMYFUNCTION("iferror(iferror(INDEX(IMPORTRANGE(""12vtnxaE_Q1s4tyr10kZQx7ZF_xG0lBFae4jQEUtgsMU"",""All!B2:B""),MATCH($B289,IMPORTRANGE(""12vtnxaE_Q1s4tyr10kZQx7ZF_xG0lBFae4jQEUtgsMU"",""All!A2:A""),0)),INDEX(IMPORTRANGE(""13KC70HngS4DDi8y9E5khtSpQEPG6owaQ9z4E-tR5mnY"","&amp;"""Non-Food!B2:B""),MATCH($B289,IMPORTRANGE(""13KC70HngS4DDi8y9E5khtSpQEPG6owaQ9z4E-tR5mnY"",""Non-Food!A2:A""),0))),"""")"),"")</f>
        <v/>
      </c>
      <c r="D289" s="5" t="str">
        <f t="shared" si="3"/>
        <v/>
      </c>
      <c r="E289" s="4"/>
      <c r="F289" s="4"/>
      <c r="G289" s="4"/>
      <c r="H289" s="4"/>
      <c r="I289" s="4"/>
    </row>
    <row r="290">
      <c r="A290" s="4"/>
      <c r="B290" s="15"/>
      <c r="C290" s="7" t="str">
        <f>IFERROR(__xludf.DUMMYFUNCTION("iferror(iferror(INDEX(IMPORTRANGE(""12vtnxaE_Q1s4tyr10kZQx7ZF_xG0lBFae4jQEUtgsMU"",""All!B2:B""),MATCH($B290,IMPORTRANGE(""12vtnxaE_Q1s4tyr10kZQx7ZF_xG0lBFae4jQEUtgsMU"",""All!A2:A""),0)),INDEX(IMPORTRANGE(""13KC70HngS4DDi8y9E5khtSpQEPG6owaQ9z4E-tR5mnY"","&amp;"""Non-Food!B2:B""),MATCH($B290,IMPORTRANGE(""13KC70HngS4DDi8y9E5khtSpQEPG6owaQ9z4E-tR5mnY"",""Non-Food!A2:A""),0))),"""")"),"")</f>
        <v/>
      </c>
      <c r="D290" s="5" t="str">
        <f t="shared" si="3"/>
        <v/>
      </c>
      <c r="E290" s="4"/>
      <c r="F290" s="4"/>
      <c r="G290" s="4"/>
      <c r="H290" s="4"/>
      <c r="I290" s="4"/>
    </row>
    <row r="291">
      <c r="A291" s="4"/>
      <c r="B291" s="15"/>
      <c r="C291" s="7" t="str">
        <f>IFERROR(__xludf.DUMMYFUNCTION("iferror(iferror(INDEX(IMPORTRANGE(""12vtnxaE_Q1s4tyr10kZQx7ZF_xG0lBFae4jQEUtgsMU"",""All!B2:B""),MATCH($B291,IMPORTRANGE(""12vtnxaE_Q1s4tyr10kZQx7ZF_xG0lBFae4jQEUtgsMU"",""All!A2:A""),0)),INDEX(IMPORTRANGE(""13KC70HngS4DDi8y9E5khtSpQEPG6owaQ9z4E-tR5mnY"","&amp;"""Non-Food!B2:B""),MATCH($B291,IMPORTRANGE(""13KC70HngS4DDi8y9E5khtSpQEPG6owaQ9z4E-tR5mnY"",""Non-Food!A2:A""),0))),"""")"),"")</f>
        <v/>
      </c>
      <c r="D291" s="5" t="str">
        <f t="shared" si="3"/>
        <v/>
      </c>
      <c r="E291" s="4"/>
      <c r="F291" s="4"/>
      <c r="G291" s="4"/>
      <c r="H291" s="4"/>
      <c r="I291" s="4"/>
    </row>
    <row r="292">
      <c r="A292" s="4"/>
      <c r="B292" s="15"/>
      <c r="C292" s="7" t="str">
        <f>IFERROR(__xludf.DUMMYFUNCTION("iferror(iferror(INDEX(IMPORTRANGE(""12vtnxaE_Q1s4tyr10kZQx7ZF_xG0lBFae4jQEUtgsMU"",""All!B2:B""),MATCH($B292,IMPORTRANGE(""12vtnxaE_Q1s4tyr10kZQx7ZF_xG0lBFae4jQEUtgsMU"",""All!A2:A""),0)),INDEX(IMPORTRANGE(""13KC70HngS4DDi8y9E5khtSpQEPG6owaQ9z4E-tR5mnY"","&amp;"""Non-Food!B2:B""),MATCH($B292,IMPORTRANGE(""13KC70HngS4DDi8y9E5khtSpQEPG6owaQ9z4E-tR5mnY"",""Non-Food!A2:A""),0))),"""")"),"")</f>
        <v/>
      </c>
      <c r="D292" s="5" t="str">
        <f t="shared" si="3"/>
        <v/>
      </c>
      <c r="E292" s="4"/>
      <c r="F292" s="4"/>
      <c r="G292" s="4"/>
      <c r="H292" s="4"/>
      <c r="I292" s="4"/>
    </row>
    <row r="293">
      <c r="A293" s="4"/>
      <c r="B293" s="15"/>
      <c r="C293" s="7" t="str">
        <f>IFERROR(__xludf.DUMMYFUNCTION("iferror(iferror(INDEX(IMPORTRANGE(""12vtnxaE_Q1s4tyr10kZQx7ZF_xG0lBFae4jQEUtgsMU"",""All!B2:B""),MATCH($B293,IMPORTRANGE(""12vtnxaE_Q1s4tyr10kZQx7ZF_xG0lBFae4jQEUtgsMU"",""All!A2:A""),0)),INDEX(IMPORTRANGE(""13KC70HngS4DDi8y9E5khtSpQEPG6owaQ9z4E-tR5mnY"","&amp;"""Non-Food!B2:B""),MATCH($B293,IMPORTRANGE(""13KC70HngS4DDi8y9E5khtSpQEPG6owaQ9z4E-tR5mnY"",""Non-Food!A2:A""),0))),"""")"),"")</f>
        <v/>
      </c>
      <c r="D293" s="5" t="str">
        <f t="shared" si="3"/>
        <v/>
      </c>
      <c r="E293" s="4"/>
      <c r="F293" s="4"/>
      <c r="G293" s="4"/>
      <c r="H293" s="4"/>
      <c r="I293" s="4"/>
    </row>
    <row r="294">
      <c r="A294" s="4"/>
      <c r="B294" s="15"/>
      <c r="C294" s="7" t="str">
        <f>IFERROR(__xludf.DUMMYFUNCTION("iferror(iferror(INDEX(IMPORTRANGE(""12vtnxaE_Q1s4tyr10kZQx7ZF_xG0lBFae4jQEUtgsMU"",""All!B2:B""),MATCH($B294,IMPORTRANGE(""12vtnxaE_Q1s4tyr10kZQx7ZF_xG0lBFae4jQEUtgsMU"",""All!A2:A""),0)),INDEX(IMPORTRANGE(""13KC70HngS4DDi8y9E5khtSpQEPG6owaQ9z4E-tR5mnY"","&amp;"""Non-Food!B2:B""),MATCH($B294,IMPORTRANGE(""13KC70HngS4DDi8y9E5khtSpQEPG6owaQ9z4E-tR5mnY"",""Non-Food!A2:A""),0))),"""")"),"")</f>
        <v/>
      </c>
      <c r="D294" s="5" t="str">
        <f t="shared" si="3"/>
        <v/>
      </c>
      <c r="E294" s="4"/>
      <c r="F294" s="4"/>
      <c r="G294" s="4"/>
      <c r="H294" s="4"/>
      <c r="I294" s="4"/>
    </row>
    <row r="295">
      <c r="A295" s="4"/>
      <c r="B295" s="15"/>
      <c r="C295" s="7" t="str">
        <f>IFERROR(__xludf.DUMMYFUNCTION("iferror(iferror(INDEX(IMPORTRANGE(""12vtnxaE_Q1s4tyr10kZQx7ZF_xG0lBFae4jQEUtgsMU"",""All!B2:B""),MATCH($B295,IMPORTRANGE(""12vtnxaE_Q1s4tyr10kZQx7ZF_xG0lBFae4jQEUtgsMU"",""All!A2:A""),0)),INDEX(IMPORTRANGE(""13KC70HngS4DDi8y9E5khtSpQEPG6owaQ9z4E-tR5mnY"","&amp;"""Non-Food!B2:B""),MATCH($B295,IMPORTRANGE(""13KC70HngS4DDi8y9E5khtSpQEPG6owaQ9z4E-tR5mnY"",""Non-Food!A2:A""),0))),"""")"),"")</f>
        <v/>
      </c>
      <c r="D295" s="5" t="str">
        <f t="shared" si="3"/>
        <v/>
      </c>
      <c r="E295" s="4"/>
      <c r="F295" s="4"/>
      <c r="G295" s="4"/>
      <c r="H295" s="4"/>
      <c r="I295" s="4"/>
    </row>
    <row r="296">
      <c r="A296" s="4"/>
      <c r="B296" s="15"/>
      <c r="C296" s="7" t="str">
        <f>IFERROR(__xludf.DUMMYFUNCTION("iferror(iferror(INDEX(IMPORTRANGE(""12vtnxaE_Q1s4tyr10kZQx7ZF_xG0lBFae4jQEUtgsMU"",""All!B2:B""),MATCH($B296,IMPORTRANGE(""12vtnxaE_Q1s4tyr10kZQx7ZF_xG0lBFae4jQEUtgsMU"",""All!A2:A""),0)),INDEX(IMPORTRANGE(""13KC70HngS4DDi8y9E5khtSpQEPG6owaQ9z4E-tR5mnY"","&amp;"""Non-Food!B2:B""),MATCH($B296,IMPORTRANGE(""13KC70HngS4DDi8y9E5khtSpQEPG6owaQ9z4E-tR5mnY"",""Non-Food!A2:A""),0))),"""")"),"")</f>
        <v/>
      </c>
      <c r="D296" s="5" t="str">
        <f t="shared" si="3"/>
        <v/>
      </c>
      <c r="E296" s="4"/>
      <c r="F296" s="4"/>
      <c r="G296" s="4"/>
      <c r="H296" s="4"/>
      <c r="I296" s="4"/>
    </row>
    <row r="297">
      <c r="A297" s="4"/>
      <c r="B297" s="15"/>
      <c r="C297" s="7" t="str">
        <f>IFERROR(__xludf.DUMMYFUNCTION("iferror(iferror(INDEX(IMPORTRANGE(""12vtnxaE_Q1s4tyr10kZQx7ZF_xG0lBFae4jQEUtgsMU"",""All!B2:B""),MATCH($B297,IMPORTRANGE(""12vtnxaE_Q1s4tyr10kZQx7ZF_xG0lBFae4jQEUtgsMU"",""All!A2:A""),0)),INDEX(IMPORTRANGE(""13KC70HngS4DDi8y9E5khtSpQEPG6owaQ9z4E-tR5mnY"","&amp;"""Non-Food!B2:B""),MATCH($B297,IMPORTRANGE(""13KC70HngS4DDi8y9E5khtSpQEPG6owaQ9z4E-tR5mnY"",""Non-Food!A2:A""),0))),"""")"),"")</f>
        <v/>
      </c>
      <c r="D297" s="5" t="str">
        <f t="shared" si="3"/>
        <v/>
      </c>
      <c r="E297" s="4"/>
      <c r="F297" s="4"/>
      <c r="G297" s="4"/>
      <c r="H297" s="4"/>
      <c r="I297" s="4"/>
    </row>
    <row r="298">
      <c r="A298" s="4"/>
      <c r="B298" s="15"/>
      <c r="C298" s="7" t="str">
        <f>IFERROR(__xludf.DUMMYFUNCTION("iferror(iferror(INDEX(IMPORTRANGE(""12vtnxaE_Q1s4tyr10kZQx7ZF_xG0lBFae4jQEUtgsMU"",""All!B2:B""),MATCH($B298,IMPORTRANGE(""12vtnxaE_Q1s4tyr10kZQx7ZF_xG0lBFae4jQEUtgsMU"",""All!A2:A""),0)),INDEX(IMPORTRANGE(""13KC70HngS4DDi8y9E5khtSpQEPG6owaQ9z4E-tR5mnY"","&amp;"""Non-Food!B2:B""),MATCH($B298,IMPORTRANGE(""13KC70HngS4DDi8y9E5khtSpQEPG6owaQ9z4E-tR5mnY"",""Non-Food!A2:A""),0))),"""")"),"")</f>
        <v/>
      </c>
      <c r="D298" s="5" t="str">
        <f t="shared" si="3"/>
        <v/>
      </c>
      <c r="E298" s="4"/>
      <c r="F298" s="4"/>
      <c r="G298" s="4"/>
      <c r="H298" s="4"/>
      <c r="I298" s="4"/>
    </row>
    <row r="299">
      <c r="A299" s="4"/>
      <c r="B299" s="15"/>
      <c r="C299" s="7" t="str">
        <f>IFERROR(__xludf.DUMMYFUNCTION("iferror(iferror(INDEX(IMPORTRANGE(""12vtnxaE_Q1s4tyr10kZQx7ZF_xG0lBFae4jQEUtgsMU"",""All!B2:B""),MATCH($B299,IMPORTRANGE(""12vtnxaE_Q1s4tyr10kZQx7ZF_xG0lBFae4jQEUtgsMU"",""All!A2:A""),0)),INDEX(IMPORTRANGE(""13KC70HngS4DDi8y9E5khtSpQEPG6owaQ9z4E-tR5mnY"","&amp;"""Non-Food!B2:B""),MATCH($B299,IMPORTRANGE(""13KC70HngS4DDi8y9E5khtSpQEPG6owaQ9z4E-tR5mnY"",""Non-Food!A2:A""),0))),"""")"),"")</f>
        <v/>
      </c>
      <c r="D299" s="5" t="str">
        <f t="shared" si="3"/>
        <v/>
      </c>
      <c r="E299" s="4"/>
      <c r="F299" s="4"/>
      <c r="G299" s="4"/>
      <c r="H299" s="4"/>
      <c r="I299" s="4"/>
    </row>
    <row r="300">
      <c r="A300" s="4"/>
      <c r="B300" s="15"/>
      <c r="C300" s="7" t="str">
        <f>IFERROR(__xludf.DUMMYFUNCTION("iferror(iferror(INDEX(IMPORTRANGE(""12vtnxaE_Q1s4tyr10kZQx7ZF_xG0lBFae4jQEUtgsMU"",""All!B2:B""),MATCH($B300,IMPORTRANGE(""12vtnxaE_Q1s4tyr10kZQx7ZF_xG0lBFae4jQEUtgsMU"",""All!A2:A""),0)),INDEX(IMPORTRANGE(""13KC70HngS4DDi8y9E5khtSpQEPG6owaQ9z4E-tR5mnY"","&amp;"""Non-Food!B2:B""),MATCH($B300,IMPORTRANGE(""13KC70HngS4DDi8y9E5khtSpQEPG6owaQ9z4E-tR5mnY"",""Non-Food!A2:A""),0))),"""")"),"")</f>
        <v/>
      </c>
      <c r="D300" s="5" t="str">
        <f t="shared" si="3"/>
        <v/>
      </c>
      <c r="E300" s="4"/>
      <c r="F300" s="4"/>
      <c r="G300" s="4"/>
      <c r="H300" s="4"/>
      <c r="I300" s="4"/>
    </row>
  </sheetData>
  <conditionalFormatting sqref="B2:B300">
    <cfRule type="expression" dxfId="0" priority="1">
      <formula>countif($B$2:B300,B2)&gt;1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7.0"/>
    <col customWidth="1" min="3" max="3" width="22.63"/>
    <col customWidth="1" min="4" max="4" width="16.0"/>
    <col customWidth="1" min="5" max="5" width="35.25"/>
    <col customWidth="1" min="6" max="6" width="29.25"/>
    <col customWidth="1" min="7" max="7" width="8.13"/>
    <col customWidth="1" min="8" max="8" width="8.38"/>
    <col customWidth="1" min="9" max="9" width="15.0"/>
    <col customWidth="1" min="10" max="10" width="7.25"/>
    <col customWidth="1" min="11" max="11" width="6.88"/>
    <col customWidth="1" min="12" max="12" width="9.75"/>
    <col customWidth="1" min="14" max="14" width="15.5"/>
    <col customWidth="1" min="15" max="16" width="8.38"/>
    <col customWidth="1" min="17" max="17" width="6.5"/>
  </cols>
  <sheetData>
    <row r="1" ht="30.0" customHeight="1">
      <c r="A1" s="2" t="s">
        <v>34</v>
      </c>
      <c r="B1" s="16" t="s">
        <v>0</v>
      </c>
      <c r="C1" s="16" t="s">
        <v>1</v>
      </c>
      <c r="D1" s="16" t="s">
        <v>2</v>
      </c>
      <c r="E1" s="17" t="s">
        <v>35</v>
      </c>
      <c r="F1" s="17" t="s">
        <v>36</v>
      </c>
      <c r="G1" s="16" t="s">
        <v>37</v>
      </c>
      <c r="H1" s="18" t="s">
        <v>38</v>
      </c>
      <c r="I1" s="3" t="s">
        <v>39</v>
      </c>
      <c r="J1" s="17" t="s">
        <v>40</v>
      </c>
      <c r="K1" s="17" t="s">
        <v>41</v>
      </c>
      <c r="L1" s="3" t="s">
        <v>42</v>
      </c>
      <c r="M1" s="17" t="s">
        <v>4</v>
      </c>
      <c r="N1" s="19" t="s">
        <v>43</v>
      </c>
      <c r="O1" s="19" t="s">
        <v>44</v>
      </c>
      <c r="P1" s="17" t="s">
        <v>45</v>
      </c>
      <c r="Q1" s="17" t="s">
        <v>6</v>
      </c>
      <c r="R1" s="20"/>
      <c r="S1" s="20"/>
    </row>
    <row r="2">
      <c r="A2" s="5" t="s">
        <v>46</v>
      </c>
      <c r="B2" s="5" t="s">
        <v>7</v>
      </c>
      <c r="C2" s="14" t="s">
        <v>47</v>
      </c>
      <c r="D2" s="7" t="s">
        <v>48</v>
      </c>
      <c r="E2" s="21"/>
      <c r="F2" s="14"/>
      <c r="G2" s="22">
        <v>0.0</v>
      </c>
      <c r="H2" s="23" t="str">
        <f>IFERROR(__xludf.DUMMYFUNCTION("iferror(iferror(iferror(index(IMPORTRANGE(""1NK5L1mviMn0j3D3uo53ASkIZOFRlLnqaCTnwzOG2_Wg"",""Direct Link!B2:B""),MATCH($C2,IMPORTRANGE(""1NK5L1mviMn0j3D3uo53ASkIZOFRlLnqaCTnwzOG2_Wg"",""Direct Link!A2:A""),0)),XLOOKUP($C2,IMPORTRANGE(""1NK5L1mviMn0j3D3uo5"&amp;"3ASkIZOFRlLnqaCTnwzOG2_Wg"",""Direct links Without Sizes!A2:A""),IMPORTRANGE(""1NK5L1mviMn0j3D3uo53ASkIZOFRlLnqaCTnwzOG2_Wg"",""Direct links Without Sizes!B2:B""))),XLOOKUP($C2,IMPORTRANGE(""1NK5L1mviMn0j3D3uo53ASkIZOFRlLnqaCTnwzOG2_Wg"",""Direct links Wi"&amp;"thout Sizes!D2:D""),IMPORTRANGE(""1NK5L1mviMn0j3D3uo53ASkIZOFRlLnqaCTnwzOG2_Wg"",""Direct links Without Sizes!E2:E""))),"""")"),"")</f>
        <v/>
      </c>
      <c r="I2" s="5" t="s">
        <v>49</v>
      </c>
      <c r="J2" s="24" t="str">
        <f t="shared" ref="J2:J1299" si="1">IF(OR(COUNTIF($B2:$E2,"*gluten free*"),COUNTIF($B2:$E2,"*gluten-free*"),COUNTIF($B2:$E2,"*gluten_free*")),"gluten_free",IF(OR(COUNTIF($B2:$E2,"* Keto*"),COUNTIF($B2:$E2,"*Keto *"),COUNTIF($B2:$E2,"*(Keto)*")),"Keto",IF(OR(COUNTIF($B2:$E2,"*gluten free*"),COUNTIF($B2:$E2,"*gluten-free*"),COUNTIF($B2:$E2,"*gluten_free*")),"gluten_free",IF(OR(COUNTIF($B2:$E2,"*low carb*"),COUNTIF($B2:$E2,"*low-carb*"),COUNTIF($B2:$E2,"*low_carb*")),"low_carb",IF(OR(COUNTIF($B2:$E2,"*paleo*")),"paleo",IF(OR(COUNTIF($B2:$E2,"*Soya Chaap*"),COUNTIF($B2:$E2,"*Kidney Beans*"),COUNTIF($B2:$E2,"*Hara Bhara*"),COUNTIF($B2:$E2,"*Heartbeat*"),COUNTIF($B2:$E2,"*Ginger Zinger*"),COUNTIF($B2:$E2,"*Eggplanet Kabab*"),COUNTIF($B2:$E2,"*Eggplanet Kebab*"),COUNTIF($B2:$E2,"*Cocktail*"),COUNTIF($B2:$E2,"Tea"),COUNTIF($B2:$E2,"*Soya *"),COUNTIF($B2:$E2,"*Veg Pulao*"),COUNTIF($B2:$E2,"*Planet Paleo Gelatin*"),COUNTIF($B2:$E2,"*Planet Gelatin*"),COUNTIF($B2:$E2,"*Veggie Meat*"),COUNTIF($B2:$E2,"*Veg Meat*"),COUNTIF($B2:$E2,"*Vegtable Meat*"),COUNTIF($B2:$E2,"*Soy meat*"),COUNTIF($B2:$E2,"*Wheat meat*"),COUNTIF($B2:$E2,"*soybean*"),COUNTIF($B2:$E2,"*soy bean*"),COUNTIF($B2:$E2,"*soyabean*"),COUNTIF($B2:$E2,"*soya bean*"),COUNTIF($B2:$E2,"*Seitan*"),COUNTIF($B2:$E2,"*Veggie burger*"),COUNTIF($B2:$E2,"*Soy*")),"veg",IF(OR(COUNTIF($B2:$E2,"*Chicken*"),COUNTIF($B2:$E2,"*Beef*"),COUNTIF($B2:$E2,"*Meat*"),COUNTIF($B2:$E2,"*Fish*"),COUNTIF($B2:$E2,"*Turkey*"),COUNTIF($B2:$E2,"*Lobster*"),COUNTIF($B2:$E2,"*Crab*"),COUNTIF($B2:$E2,"*Squid*"),COUNTIF($B2:$E2,"*Mutton*"),COUNTIF($B2:$E2,"*Lamb*"),COUNTIF($B2:$E2,"*Oaxtail*"),COUNTIF($B2:$E2,"*Trotters*"),COUNTIF($B2:$E2,"*Rip Eye*"),COUNTIF($B2:$E2,"*Shank*"),COUNTIF($B2:$E2,"* Leg *"),COUNTIF($B2:$E2,"*Shoulder*"),COUNTIF($B2:$E2,"*Thigh*"),COUNTIF($B2:$E2,"*Breast*"),COUNTIF($B2:$E2,"*Bone*"),COUNTIF($B2:$E2,"*Belly*"),COUNTIF($B2:$E2,"*Veal*"),COUNTIF($B2:$E2,"*Prawn*"),COUNTIF($B2:$E2,"*Anchovies*"),COUNTIF($B2:$E2,"*Anchovy*"),COUNTIF($B2:$E2,"*Shawrma*"),COUNTIF($B2:$E2,"*Calamari*"),COUNTIF($B2:$E2,"*Seabass*"),COUNTIF($B2:$E2,"*Oyster *"),COUNTIF($B2:$E2,"*Mussel*"),COUNTIF($B2:$E2,"*Sashimi*"),COUNTIF($B2:$E2,"* Wing*"),COUNTIF($B2:$E2,"*Octopus*"),COUNTIF($B2:$E2,"*Salmon*"),COUNTIF($B2:$E2,"*Sardine*"),COUNTIF($B2:$E2,"*Tilapia*"),COUNTIF($B2:$E2,"*Steak*"),COUNTIF($B2:$E2,"*Sujuk*"),COUNTIF($B2:$E2,"*Sausage*"),COUNTIF($B2:$E2,"*Salami*"),COUNTIF($B2:$E2,"*Peperoni*"),COUNTIF($B2:$E2,"*Duck*"),COUNTIF($B2:$E2,"*Quail*"),COUNTIF($B2:$E2,"*Teetar*"),COUNTIF($B2:$E2,"*Pigeon*"),COUNTIF($B2:$E2,"*Tuna*"),COUNTIF($B2:$E2,"*Liver *"),COUNTIF($B2:$E2,"*Buffalo*"),COUNTIF($B2:$E2,"*Hot Dog*"),COUNTIF($B2:$E2,"*Hotdog*"),COUNTIF($B2:$E2,"*Basterma*"),COUNTIF($B2:$E2,"*Pastrami*"),COUNTIF($B2:$E2,"*Dove*"),COUNTIF($B2:$E2,"*Tarab*"),COUNTIF($B2:$E2,"*Ribs*"),COUNTIF($B2:$E2,"*Brain*"),COUNTIF($B2:$E2,"*Mumbar*"),COUNTIF($B2:$E2,"*Mombar*"),COUNTIF($B2:$E2,"*Strips*"),COUNTIF($B2:$E2,"*Goose*"),COUNTIF($B2:$E2,"*Chops*"),COUNTIF($B2:$E2,"*T-Bone*"),COUNTIF($B2:$E2,"*Brisket*"),COUNTIF($B2:$E2,"*Sirloin*"),COUNTIF($B2:$E2,"*Herring*"),COUNTIF($B2:$E2,"*Majboos*"),COUNTIF($B2:$E2,"*Madhbi*"),COUNTIF($B2:$E2,"*Mandi*"),COUNTIF($B2:$E2,"*Kabsa*"),COUNTIF($B2:$E2,"*Hamour*"),COUNTIF($B2:$E2,"*Cod *"),COUNTIF($B2:$E2,"*Haneeth*"),COUNTIF($B2:$E2,"*Zurbian*"),COUNTIF($B2:$E2,"*Oqda*"),COUNTIF($B2:$E2,"*Madfoon*"),COUNTIF($B2:$E2,"*Sheesh Tawook*"),COUNTIF($B2:$E2,"*Khaleej Burger*"),COUNTIF($B2:$E2,"*Chicken Nuggets Burger*"),COUNTIF($B2:$E2,"*Fillet Burger*"),COUNTIF($B2:$E2,"*Mathafi Burger*"),COUNTIF($B2:$E2,"*LAHMEH*"),COUNTIF($B2:$E2,"*SOUJUK*"),COUNTIF($B2:$E2,"*Sheesh Tawooq*"),COUNTIF($B2:$E2,"*Nuggets*"),COUNTIF($B2:$E2,"*Taouk*"),COUNTIF($B2:$E2,"*Tawook*"),COUNTIF($B2:$E2,"*Tawooq*"),COUNTIF($B2:$E2,"*Shawerma*"),COUNTIF($B2:$E2,"*Shrimp*"),COUNTIF($B2:$E2,"*Murg *"),COUNTIF($B2:$E2,"*chargha*"),COUNTIF($B2:$E2,"*Koonthal*"),COUNTIF($B2:$E2,"*Natholi*"),COUNTIF($B2:$E2,"*Kaleji*"),COUNTIF($B2:$E2,"*Kalegi*"),COUNTIF($B2:$E2,"*Keema*"),COUNTIF($B2:$E2,"* Paya *"),COUNTIF($B2:$E2,"*SEABREAM*"),COUNTIF($B2:$E2,"*Seafood*"),COUNTIF($B2:$E2,"*AYALA*"),COUNTIF($B2:$E2,"*Gosht*"),COUNTIF($B2:$E2,"*Nuea *"),COUNTIF($B2:$E2,"*Kaphrao*"),COUNTIF($B2:$E2,"*Gai *"),COUNTIF($B2:$E2,"*Kai *"),COUNTIF($B2:$E2,"*Pet *"),COUNTIF($B2:$E2,"*Maphrao On*"),COUNTIF($B2:$E2,"*Goong*"),COUNTIF($B2:$E2,"*Krathiam*"),COUNTIF($B2:$E2,"*Muek *"),COUNTIF($B2:$E2,"*Pu *"),COUNTIF($B2:$E2,"*Pla *"),COUNTIF($B2:$E2,"*Khao Khluk Kapi*"),COUNTIF($B2:$E2,"*La Tiang*"),COUNTIF($B2:$E2,"*Luk Chin Ping*"),COUNTIF($B2:$E2,"*Calamares*"),COUNTIF($B2:$E2,"*Daing*"),COUNTIF($B2:$E2,"*Tadyang Ng Baka*"),COUNTIF($B2:$E2,"*Tambakol*"),COUNTIF($B2:$E2,"*Lechon Manok*"),COUNTIF($B2:$E2,"*Inihaw Na Atay*"),COUNTIF($B2:$E2,"*Hipon*"),COUNTIF($B2:$E2,"*Mukalkal*"),COUNTIF($B2:$E2,"*Madhfoon*"),COUNTIF($B2:$E2,"*Zurbiyan*"),COUNTIF($B2:$E2,"*Murgh*"),COUNTIF($B2:$E2,"*Zinger*"),COUNTIF($B2:$E2,"*Mathafi*"),COUNTIF($B2:$E2,"*Zinker*"),COUNTIF($B2:$E2,"*Pepperoni*"),COUNTIF($B2:$E2,"*Supreme*"),COUNTIF($B2:$E2,"* Eel *"),COUNTIF($B2:$E2,"*Mackerel*"),COUNTIF($B2:$E2,"*Scallop*"),COUNTIF($B2:$E2,"*Angus*"),COUNTIF($B2:$E2,"*Non. Veg*"),COUNTIF($B2:$E2,"*Non-Veg*"),COUNTIF($B2:$E2,"*Non Veg*"),COUNTIF($B2:$E2,"*Becon*"),COUNTIF($B2:$E2,"*Sea Bream*"),COUNTIF($B2:$E2,"*Sheri*"),COUNTIF($B2:$E2,"*Sherry*"),COUNTIF($B2:$E2,"*Kebab*"),COUNTIF($B2:$E2,"*Joojeh*"),COUNTIF($B2:$E2,"*Kabab*"),COUNTIF($B2:$E2,"*Kobide*"),COUNTIF($B2:$E2,"*koobideh*"),COUNTIF($B2:$E2,"*Buff.*"),COUNTIF($B2:$E2,"*Buff *"),COUNTIF($B2:$E2,"* Buff*"),COUNTIF($B2:$E2,"*MUQALQAL*"),COUNTIF($B2:$E2,"*Kanaad*"),COUNTIF($B2:$E2,"*Jasheed*"),COUNTIF($B2:$E2,"*Kharuf*"),COUNTIF($B2:$E2,"*Palaw*"),COUNTIF($B2:$E2,"*pulao*"),COUNTIF($B2:$E2,"Akkawi"),COUNTIF($B2:$E2,"*Tarb *"),COUNTIF($B2:$E2,"*Daoud Pasha*"),COUNTIF($B2:$E2,"*Muskhan*"),COUNTIF($B2:$E2,"*Kaware*"),COUNTIF($B2:$E2,"*Tom Yum Soup*"),COUNTIF($B2:$E2,"*Cordon Blu*"),COUNTIF($B2:$E2,"*Hawawshi*"),COUNTIF($B2:$E2,"*fillet*"),COUNTIF($B2:$E2,"*roe soup*"),COUNTIF($B2:$E2,"*fajita*"),COUNTIF($B2:$E2,"*lahm*"),COUNTIF($B2:$E2,"*Broasted*"),COUNTIF($B2:$E2,"*Rib *"),COUNTIF($B2:$E2,"*tenderloin*"),COUNTIF($B2:$E2,"*Rabbit*"),COUNTIF($B2:$E2,"*Goat*"),COUNTIF($B2:$E2,"*Venison*"),COUNTIF($B2:$E2,"*Bacon*"),COUNTIF($B2:$E2,"*Oysters*"),COUNTIF($B2:$E2,"*Buff *"),COUNTIF($B2:$E2,"*Bison*"),COUNTIF($B2:$E2,"*Sweetbread*"),COUNTIF($B2:$E2,"*Gizzard*"),COUNTIF($B2:$E2,"*Kidney*"),COUNTIF($B2:$E2,"* Tail *"),COUNTIF($B2:$E2,"*Pancreas*"),COUNTIF($B2:$E2,"*Testicle*"),COUNTIF($B2:$E2,"*Vattichathu*"),COUNTIF($B2:$E2,"*Kappayum*"),COUNTIF($B2:$E2,"*Aadu*"),COUNTIF($B2:$E2,"*Njandu*"),COUNTIF($B2:$E2,"*Nethili*"),COUNTIF($B2:$E2,"*Wayanadan Pothum Kaal*"),COUNTIF($B2:$E2,"*Pothu Palada keech*"),COUNTIF($B2:$E2,"*Chemmeen Choru*"),COUNTIF($B2:$E2,"*koffer*"),COUNTIF($B2:$E2,"*Manthal *"),COUNTIF($B2:$E2,"*Tawa*"),COUNTIF($B2:$E2,"*kozhi*"),COUNTIF($B2:$E2,"*Shawarma*"),COUNTIF($B2:$E2,"*Bolognese*"),COUNTIF($B2:$E2,"*Qeema*"),COUNTIF($B2:$E2,"*Turai Gosht*"),COUNTIF($B2:$E2,"*wagyu*"),COUNTIF($B2:$E2,"*Mortadella*"),COUNTIF($B2:$E2,"*Chevon*"),COUNTIF($B2:$E2,"*Bangus*"),COUNTIF($B2:$E2,"*Milkfish*"),COUNTIF($B2:$E2,"*bangús*"),COUNTIF($B2:$E2,"*Pancit Canton*"),COUNTIF($B2:$E2,"*California Maki*"),COUNTIF($B2:$E2,"*California roll*"),COUNTIF($B2:$E2,"*Tempura Maki*"),COUNTIF($B2:$E2,"*Kinsugi Maki*"),COUNTIF($B2:$E2,"*San Francisco*"),COUNTIF($B2:$E2,"*Haleem*"),COUNTIF($B2:$E2,"*Arayis*"),COUNTIF($B2:$E2,"*Rubyan*"),COUNTIF($B2:$E2,"*Tapsilog*"),COUNTIF($B2:$E2,"*Longsilog*"),COUNTIF($B2:$E2,"*Hotsilog*"),COUNTIF($B2:$E2,"*Bangsilog*"),COUNTIF($B2:$E2,"*Hamsilog*"),COUNTIF($B2:$E2,"*Isaw*"),COUNTIF($B2:$E2,"*Kikiam*"),COUNTIF($B2:$E2,"*Ke Kiam*"),COUNTIF($B2:$E2,"*Bulalo*"),COUNTIF($B2:$E2,"*Pinapaitan*"),COUNTIF($B2:$E2,"*Pininyahang Manok*"),COUNTIF($B2:$E2,"*Mexican Burger*"),COUNTIF($B2:$E2,"*Mathi*"),COUNTIF($B2:$E2,"*Sultan Fry*"),COUNTIF($B2:$E2,"*Avoli*"),COUNTIF($B2:$E2,"*Pothu*"),COUNTIF($B2:$E2,"*Karimeen*"),COUNTIF($B2:$E2,"*Pollichathu*"),COUNTIF($B2:$E2,"*Koonthal *"),COUNTIF($B2:$E2,"*Meenchatty*"),COUNTIF($B2:$E2,"* Meen *"),COUNTIF($B2:$E2,"*Kingfish*"),COUNTIF($B2:$E2,"*Prawns*"),COUNTIF($B2:$E2,"*Kallumakkaya*"),COUNTIF($B2:$E2,"*Osso Bucco*"),COUNTIF($B2:$E2,"*Otak Otak*"),COUNTIF($B2:$E2,"*Asam Laksa*"),COUNTIF($B2:$E2,"*Coquilles*"),COUNTIF($B2:$E2,"*Mukozuke*"),COUNTIF($B2:$E2,"*gelatin*"),COUNTIF($B2:$E2,"*Khaleej Double Burger*"),COUNTIF($B2:$E2,"*Takoyaki*"),COUNTIF($B2:$E2,"*Yakitori*")),"non_veg",IF(OR(COUNTIF($B2:$E2,"*Eggless*"),COUNTIF($B2:$E2,"*No Egg*"),COUNTIF($B2:$E2,"*No Eggs*"),COUNTIF($B2:$E2,"*No-Egg*"),COUNTIF($B2:$E2,"*No-Eggs*"),COUNTIF($B2:$E2,"*Zero Egg*"),COUNTIF($B2:$E2,"*Zero Eggs*"),COUNTIF($B2:$E2,"*Zero-Egg*"),COUNTIF($B2:$E2,"*Zero-Eggs*"),COUNTIF($B2:$E2,"*Egg Free*"),COUNTIF($B2:$E2,"*Eggs Free*"),COUNTIF($B2:$E2,"*Egg Free*"),COUNTIF($B2:$E2,"*Egg-Free*")),"veg",IF(OR(COUNTIF($B2:$E2,"* Egg*"),COUNTIF($B2:$E2,"*Egg *"),COUNTIF($B2:$E2,"Egg"),COUNTIF($B2:$E2,"*Eggs *"),COUNTIF($B2:$E2,"* Eggs*"),COUNTIF($B2:$E2,"Eggs"),COUNTIF($B2:$E2,"*Omelette*"),COUNTIF($B2:$E2,"*Yolk*"),COUNTIF($B2:$E2,"*Sunny Side Up*"),COUNTIF($B2:$E2,"*Mutta*"),COUNTIF($B2:$E2,"*Balaleet*"),COUNTIF($B2:$E2,"*Shakshuka*"),COUNTIF($B2:$E2,"*Tortang Talong*"),COUNTIF($B2:$E2,"*Kwek Kwek*"),COUNTIF($B2:$E2,"*Lomi*"),COUNTIF($B2:$E2,"*Motta*"),COUNTIF($B2:$E2,"*Oeuf*"),COUNTIF($B2:$E2,"*Omlet*"),COUNTIF($B2:$E2,"*Omelet*"),COUNTIF($B2:$E2,"*Omlette*")),"egg",IF(OR(COUNTIF($B2:$E2,"*Idly Sambar*"),COUNTIF($B2:$E2,"*Poori Bhaji*"),COUNTIF($B2:$E2,"*Vegetable Burger*"),COUNTIF($B2:$E2,"*Falafel*"),COUNTIF($B2:$E2,"*Palak*"),COUNTIF($B2:$E2,"Gobi*"),COUNTIF($B2:$E2,"*Dal *"),COUNTIF($B2:$E2,"*Anar*"),COUNTIF($B2:$E2,"*Chawal*"),COUNTIF($B2:$E2,"*Pani Puri*"),COUNTIF($B2:$E2,"*Sev Puri*"),COUNTIF($B2:$E2,"*Aloo Gobi*"),COUNTIF($B2:$E2,"*Aloo Jeera*"),COUNTIF($B2:$E2,"*Veggie*"),COUNTIF($B2:$E2,"*Fava Beans*"),COUNTIF($B2:$E2,"*Fool*"),COUNTIF($B2:$E2,"*Foul*"),COUNTIF($B2:$E2,"*Eggplant*"),COUNTIF($B2:$E2,"*cauliflower*"),COUNTIF($B2:$E2,"*Vegetable*"),COUNTIF($B2:$E2,"*Veg.*"),COUNTIF($B2:$E2,"*Egg*"),COUNTIF($B2:$E2,"*margarita*"),COUNTIF($B2:$E2,"*Margherita*"),COUNTIF($B2:$E2,"*Paneer*"),COUNTIF($B2:$E2,"*Cheese*"),COUNTIF($B2:$E2,"*Veg Burger*"),COUNTIF($B2:$E2,"*Aloo*"),COUNTIF($B2:$E2,"*Mutter*"),COUNTIF($B2:$E2,"*Matar*"),COUNTIF($B2:$E2,"*Bhindi*"),COUNTIF($B2:$E2,"*Bhendi*"),COUNTIF($B2:$E2,"*Began*"),COUNTIF($B2:$E2,"*Chole*"),COUNTIF($B2:$E2,"*Arbi*"),COUNTIF($B2:$E2,"*Papad*"),COUNTIF($B2:$E2,"*Rajma*"),COUNTIF($B2:$E2,"*Sooji*"),COUNTIF($B2:$E2,"*Gajar*"),COUNTIF($B2:$E2,"*Gazar*"),COUNTIF($B2:$E2,"*Adraki*"),COUNTIF($B2:$E2,"*Dahi*"),COUNTIF($B2:$E2,"*Pudhina*"),COUNTIF($B2:$E2,"*Kheer*"),COUNTIF($B2:$E2,"*Chukandar*"),COUNTIF($B2:$E2,"*Lauki*"),COUNTIF($B2:$E2,"*Patta Gobhi*"),COUNTIF($B2:$E2,"*Shimla Mirch*"),COUNTIF($B2:$E2,"*Guar Ki Phali*"),COUNTIF($B2:$E2,"*Nariyal*"),COUNTIF($B2:$E2,"*Makai*"),COUNTIF($B2:$E2,"*Bhutta*"),COUNTIF($B2:$E2,"*Kheera*"),COUNTIF($B2:$E2,"*Khumb*"),COUNTIF($B2:$E2,"*Guchhi*"),COUNTIF($B2:$E2,"*Kukkurmutta*"),COUNTIF($B2:$E2,"*Mooli*"),COUNTIF($B2:$E2,"*Moongra*"),COUNTIF($B2:$E2,"*Mogri*"),COUNTIF($B2:$E2,"*Shakarkandi*"),COUNTIF($B2:$E2,"*Tamatar*"),COUNTIF($B2:$E2,"*Dal Makhni*"),COUNTIF($B2:$E2,"* Dal *"),COUNTIF($B2:$E2,"*Dal  *"),COUNTIF($B2:$E2,"*Mushroom Do Pyaza*"),COUNTIF($B2:$E2,"*Channa*"),COUNTIF($B2:$E2,"*Chana Dal*"),COUNTIF($B2:$E2,"*Chana*"),COUNTIF($B2:$E2,"*Baingan*"),COUNTIF($B2:$E2,"*Daeng*"),COUNTIF($B2:$E2,"* Khao*"),COUNTIF($B2:$E2,"*Khao *"),COUNTIF($B2:$E2,"* Kao*"),COUNTIF($B2:$E2,"*Kao *"),COUNTIF($B2:$E2,"*Khao Khai Chiao*"),COUNTIF($B2:$E2,"*Khao Phat*"),COUNTIF($B2:$E2,"*Khao Tom Kui*"),COUNTIF($B2:$E2,"*Bami Mu Daeng*"),COUNTIF($B2:$E2,"*Tom Chuet*"),COUNTIF($B2:$E2,"*Phat Phak Ruam*"),COUNTIF($B2:$E2,"*Por Pia Tod*"),countif($B2:$E2,"*Veg*"),COUNTIF($B2:$E2,"*Kamatis*"),COUNTIF($B2:$E2,"*Kamote*"),COUNTIF($B2:$E2,"*Kanin*"),COUNTIF($B2:$E2,"*Sinangag*"),COUNTIF($B2:$E2,"*Talong Ensalada*"),COUNTIF($B2:$E2,"*Karela*"),COUNTIF($B2:$E2,"*Idli*"),COUNTIF($B2:$E2,"*idly *"),COUNTIF($B2:$E2,"*Masala Dosa*"),COUNTIF($B2:$E2,"*Plain Dosa*"),COUNTIF($B2:$E2,"*Onion Dosa*"),COUNTIF($B2:$E2,"*Onion Rava Dosa*"),COUNTIF($B2:$E2,"*Rava Dosa*"),COUNTIF($B2:$E2,"*Pongal*"),COUNTIF($B2:$E2,"*Upma*"),COUNTIF($B2:$E2,"*Thattu dosai*"),COUNTIF($B2:$E2,"*Ghee Rice *"),COUNTIF($B2:$E2,"*Peas Pulao *"),COUNTIF($B2:$E2,"*Methu Vadai*"),COUNTIF($B2:$E2,"*Masala Vadai*"),COUNTIF($B2:$E2,"*Bonda*"),COUNTIF($B2:$E2,"*Bajji*"),COUNTIF($B2:$E2,"*Mixed Sundal*"),COUNTIF($B2:$E2,"*Coconut Rice*"),COUNTIF($B2:$E2,"*Maska Pav *"),COUNTIF($B2:$E2,"*Stuffed Mushroom Masala*"),COUNTIF($B2:$E2,"*Methi Chaman Kashmiri*"),COUNTIF($B2:$E2,"*Mushroom Butter Masala*"),COUNTIF($B2:$E2,"*Mushroom Hara Pyaz*"),COUNTIF($B2:$E2,"*Bhuna Mushroom*"),COUNTIF($B2:$E2,"*Kadai Mushroom*"),COUNTIF($B2:$E2,"*Baby Corn Mushroom Masala*"),COUNTIF($B2:$E2,"*Baby Corn Chatpata*"),COUNTIF($B2:$E2,"*Kadai Baby Corn*"),COUNTIF($B2:$E2,"*Corn Bhurjee*"),COUNTIF($B2:$E2,"*Malai Kofta*"),COUNTIF($B2:$E2,"*Navratan Korma*"),COUNTIF($B2:$E2,"*Diwani Handi*"),COUNTIF($B2:$E2,"*Kadai Gobi*"),COUNTIF($B2:$E2,"*Sarson Ka Saag*"),COUNTIF($B2:$E2,"*Tabbouleh*"),COUNTIF($B2:$E2,"*Fattoush*"),COUNTIF($B2:$E2,"*Tabouleh*"),COUNTIF($B2:$E2,"*Tabbouli*"),COUNTIF($B2:$E2,"*Tabouli*"),COUNTIF($B2:$E2,"*Taboulah*"),COUNTIF($B2:$E2,"*Arabic Salad*"),COUNTIF($B2:$E2,"*Green Salad*"),COUNTIF($B2:$E2,"*Papaya Salad*"),COUNTIF($B2:$E2,"*Hummus Salad*"),COUNTIF($B2:$E2,"*Corn Slaw Salad*"),COUNTIF($B2:$E2,"*Cucumber Salad*"),COUNTIF($B2:$E2,"*Rocca Salad*"),COUNTIF($B2:$E2,"*Arugula Salad*"),COUNTIF($B2:$E2,"*KAL Dosai*"),COUNTIF($B2:$E2,"*Sambar*"),COUNTIF($B2:$E2,"*Kidney Beans*"),COUNTIF($B2:$E2,"*Greek Salad*"),COUNTIF($B2:$E2,"*Quinoa Salad*"),COUNTIF($B2:$E2,"*Biryani*"),COUNTIF($B2:$E2,"*Noodle*"),COUNTIF($B2:$E2,"*Rice*"),COUNTIF($B2:$E2,"Fries"),COUNTIF($B2:$E2,"French Fries"),COUNTIF($B2:$E2,"*Rocket Salad*"),COUNTIF($B2:$E2,"*Baba ghanouj*"),COUNTIF($B2:$E2,"*Baba ghanoush*"),COUNTIF($B2:$E2,"*Soya Chaap*"),COUNTIF($B2:$E2,"*Bhindi do Pyaaza*"),COUNTIF($B2:$E2,"*Corn Capsicum Masala*"),COUNTIF($B2:$E2,"*Bhuna Mushrooms*"),COUNTIF($B2:$E2,"*Akkawi Cheese*"),COUNTIF($B2:$E2,"*Tomato Ginger soup*"),COUNTIF($B2:$E2,"*Lemon Coriander*"),COUNTIF($B2:$E2,"*Puttu*"),COUNTIF($B2:$E2,"*Appam*"),COUNTIF($B2:$E2,"*Fettuccine*"),COUNTIF($B2:$E2,"*Pasta*"),COUNTIF($B2:$E2,"*ACAI*"),COUNTIF($B2:$E2,"*Omelette*"),COUNTIF($B2:$E2,"*fatoush*"),COUNTIF($B2:$E2,"*corn*"),COUNTIF($B2:$E2,"*Potato*"),COUNTIF($B2:$E2,"*Onion Ring*"),COUNTIF($B2:$E2,"*Broccoli*"),COUNTIF($B2:$E2,"*Spaghetti*"),COUNTIF($B2:$E2,"*Pazham Pori*"),COUNTIF($B2:$E2,"*Ela Ada*"),COUNTIF($B2:$E2,"*Parippu*"),COUNTIF($B2:$E2,"*uzhunnu*"),COUNTIF($B2:$E2,"*Vada*"),COUNTIF($B2:$E2,"*Garelu*"),COUNTIF($B2:$E2,"*Pazham Nirachathu*"),COUNTIF($B2:$E2,"*Unnakai*"),COUNTIF($B2:$E2,"*Kozhukatta*"),COUNTIF($B2:$E2,"*Kadala*"),COUNTIF($B2:$E2,"*Uttapam*"),COUNTIF($B2:$E2,"*Dosa*"),COUNTIF($B2:$E2,"*Fries"),COUNTIF($B2:$E2,"*Daal Makhni*"),COUNTIF($B2:$E2,"*Dhokla*"),COUNTIF($B2:$E2,"*Fulka*"),COUNTIF($B2:$E2,"*puri*"),COUNTIF($B2:$E2,"*Aloo Rasawala*"),COUNTIF($B2:$E2,"*Kathol*"),COUNTIF($B2:$E2,"*Kadhi*"),COUNTIF($B2:$E2,"*pickle*"),COUNTIF($B2:$E2,"*Sabji*"),COUNTIF($B2:$E2,"*Poori*"),COUNTIF($B2:$E2,"*Phulka*"),COUNTIF($B2:$E2,"*Mango*"),COUNTIF($B2:$E2,"*Apple*"),COUNTIF($B2:$E2,"*Banana*"),COUNTIF($B2:$E2,"*Orange*"),COUNTIF($B2:$E2,"*Grape*"),COUNTIF($B2:$E2,"*Strawberry*"),COUNTIF($B2:$E2,"*Lemon*"),COUNTIF($B2:$E2,"*Lime*"),COUNTIF($B2:$E2,"*Grapefruit*"),COUNTIF($B2:$E2,"*Tangerine*"),COUNTIF($B2:$E2,"*Pineapple*"),COUNTIF($B2:$E2,"*Papaya*"),COUNTIF($B2:$E2,"*Coconut*"),COUNTIF($B2:$E2,"*Blueberry*"),COUNTIF($B2:$E2,"*Raspberry*"),COUNTIF($B2:$E2,"*Blackberry*"),COUNTIF($B2:$E2,"*Cranberry*"),COUNTIF($B2:$E2,"*Peach*"),COUNTIF($B2:$E2,"*Plum*"),COUNTIF($B2:$E2,"*Cherry*"),COUNTIF($B2:$E2,"*Apricot*"),COUNTIF($B2:$E2,"*Watermelon*"),COUNTIF($B2:$E2,"*Cantaloupe*"),COUNTIF($B2:$E2,"*Honeydew*"),COUNTIF($B2:$E2,"*Dragon Fruit*"),COUNTIF($B2:$E2,"*Durian*"),COUNTIF($B2:$E2,"*Rambutan*"),COUNTIF($B2:$E2,"*Lychee*"),COUNTIF($B2:$E2,"*Passionfruit*"),COUNTIF($B2:$E2,"*Guava*"),COUNTIF($B2:$E2,"*Coffee*"),COUNTIF($B2:$E2,"*Espresso*"),COUNTIF($B2:$E2,"*Karak*"),COUNTIF($B2:$E2,"*Sugarcane*"),COUNTIF($B2:$E2,"*avocado*"),COUNTIF($B2:$E2,"*Granola*"),COUNTIF($B2:$E2,"*Kiwi*"),COUNTIF($B2:$E2,"*strawberries*"),COUNTIF($B2:$E2,"*nutella*"),COUNTIF($B2:$E2,"*berries*"),COUNTIF($B2:$E2,"*ice cream *"),COUNTIF($B2:$E2,"*Rockmelon*"),COUNTIF($B2:$E2,"*Bagara Khana Dalcha*"),COUNTIF($B2:$E2,"*Pomegranate*"),COUNTIF($B2:$E2,"*Suji ka Halwa*"),COUNTIF($B2:$E2,"*Chapathi*"),COUNTIF($B2:$E2,"*Veggies*"),COUNTIF($B2:$E2,"*Masoob*"),COUNTIF($B2:$E2,"*Shake*"),COUNTIF($B2:$E2,"*Passion Fruit*"),COUNTIF($B2:$E2,"*Fruit Salad*"),COUNTIF($B2:$E2,"*Lucknow*"),COUNTIF($B2:$E2,"*Kulfi*"),COUNTIF($B2:$E2,"*Sundae*"),COUNTIF($B2:$E2,"*Milk*"),COUNTIF($B2:$E2,"*Chocolate*"),COUNTIF($B2:$E2,"*Ice Cream*"),COUNTIF($B2:$E2,"*Fruit*"),COUNTIF($B2:$E2,"*Jelly*"),COUNTIF($B2:$E2,"*Custard*"),COUNTIF($B2:$E2,"*Green Salaad*"),COUNTIF($B2:$E2,"*Hummus*"),COUNTIF($B2:$E2,"*Garlic Paste*"),COUNTIF($B2:$E2,"*Lentil*"),COUNTIF($B2:$E2,"*Tomato Cream Soup*"),COUNTIF($B2:$E2,"*Naan*"),COUNTIF($B2:$E2,"*Tandoori Roti*"),COUNTIF($B2:$E2,"*Gulab Jamun*"),COUNTIF($B2:$E2,"*Papri Chaat*"),COUNTIF($B2:$E2,"*Nescafe*"),COUNTIF($B2:$E2,"*Kraft*"),COUNTIF($B2:$E2,"*Labna*"),COUNTIF($B2:$E2,"*Carrot*"),COUNTIF($B2:$E2,"*Kunafa*"),COUNTIF($B2:$E2,"*cappuccino*"),COUNTIF($B2:$E2,"*Mocha*"),COUNTIF($B2:$E2,"*Mutabal*"),COUNTIF($B2:$E2,"*Sweet Melon*"),COUNTIF($B2:$E2,"*Sahlab*"),COUNTIF($B2:$E2,"*Mojito*"),COUNTIF($B2:$E2,"*Mohito*"),COUNTIF($B2:$E2,"*Ayran*"),COUNTIF($B2:$E2,"*Tomato Soup*"),COUNTIF($B2:$E2,"*Mushroom Masala*"),COUNTIF($B2:$E2,"Mushroom"),COUNTIF($B2:$E2,"*Chapati*"),COUNTIF($B2:$E2,"*Kerala Paratha*"),COUNTIF($B2:$E2,"*Wheat Paratha*"),COUNTIF($B2:$E2,"*Butter Roti*"),COUNTIF($B2:$E2,"*Latte*"),COUNTIF($B2:$E2,"*Americano*"),COUNTIF($B2:$E2,"*Macchiato*"),COUNTIF($B2:$E2,"*Pahadi Paratha*"),COUNTIF($B2:$E2,"*Masala Tea*"),COUNTIF($B2:$E2,"*Kachumber*"),COUNTIF($B2:$E2,"*Onion Salad*"),COUNTIF($B2:$E2,"*Plain Yogurt*"),COUNTIF($B2:$E2,"*Masala Raita*"),COUNTIF($B2:$E2,"*Boondi Raita*"),COUNTIF($B2:$E2,"*Ghee Roast*"),COUNTIF($B2:$E2,"*Kerala Parotta*"),COUNTIF($B2:$E2,"*Wheat Parotta*"),COUNTIF($B2:$E2,"*Ari Oratti*"),COUNTIF($B2:$E2,"*Green Peas Curry*"),COUNTIF($B2:$E2,"Garlic Sauce"),COUNTIF($B2:$E2,"*Sulaimani*"),COUNTIF($B2:$E2,"Salad"),COUNTIF($B2:$E2,"*Ulli Pakoda*"),COUNTIF($B2:$E2,"*Barik*"),COUNTIF($B2:$E2,"*Rasam*"),COUNTIF($B2:$E2,"*Aviyal*"),COUNTIF($B2:$E2,"*Erriserry*"),COUNTIF($B2:$E2,"* Moru *"),COUNTIF($B2:$E2,"*buttermilk*"),COUNTIF($B2:$E2,"* tofu *"),COUNTIF($B2:$E2,"*Misal*"),COUNTIF($B2:$E2,"*Batata*"),COUNTIF($B2:$E2,"*Kanda*"),COUNTIF($B2:$E2,"*Dabeli*"),COUNTIF($B2:$E2,"*Farsan*"),COUNTIF($B2:$E2,"* Pav *"),COUNTIF($B2:$E2,"*Matcha*"),COUNTIF($B2:$E2,"*Hojicha*"),COUNTIF($B2:$E2,"*Hot Chocolate*"),COUNTIF($B2:$E2,"*Chamomile*"),COUNTIF($B2:$E2,"*Earl Grey*"),COUNTIF($B2:$E2,"*Green Tea*"),COUNTIF($B2:$E2,"*Café*"),COUNTIF($B2:$E2,"*Cortado*"),COUNTIF($B2:$E2,"*Piccolo*"),COUNTIF($B2:$E2,"*Flat White*"),COUNTIF($B2:$E2,"*Pina Colada*"),COUNTIF($B2:$E2,"*Baguette*"),COUNTIF($B2:$E2,"*Shou Main*"),COUNTIF($B2:$E2,"*Laksa Soup*"),COUNTIF($B2:$E2,"*Nyonya Laksa*"),COUNTIF($B2:$E2,"*Sorbet*"),COUNTIF($B2:$E2,"*Fromage*"),COUNTIF($B2:$E2,"*Su-zakana*"),COUNTIF($B2:$E2,"*Mizumono*"),COUNTIF($B2:$E2,"*plant-based*"),COUNTIF($B2:$E2,"*Pasta Primavera*"),COUNTIF($B2:$E2,"*Paneer*"),COUNTIF($B2:$E2,"* Tart *"),COUNTIF($B2:$E2,"*Cake*"),COUNTIF($B2:$E2,"*Biscuit*"),COUNTIF($B2:$E2,"*Eclair*"),COUNTIF($B2:$E2,"*Cream Puff*"),COUNTIF($B2:$E2,"*Choux Pastry*"),COUNTIF($B2:$E2,"*Custard Pie*"),COUNTIF($B2:$E2,"*Cookie*"),COUNTIF($B2:$E2,"*Galettes*"),COUNTIF($B2:$E2,"*Lemon Bar*"),COUNTIF($B2:$E2,"*Vanilla Slice*"),COUNTIF($B2:$E2,"*Pavlova*"),COUNTIF($B2:$E2,"*French Silk Pie*"),COUNTIF($B2:$E2,"*Semifreddo*"),COUNTIF($B2:$E2,"*Croissant*"),COUNTIF($B2:$E2,"*Brioche*"),COUNTIF($B2:$E2,"*Bostock*"),COUNTIF($B2:$E2,"*Paris-Brest*"),COUNTIF($B2:$E2,"*Choux au Craquelin*"),COUNTIF($B2:$E2,"*Chouquettes*"),COUNTIF($B2:$E2,"*Profiteroles*"),COUNTIF($B2:$E2,"*Puff Pastry*"),COUNTIF($B2:$E2,"*Sweet Crepe*"),COUNTIF($B2:$E2,"*Pâte Sucrée*"),COUNTIF($B2:$E2,"*Marzipan*"),COUNTIF($B2:$E2,"*Nougat*"),COUNTIF($B2:$E2,"*Mayonnaise*"),COUNTIF($B2:$E2,"*Pate Sucree*"),COUNTIF($B2:$E2,"*Creme Brulee*"),COUNTIF($B2:$E2,"*Paris Brest*"),COUNTIF($B2:$E2,"*Jabab*"),COUNTIF($B2:$E2,"*Carrot Cake*"),COUNTIF($B2:$E2,"*Waffle*"),COUNTIF($B2:$E2,"Crepe"),COUNTIF($B2:$E2,"*Sherbet*"),COUNTIF($B2:$E2,"*Bhature*"),COUNTIF($B2:$E2,"*Tea"),COUNTIF($B2:$E2,"*Mozzarella Sticks*"),COUNTIF($B2:$E2,"*Muhalabia*"),COUNTIF($B2:$E2,"*Horlicks*"),COUNTIF($B2:$E2,"*Crinkle Cut Chips*"),COUNTIF($B2:$E2,"*Chikoo*"),COUNTIF($B2:$E2,"*Sapodilla*"),COUNTIF($B2:$E2,"*Affogato*"),COUNTIF($B2:$E2,"*Hibiscus*"),COUNTIF($B2:$E2,"*V60*"),COUNTIF($B2:$E2,"*frappe*"),COUNTIF($B2:$E2,"*Gelato*"),COUNTIF($B2:$E2,"*Pistachio*")),"veg",""))))))))))</f>
        <v>non_veg</v>
      </c>
      <c r="K2" s="25"/>
      <c r="L2" s="24" t="str">
        <f t="shared" ref="L2:L1299" si="2">IF(OR(COUNTIF($B2:$E2,"*Soya Chaap*"),COUNTIF($B2:$E2,"*Kidney Beans*"),COUNTIF($B2:$E2,"*Hara Bhara*"),COUNTIF($B2:$E2,"*Heartbeat*"),COUNTIF($B2:$E2,"*Ginger Zinger*"),COUNTIF($B2:$E2,"*Eggplanet Kabab*"),COUNTIF($B2:$E2,"*Eggplanet Kebab*"),COUNTIF($B2:$E2,"*Cocktail*"),COUNTIF($B2:$E2,"Tea"),COUNTIF($B2:$E2,"*Soya *"),COUNTIF($B2:$E2,"*Veg Pulao*"),COUNTIF($B2:$E2,"*Planet Paleo Gelatin*"),COUNTIF($B2:$E2,"*Planet Gelatin*"),COUNTIF($B2:$E2,"*Veggie Meat*"),COUNTIF($B2:$E2,"*Veg Meat*"),COUNTIF($B2:$E2,"*Vegtable Meat*"),COUNTIF($B2:$E2,"*Soy meat*"),COUNTIF($B2:$E2,"*Wheat meat*"),COUNTIF($B2:$E2,"*soybean*"),COUNTIF($B2:$E2,"*soy bean*"),COUNTIF($B2:$E2,"*soyabean*"),COUNTIF($B2:$E2,"*soya bean*"),COUNTIF($B2:$E2,"*Seitan*"),COUNTIF($B2:$E2,"*Veggie burger*"),COUNTIF($B2:$E2,"*Soy*")),"veg",IF(OR(COUNTIF($B2:$E2,"*Chicken*"),COUNTIF($B2:$E2,"*Beef*"),COUNTIF($B2:$E2,"*Meat*"),COUNTIF($B2:$E2,"*Fish*"),COUNTIF($B2:$E2,"*Turkey*"),COUNTIF($B2:$E2,"*Lobster*"),COUNTIF($B2:$E2,"*Crab*"),COUNTIF($B2:$E2,"*Squid*"),COUNTIF($B2:$E2,"*Mutton*"),COUNTIF($B2:$E2,"*Lamb*"),COUNTIF($B2:$E2,"*Oaxtail*"),COUNTIF($B2:$E2,"*Trotters*"),COUNTIF($B2:$E2,"*Rip Eye*"),COUNTIF($B2:$E2,"*Shank*"),COUNTIF($B2:$E2,"* Leg *"),COUNTIF($B2:$E2,"*Shoulder*"),COUNTIF($B2:$E2,"*Thigh*"),COUNTIF($B2:$E2,"*Breast*"),COUNTIF($B2:$E2,"*Bone*"),COUNTIF($B2:$E2,"*Belly*"),COUNTIF($B2:$E2,"*Veal*"),COUNTIF($B2:$E2,"*Prawn*"),COUNTIF($B2:$E2,"*Anchovies*"),COUNTIF($B2:$E2,"*Anchovy*"),COUNTIF($B2:$E2,"*Shawrma*"),COUNTIF($B2:$E2,"*Calamari*"),COUNTIF($B2:$E2,"*Seabass*"),COUNTIF($B2:$E2,"*Oyster *"),COUNTIF($B2:$E2,"*Mussel*"),COUNTIF($B2:$E2,"*Sashimi*"),COUNTIF($B2:$E2,"* Wing*"),COUNTIF($B2:$E2,"*Octopus*"),COUNTIF($B2:$E2,"*Salmon*"),COUNTIF($B2:$E2,"*Sardine*"),COUNTIF($B2:$E2,"*Tilapia*"),COUNTIF($B2:$E2,"*Steak*"),COUNTIF($B2:$E2,"*Sujuk*"),COUNTIF($B2:$E2,"*Sausage*"),COUNTIF($B2:$E2,"*Salami*"),COUNTIF($B2:$E2,"*Peperoni*"),COUNTIF($B2:$E2,"*Duck*"),COUNTIF($B2:$E2,"*Quail*"),COUNTIF($B2:$E2,"*Teetar*"),COUNTIF($B2:$E2,"*Pigeon*"),COUNTIF($B2:$E2,"*Tuna*"),COUNTIF($B2:$E2,"*Liver *"),COUNTIF($B2:$E2,"*Buffalo*"),COUNTIF($B2:$E2,"*Hot Dog*"),COUNTIF($B2:$E2,"*Hotdog*"),COUNTIF($B2:$E2,"*Basterma*"),COUNTIF($B2:$E2,"*Pastrami*"),COUNTIF($B2:$E2,"*Dove*"),COUNTIF($B2:$E2,"*Tarab*"),COUNTIF($B2:$E2,"*Ribs*"),COUNTIF($B2:$E2,"*Brain*"),COUNTIF($B2:$E2,"*Mumbar*"),COUNTIF($B2:$E2,"*Mombar*"),COUNTIF($B2:$E2,"*Strips*"),COUNTIF($B2:$E2,"*Goose*"),COUNTIF($B2:$E2,"*Chops*"),COUNTIF($B2:$E2,"*T-Bone*"),COUNTIF($B2:$E2,"*Brisket*"),COUNTIF($B2:$E2,"*Sirloin*"),COUNTIF($B2:$E2,"*Herring*"),COUNTIF($B2:$E2,"*Majboos*"),COUNTIF($B2:$E2,"*Madhbi*"),COUNTIF($B2:$E2,"*Mandi*"),COUNTIF($B2:$E2,"*Kabsa*"),COUNTIF($B2:$E2,"*Hamour*"),COUNTIF($B2:$E2,"*Cod *"),COUNTIF($B2:$E2,"*Haneeth*"),COUNTIF($B2:$E2,"*Zurbian*"),COUNTIF($B2:$E2,"*Oqda*"),COUNTIF($B2:$E2,"*Madfoon*"),COUNTIF($B2:$E2,"*Sheesh Tawook*"),COUNTIF($B2:$E2,"*Khaleej Burger*"),COUNTIF($B2:$E2,"*Chicken Nuggets Burger*"),COUNTIF($B2:$E2,"*Fillet Burger*"),COUNTIF($B2:$E2,"*Mathafi Burger*"),COUNTIF($B2:$E2,"*LAHMEH*"),COUNTIF($B2:$E2,"*SOUJUK*"),COUNTIF($B2:$E2,"*Sheesh Tawooq*"),COUNTIF($B2:$E2,"*Nuggets*"),COUNTIF($B2:$E2,"*Taouk*"),COUNTIF($B2:$E2,"*Tawook*"),COUNTIF($B2:$E2,"*Tawooq*"),COUNTIF($B2:$E2,"*Shawerma*"),COUNTIF($B2:$E2,"*Shrimp*"),COUNTIF($B2:$E2,"*Murg *"),COUNTIF($B2:$E2,"*chargha*"),COUNTIF($B2:$E2,"*Koonthal*"),COUNTIF($B2:$E2,"*Natholi*"),COUNTIF($B2:$E2,"*Kaleji*"),COUNTIF($B2:$E2,"*Kalegi*"),COUNTIF($B2:$E2,"*Keema*"),COUNTIF($B2:$E2,"* Paya *"),COUNTIF($B2:$E2,"*SEABREAM*"),COUNTIF($B2:$E2,"*Seafood*"),COUNTIF($B2:$E2,"*AYALA*"),COUNTIF($B2:$E2,"*Gosht*"),COUNTIF($B2:$E2,"*Nuea *"),COUNTIF($B2:$E2,"*Kaphrao*"),COUNTIF($B2:$E2,"*Gai *"),COUNTIF($B2:$E2,"*Kai *"),COUNTIF($B2:$E2,"*Pet *"),COUNTIF($B2:$E2,"*Maphrao On*"),COUNTIF($B2:$E2,"*Goong*"),COUNTIF($B2:$E2,"*Krathiam*"),COUNTIF($B2:$E2,"*Muek *"),COUNTIF($B2:$E2,"*Pu *"),COUNTIF($B2:$E2,"*Pla *"),COUNTIF($B2:$E2,"*Khao Khluk Kapi*"),COUNTIF($B2:$E2,"*La Tiang*"),COUNTIF($B2:$E2,"*Luk Chin Ping*"),COUNTIF($B2:$E2,"*Calamares*"),COUNTIF($B2:$E2,"*Daing*"),COUNTIF($B2:$E2,"*Tadyang Ng Baka*"),COUNTIF($B2:$E2,"*Tambakol*"),COUNTIF($B2:$E2,"*Lechon Manok*"),COUNTIF($B2:$E2,"*Inihaw Na Atay*"),COUNTIF($B2:$E2,"*Hipon*"),COUNTIF($B2:$E2,"*Mukalkal*"),COUNTIF($B2:$E2,"*Madhfoon*"),COUNTIF($B2:$E2,"*Zurbiyan*"),COUNTIF($B2:$E2,"*Murgh*"),COUNTIF($B2:$E2,"*Zinger*"),COUNTIF($B2:$E2,"*Mathafi*"),COUNTIF($B2:$E2,"*Zinker*"),COUNTIF($B2:$E2,"*Pepperoni*"),COUNTIF($B2:$E2,"*Supreme*"),COUNTIF($B2:$E2,"* Eel *"),COUNTIF($B2:$E2,"*Mackerel*"),COUNTIF($B2:$E2,"*Scallop*"),COUNTIF($B2:$E2,"*Angus*"),COUNTIF($B2:$E2,"*Non. Veg*"),COUNTIF($B2:$E2,"*Non-Veg*"),COUNTIF($B2:$E2,"*Non Veg*"),COUNTIF($B2:$E2,"*Becon*"),COUNTIF($B2:$E2,"*Sea Bream*"),COUNTIF($B2:$E2,"*Sheri*"),COUNTIF($B2:$E2,"*Sherry*"),COUNTIF($B2:$E2,"*Kebab*"),COUNTIF($B2:$E2,"*Joojeh*"),COUNTIF($B2:$E2,"*Kabab*"),COUNTIF($B2:$E2,"*Kobide*"),COUNTIF($B2:$E2,"*koobideh*"),COUNTIF($B2:$E2,"*Buff.*"),COUNTIF($B2:$E2,"*Buff *"),COUNTIF($B2:$E2,"* Buff*"),COUNTIF($B2:$E2,"*MUQALQAL*"),COUNTIF($B2:$E2,"*Kanaad*"),COUNTIF($B2:$E2,"*Jasheed*"),COUNTIF($B2:$E2,"*Kharuf*"),COUNTIF($B2:$E2,"*Palaw*"),COUNTIF($B2:$E2,"*pulao*"),COUNTIF($B2:$E2,"Akkawi"),COUNTIF($B2:$E2,"*Tarb *"),COUNTIF($B2:$E2,"*Daoud Pasha*"),COUNTIF($B2:$E2,"*Muskhan*"),COUNTIF($B2:$E2,"*Kaware*"),COUNTIF($B2:$E2,"*Tom Yum Soup*"),COUNTIF($B2:$E2,"*Cordon Blu*"),COUNTIF($B2:$E2,"*Hawawshi*"),COUNTIF($B2:$E2,"*fillet*"),COUNTIF($B2:$E2,"*roe soup*"),COUNTIF($B2:$E2,"*fajita*"),COUNTIF($B2:$E2,"*lahm*"),COUNTIF($B2:$E2,"*Broasted*"),COUNTIF($B2:$E2,"*Rib *"),COUNTIF($B2:$E2,"*tenderloin*"),COUNTIF($B2:$E2,"*Rabbit*"),COUNTIF($B2:$E2,"*Goat*"),COUNTIF($B2:$E2,"*Venison*"),COUNTIF($B2:$E2,"*Bacon*"),COUNTIF($B2:$E2,"*Oysters*"),COUNTIF($B2:$E2,"*Buff *"),COUNTIF($B2:$E2,"*Bison*"),COUNTIF($B2:$E2,"*Sweetbread*"),COUNTIF($B2:$E2,"*Gizzard*"),COUNTIF($B2:$E2,"*Kidney*"),COUNTIF($B2:$E2,"* Tail *"),COUNTIF($B2:$E2,"*Pancreas*"),COUNTIF($B2:$E2,"*Testicle*"),COUNTIF($B2:$E2,"*Vattichathu*"),COUNTIF($B2:$E2,"*Kappayum*"),COUNTIF($B2:$E2,"*Aadu*"),COUNTIF($B2:$E2,"*Njandu*"),COUNTIF($B2:$E2,"*Nethili*"),COUNTIF($B2:$E2,"*Wayanadan Pothum Kaal*"),COUNTIF($B2:$E2,"*Pothu Palada keech*"),COUNTIF($B2:$E2,"*Chemmeen Choru*"),COUNTIF($B2:$E2,"*koffer*"),COUNTIF($B2:$E2,"*Manthal *"),COUNTIF($B2:$E2,"*Tawa*"),COUNTIF($B2:$E2,"*kozhi*"),COUNTIF($B2:$E2,"*Shawarma*"),COUNTIF($B2:$E2,"*Bolognese*"),COUNTIF($B2:$E2,"*Qeema*"),COUNTIF($B2:$E2,"*Turai Gosht*"),COUNTIF($B2:$E2,"*wagyu*"),COUNTIF($B2:$E2,"*Mortadella*"),COUNTIF($B2:$E2,"*Chevon*"),COUNTIF($B2:$E2,"*Bangus*"),COUNTIF($B2:$E2,"*Milkfish*"),COUNTIF($B2:$E2,"*bangús*"),COUNTIF($B2:$E2,"*Pancit Canton*"),COUNTIF($B2:$E2,"*California Maki*"),COUNTIF($B2:$E2,"*California roll*"),COUNTIF($B2:$E2,"*Tempura Maki*"),COUNTIF($B2:$E2,"*Kinsugi Maki*"),COUNTIF($B2:$E2,"*San Francisco*"),COUNTIF($B2:$E2,"*Haleem*"),COUNTIF($B2:$E2,"*Arayis*"),COUNTIF($B2:$E2,"*Rubyan*"),COUNTIF($B2:$E2,"*Tapsilog*"),COUNTIF($B2:$E2,"*Longsilog*"),COUNTIF($B2:$E2,"*Hotsilog*"),COUNTIF($B2:$E2,"*Bangsilog*"),COUNTIF($B2:$E2,"*Hamsilog*"),COUNTIF($B2:$E2,"*Isaw*"),COUNTIF($B2:$E2,"*Kikiam*"),COUNTIF($B2:$E2,"*Ke Kiam*"),COUNTIF($B2:$E2,"*Bulalo*"),COUNTIF($B2:$E2,"*Pinapaitan*"),COUNTIF($B2:$E2,"*Pininyahang Manok*"),COUNTIF($B2:$E2,"*Mexican Burger*"),COUNTIF($B2:$E2,"*Osso Bucco*"),COUNTIF($B2:$E2,"*Otak Otak*"),COUNTIF($B2:$E2,"*Asam Laksa*"),COUNTIF($B2:$E2,"*Coquilles*"),COUNTIF($B2:$E2,"*Mukozuke*"),COUNTIF($B2:$E2,"*gelatin*"),COUNTIF($B2:$E2,"*Khaleej Double Burger*"),COUNTIF($B2:$E2,"*Takoyaki*"),COUNTIF($B2:$E2,"*Yakitori*")),"non_veg",IF(OR(COUNTIF($B2:$E2,"*Eggless*"),COUNTIF($B2:$E2,"*No Egg*"),COUNTIF($B2:$E2,"*No Eggs*"),COUNTIF($B2:$E2,"*No-Egg*"),COUNTIF($B2:$E2,"*No-Eggs*"),COUNTIF($B2:$E2,"*Zero Egg*"),COUNTIF($B2:$E2,"*Zero Eggs*"),COUNTIF($B2:$E2,"*Zero-Egg*"),COUNTIF($B2:$E2,"*Zero-Eggs*"),COUNTIF($B2:$E2,"*Egg Free*"),COUNTIF($B2:$E2,"*Eggs Free*"),COUNTIF($B2:$E2,"*Egg Free*"),COUNTIF($B2:$E2,"*Egg-Free*")),"veg",IF(OR(COUNTIF($B2:$E2,"* Egg*"),COUNTIF($B2:$E2,"*Egg *"),COUNTIF($B2:$E2,"Egg"),COUNTIF($B2:$E2,"*Eggs *"),COUNTIF($B2:$E2,"* Eggs*"),COUNTIF($B2:$E2,"Eggs"),COUNTIF($B2:$E2,"*Omelette*"),COUNTIF($B2:$E2,"*Yolk*"),COUNTIF($B2:$E2,"*Sunny Side Up*"),COUNTIF($B2:$E2,"*Mutta*"),COUNTIF($B2:$E2,"*Balaleet*"),COUNTIF($B2:$E2,"*Shakshuka*"),COUNTIF($B2:$E2,"*Tortang Talong*"),COUNTIF($B2:$E2,"*Kwek Kwek*"),COUNTIF($B2:$E2,"*Lomi*"),COUNTIF($B2:$E2,"*Motta*"),COUNTIF($B2:$E2,"*Oeuf*"),COUNTIF($B2:$E2,"*Omlet*"),COUNTIF($B2:$E2,"*Omelet*"),COUNTIF($B2:$E2,"*Omlette*")),"egg",IF(OR(COUNTIF($B2:$E2,"*Idly Sambar*"),COUNTIF($B2:$E2,"*Poori Bhaji*"),COUNTIF($B2:$E2,"*Vegetable Burger*"),COUNTIF($B2:$E2,"*Falafel*"),COUNTIF($B2:$E2,"*Palak*"),COUNTIF($B2:$E2,"Gobi*"),COUNTIF($B2:$E2,"*Dal *"),COUNTIF($B2:$E2,"*Anar*"),COUNTIF($B2:$E2,"*Chawal*"),COUNTIF($B2:$E2,"*Pani Puri*"),COUNTIF($B2:$E2,"*Sev Puri*"),COUNTIF($B2:$E2,"*Aloo Gobi*"),COUNTIF($B2:$E2,"*Aloo Jeera*"),COUNTIF($B2:$E2,"*Veggie*"),COUNTIF($B2:$E2,"*Fava Beans*"),COUNTIF($B2:$E2,"*Fool*"),COUNTIF($B2:$E2,"*Foul*"),COUNTIF($B2:$E2,"*Eggplant*"),COUNTIF($B2:$E2,"*cauliflower*"),COUNTIF($B2:$E2,"*Vegetable*"),COUNTIF($B2:$E2,"*Veg.*"),COUNTIF($B2:$E2,"*Egg*"),COUNTIF($B2:$E2,"*margarita*"),COUNTIF($B2:$E2,"*Margherita*"),COUNTIF($B2:$E2,"*Paneer*"),COUNTIF($B2:$E2,"*Cheese*"),COUNTIF($B2:$E2,"*Veg Burger*"),COUNTIF($B2:$E2,"*Aloo*"),COUNTIF($B2:$E2,"*Mutter*"),COUNTIF($B2:$E2,"*Matar*"),COUNTIF($B2:$E2,"*Bhindi*"),COUNTIF($B2:$E2,"*Bhendi*"),COUNTIF($B2:$E2,"*Began*"),COUNTIF($B2:$E2,"*Chole*"),COUNTIF($B2:$E2,"*Arbi*"),COUNTIF($B2:$E2,"*Papad*"),COUNTIF($B2:$E2,"*Rajma*"),COUNTIF($B2:$E2,"*Sooji*"),COUNTIF($B2:$E2,"*Gajar*"),COUNTIF($B2:$E2,"*Gazar*"),COUNTIF($B2:$E2,"*Adraki*"),COUNTIF($B2:$E2,"*Dahi*"),COUNTIF($B2:$E2,"*Pudhina*"),COUNTIF($B2:$E2,"*Kheer*"),COUNTIF($B2:$E2,"*Chukandar*"),COUNTIF($B2:$E2,"*Lauki*"),COUNTIF($B2:$E2,"*Patta Gobhi*"),COUNTIF($B2:$E2,"*Shimla Mirch*"),COUNTIF($B2:$E2,"*Guar Ki Phali*"),COUNTIF($B2:$E2,"*Nariyal*"),COUNTIF($B2:$E2,"*Makai*"),COUNTIF($B2:$E2,"*Bhutta*"),COUNTIF($B2:$E2,"*Kheera*"),COUNTIF($B2:$E2,"*Khumb*"),COUNTIF($B2:$E2,"*Guchhi*"),COUNTIF($B2:$E2,"*Kukkurmutta*"),COUNTIF($B2:$E2,"*Mooli*"),COUNTIF($B2:$E2,"*Moongra*"),COUNTIF($B2:$E2,"*Mogri*"),COUNTIF($B2:$E2,"*Shakarkandi*"),COUNTIF($B2:$E2,"*Tamatar*"),COUNTIF($B2:$E2,"*Dal Makhni*"),COUNTIF($B2:$E2,"* Dal *"),COUNTIF($B2:$E2,"*Dal  *"),COUNTIF($B2:$E2,"*Mushroom Do Pyaza*"),COUNTIF($B2:$E2,"*Channa*"),COUNTIF($B2:$E2,"*Chana Dal*"),COUNTIF($B2:$E2,"*Chana*"),COUNTIF($B2:$E2,"*Baingan*"),COUNTIF($B2:$E2,"*Daeng*"),COUNTIF($B2:$E2,"* Khao*"),COUNTIF($B2:$E2,"*Khao *"),COUNTIF($B2:$E2,"* Kao*"),COUNTIF($B2:$E2,"*Kao *"),COUNTIF($B2:$E2,"*Khao Khai Chiao*"),COUNTIF($B2:$E2,"*Khao Phat*"),COUNTIF($B2:$E2,"*Khao Tom Kui*"),COUNTIF($B2:$E2,"*Bami Mu Daeng*"),COUNTIF($B2:$E2,"*Tom Chuet*"),COUNTIF($B2:$E2,"*Phat Phak Ruam*"),COUNTIF($B2:$E2,"*Por Pia Tod*"),countif($B2:$E2,"*Veg*"),COUNTIF($B2:$E2,"*Kamatis*"),COUNTIF($B2:$E2,"*Kamote*"),COUNTIF($B2:$E2,"*Kanin*"),COUNTIF($B2:$E2,"*Sinangag*"),COUNTIF($B2:$E2,"*Talong Ensalada*"),COUNTIF($B2:$E2,"*Karela*"),COUNTIF($B2:$E2,"*Idli*"),COUNTIF($B2:$E2,"*idly *"),COUNTIF($B2:$E2,"*Masala Dosa*"),COUNTIF($B2:$E2,"*Plain Dosa*"),COUNTIF($B2:$E2,"*Onion Dosa*"),COUNTIF($B2:$E2,"*Onion Rava Dosa*"),COUNTIF($B2:$E2,"*Rava Dosa*"),COUNTIF($B2:$E2,"*Pongal*"),COUNTIF($B2:$E2,"*Upma*"),COUNTIF($B2:$E2,"*Thattu dosai*"),COUNTIF($B2:$E2,"*Ghee Rice *"),COUNTIF($B2:$E2,"*Peas Pulao *"),COUNTIF($B2:$E2,"*Methu Vadai*"),COUNTIF($B2:$E2,"*Masala Vadai*"),COUNTIF($B2:$E2,"*Bonda*"),COUNTIF($B2:$E2,"*Bajji*"),COUNTIF($B2:$E2,"*Mixed Sundal*"),COUNTIF($B2:$E2,"*Coconut Rice*"),COUNTIF($B2:$E2,"*Maska Pav *"),COUNTIF($B2:$E2,"*Stuffed Mushroom Masala*"),COUNTIF($B2:$E2,"*Methi Chaman Kashmiri*"),COUNTIF($B2:$E2,"*Mushroom Butter Masala*"),COUNTIF($B2:$E2,"*Mushroom Hara Pyaz*"),COUNTIF($B2:$E2,"*Bhuna Mushroom*"),COUNTIF($B2:$E2,"*Kadai Mushroom*"),COUNTIF($B2:$E2,"*Baby Corn Mushroom Masala*"),COUNTIF($B2:$E2,"*Baby Corn Chatpata*"),COUNTIF($B2:$E2,"*Kadai Baby Corn*"),COUNTIF($B2:$E2,"*Corn Bhurjee*"),COUNTIF($B2:$E2,"*Malai Kofta*"),COUNTIF($B2:$E2,"*Navratan Korma*"),COUNTIF($B2:$E2,"*Diwani Handi*"),COUNTIF($B2:$E2,"*Kadai Gobi*"),COUNTIF($B2:$E2,"*Sarson Ka Saag*"),COUNTIF($B2:$E2,"*Tabbouleh*"),COUNTIF($B2:$E2,"*Fattoush*"),COUNTIF($B2:$E2,"*Tabouleh*"),COUNTIF($B2:$E2,"*Tabbouli*"),COUNTIF($B2:$E2,"*Tabouli*"),COUNTIF($B2:$E2,"*Taboulah*"),COUNTIF($B2:$E2,"*Arabic Salad*"),COUNTIF($B2:$E2,"*Green Salad*"),COUNTIF($B2:$E2,"*Papaya Salad*"),COUNTIF($B2:$E2,"*Hummus Salad*"),COUNTIF($B2:$E2,"*Corn Slaw Salad*"),COUNTIF($B2:$E2,"*Cucumber Salad*"),COUNTIF($B2:$E2,"*Rocca Salad*"),COUNTIF($B2:$E2,"*Arugula Salad*"),COUNTIF($B2:$E2,"*KAL Dosai*"),COUNTIF($B2:$E2,"*Sambar*"),COUNTIF($B2:$E2,"*Kidney Beans*"),COUNTIF($B2:$E2,"*Greek Salad*"),COUNTIF($B2:$E2,"*Quinoa Salad*"),COUNTIF($B2:$E2,"*Biryani*"),COUNTIF($B2:$E2,"*Noodle*"),COUNTIF($B2:$E2,"*Rice*"),COUNTIF($B2:$E2,"Fries"),COUNTIF($B2:$E2,"French Fries"),COUNTIF($B2:$E2,"*Rocket Salad*"),COUNTIF($B2:$E2,"*Baba ghanouj*"),COUNTIF($B2:$E2,"*Baba ghanoush*"),COUNTIF($B2:$E2,"*Soya Chaap*"),COUNTIF($B2:$E2,"*Bhindi do Pyaaza*"),COUNTIF($B2:$E2,"*Corn Capsicum Masala*"),COUNTIF($B2:$E2,"*Bhuna Mushrooms*"),COUNTIF($B2:$E2,"*Akkawi Cheese*"),COUNTIF($B2:$E2,"*Tomato Ginger soup*"),COUNTIF($B2:$E2,"*Lemon Coriander*"),COUNTIF($B2:$E2,"*Puttu*"),COUNTIF($B2:$E2,"*Appam*"),COUNTIF($B2:$E2,"*Fettuccine*"),COUNTIF($B2:$E2,"*Pasta*"),COUNTIF($B2:$E2,"*ACAI*"),COUNTIF($B2:$E2,"*Omelette*"),COUNTIF($B2:$E2,"*fatoush*"),COUNTIF($B2:$E2,"*corn*"),COUNTIF($B2:$E2,"*Potato*"),COUNTIF($B2:$E2,"*Onion Ring*"),COUNTIF($B2:$E2,"*Broccoli*"),COUNTIF($B2:$E2,"*Spaghetti*"),COUNTIF($B2:$E2,"*Pazham Pori*"),COUNTIF($B2:$E2,"*Ela Ada*"),COUNTIF($B2:$E2,"*Parippu*"),COUNTIF($B2:$E2,"*uzhunnu*"),COUNTIF($B2:$E2,"*Vada*"),COUNTIF($B2:$E2,"*Garelu*"),COUNTIF($B2:$E2,"*Pazham Nirachathu*"),COUNTIF($B2:$E2,"*Unnakai*"),COUNTIF($B2:$E2,"*Kozhukatta*"),COUNTIF($B2:$E2,"*Kadala*"),COUNTIF($B2:$E2,"*Uttapam*"),COUNTIF($B2:$E2,"*Dosa*"),COUNTIF($B2:$E2,"*Fries"),COUNTIF($B2:$E2,"*Daal Makhni*"),COUNTIF($B2:$E2,"*Dhokla*"),COUNTIF($B2:$E2,"*Fulka*"),COUNTIF($B2:$E2,"*puri*"),COUNTIF($B2:$E2,"*Aloo Rasawala*"),COUNTIF($B2:$E2,"*Kathol*"),COUNTIF($B2:$E2,"*Kadhi*"),COUNTIF($B2:$E2,"*pickle*"),COUNTIF($B2:$E2,"*Sabji*"),COUNTIF($B2:$E2,"*Poori*"),COUNTIF($B2:$E2,"*Phulka*"),COUNTIF($B2:$E2,"*Mango*"),COUNTIF($B2:$E2,"*Apple*"),COUNTIF($B2:$E2,"*Banana*"),COUNTIF($B2:$E2,"*Orange*"),COUNTIF($B2:$E2,"*Grape*"),COUNTIF($B2:$E2,"*Strawberry*"),COUNTIF($B2:$E2,"*Lemon*"),COUNTIF($B2:$E2,"*Lime*"),COUNTIF($B2:$E2,"*Grapefruit*"),COUNTIF($B2:$E2,"*Tangerine*"),COUNTIF($B2:$E2,"*Pineapple*"),COUNTIF($B2:$E2,"*Papaya*"),COUNTIF($B2:$E2,"*Coconut*"),COUNTIF($B2:$E2,"*Blueberry*"),COUNTIF($B2:$E2,"*Raspberry*"),COUNTIF($B2:$E2,"*Blackberry*"),COUNTIF($B2:$E2,"*Cranberry*"),COUNTIF($B2:$E2,"*Peach*"),COUNTIF($B2:$E2,"*Plum*"),COUNTIF($B2:$E2,"*Cherry*"),COUNTIF($B2:$E2,"*Apricot*"),COUNTIF($B2:$E2,"*Watermelon*"),COUNTIF($B2:$E2,"*Cantaloupe*"),COUNTIF($B2:$E2,"*Honeydew*"),COUNTIF($B2:$E2,"*Dragon Fruit*"),COUNTIF($B2:$E2,"*Durian*"),COUNTIF($B2:$E2,"*Rambutan*"),COUNTIF($B2:$E2,"*Lychee*"),COUNTIF($B2:$E2,"*Passionfruit*"),COUNTIF($B2:$E2,"*Guava*"),COUNTIF($B2:$E2,"*Coffee*"),COUNTIF($B2:$E2,"*Espresso*"),COUNTIF($B2:$E2,"*Karak*"),COUNTIF($B2:$E2,"*Sugarcane*"),COUNTIF($B2:$E2,"*avocado*"),COUNTIF($B2:$E2,"*Granola*"),COUNTIF($B2:$E2,"*Kiwi*"),COUNTIF($B2:$E2,"*strawberries*"),COUNTIF($B2:$E2,"*nutella*"),COUNTIF($B2:$E2,"*berries*"),COUNTIF($B2:$E2,"*ice cream *"),COUNTIF($B2:$E2,"*Rockmelon*"),COUNTIF($B2:$E2,"*Bagara Khana Dalcha*"),COUNTIF($B2:$E2,"*Pomegranate*"),COUNTIF($B2:$E2,"*Suji ka Halwa*"),COUNTIF($B2:$E2,"*Chapathi*"),COUNTIF($B2:$E2,"*Veggies*"),COUNTIF($B2:$E2,"*Masoob*"),COUNTIF($B2:$E2,"*Shake*"),COUNTIF($B2:$E2,"*Passion Fruit*"),COUNTIF($B2:$E2,"*Fruit Salad*"),COUNTIF($B2:$E2,"*Lucknow*"),COUNTIF($B2:$E2,"*Kulfi*"),COUNTIF($B2:$E2,"*Sundae*"),COUNTIF($B2:$E2,"*Milk*"),COUNTIF($B2:$E2,"*Chocolate*"),COUNTIF($B2:$E2,"*Ice Cream*"),COUNTIF($B2:$E2,"*Fruit*"),COUNTIF($B2:$E2,"*Jelly*"),COUNTIF($B2:$E2,"*Custard*"),COUNTIF($B2:$E2,"*Green Salaad*"),COUNTIF($B2:$E2,"*Hummus*"),COUNTIF($B2:$E2,"*Garlic Paste*"),COUNTIF($B2:$E2,"*Lentil*"),COUNTIF($B2:$E2,"*Tomato Cream Soup*"),COUNTIF($B2:$E2,"*Naan*"),COUNTIF($B2:$E2,"*Tandoori Roti*"),COUNTIF($B2:$E2,"*Gulab Jamun*"),COUNTIF($B2:$E2,"*Papri Chaat*"),COUNTIF($B2:$E2,"*Nescafe*"),COUNTIF($B2:$E2,"*Kraft*"),COUNTIF($B2:$E2,"*Labna*"),COUNTIF($B2:$E2,"*Carrot*"),COUNTIF($B2:$E2,"*Kunafa*"),COUNTIF($B2:$E2,"*cappuccino*"),COUNTIF($B2:$E2,"*Mocha*"),COUNTIF($B2:$E2,"*Mutabal*"),COUNTIF($B2:$E2,"*Sweet Melon*"),COUNTIF($B2:$E2,"*Sahlab*"),COUNTIF($B2:$E2,"*Mojito*"),COUNTIF($B2:$E2,"*Mohito*"),COUNTIF($B2:$E2,"*Ayran*"),COUNTIF($B2:$E2,"*Tomato Soup*"),COUNTIF($B2:$E2,"*Mushroom Masala*"),COUNTIF($B2:$E2,"Mushroom"),COUNTIF($B2:$E2,"*Chapati*"),COUNTIF($B2:$E2,"*Kerala Paratha*"),COUNTIF($B2:$E2,"*Wheat Paratha*"),COUNTIF($B2:$E2,"*Butter Roti*"),COUNTIF($B2:$E2,"*Latte*"),COUNTIF($B2:$E2,"*Americano*"),COUNTIF($B2:$E2,"*Macchiato*"),COUNTIF($B2:$E2,"*Pahadi Paratha*"),COUNTIF($B2:$E2,"*Masala Tea*"),COUNTIF($B2:$E2,"*Kachumber*"),COUNTIF($B2:$E2,"*Onion Salad*"),COUNTIF($B2:$E2,"*Plain Yogurt*"),COUNTIF($B2:$E2,"*Masala Raita*"),COUNTIF($B2:$E2,"*Boondi Raita*"),COUNTIF($B2:$E2,"*Ghee Roast*"),COUNTIF($B2:$E2,"*Kerala Parotta*"),COUNTIF($B2:$E2,"*Wheat Parotta*"),COUNTIF($B2:$E2,"*Ari Oratti*"),COUNTIF($B2:$E2,"*Green Peas Curry*"),COUNTIF($B2:$E2,"Garlic Sauce"),COUNTIF($B2:$E2,"*Sulaimani*"),COUNTIF($B2:$E2,"Salad"),COUNTIF($B2:$E2,"*Ulli Pakoda*"),COUNTIF($B2:$E2,"*Barik*"),COUNTIF($B2:$E2,"*Rasam*"),COUNTIF($B2:$E2,"*Aviyal*"),COUNTIF($B2:$E2,"*Erriserry*"),COUNTIF($B2:$E2,"* Moru *"),COUNTIF($B2:$E2,"*buttermilk*"),COUNTIF($B2:$E2,"* tofu *"),COUNTIF($B2:$E2,"*Misal*"),COUNTIF($B2:$E2,"*Batata*"),COUNTIF($B2:$E2,"*Kanda*"),COUNTIF($B2:$E2,"*Dabeli*"),COUNTIF($B2:$E2,"*Farsan*"),COUNTIF($B2:$E2,"* Pav *"),COUNTIF($B2:$E2,"*Matcha*"),COUNTIF($B2:$E2,"*Hojicha*"),COUNTIF($B2:$E2,"*Hot Chocolate*"),COUNTIF($B2:$E2,"*Chamomile*"),COUNTIF($B2:$E2,"*Earl Grey*"),COUNTIF($B2:$E2,"*Green Tea*"),COUNTIF($B2:$E2,"*Café*"),COUNTIF($B2:$E2,"*Cortado*"),COUNTIF($B2:$E2,"*Piccolo*"),COUNTIF($B2:$E2,"*Flat White*"),COUNTIF($B2:$E2,"*Pina Colada*"),COUNTIF($B2:$E2,"*Baguette*"),COUNTIF($B2:$E2,"*Shou Main*"),COUNTIF($B2:$E2,"*Laksa Soup*"),COUNTIF($B2:$E2,"*Nyonya Laksa*"),COUNTIF($B2:$E2,"*Sorbet*"),COUNTIF($B2:$E2,"*Fromage*"),COUNTIF($B2:$E2,"*Su-zakana*"),COUNTIF($B2:$E2,"*Mizumono*"),COUNTIF($B2:$E2,"*plant-based*"),COUNTIF($B2:$E2,"*Pasta Primavera*"),COUNTIF($B2:$E2,"*Paneer*"),COUNTIF($B2:$E2,"* Tart *"),COUNTIF($B2:$E2,"*Cake*"),COUNTIF($B2:$E2,"*Biscuit*"),COUNTIF($B2:$E2,"*Eclair*"),COUNTIF($B2:$E2,"*Cream Puff*"),COUNTIF($B2:$E2,"*Choux Pastry*"),COUNTIF($B2:$E2,"*Custard Pie*"),COUNTIF($B2:$E2,"*Cookie*"),COUNTIF($B2:$E2,"*Galettes*"),COUNTIF($B2:$E2,"*Lemon Bar*"),COUNTIF($B2:$E2,"*Vanilla Slice*"),COUNTIF($B2:$E2,"*Pavlova*"),COUNTIF($B2:$E2,"*French Silk Pie*"),COUNTIF($B2:$E2,"*Semifreddo*"),COUNTIF($B2:$E2,"*Croissant*"),COUNTIF($B2:$E2,"*Brioche*"),COUNTIF($B2:$E2,"*Bostock*"),COUNTIF($B2:$E2,"*Paris-Brest*"),COUNTIF($B2:$E2,"*Choux au Craquelin*"),COUNTIF($B2:$E2,"*Chouquettes*"),COUNTIF($B2:$E2,"*Profiteroles*"),COUNTIF($B2:$E2,"*Puff Pastry*"),COUNTIF($B2:$E2,"*Sweet Crepe*"),COUNTIF($B2:$E2,"*Pâte Sucrée*"),COUNTIF($B2:$E2,"*Marzipan*"),COUNTIF($B2:$E2,"*Nougat*"),COUNTIF($B2:$E2,"*Mayonnaise*"),COUNTIF($B2:$E2,"*Pate Sucree*"),COUNTIF($B2:$E2,"*Creme Brulee*"),COUNTIF($B2:$E2,"*Paris Brest*"),COUNTIF($B2:$E2,"*Jabab*"),COUNTIF($B2:$E2,"*Carrot Cake*"),COUNTIF($B2:$E2,"*Waffle*"),COUNTIF($B2:$E2,"Crepe"),COUNTIF($B2:$E2,"*Sherbet*"),COUNTIF($B2:$E2,"*Bhature*"),COUNTIF($B2:$E2,"*Bhatura*"),COUNTIF($B2:$E2,"*Tea"),COUNTIF($B2:$E2,"*Mozzarella Sticks*"),COUNTIF($B2:$E2,"*Muhalabia*"),COUNTIF($B2:$E2,"*Horlicks*"),COUNTIF($B2:$E2,"*Crinkle Cut Chips*"),COUNTIF($B2:$E2,"*Chikoo*"),COUNTIF($B2:$E2,"*Sapodilla*"),COUNTIF($B2:$E2,"*Affogato*"),COUNTIF($B2:$E2,"*Hibiscus*"),COUNTIF($B2:$E2,"*V60*"),COUNTIF($B2:$E2,"*frappe*"),COUNTIF($B2:$E2,"*Gelato*"),COUNTIF($B2:$E2,"*Pistachio*")),"veg","")))))</f>
        <v>non_veg</v>
      </c>
      <c r="M2" s="8"/>
      <c r="N2" s="23"/>
      <c r="O2" s="23"/>
      <c r="P2" s="23"/>
      <c r="Q2" s="4" t="str">
        <f t="shared" ref="Q2:Q86" si="3">IF(C2&lt;&gt;"","1","")</f>
        <v>1</v>
      </c>
      <c r="R2" s="20"/>
      <c r="S2" s="20"/>
    </row>
    <row r="3">
      <c r="A3" s="5" t="s">
        <v>50</v>
      </c>
      <c r="B3" s="5" t="s">
        <v>7</v>
      </c>
      <c r="C3" s="14" t="s">
        <v>51</v>
      </c>
      <c r="D3" s="7" t="s">
        <v>52</v>
      </c>
      <c r="E3" s="26"/>
      <c r="F3" s="14"/>
      <c r="G3" s="22">
        <v>0.0</v>
      </c>
      <c r="H3" s="23" t="str">
        <f>IFERROR(__xludf.DUMMYFUNCTION("iferror(iferror(iferror(index(IMPORTRANGE(""1NK5L1mviMn0j3D3uo53ASkIZOFRlLnqaCTnwzOG2_Wg"",""Direct Link!B2:B""),MATCH($C3,IMPORTRANGE(""1NK5L1mviMn0j3D3uo53ASkIZOFRlLnqaCTnwzOG2_Wg"",""Direct Link!A2:A""),0)),XLOOKUP($C3,IMPORTRANGE(""1NK5L1mviMn0j3D3uo5"&amp;"3ASkIZOFRlLnqaCTnwzOG2_Wg"",""Direct links Without Sizes!A2:A""),IMPORTRANGE(""1NK5L1mviMn0j3D3uo53ASkIZOFRlLnqaCTnwzOG2_Wg"",""Direct links Without Sizes!B2:B""))),XLOOKUP($C3,IMPORTRANGE(""1NK5L1mviMn0j3D3uo53ASkIZOFRlLnqaCTnwzOG2_Wg"",""Direct links Wi"&amp;"thout Sizes!D2:D""),IMPORTRANGE(""1NK5L1mviMn0j3D3uo53ASkIZOFRlLnqaCTnwzOG2_Wg"",""Direct links Without Sizes!E2:E""))),"""")"),"")</f>
        <v/>
      </c>
      <c r="I3" s="5" t="s">
        <v>53</v>
      </c>
      <c r="J3" s="24" t="str">
        <f t="shared" si="1"/>
        <v>non_veg</v>
      </c>
      <c r="K3" s="25"/>
      <c r="L3" s="24" t="str">
        <f t="shared" si="2"/>
        <v>non_veg</v>
      </c>
      <c r="M3" s="8"/>
      <c r="N3" s="23"/>
      <c r="O3" s="23"/>
      <c r="P3" s="23"/>
      <c r="Q3" s="4" t="str">
        <f t="shared" si="3"/>
        <v>1</v>
      </c>
      <c r="R3" s="20"/>
      <c r="S3" s="20"/>
    </row>
    <row r="4">
      <c r="A4" s="5" t="s">
        <v>54</v>
      </c>
      <c r="B4" s="5" t="s">
        <v>7</v>
      </c>
      <c r="C4" s="14" t="s">
        <v>55</v>
      </c>
      <c r="D4" s="7" t="s">
        <v>56</v>
      </c>
      <c r="E4" s="14"/>
      <c r="F4" s="14"/>
      <c r="G4" s="22">
        <v>0.0</v>
      </c>
      <c r="H4" s="23" t="str">
        <f>IFERROR(__xludf.DUMMYFUNCTION("iferror(iferror(iferror(index(IMPORTRANGE(""1NK5L1mviMn0j3D3uo53ASkIZOFRlLnqaCTnwzOG2_Wg"",""Direct Link!B2:B""),MATCH($C4,IMPORTRANGE(""1NK5L1mviMn0j3D3uo53ASkIZOFRlLnqaCTnwzOG2_Wg"",""Direct Link!A2:A""),0)),XLOOKUP($C4,IMPORTRANGE(""1NK5L1mviMn0j3D3uo5"&amp;"3ASkIZOFRlLnqaCTnwzOG2_Wg"",""Direct links Without Sizes!A2:A""),IMPORTRANGE(""1NK5L1mviMn0j3D3uo53ASkIZOFRlLnqaCTnwzOG2_Wg"",""Direct links Without Sizes!B2:B""))),XLOOKUP($C4,IMPORTRANGE(""1NK5L1mviMn0j3D3uo53ASkIZOFRlLnqaCTnwzOG2_Wg"",""Direct links Wi"&amp;"thout Sizes!D2:D""),IMPORTRANGE(""1NK5L1mviMn0j3D3uo53ASkIZOFRlLnqaCTnwzOG2_Wg"",""Direct links Without Sizes!E2:E""))),"""")"),"")</f>
        <v/>
      </c>
      <c r="I4" s="5" t="s">
        <v>57</v>
      </c>
      <c r="J4" s="24" t="str">
        <f t="shared" si="1"/>
        <v>non_veg</v>
      </c>
      <c r="K4" s="25"/>
      <c r="L4" s="24" t="str">
        <f t="shared" si="2"/>
        <v>non_veg</v>
      </c>
      <c r="M4" s="8"/>
      <c r="N4" s="23"/>
      <c r="O4" s="23"/>
      <c r="P4" s="23"/>
      <c r="Q4" s="4" t="str">
        <f t="shared" si="3"/>
        <v>1</v>
      </c>
      <c r="R4" s="20"/>
      <c r="S4" s="20"/>
    </row>
    <row r="5">
      <c r="A5" s="5" t="s">
        <v>58</v>
      </c>
      <c r="B5" s="5" t="s">
        <v>7</v>
      </c>
      <c r="C5" s="14" t="s">
        <v>59</v>
      </c>
      <c r="D5" s="7" t="s">
        <v>60</v>
      </c>
      <c r="E5" s="14"/>
      <c r="F5" s="14"/>
      <c r="G5" s="22">
        <v>0.0</v>
      </c>
      <c r="H5" s="23" t="str">
        <f>IFERROR(__xludf.DUMMYFUNCTION("iferror(iferror(iferror(index(IMPORTRANGE(""1NK5L1mviMn0j3D3uo53ASkIZOFRlLnqaCTnwzOG2_Wg"",""Direct Link!B2:B""),MATCH($C5,IMPORTRANGE(""1NK5L1mviMn0j3D3uo53ASkIZOFRlLnqaCTnwzOG2_Wg"",""Direct Link!A2:A""),0)),XLOOKUP($C5,IMPORTRANGE(""1NK5L1mviMn0j3D3uo5"&amp;"3ASkIZOFRlLnqaCTnwzOG2_Wg"",""Direct links Without Sizes!A2:A""),IMPORTRANGE(""1NK5L1mviMn0j3D3uo53ASkIZOFRlLnqaCTnwzOG2_Wg"",""Direct links Without Sizes!B2:B""))),XLOOKUP($C5,IMPORTRANGE(""1NK5L1mviMn0j3D3uo53ASkIZOFRlLnqaCTnwzOG2_Wg"",""Direct links Wi"&amp;"thout Sizes!D2:D""),IMPORTRANGE(""1NK5L1mviMn0j3D3uo53ASkIZOFRlLnqaCTnwzOG2_Wg"",""Direct links Without Sizes!E2:E""))),"""")"),"")</f>
        <v/>
      </c>
      <c r="I5" s="5" t="s">
        <v>61</v>
      </c>
      <c r="J5" s="24" t="str">
        <f t="shared" si="1"/>
        <v>non_veg</v>
      </c>
      <c r="K5" s="25"/>
      <c r="L5" s="24" t="str">
        <f t="shared" si="2"/>
        <v>non_veg</v>
      </c>
      <c r="M5" s="8"/>
      <c r="N5" s="23"/>
      <c r="O5" s="23"/>
      <c r="P5" s="23"/>
      <c r="Q5" s="4" t="str">
        <f t="shared" si="3"/>
        <v>1</v>
      </c>
      <c r="R5" s="20"/>
      <c r="S5" s="20"/>
    </row>
    <row r="6">
      <c r="A6" s="5" t="s">
        <v>62</v>
      </c>
      <c r="B6" s="5" t="s">
        <v>7</v>
      </c>
      <c r="C6" s="14" t="s">
        <v>63</v>
      </c>
      <c r="D6" s="7" t="s">
        <v>64</v>
      </c>
      <c r="E6" s="14"/>
      <c r="F6" s="14"/>
      <c r="G6" s="22">
        <v>24.0</v>
      </c>
      <c r="H6" s="23" t="str">
        <f>IFERROR(__xludf.DUMMYFUNCTION("iferror(iferror(iferror(index(IMPORTRANGE(""1NK5L1mviMn0j3D3uo53ASkIZOFRlLnqaCTnwzOG2_Wg"",""Direct Link!B2:B""),MATCH($C6,IMPORTRANGE(""1NK5L1mviMn0j3D3uo53ASkIZOFRlLnqaCTnwzOG2_Wg"",""Direct Link!A2:A""),0)),XLOOKUP($C6,IMPORTRANGE(""1NK5L1mviMn0j3D3uo5"&amp;"3ASkIZOFRlLnqaCTnwzOG2_Wg"",""Direct links Without Sizes!A2:A""),IMPORTRANGE(""1NK5L1mviMn0j3D3uo53ASkIZOFRlLnqaCTnwzOG2_Wg"",""Direct links Without Sizes!B2:B""))),XLOOKUP($C6,IMPORTRANGE(""1NK5L1mviMn0j3D3uo53ASkIZOFRlLnqaCTnwzOG2_Wg"",""Direct links Wi"&amp;"thout Sizes!D2:D""),IMPORTRANGE(""1NK5L1mviMn0j3D3uo53ASkIZOFRlLnqaCTnwzOG2_Wg"",""Direct links Without Sizes!E2:E""))),"""")"),"")</f>
        <v/>
      </c>
      <c r="I6" s="5"/>
      <c r="J6" s="24" t="str">
        <f t="shared" si="1"/>
        <v>non_veg</v>
      </c>
      <c r="K6" s="25"/>
      <c r="L6" s="24" t="str">
        <f t="shared" si="2"/>
        <v>non_veg</v>
      </c>
      <c r="M6" s="8"/>
      <c r="N6" s="23"/>
      <c r="O6" s="23"/>
      <c r="P6" s="23"/>
      <c r="Q6" s="4" t="str">
        <f t="shared" si="3"/>
        <v>1</v>
      </c>
      <c r="R6" s="20"/>
      <c r="S6" s="20"/>
    </row>
    <row r="7">
      <c r="A7" s="5" t="s">
        <v>65</v>
      </c>
      <c r="B7" s="5" t="s">
        <v>7</v>
      </c>
      <c r="C7" s="14" t="s">
        <v>66</v>
      </c>
      <c r="D7" s="7" t="s">
        <v>67</v>
      </c>
      <c r="E7" s="14"/>
      <c r="F7" s="14"/>
      <c r="G7" s="22">
        <v>0.0</v>
      </c>
      <c r="H7" s="23" t="str">
        <f>IFERROR(__xludf.DUMMYFUNCTION("iferror(iferror(iferror(index(IMPORTRANGE(""1NK5L1mviMn0j3D3uo53ASkIZOFRlLnqaCTnwzOG2_Wg"",""Direct Link!B2:B""),MATCH($C7,IMPORTRANGE(""1NK5L1mviMn0j3D3uo53ASkIZOFRlLnqaCTnwzOG2_Wg"",""Direct Link!A2:A""),0)),XLOOKUP($C7,IMPORTRANGE(""1NK5L1mviMn0j3D3uo5"&amp;"3ASkIZOFRlLnqaCTnwzOG2_Wg"",""Direct links Without Sizes!A2:A""),IMPORTRANGE(""1NK5L1mviMn0j3D3uo53ASkIZOFRlLnqaCTnwzOG2_Wg"",""Direct links Without Sizes!B2:B""))),XLOOKUP($C7,IMPORTRANGE(""1NK5L1mviMn0j3D3uo53ASkIZOFRlLnqaCTnwzOG2_Wg"",""Direct links Wi"&amp;"thout Sizes!D2:D""),IMPORTRANGE(""1NK5L1mviMn0j3D3uo53ASkIZOFRlLnqaCTnwzOG2_Wg"",""Direct links Without Sizes!E2:E""))),"""")"),"")</f>
        <v/>
      </c>
      <c r="I7" s="5" t="s">
        <v>68</v>
      </c>
      <c r="J7" s="24" t="str">
        <f t="shared" si="1"/>
        <v/>
      </c>
      <c r="K7" s="25"/>
      <c r="L7" s="24" t="str">
        <f t="shared" si="2"/>
        <v/>
      </c>
      <c r="M7" s="8"/>
      <c r="N7" s="23"/>
      <c r="O7" s="23"/>
      <c r="P7" s="23"/>
      <c r="Q7" s="4" t="str">
        <f t="shared" si="3"/>
        <v>1</v>
      </c>
      <c r="R7" s="20"/>
      <c r="S7" s="20"/>
    </row>
    <row r="8">
      <c r="A8" s="5" t="s">
        <v>69</v>
      </c>
      <c r="B8" s="5" t="s">
        <v>7</v>
      </c>
      <c r="C8" s="14" t="s">
        <v>70</v>
      </c>
      <c r="D8" s="7" t="s">
        <v>71</v>
      </c>
      <c r="E8" s="14"/>
      <c r="F8" s="14"/>
      <c r="G8" s="22">
        <v>0.0</v>
      </c>
      <c r="H8" s="23" t="str">
        <f>IFERROR(__xludf.DUMMYFUNCTION("iferror(iferror(iferror(index(IMPORTRANGE(""1NK5L1mviMn0j3D3uo53ASkIZOFRlLnqaCTnwzOG2_Wg"",""Direct Link!B2:B""),MATCH($C8,IMPORTRANGE(""1NK5L1mviMn0j3D3uo53ASkIZOFRlLnqaCTnwzOG2_Wg"",""Direct Link!A2:A""),0)),XLOOKUP($C8,IMPORTRANGE(""1NK5L1mviMn0j3D3uo5"&amp;"3ASkIZOFRlLnqaCTnwzOG2_Wg"",""Direct links Without Sizes!A2:A""),IMPORTRANGE(""1NK5L1mviMn0j3D3uo53ASkIZOFRlLnqaCTnwzOG2_Wg"",""Direct links Without Sizes!B2:B""))),XLOOKUP($C8,IMPORTRANGE(""1NK5L1mviMn0j3D3uo53ASkIZOFRlLnqaCTnwzOG2_Wg"",""Direct links Wi"&amp;"thout Sizes!D2:D""),IMPORTRANGE(""1NK5L1mviMn0j3D3uo53ASkIZOFRlLnqaCTnwzOG2_Wg"",""Direct links Without Sizes!E2:E""))),"""")"),"")</f>
        <v/>
      </c>
      <c r="I8" s="5" t="s">
        <v>72</v>
      </c>
      <c r="J8" s="24" t="str">
        <f t="shared" si="1"/>
        <v>non_veg</v>
      </c>
      <c r="K8" s="25"/>
      <c r="L8" s="24" t="str">
        <f t="shared" si="2"/>
        <v>non_veg</v>
      </c>
      <c r="M8" s="8"/>
      <c r="N8" s="23"/>
      <c r="O8" s="23"/>
      <c r="P8" s="23"/>
      <c r="Q8" s="4" t="str">
        <f t="shared" si="3"/>
        <v>1</v>
      </c>
      <c r="R8" s="20"/>
      <c r="S8" s="20"/>
    </row>
    <row r="9">
      <c r="A9" s="5" t="s">
        <v>73</v>
      </c>
      <c r="B9" s="5" t="s">
        <v>7</v>
      </c>
      <c r="C9" s="14" t="s">
        <v>74</v>
      </c>
      <c r="D9" s="7" t="s">
        <v>75</v>
      </c>
      <c r="E9" s="14"/>
      <c r="F9" s="14"/>
      <c r="G9" s="22">
        <v>0.0</v>
      </c>
      <c r="H9" s="23" t="str">
        <f>IFERROR(__xludf.DUMMYFUNCTION("iferror(iferror(iferror(index(IMPORTRANGE(""1NK5L1mviMn0j3D3uo53ASkIZOFRlLnqaCTnwzOG2_Wg"",""Direct Link!B2:B""),MATCH($C9,IMPORTRANGE(""1NK5L1mviMn0j3D3uo53ASkIZOFRlLnqaCTnwzOG2_Wg"",""Direct Link!A2:A""),0)),XLOOKUP($C9,IMPORTRANGE(""1NK5L1mviMn0j3D3uo5"&amp;"3ASkIZOFRlLnqaCTnwzOG2_Wg"",""Direct links Without Sizes!A2:A""),IMPORTRANGE(""1NK5L1mviMn0j3D3uo53ASkIZOFRlLnqaCTnwzOG2_Wg"",""Direct links Without Sizes!B2:B""))),XLOOKUP($C9,IMPORTRANGE(""1NK5L1mviMn0j3D3uo53ASkIZOFRlLnqaCTnwzOG2_Wg"",""Direct links Wi"&amp;"thout Sizes!D2:D""),IMPORTRANGE(""1NK5L1mviMn0j3D3uo53ASkIZOFRlLnqaCTnwzOG2_Wg"",""Direct links Without Sizes!E2:E""))),"""")"),"")</f>
        <v/>
      </c>
      <c r="I9" s="5" t="s">
        <v>76</v>
      </c>
      <c r="J9" s="24" t="str">
        <f t="shared" si="1"/>
        <v>non_veg</v>
      </c>
      <c r="K9" s="25"/>
      <c r="L9" s="24" t="str">
        <f t="shared" si="2"/>
        <v>non_veg</v>
      </c>
      <c r="M9" s="8"/>
      <c r="N9" s="23"/>
      <c r="O9" s="23"/>
      <c r="P9" s="23"/>
      <c r="Q9" s="4" t="str">
        <f t="shared" si="3"/>
        <v>1</v>
      </c>
      <c r="R9" s="20"/>
      <c r="S9" s="20"/>
    </row>
    <row r="10">
      <c r="A10" s="5" t="s">
        <v>77</v>
      </c>
      <c r="B10" s="5" t="s">
        <v>7</v>
      </c>
      <c r="C10" s="14" t="s">
        <v>78</v>
      </c>
      <c r="D10" s="7" t="s">
        <v>79</v>
      </c>
      <c r="E10" s="14"/>
      <c r="F10" s="14"/>
      <c r="G10" s="22">
        <v>0.0</v>
      </c>
      <c r="H10" s="23" t="str">
        <f>IFERROR(__xludf.DUMMYFUNCTION("iferror(iferror(iferror(index(IMPORTRANGE(""1NK5L1mviMn0j3D3uo53ASkIZOFRlLnqaCTnwzOG2_Wg"",""Direct Link!B2:B""),MATCH($C10,IMPORTRANGE(""1NK5L1mviMn0j3D3uo53ASkIZOFRlLnqaCTnwzOG2_Wg"",""Direct Link!A2:A""),0)),XLOOKUP($C10,IMPORTRANGE(""1NK5L1mviMn0j3D3u"&amp;"o53ASkIZOFRlLnqaCTnwzOG2_Wg"",""Direct links Without Sizes!A2:A""),IMPORTRANGE(""1NK5L1mviMn0j3D3uo53ASkIZOFRlLnqaCTnwzOG2_Wg"",""Direct links Without Sizes!B2:B""))),XLOOKUP($C10,IMPORTRANGE(""1NK5L1mviMn0j3D3uo53ASkIZOFRlLnqaCTnwzOG2_Wg"",""Direct links"&amp;" Without Sizes!D2:D""),IMPORTRANGE(""1NK5L1mviMn0j3D3uo53ASkIZOFRlLnqaCTnwzOG2_Wg"",""Direct links Without Sizes!E2:E""))),"""")"),"")</f>
        <v/>
      </c>
      <c r="I10" s="5" t="s">
        <v>80</v>
      </c>
      <c r="J10" s="24" t="str">
        <f t="shared" si="1"/>
        <v>non_veg</v>
      </c>
      <c r="K10" s="25"/>
      <c r="L10" s="24" t="str">
        <f t="shared" si="2"/>
        <v>non_veg</v>
      </c>
      <c r="M10" s="8"/>
      <c r="N10" s="23"/>
      <c r="O10" s="23"/>
      <c r="P10" s="23"/>
      <c r="Q10" s="4" t="str">
        <f t="shared" si="3"/>
        <v>1</v>
      </c>
      <c r="R10" s="20"/>
      <c r="S10" s="20"/>
    </row>
    <row r="11">
      <c r="A11" s="5" t="s">
        <v>81</v>
      </c>
      <c r="B11" s="5" t="s">
        <v>7</v>
      </c>
      <c r="C11" s="14" t="s">
        <v>82</v>
      </c>
      <c r="D11" s="7" t="s">
        <v>83</v>
      </c>
      <c r="E11" s="13"/>
      <c r="F11" s="14"/>
      <c r="G11" s="22">
        <v>16.0</v>
      </c>
      <c r="H11" s="23" t="str">
        <f>IFERROR(__xludf.DUMMYFUNCTION("iferror(iferror(iferror(index(IMPORTRANGE(""1NK5L1mviMn0j3D3uo53ASkIZOFRlLnqaCTnwzOG2_Wg"",""Direct Link!B2:B""),MATCH($C11,IMPORTRANGE(""1NK5L1mviMn0j3D3uo53ASkIZOFRlLnqaCTnwzOG2_Wg"",""Direct Link!A2:A""),0)),XLOOKUP($C11,IMPORTRANGE(""1NK5L1mviMn0j3D3u"&amp;"o53ASkIZOFRlLnqaCTnwzOG2_Wg"",""Direct links Without Sizes!A2:A""),IMPORTRANGE(""1NK5L1mviMn0j3D3uo53ASkIZOFRlLnqaCTnwzOG2_Wg"",""Direct links Without Sizes!B2:B""))),XLOOKUP($C11,IMPORTRANGE(""1NK5L1mviMn0j3D3uo53ASkIZOFRlLnqaCTnwzOG2_Wg"",""Direct links"&amp;" Without Sizes!D2:D""),IMPORTRANGE(""1NK5L1mviMn0j3D3uo53ASkIZOFRlLnqaCTnwzOG2_Wg"",""Direct links Without Sizes!E2:E""))),"""")"),"")</f>
        <v/>
      </c>
      <c r="I11" s="5"/>
      <c r="J11" s="24" t="str">
        <f t="shared" si="1"/>
        <v>non_veg</v>
      </c>
      <c r="K11" s="25"/>
      <c r="L11" s="24" t="str">
        <f t="shared" si="2"/>
        <v>non_veg</v>
      </c>
      <c r="M11" s="8"/>
      <c r="N11" s="23"/>
      <c r="O11" s="23"/>
      <c r="P11" s="23"/>
      <c r="Q11" s="4" t="str">
        <f t="shared" si="3"/>
        <v>1</v>
      </c>
      <c r="R11" s="20"/>
      <c r="S11" s="20"/>
    </row>
    <row r="12">
      <c r="A12" s="5" t="s">
        <v>84</v>
      </c>
      <c r="B12" s="5" t="s">
        <v>7</v>
      </c>
      <c r="C12" s="14" t="s">
        <v>85</v>
      </c>
      <c r="D12" s="7" t="s">
        <v>86</v>
      </c>
      <c r="E12" s="27"/>
      <c r="F12" s="14"/>
      <c r="G12" s="22">
        <v>16.0</v>
      </c>
      <c r="H12" s="23" t="str">
        <f>IFERROR(__xludf.DUMMYFUNCTION("iferror(iferror(iferror(index(IMPORTRANGE(""1NK5L1mviMn0j3D3uo53ASkIZOFRlLnqaCTnwzOG2_Wg"",""Direct Link!B2:B""),MATCH($C12,IMPORTRANGE(""1NK5L1mviMn0j3D3uo53ASkIZOFRlLnqaCTnwzOG2_Wg"",""Direct Link!A2:A""),0)),XLOOKUP($C12,IMPORTRANGE(""1NK5L1mviMn0j3D3u"&amp;"o53ASkIZOFRlLnqaCTnwzOG2_Wg"",""Direct links Without Sizes!A2:A""),IMPORTRANGE(""1NK5L1mviMn0j3D3uo53ASkIZOFRlLnqaCTnwzOG2_Wg"",""Direct links Without Sizes!B2:B""))),XLOOKUP($C12,IMPORTRANGE(""1NK5L1mviMn0j3D3uo53ASkIZOFRlLnqaCTnwzOG2_Wg"",""Direct links"&amp;" Without Sizes!D2:D""),IMPORTRANGE(""1NK5L1mviMn0j3D3uo53ASkIZOFRlLnqaCTnwzOG2_Wg"",""Direct links Without Sizes!E2:E""))),"""")"),"")</f>
        <v/>
      </c>
      <c r="I12" s="5"/>
      <c r="J12" s="24" t="str">
        <f t="shared" si="1"/>
        <v>non_veg</v>
      </c>
      <c r="K12" s="25"/>
      <c r="L12" s="24" t="str">
        <f t="shared" si="2"/>
        <v>non_veg</v>
      </c>
      <c r="M12" s="8"/>
      <c r="N12" s="23"/>
      <c r="O12" s="23"/>
      <c r="P12" s="23"/>
      <c r="Q12" s="4" t="str">
        <f t="shared" si="3"/>
        <v>1</v>
      </c>
      <c r="R12" s="20"/>
      <c r="S12" s="20"/>
    </row>
    <row r="13">
      <c r="A13" s="5" t="s">
        <v>87</v>
      </c>
      <c r="B13" s="5" t="s">
        <v>7</v>
      </c>
      <c r="C13" s="14" t="s">
        <v>88</v>
      </c>
      <c r="D13" s="7" t="s">
        <v>89</v>
      </c>
      <c r="E13" s="13"/>
      <c r="F13" s="14"/>
      <c r="G13" s="22">
        <v>16.0</v>
      </c>
      <c r="H13" s="23" t="str">
        <f>IFERROR(__xludf.DUMMYFUNCTION("iferror(iferror(iferror(index(IMPORTRANGE(""1NK5L1mviMn0j3D3uo53ASkIZOFRlLnqaCTnwzOG2_Wg"",""Direct Link!B2:B""),MATCH($C13,IMPORTRANGE(""1NK5L1mviMn0j3D3uo53ASkIZOFRlLnqaCTnwzOG2_Wg"",""Direct Link!A2:A""),0)),XLOOKUP($C13,IMPORTRANGE(""1NK5L1mviMn0j3D3u"&amp;"o53ASkIZOFRlLnqaCTnwzOG2_Wg"",""Direct links Without Sizes!A2:A""),IMPORTRANGE(""1NK5L1mviMn0j3D3uo53ASkIZOFRlLnqaCTnwzOG2_Wg"",""Direct links Without Sizes!B2:B""))),XLOOKUP($C13,IMPORTRANGE(""1NK5L1mviMn0j3D3uo53ASkIZOFRlLnqaCTnwzOG2_Wg"",""Direct links"&amp;" Without Sizes!D2:D""),IMPORTRANGE(""1NK5L1mviMn0j3D3uo53ASkIZOFRlLnqaCTnwzOG2_Wg"",""Direct links Without Sizes!E2:E""))),"""")"),"")</f>
        <v/>
      </c>
      <c r="I13" s="5"/>
      <c r="J13" s="24" t="str">
        <f t="shared" si="1"/>
        <v>non_veg</v>
      </c>
      <c r="K13" s="25"/>
      <c r="L13" s="24" t="str">
        <f t="shared" si="2"/>
        <v>non_veg</v>
      </c>
      <c r="M13" s="8"/>
      <c r="N13" s="23"/>
      <c r="O13" s="23"/>
      <c r="P13" s="23"/>
      <c r="Q13" s="4" t="str">
        <f t="shared" si="3"/>
        <v>1</v>
      </c>
      <c r="R13" s="20"/>
      <c r="S13" s="20"/>
    </row>
    <row r="14">
      <c r="A14" s="5" t="s">
        <v>90</v>
      </c>
      <c r="B14" s="5" t="s">
        <v>10</v>
      </c>
      <c r="C14" s="14" t="s">
        <v>91</v>
      </c>
      <c r="D14" s="7" t="s">
        <v>92</v>
      </c>
      <c r="E14" s="14"/>
      <c r="F14" s="14"/>
      <c r="G14" s="22">
        <v>15.0</v>
      </c>
      <c r="H14" s="23" t="str">
        <f>IFERROR(__xludf.DUMMYFUNCTION("iferror(iferror(iferror(index(IMPORTRANGE(""1NK5L1mviMn0j3D3uo53ASkIZOFRlLnqaCTnwzOG2_Wg"",""Direct Link!B2:B""),MATCH($C14,IMPORTRANGE(""1NK5L1mviMn0j3D3uo53ASkIZOFRlLnqaCTnwzOG2_Wg"",""Direct Link!A2:A""),0)),XLOOKUP($C14,IMPORTRANGE(""1NK5L1mviMn0j3D3u"&amp;"o53ASkIZOFRlLnqaCTnwzOG2_Wg"",""Direct links Without Sizes!A2:A""),IMPORTRANGE(""1NK5L1mviMn0j3D3uo53ASkIZOFRlLnqaCTnwzOG2_Wg"",""Direct links Without Sizes!B2:B""))),XLOOKUP($C14,IMPORTRANGE(""1NK5L1mviMn0j3D3uo53ASkIZOFRlLnqaCTnwzOG2_Wg"",""Direct links"&amp;" Without Sizes!D2:D""),IMPORTRANGE(""1NK5L1mviMn0j3D3uo53ASkIZOFRlLnqaCTnwzOG2_Wg"",""Direct links Without Sizes!E2:E""))),"""")"),"")</f>
        <v/>
      </c>
      <c r="I14" s="5"/>
      <c r="J14" s="24" t="str">
        <f t="shared" si="1"/>
        <v/>
      </c>
      <c r="K14" s="25"/>
      <c r="L14" s="24" t="str">
        <f t="shared" si="2"/>
        <v/>
      </c>
      <c r="M14" s="8"/>
      <c r="N14" s="23"/>
      <c r="O14" s="23"/>
      <c r="P14" s="23"/>
      <c r="Q14" s="4" t="str">
        <f t="shared" si="3"/>
        <v>1</v>
      </c>
      <c r="R14" s="20"/>
      <c r="S14" s="20"/>
    </row>
    <row r="15">
      <c r="A15" s="5" t="s">
        <v>93</v>
      </c>
      <c r="B15" s="5" t="s">
        <v>10</v>
      </c>
      <c r="C15" s="14" t="s">
        <v>94</v>
      </c>
      <c r="D15" s="7" t="s">
        <v>95</v>
      </c>
      <c r="E15" s="14"/>
      <c r="F15" s="14"/>
      <c r="G15" s="22">
        <v>15.0</v>
      </c>
      <c r="H15" s="23" t="str">
        <f>IFERROR(__xludf.DUMMYFUNCTION("iferror(iferror(iferror(index(IMPORTRANGE(""1NK5L1mviMn0j3D3uo53ASkIZOFRlLnqaCTnwzOG2_Wg"",""Direct Link!B2:B""),MATCH($C15,IMPORTRANGE(""1NK5L1mviMn0j3D3uo53ASkIZOFRlLnqaCTnwzOG2_Wg"",""Direct Link!A2:A""),0)),XLOOKUP($C15,IMPORTRANGE(""1NK5L1mviMn0j3D3u"&amp;"o53ASkIZOFRlLnqaCTnwzOG2_Wg"",""Direct links Without Sizes!A2:A""),IMPORTRANGE(""1NK5L1mviMn0j3D3uo53ASkIZOFRlLnqaCTnwzOG2_Wg"",""Direct links Without Sizes!B2:B""))),XLOOKUP($C15,IMPORTRANGE(""1NK5L1mviMn0j3D3uo53ASkIZOFRlLnqaCTnwzOG2_Wg"",""Direct links"&amp;" Without Sizes!D2:D""),IMPORTRANGE(""1NK5L1mviMn0j3D3uo53ASkIZOFRlLnqaCTnwzOG2_Wg"",""Direct links Without Sizes!E2:E""))),"""")"),"")</f>
        <v/>
      </c>
      <c r="I15" s="5"/>
      <c r="J15" s="24" t="str">
        <f t="shared" si="1"/>
        <v>non_veg</v>
      </c>
      <c r="K15" s="25"/>
      <c r="L15" s="24" t="str">
        <f t="shared" si="2"/>
        <v>non_veg</v>
      </c>
      <c r="M15" s="8"/>
      <c r="N15" s="23"/>
      <c r="O15" s="23"/>
      <c r="P15" s="23"/>
      <c r="Q15" s="4" t="str">
        <f t="shared" si="3"/>
        <v>1</v>
      </c>
      <c r="R15" s="20"/>
      <c r="S15" s="20"/>
    </row>
    <row r="16">
      <c r="A16" s="5" t="s">
        <v>96</v>
      </c>
      <c r="B16" s="5" t="s">
        <v>10</v>
      </c>
      <c r="C16" s="14" t="s">
        <v>97</v>
      </c>
      <c r="D16" s="7" t="s">
        <v>98</v>
      </c>
      <c r="E16" s="14"/>
      <c r="F16" s="14"/>
      <c r="G16" s="22">
        <v>10.0</v>
      </c>
      <c r="H16" s="23" t="str">
        <f>IFERROR(__xludf.DUMMYFUNCTION("iferror(iferror(iferror(index(IMPORTRANGE(""1NK5L1mviMn0j3D3uo53ASkIZOFRlLnqaCTnwzOG2_Wg"",""Direct Link!B2:B""),MATCH($C16,IMPORTRANGE(""1NK5L1mviMn0j3D3uo53ASkIZOFRlLnqaCTnwzOG2_Wg"",""Direct Link!A2:A""),0)),XLOOKUP($C16,IMPORTRANGE(""1NK5L1mviMn0j3D3u"&amp;"o53ASkIZOFRlLnqaCTnwzOG2_Wg"",""Direct links Without Sizes!A2:A""),IMPORTRANGE(""1NK5L1mviMn0j3D3uo53ASkIZOFRlLnqaCTnwzOG2_Wg"",""Direct links Without Sizes!B2:B""))),XLOOKUP($C16,IMPORTRANGE(""1NK5L1mviMn0j3D3uo53ASkIZOFRlLnqaCTnwzOG2_Wg"",""Direct links"&amp;" Without Sizes!D2:D""),IMPORTRANGE(""1NK5L1mviMn0j3D3uo53ASkIZOFRlLnqaCTnwzOG2_Wg"",""Direct links Without Sizes!E2:E""))),"""")"),"")</f>
        <v/>
      </c>
      <c r="I16" s="5"/>
      <c r="J16" s="24" t="str">
        <f t="shared" si="1"/>
        <v/>
      </c>
      <c r="K16" s="25"/>
      <c r="L16" s="24" t="str">
        <f t="shared" si="2"/>
        <v/>
      </c>
      <c r="M16" s="8"/>
      <c r="N16" s="23"/>
      <c r="O16" s="23"/>
      <c r="P16" s="23"/>
      <c r="Q16" s="4" t="str">
        <f t="shared" si="3"/>
        <v>1</v>
      </c>
      <c r="R16" s="20"/>
      <c r="S16" s="20"/>
    </row>
    <row r="17">
      <c r="A17" s="5" t="s">
        <v>99</v>
      </c>
      <c r="B17" s="5" t="s">
        <v>10</v>
      </c>
      <c r="C17" s="14" t="s">
        <v>100</v>
      </c>
      <c r="D17" s="7" t="s">
        <v>101</v>
      </c>
      <c r="E17" s="14"/>
      <c r="F17" s="14"/>
      <c r="G17" s="22">
        <v>10.0</v>
      </c>
      <c r="H17" s="23" t="str">
        <f>IFERROR(__xludf.DUMMYFUNCTION("iferror(iferror(iferror(index(IMPORTRANGE(""1NK5L1mviMn0j3D3uo53ASkIZOFRlLnqaCTnwzOG2_Wg"",""Direct Link!B2:B""),MATCH($C17,IMPORTRANGE(""1NK5L1mviMn0j3D3uo53ASkIZOFRlLnqaCTnwzOG2_Wg"",""Direct Link!A2:A""),0)),XLOOKUP($C17,IMPORTRANGE(""1NK5L1mviMn0j3D3u"&amp;"o53ASkIZOFRlLnqaCTnwzOG2_Wg"",""Direct links Without Sizes!A2:A""),IMPORTRANGE(""1NK5L1mviMn0j3D3uo53ASkIZOFRlLnqaCTnwzOG2_Wg"",""Direct links Without Sizes!B2:B""))),XLOOKUP($C17,IMPORTRANGE(""1NK5L1mviMn0j3D3uo53ASkIZOFRlLnqaCTnwzOG2_Wg"",""Direct links"&amp;" Without Sizes!D2:D""),IMPORTRANGE(""1NK5L1mviMn0j3D3uo53ASkIZOFRlLnqaCTnwzOG2_Wg"",""Direct links Without Sizes!E2:E""))),"""")"),"")</f>
        <v/>
      </c>
      <c r="I17" s="5"/>
      <c r="J17" s="24" t="str">
        <f t="shared" si="1"/>
        <v>veg</v>
      </c>
      <c r="K17" s="25"/>
      <c r="L17" s="24" t="str">
        <f t="shared" si="2"/>
        <v>veg</v>
      </c>
      <c r="M17" s="8"/>
      <c r="N17" s="23"/>
      <c r="O17" s="23"/>
      <c r="P17" s="23"/>
      <c r="Q17" s="4" t="str">
        <f t="shared" si="3"/>
        <v>1</v>
      </c>
      <c r="R17" s="20"/>
      <c r="S17" s="20"/>
    </row>
    <row r="18">
      <c r="A18" s="5" t="s">
        <v>102</v>
      </c>
      <c r="B18" s="5" t="s">
        <v>10</v>
      </c>
      <c r="C18" s="14" t="s">
        <v>103</v>
      </c>
      <c r="D18" s="7" t="s">
        <v>104</v>
      </c>
      <c r="E18" s="14"/>
      <c r="F18" s="14"/>
      <c r="G18" s="22">
        <v>10.0</v>
      </c>
      <c r="H18" s="23" t="str">
        <f>IFERROR(__xludf.DUMMYFUNCTION("iferror(iferror(iferror(index(IMPORTRANGE(""1NK5L1mviMn0j3D3uo53ASkIZOFRlLnqaCTnwzOG2_Wg"",""Direct Link!B2:B""),MATCH($C18,IMPORTRANGE(""1NK5L1mviMn0j3D3uo53ASkIZOFRlLnqaCTnwzOG2_Wg"",""Direct Link!A2:A""),0)),XLOOKUP($C18,IMPORTRANGE(""1NK5L1mviMn0j3D3u"&amp;"o53ASkIZOFRlLnqaCTnwzOG2_Wg"",""Direct links Without Sizes!A2:A""),IMPORTRANGE(""1NK5L1mviMn0j3D3uo53ASkIZOFRlLnqaCTnwzOG2_Wg"",""Direct links Without Sizes!B2:B""))),XLOOKUP($C18,IMPORTRANGE(""1NK5L1mviMn0j3D3uo53ASkIZOFRlLnqaCTnwzOG2_Wg"",""Direct links"&amp;" Without Sizes!D2:D""),IMPORTRANGE(""1NK5L1mviMn0j3D3uo53ASkIZOFRlLnqaCTnwzOG2_Wg"",""Direct links Without Sizes!E2:E""))),"""")"),"")</f>
        <v/>
      </c>
      <c r="I18" s="5"/>
      <c r="J18" s="24" t="str">
        <f t="shared" si="1"/>
        <v/>
      </c>
      <c r="K18" s="25"/>
      <c r="L18" s="24" t="str">
        <f t="shared" si="2"/>
        <v/>
      </c>
      <c r="M18" s="8"/>
      <c r="N18" s="23"/>
      <c r="O18" s="23"/>
      <c r="P18" s="23"/>
      <c r="Q18" s="4" t="str">
        <f t="shared" si="3"/>
        <v>1</v>
      </c>
      <c r="R18" s="20"/>
      <c r="S18" s="20"/>
    </row>
    <row r="19">
      <c r="A19" s="5" t="s">
        <v>105</v>
      </c>
      <c r="B19" s="5" t="s">
        <v>10</v>
      </c>
      <c r="C19" s="14" t="s">
        <v>106</v>
      </c>
      <c r="D19" s="7" t="s">
        <v>107</v>
      </c>
      <c r="E19" s="14"/>
      <c r="F19" s="14"/>
      <c r="G19" s="22">
        <v>10.0</v>
      </c>
      <c r="H19" s="23" t="str">
        <f>IFERROR(__xludf.DUMMYFUNCTION("iferror(iferror(iferror(index(IMPORTRANGE(""1NK5L1mviMn0j3D3uo53ASkIZOFRlLnqaCTnwzOG2_Wg"",""Direct Link!B2:B""),MATCH($C19,IMPORTRANGE(""1NK5L1mviMn0j3D3uo53ASkIZOFRlLnqaCTnwzOG2_Wg"",""Direct Link!A2:A""),0)),XLOOKUP($C19,IMPORTRANGE(""1NK5L1mviMn0j3D3u"&amp;"o53ASkIZOFRlLnqaCTnwzOG2_Wg"",""Direct links Without Sizes!A2:A""),IMPORTRANGE(""1NK5L1mviMn0j3D3uo53ASkIZOFRlLnqaCTnwzOG2_Wg"",""Direct links Without Sizes!B2:B""))),XLOOKUP($C19,IMPORTRANGE(""1NK5L1mviMn0j3D3uo53ASkIZOFRlLnqaCTnwzOG2_Wg"",""Direct links"&amp;" Without Sizes!D2:D""),IMPORTRANGE(""1NK5L1mviMn0j3D3uo53ASkIZOFRlLnqaCTnwzOG2_Wg"",""Direct links Without Sizes!E2:E""))),"""")"),"")</f>
        <v/>
      </c>
      <c r="I19" s="5"/>
      <c r="J19" s="24" t="str">
        <f t="shared" si="1"/>
        <v/>
      </c>
      <c r="K19" s="25"/>
      <c r="L19" s="24" t="str">
        <f t="shared" si="2"/>
        <v/>
      </c>
      <c r="M19" s="8"/>
      <c r="N19" s="23"/>
      <c r="O19" s="23"/>
      <c r="P19" s="23"/>
      <c r="Q19" s="4" t="str">
        <f t="shared" si="3"/>
        <v>1</v>
      </c>
      <c r="R19" s="20"/>
      <c r="S19" s="20"/>
    </row>
    <row r="20">
      <c r="A20" s="5" t="s">
        <v>108</v>
      </c>
      <c r="B20" s="5" t="s">
        <v>13</v>
      </c>
      <c r="C20" s="14" t="s">
        <v>109</v>
      </c>
      <c r="D20" s="7" t="s">
        <v>110</v>
      </c>
      <c r="E20" s="14"/>
      <c r="F20" s="14"/>
      <c r="G20" s="22">
        <v>0.0</v>
      </c>
      <c r="H20" s="23" t="str">
        <f>IFERROR(__xludf.DUMMYFUNCTION("iferror(iferror(iferror(index(IMPORTRANGE(""1NK5L1mviMn0j3D3uo53ASkIZOFRlLnqaCTnwzOG2_Wg"",""Direct Link!B2:B""),MATCH($C20,IMPORTRANGE(""1NK5L1mviMn0j3D3uo53ASkIZOFRlLnqaCTnwzOG2_Wg"",""Direct Link!A2:A""),0)),XLOOKUP($C20,IMPORTRANGE(""1NK5L1mviMn0j3D3u"&amp;"o53ASkIZOFRlLnqaCTnwzOG2_Wg"",""Direct links Without Sizes!A2:A""),IMPORTRANGE(""1NK5L1mviMn0j3D3uo53ASkIZOFRlLnqaCTnwzOG2_Wg"",""Direct links Without Sizes!B2:B""))),XLOOKUP($C20,IMPORTRANGE(""1NK5L1mviMn0j3D3uo53ASkIZOFRlLnqaCTnwzOG2_Wg"",""Direct links"&amp;" Without Sizes!D2:D""),IMPORTRANGE(""1NK5L1mviMn0j3D3uo53ASkIZOFRlLnqaCTnwzOG2_Wg"",""Direct links Without Sizes!E2:E""))),"""")"),"")</f>
        <v/>
      </c>
      <c r="I20" s="5" t="s">
        <v>76</v>
      </c>
      <c r="J20" s="24" t="str">
        <f t="shared" si="1"/>
        <v>non_veg</v>
      </c>
      <c r="K20" s="25"/>
      <c r="L20" s="24" t="str">
        <f t="shared" si="2"/>
        <v>non_veg</v>
      </c>
      <c r="M20" s="8"/>
      <c r="N20" s="23"/>
      <c r="O20" s="23"/>
      <c r="P20" s="23"/>
      <c r="Q20" s="4" t="str">
        <f t="shared" si="3"/>
        <v>1</v>
      </c>
      <c r="R20" s="20"/>
      <c r="S20" s="20"/>
    </row>
    <row r="21">
      <c r="A21" s="5" t="s">
        <v>111</v>
      </c>
      <c r="B21" s="5" t="s">
        <v>13</v>
      </c>
      <c r="C21" s="14" t="s">
        <v>112</v>
      </c>
      <c r="D21" s="7" t="s">
        <v>113</v>
      </c>
      <c r="E21" s="14"/>
      <c r="F21" s="14"/>
      <c r="G21" s="22">
        <v>0.0</v>
      </c>
      <c r="H21" s="23" t="str">
        <f>IFERROR(__xludf.DUMMYFUNCTION("iferror(iferror(iferror(index(IMPORTRANGE(""1NK5L1mviMn0j3D3uo53ASkIZOFRlLnqaCTnwzOG2_Wg"",""Direct Link!B2:B""),MATCH($C21,IMPORTRANGE(""1NK5L1mviMn0j3D3uo53ASkIZOFRlLnqaCTnwzOG2_Wg"",""Direct Link!A2:A""),0)),XLOOKUP($C21,IMPORTRANGE(""1NK5L1mviMn0j3D3u"&amp;"o53ASkIZOFRlLnqaCTnwzOG2_Wg"",""Direct links Without Sizes!A2:A""),IMPORTRANGE(""1NK5L1mviMn0j3D3uo53ASkIZOFRlLnqaCTnwzOG2_Wg"",""Direct links Without Sizes!B2:B""))),XLOOKUP($C21,IMPORTRANGE(""1NK5L1mviMn0j3D3uo53ASkIZOFRlLnqaCTnwzOG2_Wg"",""Direct links"&amp;" Without Sizes!D2:D""),IMPORTRANGE(""1NK5L1mviMn0j3D3uo53ASkIZOFRlLnqaCTnwzOG2_Wg"",""Direct links Without Sizes!E2:E""))),"""")"),"")</f>
        <v/>
      </c>
      <c r="I21" s="5" t="s">
        <v>76</v>
      </c>
      <c r="J21" s="24" t="str">
        <f t="shared" si="1"/>
        <v>non_veg</v>
      </c>
      <c r="K21" s="25"/>
      <c r="L21" s="24" t="str">
        <f t="shared" si="2"/>
        <v>non_veg</v>
      </c>
      <c r="M21" s="8"/>
      <c r="N21" s="23"/>
      <c r="O21" s="23"/>
      <c r="P21" s="23"/>
      <c r="Q21" s="4" t="str">
        <f t="shared" si="3"/>
        <v>1</v>
      </c>
      <c r="R21" s="20"/>
      <c r="S21" s="20"/>
    </row>
    <row r="22">
      <c r="A22" s="5" t="s">
        <v>114</v>
      </c>
      <c r="B22" s="5" t="s">
        <v>13</v>
      </c>
      <c r="C22" s="14" t="s">
        <v>115</v>
      </c>
      <c r="D22" s="7" t="s">
        <v>116</v>
      </c>
      <c r="E22" s="14"/>
      <c r="F22" s="14"/>
      <c r="G22" s="22">
        <v>0.0</v>
      </c>
      <c r="H22" s="23" t="str">
        <f>IFERROR(__xludf.DUMMYFUNCTION("iferror(iferror(iferror(index(IMPORTRANGE(""1NK5L1mviMn0j3D3uo53ASkIZOFRlLnqaCTnwzOG2_Wg"",""Direct Link!B2:B""),MATCH($C22,IMPORTRANGE(""1NK5L1mviMn0j3D3uo53ASkIZOFRlLnqaCTnwzOG2_Wg"",""Direct Link!A2:A""),0)),XLOOKUP($C22,IMPORTRANGE(""1NK5L1mviMn0j3D3u"&amp;"o53ASkIZOFRlLnqaCTnwzOG2_Wg"",""Direct links Without Sizes!A2:A""),IMPORTRANGE(""1NK5L1mviMn0j3D3uo53ASkIZOFRlLnqaCTnwzOG2_Wg"",""Direct links Without Sizes!B2:B""))),XLOOKUP($C22,IMPORTRANGE(""1NK5L1mviMn0j3D3uo53ASkIZOFRlLnqaCTnwzOG2_Wg"",""Direct links"&amp;" Without Sizes!D2:D""),IMPORTRANGE(""1NK5L1mviMn0j3D3uo53ASkIZOFRlLnqaCTnwzOG2_Wg"",""Direct links Without Sizes!E2:E""))),"""")"),"")</f>
        <v/>
      </c>
      <c r="I22" s="5" t="s">
        <v>76</v>
      </c>
      <c r="J22" s="24" t="str">
        <f t="shared" si="1"/>
        <v>non_veg</v>
      </c>
      <c r="K22" s="25"/>
      <c r="L22" s="24" t="str">
        <f t="shared" si="2"/>
        <v>non_veg</v>
      </c>
      <c r="M22" s="8"/>
      <c r="N22" s="23"/>
      <c r="O22" s="23"/>
      <c r="P22" s="23"/>
      <c r="Q22" s="4" t="str">
        <f t="shared" si="3"/>
        <v>1</v>
      </c>
      <c r="R22" s="20"/>
      <c r="S22" s="20"/>
    </row>
    <row r="23">
      <c r="A23" s="5" t="s">
        <v>117</v>
      </c>
      <c r="B23" s="5" t="s">
        <v>13</v>
      </c>
      <c r="C23" s="14" t="s">
        <v>118</v>
      </c>
      <c r="D23" s="7" t="s">
        <v>119</v>
      </c>
      <c r="E23" s="14"/>
      <c r="F23" s="14"/>
      <c r="G23" s="22">
        <v>0.0</v>
      </c>
      <c r="H23" s="23" t="str">
        <f>IFERROR(__xludf.DUMMYFUNCTION("iferror(iferror(iferror(index(IMPORTRANGE(""1NK5L1mviMn0j3D3uo53ASkIZOFRlLnqaCTnwzOG2_Wg"",""Direct Link!B2:B""),MATCH($C23,IMPORTRANGE(""1NK5L1mviMn0j3D3uo53ASkIZOFRlLnqaCTnwzOG2_Wg"",""Direct Link!A2:A""),0)),XLOOKUP($C23,IMPORTRANGE(""1NK5L1mviMn0j3D3u"&amp;"o53ASkIZOFRlLnqaCTnwzOG2_Wg"",""Direct links Without Sizes!A2:A""),IMPORTRANGE(""1NK5L1mviMn0j3D3uo53ASkIZOFRlLnqaCTnwzOG2_Wg"",""Direct links Without Sizes!B2:B""))),XLOOKUP($C23,IMPORTRANGE(""1NK5L1mviMn0j3D3uo53ASkIZOFRlLnqaCTnwzOG2_Wg"",""Direct links"&amp;" Without Sizes!D2:D""),IMPORTRANGE(""1NK5L1mviMn0j3D3uo53ASkIZOFRlLnqaCTnwzOG2_Wg"",""Direct links Without Sizes!E2:E""))),"""")"),"")</f>
        <v/>
      </c>
      <c r="I23" s="5" t="s">
        <v>76</v>
      </c>
      <c r="J23" s="24" t="str">
        <f t="shared" si="1"/>
        <v>non_veg</v>
      </c>
      <c r="K23" s="25"/>
      <c r="L23" s="24" t="str">
        <f t="shared" si="2"/>
        <v>non_veg</v>
      </c>
      <c r="M23" s="8"/>
      <c r="N23" s="23"/>
      <c r="O23" s="23"/>
      <c r="P23" s="23"/>
      <c r="Q23" s="4" t="str">
        <f t="shared" si="3"/>
        <v>1</v>
      </c>
      <c r="R23" s="20"/>
      <c r="S23" s="20"/>
    </row>
    <row r="24">
      <c r="A24" s="5" t="s">
        <v>120</v>
      </c>
      <c r="B24" s="5" t="s">
        <v>13</v>
      </c>
      <c r="C24" s="14" t="s">
        <v>121</v>
      </c>
      <c r="D24" s="7" t="s">
        <v>122</v>
      </c>
      <c r="E24" s="14"/>
      <c r="F24" s="14"/>
      <c r="G24" s="22">
        <v>0.0</v>
      </c>
      <c r="H24" s="23" t="str">
        <f>IFERROR(__xludf.DUMMYFUNCTION("iferror(iferror(iferror(index(IMPORTRANGE(""1NK5L1mviMn0j3D3uo53ASkIZOFRlLnqaCTnwzOG2_Wg"",""Direct Link!B2:B""),MATCH($C24,IMPORTRANGE(""1NK5L1mviMn0j3D3uo53ASkIZOFRlLnqaCTnwzOG2_Wg"",""Direct Link!A2:A""),0)),XLOOKUP($C24,IMPORTRANGE(""1NK5L1mviMn0j3D3u"&amp;"o53ASkIZOFRlLnqaCTnwzOG2_Wg"",""Direct links Without Sizes!A2:A""),IMPORTRANGE(""1NK5L1mviMn0j3D3uo53ASkIZOFRlLnqaCTnwzOG2_Wg"",""Direct links Without Sizes!B2:B""))),XLOOKUP($C24,IMPORTRANGE(""1NK5L1mviMn0j3D3uo53ASkIZOFRlLnqaCTnwzOG2_Wg"",""Direct links"&amp;" Without Sizes!D2:D""),IMPORTRANGE(""1NK5L1mviMn0j3D3uo53ASkIZOFRlLnqaCTnwzOG2_Wg"",""Direct links Without Sizes!E2:E""))),"""")"),"")</f>
        <v/>
      </c>
      <c r="I24" s="5" t="s">
        <v>76</v>
      </c>
      <c r="J24" s="24" t="str">
        <f t="shared" si="1"/>
        <v>non_veg</v>
      </c>
      <c r="K24" s="25"/>
      <c r="L24" s="24" t="str">
        <f t="shared" si="2"/>
        <v>non_veg</v>
      </c>
      <c r="M24" s="8"/>
      <c r="N24" s="23"/>
      <c r="O24" s="23"/>
      <c r="P24" s="23"/>
      <c r="Q24" s="4" t="str">
        <f t="shared" si="3"/>
        <v>1</v>
      </c>
      <c r="R24" s="20"/>
      <c r="S24" s="20"/>
    </row>
    <row r="25">
      <c r="A25" s="5" t="s">
        <v>123</v>
      </c>
      <c r="B25" s="5" t="s">
        <v>13</v>
      </c>
      <c r="C25" s="14" t="s">
        <v>124</v>
      </c>
      <c r="D25" s="7" t="s">
        <v>125</v>
      </c>
      <c r="E25" s="14"/>
      <c r="F25" s="14"/>
      <c r="G25" s="22">
        <v>0.0</v>
      </c>
      <c r="H25" s="23" t="str">
        <f>IFERROR(__xludf.DUMMYFUNCTION("iferror(iferror(iferror(index(IMPORTRANGE(""1NK5L1mviMn0j3D3uo53ASkIZOFRlLnqaCTnwzOG2_Wg"",""Direct Link!B2:B""),MATCH($C25,IMPORTRANGE(""1NK5L1mviMn0j3D3uo53ASkIZOFRlLnqaCTnwzOG2_Wg"",""Direct Link!A2:A""),0)),XLOOKUP($C25,IMPORTRANGE(""1NK5L1mviMn0j3D3u"&amp;"o53ASkIZOFRlLnqaCTnwzOG2_Wg"",""Direct links Without Sizes!A2:A""),IMPORTRANGE(""1NK5L1mviMn0j3D3uo53ASkIZOFRlLnqaCTnwzOG2_Wg"",""Direct links Without Sizes!B2:B""))),XLOOKUP($C25,IMPORTRANGE(""1NK5L1mviMn0j3D3uo53ASkIZOFRlLnqaCTnwzOG2_Wg"",""Direct links"&amp;" Without Sizes!D2:D""),IMPORTRANGE(""1NK5L1mviMn0j3D3uo53ASkIZOFRlLnqaCTnwzOG2_Wg"",""Direct links Without Sizes!E2:E""))),"""")"),"")</f>
        <v/>
      </c>
      <c r="I25" s="5" t="s">
        <v>126</v>
      </c>
      <c r="J25" s="24" t="str">
        <f t="shared" si="1"/>
        <v>non_veg</v>
      </c>
      <c r="K25" s="25"/>
      <c r="L25" s="24" t="str">
        <f t="shared" si="2"/>
        <v>non_veg</v>
      </c>
      <c r="M25" s="8"/>
      <c r="N25" s="23"/>
      <c r="O25" s="23"/>
      <c r="P25" s="23"/>
      <c r="Q25" s="4" t="str">
        <f t="shared" si="3"/>
        <v>1</v>
      </c>
      <c r="R25" s="20"/>
      <c r="S25" s="20"/>
    </row>
    <row r="26">
      <c r="A26" s="5" t="s">
        <v>127</v>
      </c>
      <c r="B26" s="5" t="s">
        <v>13</v>
      </c>
      <c r="C26" s="14" t="s">
        <v>128</v>
      </c>
      <c r="D26" s="7" t="s">
        <v>129</v>
      </c>
      <c r="E26" s="14"/>
      <c r="F26" s="14"/>
      <c r="G26" s="22">
        <v>20.0</v>
      </c>
      <c r="H26" s="23" t="str">
        <f>IFERROR(__xludf.DUMMYFUNCTION("iferror(iferror(iferror(index(IMPORTRANGE(""1NK5L1mviMn0j3D3uo53ASkIZOFRlLnqaCTnwzOG2_Wg"",""Direct Link!B2:B""),MATCH($C26,IMPORTRANGE(""1NK5L1mviMn0j3D3uo53ASkIZOFRlLnqaCTnwzOG2_Wg"",""Direct Link!A2:A""),0)),XLOOKUP($C26,IMPORTRANGE(""1NK5L1mviMn0j3D3u"&amp;"o53ASkIZOFRlLnqaCTnwzOG2_Wg"",""Direct links Without Sizes!A2:A""),IMPORTRANGE(""1NK5L1mviMn0j3D3uo53ASkIZOFRlLnqaCTnwzOG2_Wg"",""Direct links Without Sizes!B2:B""))),XLOOKUP($C26,IMPORTRANGE(""1NK5L1mviMn0j3D3uo53ASkIZOFRlLnqaCTnwzOG2_Wg"",""Direct links"&amp;" Without Sizes!D2:D""),IMPORTRANGE(""1NK5L1mviMn0j3D3uo53ASkIZOFRlLnqaCTnwzOG2_Wg"",""Direct links Without Sizes!E2:E""))),"""")"),"")</f>
        <v/>
      </c>
      <c r="I26" s="5"/>
      <c r="J26" s="24" t="str">
        <f t="shared" si="1"/>
        <v>veg</v>
      </c>
      <c r="K26" s="25"/>
      <c r="L26" s="24" t="str">
        <f t="shared" si="2"/>
        <v>veg</v>
      </c>
      <c r="M26" s="8"/>
      <c r="N26" s="23"/>
      <c r="O26" s="23"/>
      <c r="P26" s="23"/>
      <c r="Q26" s="4" t="str">
        <f t="shared" si="3"/>
        <v>1</v>
      </c>
      <c r="R26" s="20"/>
      <c r="S26" s="20"/>
    </row>
    <row r="27">
      <c r="A27" s="5" t="s">
        <v>130</v>
      </c>
      <c r="B27" s="5" t="s">
        <v>13</v>
      </c>
      <c r="C27" s="14" t="s">
        <v>131</v>
      </c>
      <c r="D27" s="7" t="s">
        <v>132</v>
      </c>
      <c r="E27" s="14"/>
      <c r="F27" s="14"/>
      <c r="G27" s="22">
        <v>10.0</v>
      </c>
      <c r="H27" s="23" t="str">
        <f>IFERROR(__xludf.DUMMYFUNCTION("iferror(iferror(iferror(index(IMPORTRANGE(""1NK5L1mviMn0j3D3uo53ASkIZOFRlLnqaCTnwzOG2_Wg"",""Direct Link!B2:B""),MATCH($C27,IMPORTRANGE(""1NK5L1mviMn0j3D3uo53ASkIZOFRlLnqaCTnwzOG2_Wg"",""Direct Link!A2:A""),0)),XLOOKUP($C27,IMPORTRANGE(""1NK5L1mviMn0j3D3u"&amp;"o53ASkIZOFRlLnqaCTnwzOG2_Wg"",""Direct links Without Sizes!A2:A""),IMPORTRANGE(""1NK5L1mviMn0j3D3uo53ASkIZOFRlLnqaCTnwzOG2_Wg"",""Direct links Without Sizes!B2:B""))),XLOOKUP($C27,IMPORTRANGE(""1NK5L1mviMn0j3D3uo53ASkIZOFRlLnqaCTnwzOG2_Wg"",""Direct links"&amp;" Without Sizes!D2:D""),IMPORTRANGE(""1NK5L1mviMn0j3D3uo53ASkIZOFRlLnqaCTnwzOG2_Wg"",""Direct links Without Sizes!E2:E""))),"""")"),"")</f>
        <v/>
      </c>
      <c r="I27" s="5"/>
      <c r="J27" s="24" t="str">
        <f t="shared" si="1"/>
        <v/>
      </c>
      <c r="K27" s="25"/>
      <c r="L27" s="24" t="str">
        <f t="shared" si="2"/>
        <v/>
      </c>
      <c r="M27" s="8"/>
      <c r="N27" s="23"/>
      <c r="O27" s="23"/>
      <c r="P27" s="23"/>
      <c r="Q27" s="4" t="str">
        <f t="shared" si="3"/>
        <v>1</v>
      </c>
      <c r="R27" s="20"/>
      <c r="S27" s="20"/>
    </row>
    <row r="28">
      <c r="A28" s="5" t="s">
        <v>133</v>
      </c>
      <c r="B28" s="5" t="s">
        <v>13</v>
      </c>
      <c r="C28" s="14" t="s">
        <v>134</v>
      </c>
      <c r="D28" s="7" t="s">
        <v>135</v>
      </c>
      <c r="E28" s="14"/>
      <c r="F28" s="14"/>
      <c r="G28" s="28">
        <v>0.0</v>
      </c>
      <c r="H28" s="23" t="str">
        <f>IFERROR(__xludf.DUMMYFUNCTION("iferror(iferror(iferror(index(IMPORTRANGE(""1NK5L1mviMn0j3D3uo53ASkIZOFRlLnqaCTnwzOG2_Wg"",""Direct Link!B2:B""),MATCH($C28,IMPORTRANGE(""1NK5L1mviMn0j3D3uo53ASkIZOFRlLnqaCTnwzOG2_Wg"",""Direct Link!A2:A""),0)),XLOOKUP($C28,IMPORTRANGE(""1NK5L1mviMn0j3D3u"&amp;"o53ASkIZOFRlLnqaCTnwzOG2_Wg"",""Direct links Without Sizes!A2:A""),IMPORTRANGE(""1NK5L1mviMn0j3D3uo53ASkIZOFRlLnqaCTnwzOG2_Wg"",""Direct links Without Sizes!B2:B""))),XLOOKUP($C28,IMPORTRANGE(""1NK5L1mviMn0j3D3uo53ASkIZOFRlLnqaCTnwzOG2_Wg"",""Direct links"&amp;" Without Sizes!D2:D""),IMPORTRANGE(""1NK5L1mviMn0j3D3uo53ASkIZOFRlLnqaCTnwzOG2_Wg"",""Direct links Without Sizes!E2:E""))),"""")"),"")</f>
        <v/>
      </c>
      <c r="I28" s="5" t="s">
        <v>136</v>
      </c>
      <c r="J28" s="24" t="str">
        <f t="shared" si="1"/>
        <v/>
      </c>
      <c r="K28" s="25"/>
      <c r="L28" s="24" t="str">
        <f t="shared" si="2"/>
        <v/>
      </c>
      <c r="M28" s="8"/>
      <c r="N28" s="23"/>
      <c r="O28" s="23"/>
      <c r="P28" s="23"/>
      <c r="Q28" s="4" t="str">
        <f t="shared" si="3"/>
        <v>1</v>
      </c>
      <c r="R28" s="20"/>
      <c r="S28" s="20"/>
    </row>
    <row r="29">
      <c r="A29" s="5" t="s">
        <v>137</v>
      </c>
      <c r="B29" s="5" t="s">
        <v>16</v>
      </c>
      <c r="C29" s="14" t="s">
        <v>138</v>
      </c>
      <c r="D29" s="7" t="s">
        <v>139</v>
      </c>
      <c r="E29" s="14"/>
      <c r="F29" s="14"/>
      <c r="G29" s="28">
        <v>0.0</v>
      </c>
      <c r="H29" s="23" t="str">
        <f>IFERROR(__xludf.DUMMYFUNCTION("iferror(iferror(iferror(index(IMPORTRANGE(""1NK5L1mviMn0j3D3uo53ASkIZOFRlLnqaCTnwzOG2_Wg"",""Direct Link!B2:B""),MATCH($C29,IMPORTRANGE(""1NK5L1mviMn0j3D3uo53ASkIZOFRlLnqaCTnwzOG2_Wg"",""Direct Link!A2:A""),0)),XLOOKUP($C29,IMPORTRANGE(""1NK5L1mviMn0j3D3u"&amp;"o53ASkIZOFRlLnqaCTnwzOG2_Wg"",""Direct links Without Sizes!A2:A""),IMPORTRANGE(""1NK5L1mviMn0j3D3uo53ASkIZOFRlLnqaCTnwzOG2_Wg"",""Direct links Without Sizes!B2:B""))),XLOOKUP($C29,IMPORTRANGE(""1NK5L1mviMn0j3D3uo53ASkIZOFRlLnqaCTnwzOG2_Wg"",""Direct links"&amp;" Without Sizes!D2:D""),IMPORTRANGE(""1NK5L1mviMn0j3D3uo53ASkIZOFRlLnqaCTnwzOG2_Wg"",""Direct links Without Sizes!E2:E""))),"""")"),"")</f>
        <v/>
      </c>
      <c r="I29" s="5" t="s">
        <v>136</v>
      </c>
      <c r="J29" s="24" t="str">
        <f t="shared" si="1"/>
        <v>veg</v>
      </c>
      <c r="K29" s="25"/>
      <c r="L29" s="24" t="str">
        <f t="shared" si="2"/>
        <v>veg</v>
      </c>
      <c r="M29" s="8"/>
      <c r="N29" s="23"/>
      <c r="O29" s="23"/>
      <c r="P29" s="23"/>
      <c r="Q29" s="4" t="str">
        <f t="shared" si="3"/>
        <v>1</v>
      </c>
      <c r="R29" s="20"/>
      <c r="S29" s="20"/>
    </row>
    <row r="30">
      <c r="A30" s="5" t="s">
        <v>140</v>
      </c>
      <c r="B30" s="5" t="s">
        <v>16</v>
      </c>
      <c r="C30" s="14" t="s">
        <v>141</v>
      </c>
      <c r="D30" s="7" t="s">
        <v>142</v>
      </c>
      <c r="E30" s="14"/>
      <c r="F30" s="29"/>
      <c r="G30" s="28">
        <v>0.0</v>
      </c>
      <c r="H30" s="23" t="str">
        <f>IFERROR(__xludf.DUMMYFUNCTION("iferror(iferror(iferror(index(IMPORTRANGE(""1NK5L1mviMn0j3D3uo53ASkIZOFRlLnqaCTnwzOG2_Wg"",""Direct Link!B2:B""),MATCH($C30,IMPORTRANGE(""1NK5L1mviMn0j3D3uo53ASkIZOFRlLnqaCTnwzOG2_Wg"",""Direct Link!A2:A""),0)),XLOOKUP($C30,IMPORTRANGE(""1NK5L1mviMn0j3D3u"&amp;"o53ASkIZOFRlLnqaCTnwzOG2_Wg"",""Direct links Without Sizes!A2:A""),IMPORTRANGE(""1NK5L1mviMn0j3D3uo53ASkIZOFRlLnqaCTnwzOG2_Wg"",""Direct links Without Sizes!B2:B""))),XLOOKUP($C30,IMPORTRANGE(""1NK5L1mviMn0j3D3uo53ASkIZOFRlLnqaCTnwzOG2_Wg"",""Direct links"&amp;" Without Sizes!D2:D""),IMPORTRANGE(""1NK5L1mviMn0j3D3uo53ASkIZOFRlLnqaCTnwzOG2_Wg"",""Direct links Without Sizes!E2:E""))),"""")"),"")</f>
        <v/>
      </c>
      <c r="I30" s="5" t="s">
        <v>136</v>
      </c>
      <c r="J30" s="24" t="str">
        <f t="shared" si="1"/>
        <v>veg</v>
      </c>
      <c r="K30" s="25"/>
      <c r="L30" s="24" t="str">
        <f t="shared" si="2"/>
        <v>veg</v>
      </c>
      <c r="M30" s="8"/>
      <c r="N30" s="23"/>
      <c r="O30" s="23"/>
      <c r="P30" s="23"/>
      <c r="Q30" s="4" t="str">
        <f t="shared" si="3"/>
        <v>1</v>
      </c>
      <c r="R30" s="20"/>
      <c r="S30" s="20"/>
    </row>
    <row r="31">
      <c r="A31" s="5" t="s">
        <v>143</v>
      </c>
      <c r="B31" s="5" t="s">
        <v>16</v>
      </c>
      <c r="C31" s="14" t="s">
        <v>144</v>
      </c>
      <c r="D31" s="7" t="s">
        <v>145</v>
      </c>
      <c r="E31" s="14"/>
      <c r="F31" s="29"/>
      <c r="G31" s="28">
        <v>0.0</v>
      </c>
      <c r="H31" s="23" t="str">
        <f>IFERROR(__xludf.DUMMYFUNCTION("iferror(iferror(iferror(index(IMPORTRANGE(""1NK5L1mviMn0j3D3uo53ASkIZOFRlLnqaCTnwzOG2_Wg"",""Direct Link!B2:B""),MATCH($C31,IMPORTRANGE(""1NK5L1mviMn0j3D3uo53ASkIZOFRlLnqaCTnwzOG2_Wg"",""Direct Link!A2:A""),0)),XLOOKUP($C31,IMPORTRANGE(""1NK5L1mviMn0j3D3u"&amp;"o53ASkIZOFRlLnqaCTnwzOG2_Wg"",""Direct links Without Sizes!A2:A""),IMPORTRANGE(""1NK5L1mviMn0j3D3uo53ASkIZOFRlLnqaCTnwzOG2_Wg"",""Direct links Without Sizes!B2:B""))),XLOOKUP($C31,IMPORTRANGE(""1NK5L1mviMn0j3D3uo53ASkIZOFRlLnqaCTnwzOG2_Wg"",""Direct links"&amp;" Without Sizes!D2:D""),IMPORTRANGE(""1NK5L1mviMn0j3D3uo53ASkIZOFRlLnqaCTnwzOG2_Wg"",""Direct links Without Sizes!E2:E""))),"""")"),"")</f>
        <v/>
      </c>
      <c r="I31" s="5" t="s">
        <v>136</v>
      </c>
      <c r="J31" s="24" t="str">
        <f t="shared" si="1"/>
        <v>veg</v>
      </c>
      <c r="K31" s="25"/>
      <c r="L31" s="24" t="str">
        <f t="shared" si="2"/>
        <v>veg</v>
      </c>
      <c r="M31" s="8"/>
      <c r="N31" s="23"/>
      <c r="O31" s="23"/>
      <c r="P31" s="23"/>
      <c r="Q31" s="4" t="str">
        <f t="shared" si="3"/>
        <v>1</v>
      </c>
      <c r="R31" s="20"/>
      <c r="S31" s="20"/>
    </row>
    <row r="32">
      <c r="A32" s="5" t="s">
        <v>146</v>
      </c>
      <c r="B32" s="5" t="s">
        <v>16</v>
      </c>
      <c r="C32" s="14" t="s">
        <v>147</v>
      </c>
      <c r="D32" s="7" t="s">
        <v>148</v>
      </c>
      <c r="E32" s="14"/>
      <c r="F32" s="29"/>
      <c r="G32" s="28">
        <v>0.0</v>
      </c>
      <c r="H32" s="23" t="str">
        <f>IFERROR(__xludf.DUMMYFUNCTION("iferror(iferror(iferror(index(IMPORTRANGE(""1NK5L1mviMn0j3D3uo53ASkIZOFRlLnqaCTnwzOG2_Wg"",""Direct Link!B2:B""),MATCH($C32,IMPORTRANGE(""1NK5L1mviMn0j3D3uo53ASkIZOFRlLnqaCTnwzOG2_Wg"",""Direct Link!A2:A""),0)),XLOOKUP($C32,IMPORTRANGE(""1NK5L1mviMn0j3D3u"&amp;"o53ASkIZOFRlLnqaCTnwzOG2_Wg"",""Direct links Without Sizes!A2:A""),IMPORTRANGE(""1NK5L1mviMn0j3D3uo53ASkIZOFRlLnqaCTnwzOG2_Wg"",""Direct links Without Sizes!B2:B""))),XLOOKUP($C32,IMPORTRANGE(""1NK5L1mviMn0j3D3uo53ASkIZOFRlLnqaCTnwzOG2_Wg"",""Direct links"&amp;" Without Sizes!D2:D""),IMPORTRANGE(""1NK5L1mviMn0j3D3uo53ASkIZOFRlLnqaCTnwzOG2_Wg"",""Direct links Without Sizes!E2:E""))),"""")"),"")</f>
        <v/>
      </c>
      <c r="I32" s="5" t="s">
        <v>136</v>
      </c>
      <c r="J32" s="24" t="str">
        <f t="shared" si="1"/>
        <v>veg</v>
      </c>
      <c r="K32" s="25"/>
      <c r="L32" s="24" t="str">
        <f t="shared" si="2"/>
        <v>veg</v>
      </c>
      <c r="M32" s="8"/>
      <c r="N32" s="23"/>
      <c r="O32" s="23"/>
      <c r="P32" s="23"/>
      <c r="Q32" s="4" t="str">
        <f t="shared" si="3"/>
        <v>1</v>
      </c>
      <c r="R32" s="20"/>
      <c r="S32" s="20"/>
    </row>
    <row r="33">
      <c r="A33" s="5" t="s">
        <v>149</v>
      </c>
      <c r="B33" s="5" t="s">
        <v>16</v>
      </c>
      <c r="C33" s="14" t="s">
        <v>150</v>
      </c>
      <c r="D33" s="7" t="s">
        <v>151</v>
      </c>
      <c r="E33" s="14"/>
      <c r="F33" s="29"/>
      <c r="G33" s="28">
        <v>0.0</v>
      </c>
      <c r="H33" s="23" t="str">
        <f>IFERROR(__xludf.DUMMYFUNCTION("iferror(iferror(iferror(index(IMPORTRANGE(""1NK5L1mviMn0j3D3uo53ASkIZOFRlLnqaCTnwzOG2_Wg"",""Direct Link!B2:B""),MATCH($C33,IMPORTRANGE(""1NK5L1mviMn0j3D3uo53ASkIZOFRlLnqaCTnwzOG2_Wg"",""Direct Link!A2:A""),0)),XLOOKUP($C33,IMPORTRANGE(""1NK5L1mviMn0j3D3u"&amp;"o53ASkIZOFRlLnqaCTnwzOG2_Wg"",""Direct links Without Sizes!A2:A""),IMPORTRANGE(""1NK5L1mviMn0j3D3uo53ASkIZOFRlLnqaCTnwzOG2_Wg"",""Direct links Without Sizes!B2:B""))),XLOOKUP($C33,IMPORTRANGE(""1NK5L1mviMn0j3D3uo53ASkIZOFRlLnqaCTnwzOG2_Wg"",""Direct links"&amp;" Without Sizes!D2:D""),IMPORTRANGE(""1NK5L1mviMn0j3D3uo53ASkIZOFRlLnqaCTnwzOG2_Wg"",""Direct links Without Sizes!E2:E""))),"""")"),"")</f>
        <v/>
      </c>
      <c r="I33" s="5" t="s">
        <v>152</v>
      </c>
      <c r="J33" s="24" t="str">
        <f t="shared" si="1"/>
        <v>veg</v>
      </c>
      <c r="K33" s="25"/>
      <c r="L33" s="24" t="str">
        <f t="shared" si="2"/>
        <v>veg</v>
      </c>
      <c r="M33" s="8"/>
      <c r="N33" s="23"/>
      <c r="O33" s="23"/>
      <c r="P33" s="23"/>
      <c r="Q33" s="4" t="str">
        <f t="shared" si="3"/>
        <v>1</v>
      </c>
      <c r="R33" s="20"/>
      <c r="S33" s="20"/>
    </row>
    <row r="34">
      <c r="A34" s="5" t="s">
        <v>153</v>
      </c>
      <c r="B34" s="5" t="s">
        <v>16</v>
      </c>
      <c r="C34" s="14" t="s">
        <v>154</v>
      </c>
      <c r="D34" s="7" t="s">
        <v>155</v>
      </c>
      <c r="E34" s="14"/>
      <c r="F34" s="29"/>
      <c r="G34" s="28">
        <v>0.0</v>
      </c>
      <c r="H34" s="23" t="str">
        <f>IFERROR(__xludf.DUMMYFUNCTION("iferror(iferror(iferror(index(IMPORTRANGE(""1NK5L1mviMn0j3D3uo53ASkIZOFRlLnqaCTnwzOG2_Wg"",""Direct Link!B2:B""),MATCH($C34,IMPORTRANGE(""1NK5L1mviMn0j3D3uo53ASkIZOFRlLnqaCTnwzOG2_Wg"",""Direct Link!A2:A""),0)),XLOOKUP($C34,IMPORTRANGE(""1NK5L1mviMn0j3D3u"&amp;"o53ASkIZOFRlLnqaCTnwzOG2_Wg"",""Direct links Without Sizes!A2:A""),IMPORTRANGE(""1NK5L1mviMn0j3D3uo53ASkIZOFRlLnqaCTnwzOG2_Wg"",""Direct links Without Sizes!B2:B""))),XLOOKUP($C34,IMPORTRANGE(""1NK5L1mviMn0j3D3uo53ASkIZOFRlLnqaCTnwzOG2_Wg"",""Direct links"&amp;" Without Sizes!D2:D""),IMPORTRANGE(""1NK5L1mviMn0j3D3uo53ASkIZOFRlLnqaCTnwzOG2_Wg"",""Direct links Without Sizes!E2:E""))),"""")"),"")</f>
        <v/>
      </c>
      <c r="I34" s="5" t="s">
        <v>152</v>
      </c>
      <c r="J34" s="24" t="str">
        <f t="shared" si="1"/>
        <v>veg</v>
      </c>
      <c r="K34" s="25"/>
      <c r="L34" s="24" t="str">
        <f t="shared" si="2"/>
        <v>veg</v>
      </c>
      <c r="M34" s="8"/>
      <c r="N34" s="23"/>
      <c r="O34" s="23"/>
      <c r="P34" s="23"/>
      <c r="Q34" s="4" t="str">
        <f t="shared" si="3"/>
        <v>1</v>
      </c>
      <c r="R34" s="20"/>
      <c r="S34" s="20"/>
    </row>
    <row r="35">
      <c r="A35" s="5" t="s">
        <v>156</v>
      </c>
      <c r="B35" s="5" t="s">
        <v>16</v>
      </c>
      <c r="C35" s="14" t="s">
        <v>157</v>
      </c>
      <c r="D35" s="7" t="s">
        <v>158</v>
      </c>
      <c r="E35" s="14"/>
      <c r="F35" s="29"/>
      <c r="G35" s="28">
        <v>0.0</v>
      </c>
      <c r="H35" s="23" t="str">
        <f>IFERROR(__xludf.DUMMYFUNCTION("iferror(iferror(iferror(index(IMPORTRANGE(""1NK5L1mviMn0j3D3uo53ASkIZOFRlLnqaCTnwzOG2_Wg"",""Direct Link!B2:B""),MATCH($C35,IMPORTRANGE(""1NK5L1mviMn0j3D3uo53ASkIZOFRlLnqaCTnwzOG2_Wg"",""Direct Link!A2:A""),0)),XLOOKUP($C35,IMPORTRANGE(""1NK5L1mviMn0j3D3u"&amp;"o53ASkIZOFRlLnqaCTnwzOG2_Wg"",""Direct links Without Sizes!A2:A""),IMPORTRANGE(""1NK5L1mviMn0j3D3uo53ASkIZOFRlLnqaCTnwzOG2_Wg"",""Direct links Without Sizes!B2:B""))),XLOOKUP($C35,IMPORTRANGE(""1NK5L1mviMn0j3D3uo53ASkIZOFRlLnqaCTnwzOG2_Wg"",""Direct links"&amp;" Without Sizes!D2:D""),IMPORTRANGE(""1NK5L1mviMn0j3D3uo53ASkIZOFRlLnqaCTnwzOG2_Wg"",""Direct links Without Sizes!E2:E""))),"""")"),"")</f>
        <v/>
      </c>
      <c r="I35" s="5" t="s">
        <v>152</v>
      </c>
      <c r="J35" s="24" t="str">
        <f t="shared" si="1"/>
        <v/>
      </c>
      <c r="K35" s="25"/>
      <c r="L35" s="24" t="str">
        <f t="shared" si="2"/>
        <v/>
      </c>
      <c r="M35" s="8"/>
      <c r="N35" s="23"/>
      <c r="O35" s="23"/>
      <c r="P35" s="23"/>
      <c r="Q35" s="4" t="str">
        <f t="shared" si="3"/>
        <v>1</v>
      </c>
      <c r="R35" s="20"/>
      <c r="S35" s="20"/>
    </row>
    <row r="36">
      <c r="A36" s="5" t="s">
        <v>159</v>
      </c>
      <c r="B36" s="5" t="s">
        <v>16</v>
      </c>
      <c r="C36" s="14" t="s">
        <v>160</v>
      </c>
      <c r="D36" s="7" t="s">
        <v>161</v>
      </c>
      <c r="E36" s="14"/>
      <c r="F36" s="29"/>
      <c r="G36" s="28">
        <v>0.0</v>
      </c>
      <c r="H36" s="23" t="str">
        <f>IFERROR(__xludf.DUMMYFUNCTION("iferror(iferror(iferror(index(IMPORTRANGE(""1NK5L1mviMn0j3D3uo53ASkIZOFRlLnqaCTnwzOG2_Wg"",""Direct Link!B2:B""),MATCH($C36,IMPORTRANGE(""1NK5L1mviMn0j3D3uo53ASkIZOFRlLnqaCTnwzOG2_Wg"",""Direct Link!A2:A""),0)),XLOOKUP($C36,IMPORTRANGE(""1NK5L1mviMn0j3D3u"&amp;"o53ASkIZOFRlLnqaCTnwzOG2_Wg"",""Direct links Without Sizes!A2:A""),IMPORTRANGE(""1NK5L1mviMn0j3D3uo53ASkIZOFRlLnqaCTnwzOG2_Wg"",""Direct links Without Sizes!B2:B""))),XLOOKUP($C36,IMPORTRANGE(""1NK5L1mviMn0j3D3uo53ASkIZOFRlLnqaCTnwzOG2_Wg"",""Direct links"&amp;" Without Sizes!D2:D""),IMPORTRANGE(""1NK5L1mviMn0j3D3uo53ASkIZOFRlLnqaCTnwzOG2_Wg"",""Direct links Without Sizes!E2:E""))),"""")"),"")</f>
        <v/>
      </c>
      <c r="I36" s="5" t="s">
        <v>136</v>
      </c>
      <c r="J36" s="24" t="str">
        <f t="shared" si="1"/>
        <v>veg</v>
      </c>
      <c r="K36" s="25"/>
      <c r="L36" s="24" t="str">
        <f t="shared" si="2"/>
        <v>veg</v>
      </c>
      <c r="M36" s="8"/>
      <c r="N36" s="23"/>
      <c r="O36" s="23"/>
      <c r="P36" s="23"/>
      <c r="Q36" s="4" t="str">
        <f t="shared" si="3"/>
        <v>1</v>
      </c>
      <c r="R36" s="20"/>
      <c r="S36" s="20"/>
    </row>
    <row r="37">
      <c r="A37" s="5" t="s">
        <v>162</v>
      </c>
      <c r="B37" s="5" t="s">
        <v>16</v>
      </c>
      <c r="C37" s="14" t="s">
        <v>163</v>
      </c>
      <c r="D37" s="7" t="s">
        <v>164</v>
      </c>
      <c r="E37" s="30"/>
      <c r="F37" s="29"/>
      <c r="G37" s="28">
        <v>0.0</v>
      </c>
      <c r="H37" s="23" t="str">
        <f>IFERROR(__xludf.DUMMYFUNCTION("iferror(iferror(iferror(index(IMPORTRANGE(""1NK5L1mviMn0j3D3uo53ASkIZOFRlLnqaCTnwzOG2_Wg"",""Direct Link!B2:B""),MATCH($C37,IMPORTRANGE(""1NK5L1mviMn0j3D3uo53ASkIZOFRlLnqaCTnwzOG2_Wg"",""Direct Link!A2:A""),0)),XLOOKUP($C37,IMPORTRANGE(""1NK5L1mviMn0j3D3u"&amp;"o53ASkIZOFRlLnqaCTnwzOG2_Wg"",""Direct links Without Sizes!A2:A""),IMPORTRANGE(""1NK5L1mviMn0j3D3uo53ASkIZOFRlLnqaCTnwzOG2_Wg"",""Direct links Without Sizes!B2:B""))),XLOOKUP($C37,IMPORTRANGE(""1NK5L1mviMn0j3D3uo53ASkIZOFRlLnqaCTnwzOG2_Wg"",""Direct links"&amp;" Without Sizes!D2:D""),IMPORTRANGE(""1NK5L1mviMn0j3D3uo53ASkIZOFRlLnqaCTnwzOG2_Wg"",""Direct links Without Sizes!E2:E""))),"""")"),"")</f>
        <v/>
      </c>
      <c r="I37" s="5" t="s">
        <v>136</v>
      </c>
      <c r="J37" s="24" t="str">
        <f t="shared" si="1"/>
        <v>veg</v>
      </c>
      <c r="K37" s="25"/>
      <c r="L37" s="24" t="str">
        <f t="shared" si="2"/>
        <v>veg</v>
      </c>
      <c r="M37" s="8"/>
      <c r="N37" s="23"/>
      <c r="O37" s="23"/>
      <c r="P37" s="23"/>
      <c r="Q37" s="4" t="str">
        <f t="shared" si="3"/>
        <v>1</v>
      </c>
      <c r="R37" s="20"/>
      <c r="S37" s="20"/>
    </row>
    <row r="38">
      <c r="A38" s="5" t="s">
        <v>165</v>
      </c>
      <c r="B38" s="5" t="s">
        <v>16</v>
      </c>
      <c r="C38" s="14" t="s">
        <v>166</v>
      </c>
      <c r="D38" s="7" t="s">
        <v>167</v>
      </c>
      <c r="E38" s="14"/>
      <c r="F38" s="29"/>
      <c r="G38" s="28">
        <v>0.0</v>
      </c>
      <c r="H38" s="23" t="str">
        <f>IFERROR(__xludf.DUMMYFUNCTION("iferror(iferror(iferror(index(IMPORTRANGE(""1NK5L1mviMn0j3D3uo53ASkIZOFRlLnqaCTnwzOG2_Wg"",""Direct Link!B2:B""),MATCH($C38,IMPORTRANGE(""1NK5L1mviMn0j3D3uo53ASkIZOFRlLnqaCTnwzOG2_Wg"",""Direct Link!A2:A""),0)),XLOOKUP($C38,IMPORTRANGE(""1NK5L1mviMn0j3D3u"&amp;"o53ASkIZOFRlLnqaCTnwzOG2_Wg"",""Direct links Without Sizes!A2:A""),IMPORTRANGE(""1NK5L1mviMn0j3D3uo53ASkIZOFRlLnqaCTnwzOG2_Wg"",""Direct links Without Sizes!B2:B""))),XLOOKUP($C38,IMPORTRANGE(""1NK5L1mviMn0j3D3uo53ASkIZOFRlLnqaCTnwzOG2_Wg"",""Direct links"&amp;" Without Sizes!D2:D""),IMPORTRANGE(""1NK5L1mviMn0j3D3uo53ASkIZOFRlLnqaCTnwzOG2_Wg"",""Direct links Without Sizes!E2:E""))),"""")"),"")</f>
        <v/>
      </c>
      <c r="I38" s="5" t="s">
        <v>136</v>
      </c>
      <c r="J38" s="24" t="str">
        <f t="shared" si="1"/>
        <v/>
      </c>
      <c r="K38" s="25"/>
      <c r="L38" s="24" t="str">
        <f t="shared" si="2"/>
        <v/>
      </c>
      <c r="M38" s="8"/>
      <c r="N38" s="23"/>
      <c r="O38" s="23"/>
      <c r="P38" s="23"/>
      <c r="Q38" s="4" t="str">
        <f t="shared" si="3"/>
        <v>1</v>
      </c>
      <c r="R38" s="20"/>
      <c r="S38" s="20"/>
    </row>
    <row r="39">
      <c r="A39" s="5" t="s">
        <v>168</v>
      </c>
      <c r="B39" s="5" t="s">
        <v>16</v>
      </c>
      <c r="C39" s="14" t="s">
        <v>169</v>
      </c>
      <c r="D39" s="7" t="s">
        <v>170</v>
      </c>
      <c r="E39" s="31"/>
      <c r="F39" s="29"/>
      <c r="G39" s="28">
        <v>0.0</v>
      </c>
      <c r="H39" s="23" t="str">
        <f>IFERROR(__xludf.DUMMYFUNCTION("iferror(iferror(iferror(index(IMPORTRANGE(""1NK5L1mviMn0j3D3uo53ASkIZOFRlLnqaCTnwzOG2_Wg"",""Direct Link!B2:B""),MATCH($C39,IMPORTRANGE(""1NK5L1mviMn0j3D3uo53ASkIZOFRlLnqaCTnwzOG2_Wg"",""Direct Link!A2:A""),0)),XLOOKUP($C39,IMPORTRANGE(""1NK5L1mviMn0j3D3u"&amp;"o53ASkIZOFRlLnqaCTnwzOG2_Wg"",""Direct links Without Sizes!A2:A""),IMPORTRANGE(""1NK5L1mviMn0j3D3uo53ASkIZOFRlLnqaCTnwzOG2_Wg"",""Direct links Without Sizes!B2:B""))),XLOOKUP($C39,IMPORTRANGE(""1NK5L1mviMn0j3D3uo53ASkIZOFRlLnqaCTnwzOG2_Wg"",""Direct links"&amp;" Without Sizes!D2:D""),IMPORTRANGE(""1NK5L1mviMn0j3D3uo53ASkIZOFRlLnqaCTnwzOG2_Wg"",""Direct links Without Sizes!E2:E""))),"""")"),"")</f>
        <v/>
      </c>
      <c r="I39" s="5" t="s">
        <v>171</v>
      </c>
      <c r="J39" s="24" t="str">
        <f t="shared" si="1"/>
        <v/>
      </c>
      <c r="K39" s="25"/>
      <c r="L39" s="24" t="str">
        <f t="shared" si="2"/>
        <v/>
      </c>
      <c r="M39" s="8"/>
      <c r="N39" s="23"/>
      <c r="O39" s="23"/>
      <c r="P39" s="23"/>
      <c r="Q39" s="4" t="str">
        <f t="shared" si="3"/>
        <v>1</v>
      </c>
      <c r="R39" s="20"/>
      <c r="S39" s="20"/>
    </row>
    <row r="40">
      <c r="A40" s="5" t="s">
        <v>172</v>
      </c>
      <c r="B40" s="5" t="s">
        <v>19</v>
      </c>
      <c r="C40" s="14" t="s">
        <v>173</v>
      </c>
      <c r="D40" s="7" t="s">
        <v>174</v>
      </c>
      <c r="E40" s="14"/>
      <c r="F40" s="29"/>
      <c r="G40" s="22">
        <v>6.0</v>
      </c>
      <c r="H40" s="23" t="str">
        <f>IFERROR(__xludf.DUMMYFUNCTION("iferror(iferror(iferror(index(IMPORTRANGE(""1NK5L1mviMn0j3D3uo53ASkIZOFRlLnqaCTnwzOG2_Wg"",""Direct Link!B2:B""),MATCH($C40,IMPORTRANGE(""1NK5L1mviMn0j3D3uo53ASkIZOFRlLnqaCTnwzOG2_Wg"",""Direct Link!A2:A""),0)),XLOOKUP($C40,IMPORTRANGE(""1NK5L1mviMn0j3D3u"&amp;"o53ASkIZOFRlLnqaCTnwzOG2_Wg"",""Direct links Without Sizes!A2:A""),IMPORTRANGE(""1NK5L1mviMn0j3D3uo53ASkIZOFRlLnqaCTnwzOG2_Wg"",""Direct links Without Sizes!B2:B""))),XLOOKUP($C40,IMPORTRANGE(""1NK5L1mviMn0j3D3uo53ASkIZOFRlLnqaCTnwzOG2_Wg"",""Direct links"&amp;" Without Sizes!D2:D""),IMPORTRANGE(""1NK5L1mviMn0j3D3uo53ASkIZOFRlLnqaCTnwzOG2_Wg"",""Direct links Without Sizes!E2:E""))),"""")"),"")</f>
        <v/>
      </c>
      <c r="I40" s="5"/>
      <c r="J40" s="24" t="str">
        <f t="shared" si="1"/>
        <v/>
      </c>
      <c r="K40" s="25"/>
      <c r="L40" s="24" t="str">
        <f t="shared" si="2"/>
        <v/>
      </c>
      <c r="M40" s="8"/>
      <c r="N40" s="23"/>
      <c r="O40" s="23"/>
      <c r="P40" s="23"/>
      <c r="Q40" s="4" t="str">
        <f t="shared" si="3"/>
        <v>1</v>
      </c>
      <c r="R40" s="20"/>
      <c r="S40" s="20"/>
    </row>
    <row r="41">
      <c r="A41" s="5" t="s">
        <v>175</v>
      </c>
      <c r="B41" s="5" t="s">
        <v>19</v>
      </c>
      <c r="C41" s="11" t="s">
        <v>176</v>
      </c>
      <c r="D41" s="7" t="s">
        <v>177</v>
      </c>
      <c r="E41" s="14"/>
      <c r="F41" s="29"/>
      <c r="G41" s="22">
        <v>6.0</v>
      </c>
      <c r="H41" s="23" t="str">
        <f>IFERROR(__xludf.DUMMYFUNCTION("iferror(iferror(iferror(index(IMPORTRANGE(""1NK5L1mviMn0j3D3uo53ASkIZOFRlLnqaCTnwzOG2_Wg"",""Direct Link!B2:B""),MATCH($C41,IMPORTRANGE(""1NK5L1mviMn0j3D3uo53ASkIZOFRlLnqaCTnwzOG2_Wg"",""Direct Link!A2:A""),0)),XLOOKUP($C41,IMPORTRANGE(""1NK5L1mviMn0j3D3u"&amp;"o53ASkIZOFRlLnqaCTnwzOG2_Wg"",""Direct links Without Sizes!A2:A""),IMPORTRANGE(""1NK5L1mviMn0j3D3uo53ASkIZOFRlLnqaCTnwzOG2_Wg"",""Direct links Without Sizes!B2:B""))),XLOOKUP($C41,IMPORTRANGE(""1NK5L1mviMn0j3D3uo53ASkIZOFRlLnqaCTnwzOG2_Wg"",""Direct links"&amp;" Without Sizes!D2:D""),IMPORTRANGE(""1NK5L1mviMn0j3D3uo53ASkIZOFRlLnqaCTnwzOG2_Wg"",""Direct links Without Sizes!E2:E""))),"""")"),"")</f>
        <v/>
      </c>
      <c r="I41" s="5"/>
      <c r="J41" s="24" t="str">
        <f t="shared" si="1"/>
        <v>veg</v>
      </c>
      <c r="K41" s="25"/>
      <c r="L41" s="24" t="str">
        <f t="shared" si="2"/>
        <v>veg</v>
      </c>
      <c r="M41" s="8"/>
      <c r="N41" s="23"/>
      <c r="O41" s="23"/>
      <c r="P41" s="23"/>
      <c r="Q41" s="4" t="str">
        <f t="shared" si="3"/>
        <v>1</v>
      </c>
      <c r="R41" s="20"/>
      <c r="S41" s="20"/>
    </row>
    <row r="42">
      <c r="A42" s="5" t="s">
        <v>178</v>
      </c>
      <c r="B42" s="5" t="s">
        <v>19</v>
      </c>
      <c r="C42" s="11" t="s">
        <v>179</v>
      </c>
      <c r="D42" s="7" t="s">
        <v>180</v>
      </c>
      <c r="E42" s="14"/>
      <c r="F42" s="29"/>
      <c r="G42" s="22">
        <v>7.0</v>
      </c>
      <c r="H42" s="23" t="str">
        <f>IFERROR(__xludf.DUMMYFUNCTION("iferror(iferror(iferror(index(IMPORTRANGE(""1NK5L1mviMn0j3D3uo53ASkIZOFRlLnqaCTnwzOG2_Wg"",""Direct Link!B2:B""),MATCH($C42,IMPORTRANGE(""1NK5L1mviMn0j3D3uo53ASkIZOFRlLnqaCTnwzOG2_Wg"",""Direct Link!A2:A""),0)),XLOOKUP($C42,IMPORTRANGE(""1NK5L1mviMn0j3D3u"&amp;"o53ASkIZOFRlLnqaCTnwzOG2_Wg"",""Direct links Without Sizes!A2:A""),IMPORTRANGE(""1NK5L1mviMn0j3D3uo53ASkIZOFRlLnqaCTnwzOG2_Wg"",""Direct links Without Sizes!B2:B""))),XLOOKUP($C42,IMPORTRANGE(""1NK5L1mviMn0j3D3uo53ASkIZOFRlLnqaCTnwzOG2_Wg"",""Direct links"&amp;" Without Sizes!D2:D""),IMPORTRANGE(""1NK5L1mviMn0j3D3uo53ASkIZOFRlLnqaCTnwzOG2_Wg"",""Direct links Without Sizes!E2:E""))),"""")"),"")</f>
        <v/>
      </c>
      <c r="I42" s="5"/>
      <c r="J42" s="24" t="str">
        <f t="shared" si="1"/>
        <v>non_veg</v>
      </c>
      <c r="K42" s="25"/>
      <c r="L42" s="24" t="str">
        <f t="shared" si="2"/>
        <v>non_veg</v>
      </c>
      <c r="M42" s="8"/>
      <c r="N42" s="23"/>
      <c r="O42" s="23"/>
      <c r="P42" s="23"/>
      <c r="Q42" s="4" t="str">
        <f t="shared" si="3"/>
        <v>1</v>
      </c>
      <c r="R42" s="20"/>
      <c r="S42" s="20"/>
    </row>
    <row r="43">
      <c r="A43" s="5" t="s">
        <v>181</v>
      </c>
      <c r="B43" s="5" t="s">
        <v>19</v>
      </c>
      <c r="C43" s="21" t="s">
        <v>182</v>
      </c>
      <c r="D43" s="7" t="s">
        <v>183</v>
      </c>
      <c r="E43" s="14"/>
      <c r="F43" s="29"/>
      <c r="G43" s="22">
        <v>7.0</v>
      </c>
      <c r="H43" s="23" t="str">
        <f>IFERROR(__xludf.DUMMYFUNCTION("iferror(iferror(iferror(index(IMPORTRANGE(""1NK5L1mviMn0j3D3uo53ASkIZOFRlLnqaCTnwzOG2_Wg"",""Direct Link!B2:B""),MATCH($C43,IMPORTRANGE(""1NK5L1mviMn0j3D3uo53ASkIZOFRlLnqaCTnwzOG2_Wg"",""Direct Link!A2:A""),0)),XLOOKUP($C43,IMPORTRANGE(""1NK5L1mviMn0j3D3u"&amp;"o53ASkIZOFRlLnqaCTnwzOG2_Wg"",""Direct links Without Sizes!A2:A""),IMPORTRANGE(""1NK5L1mviMn0j3D3uo53ASkIZOFRlLnqaCTnwzOG2_Wg"",""Direct links Without Sizes!B2:B""))),XLOOKUP($C43,IMPORTRANGE(""1NK5L1mviMn0j3D3uo53ASkIZOFRlLnqaCTnwzOG2_Wg"",""Direct links"&amp;" Without Sizes!D2:D""),IMPORTRANGE(""1NK5L1mviMn0j3D3uo53ASkIZOFRlLnqaCTnwzOG2_Wg"",""Direct links Without Sizes!E2:E""))),"""")"),"")</f>
        <v/>
      </c>
      <c r="I43" s="5"/>
      <c r="J43" s="24" t="str">
        <f t="shared" si="1"/>
        <v/>
      </c>
      <c r="K43" s="25"/>
      <c r="L43" s="24" t="str">
        <f t="shared" si="2"/>
        <v/>
      </c>
      <c r="M43" s="8"/>
      <c r="N43" s="23"/>
      <c r="O43" s="23"/>
      <c r="P43" s="23"/>
      <c r="Q43" s="4" t="str">
        <f t="shared" si="3"/>
        <v>1</v>
      </c>
      <c r="R43" s="20"/>
      <c r="S43" s="20"/>
    </row>
    <row r="44">
      <c r="A44" s="5" t="s">
        <v>184</v>
      </c>
      <c r="B44" s="5" t="s">
        <v>19</v>
      </c>
      <c r="C44" s="21" t="s">
        <v>185</v>
      </c>
      <c r="D44" s="7" t="s">
        <v>186</v>
      </c>
      <c r="E44" s="14"/>
      <c r="F44" s="29"/>
      <c r="G44" s="22">
        <v>2.0</v>
      </c>
      <c r="H44" s="23" t="str">
        <f>IFERROR(__xludf.DUMMYFUNCTION("iferror(iferror(iferror(index(IMPORTRANGE(""1NK5L1mviMn0j3D3uo53ASkIZOFRlLnqaCTnwzOG2_Wg"",""Direct Link!B2:B""),MATCH($C44,IMPORTRANGE(""1NK5L1mviMn0j3D3uo53ASkIZOFRlLnqaCTnwzOG2_Wg"",""Direct Link!A2:A""),0)),XLOOKUP($C44,IMPORTRANGE(""1NK5L1mviMn0j3D3u"&amp;"o53ASkIZOFRlLnqaCTnwzOG2_Wg"",""Direct links Without Sizes!A2:A""),IMPORTRANGE(""1NK5L1mviMn0j3D3uo53ASkIZOFRlLnqaCTnwzOG2_Wg"",""Direct links Without Sizes!B2:B""))),XLOOKUP($C44,IMPORTRANGE(""1NK5L1mviMn0j3D3uo53ASkIZOFRlLnqaCTnwzOG2_Wg"",""Direct links"&amp;" Without Sizes!D2:D""),IMPORTRANGE(""1NK5L1mviMn0j3D3uo53ASkIZOFRlLnqaCTnwzOG2_Wg"",""Direct links Without Sizes!E2:E""))),"""")"),"")</f>
        <v/>
      </c>
      <c r="I44" s="5"/>
      <c r="J44" s="24" t="str">
        <f t="shared" si="1"/>
        <v/>
      </c>
      <c r="K44" s="25"/>
      <c r="L44" s="24" t="str">
        <f t="shared" si="2"/>
        <v/>
      </c>
      <c r="M44" s="8"/>
      <c r="N44" s="23"/>
      <c r="O44" s="23"/>
      <c r="P44" s="23"/>
      <c r="Q44" s="4" t="str">
        <f t="shared" si="3"/>
        <v>1</v>
      </c>
      <c r="R44" s="20"/>
      <c r="S44" s="20"/>
    </row>
    <row r="45">
      <c r="A45" s="5" t="s">
        <v>187</v>
      </c>
      <c r="B45" s="5" t="s">
        <v>19</v>
      </c>
      <c r="C45" s="21" t="s">
        <v>188</v>
      </c>
      <c r="D45" s="7" t="s">
        <v>189</v>
      </c>
      <c r="E45" s="14"/>
      <c r="F45" s="29"/>
      <c r="G45" s="22">
        <v>3.0</v>
      </c>
      <c r="H45" s="23" t="str">
        <f>IFERROR(__xludf.DUMMYFUNCTION("iferror(iferror(iferror(index(IMPORTRANGE(""1NK5L1mviMn0j3D3uo53ASkIZOFRlLnqaCTnwzOG2_Wg"",""Direct Link!B2:B""),MATCH($C45,IMPORTRANGE(""1NK5L1mviMn0j3D3uo53ASkIZOFRlLnqaCTnwzOG2_Wg"",""Direct Link!A2:A""),0)),XLOOKUP($C45,IMPORTRANGE(""1NK5L1mviMn0j3D3u"&amp;"o53ASkIZOFRlLnqaCTnwzOG2_Wg"",""Direct links Without Sizes!A2:A""),IMPORTRANGE(""1NK5L1mviMn0j3D3uo53ASkIZOFRlLnqaCTnwzOG2_Wg"",""Direct links Without Sizes!B2:B""))),XLOOKUP($C45,IMPORTRANGE(""1NK5L1mviMn0j3D3uo53ASkIZOFRlLnqaCTnwzOG2_Wg"",""Direct links"&amp;" Without Sizes!D2:D""),IMPORTRANGE(""1NK5L1mviMn0j3D3uo53ASkIZOFRlLnqaCTnwzOG2_Wg"",""Direct links Without Sizes!E2:E""))),"""")"),"")</f>
        <v/>
      </c>
      <c r="I45" s="5"/>
      <c r="J45" s="24" t="str">
        <f t="shared" si="1"/>
        <v>egg</v>
      </c>
      <c r="K45" s="25"/>
      <c r="L45" s="24" t="str">
        <f t="shared" si="2"/>
        <v>egg</v>
      </c>
      <c r="M45" s="8"/>
      <c r="N45" s="23"/>
      <c r="O45" s="23"/>
      <c r="P45" s="23"/>
      <c r="Q45" s="4" t="str">
        <f t="shared" si="3"/>
        <v>1</v>
      </c>
      <c r="R45" s="20"/>
      <c r="S45" s="20"/>
    </row>
    <row r="46">
      <c r="A46" s="5" t="s">
        <v>190</v>
      </c>
      <c r="B46" s="5" t="s">
        <v>19</v>
      </c>
      <c r="C46" s="21" t="s">
        <v>191</v>
      </c>
      <c r="D46" s="7" t="s">
        <v>192</v>
      </c>
      <c r="E46" s="14"/>
      <c r="F46" s="29"/>
      <c r="G46" s="22">
        <v>6.0</v>
      </c>
      <c r="H46" s="23" t="str">
        <f>IFERROR(__xludf.DUMMYFUNCTION("iferror(iferror(iferror(index(IMPORTRANGE(""1NK5L1mviMn0j3D3uo53ASkIZOFRlLnqaCTnwzOG2_Wg"",""Direct Link!B2:B""),MATCH($C46,IMPORTRANGE(""1NK5L1mviMn0j3D3uo53ASkIZOFRlLnqaCTnwzOG2_Wg"",""Direct Link!A2:A""),0)),XLOOKUP($C46,IMPORTRANGE(""1NK5L1mviMn0j3D3u"&amp;"o53ASkIZOFRlLnqaCTnwzOG2_Wg"",""Direct links Without Sizes!A2:A""),IMPORTRANGE(""1NK5L1mviMn0j3D3uo53ASkIZOFRlLnqaCTnwzOG2_Wg"",""Direct links Without Sizes!B2:B""))),XLOOKUP($C46,IMPORTRANGE(""1NK5L1mviMn0j3D3uo53ASkIZOFRlLnqaCTnwzOG2_Wg"",""Direct links"&amp;" Without Sizes!D2:D""),IMPORTRANGE(""1NK5L1mviMn0j3D3uo53ASkIZOFRlLnqaCTnwzOG2_Wg"",""Direct links Without Sizes!E2:E""))),"""")"),"")</f>
        <v/>
      </c>
      <c r="I46" s="5"/>
      <c r="J46" s="24" t="str">
        <f t="shared" si="1"/>
        <v>egg</v>
      </c>
      <c r="K46" s="25"/>
      <c r="L46" s="24" t="str">
        <f t="shared" si="2"/>
        <v>egg</v>
      </c>
      <c r="M46" s="8"/>
      <c r="N46" s="23"/>
      <c r="O46" s="23"/>
      <c r="P46" s="23"/>
      <c r="Q46" s="4" t="str">
        <f t="shared" si="3"/>
        <v>1</v>
      </c>
      <c r="R46" s="20"/>
      <c r="S46" s="20"/>
    </row>
    <row r="47">
      <c r="A47" s="5" t="s">
        <v>193</v>
      </c>
      <c r="B47" s="5" t="s">
        <v>19</v>
      </c>
      <c r="C47" s="11" t="s">
        <v>194</v>
      </c>
      <c r="D47" s="7" t="s">
        <v>195</v>
      </c>
      <c r="E47" s="14"/>
      <c r="F47" s="29"/>
      <c r="G47" s="22">
        <v>4.0</v>
      </c>
      <c r="H47" s="23" t="str">
        <f>IFERROR(__xludf.DUMMYFUNCTION("iferror(iferror(iferror(index(IMPORTRANGE(""1NK5L1mviMn0j3D3uo53ASkIZOFRlLnqaCTnwzOG2_Wg"",""Direct Link!B2:B""),MATCH($C47,IMPORTRANGE(""1NK5L1mviMn0j3D3uo53ASkIZOFRlLnqaCTnwzOG2_Wg"",""Direct Link!A2:A""),0)),XLOOKUP($C47,IMPORTRANGE(""1NK5L1mviMn0j3D3u"&amp;"o53ASkIZOFRlLnqaCTnwzOG2_Wg"",""Direct links Without Sizes!A2:A""),IMPORTRANGE(""1NK5L1mviMn0j3D3uo53ASkIZOFRlLnqaCTnwzOG2_Wg"",""Direct links Without Sizes!B2:B""))),XLOOKUP($C47,IMPORTRANGE(""1NK5L1mviMn0j3D3uo53ASkIZOFRlLnqaCTnwzOG2_Wg"",""Direct links"&amp;" Without Sizes!D2:D""),IMPORTRANGE(""1NK5L1mviMn0j3D3uo53ASkIZOFRlLnqaCTnwzOG2_Wg"",""Direct links Without Sizes!E2:E""))),"""")"),"")</f>
        <v/>
      </c>
      <c r="I47" s="5"/>
      <c r="J47" s="24" t="str">
        <f t="shared" si="1"/>
        <v>egg</v>
      </c>
      <c r="K47" s="25"/>
      <c r="L47" s="24" t="str">
        <f t="shared" si="2"/>
        <v>egg</v>
      </c>
      <c r="M47" s="8"/>
      <c r="N47" s="23"/>
      <c r="O47" s="23"/>
      <c r="P47" s="23"/>
      <c r="Q47" s="4" t="str">
        <f t="shared" si="3"/>
        <v>1</v>
      </c>
      <c r="R47" s="20"/>
      <c r="S47" s="20"/>
    </row>
    <row r="48">
      <c r="A48" s="5" t="s">
        <v>196</v>
      </c>
      <c r="B48" s="5" t="s">
        <v>19</v>
      </c>
      <c r="C48" s="11" t="s">
        <v>197</v>
      </c>
      <c r="D48" s="7" t="s">
        <v>198</v>
      </c>
      <c r="E48" s="14"/>
      <c r="F48" s="29"/>
      <c r="G48" s="22">
        <v>2.0</v>
      </c>
      <c r="H48" s="23" t="str">
        <f>IFERROR(__xludf.DUMMYFUNCTION("iferror(iferror(iferror(index(IMPORTRANGE(""1NK5L1mviMn0j3D3uo53ASkIZOFRlLnqaCTnwzOG2_Wg"",""Direct Link!B2:B""),MATCH($C48,IMPORTRANGE(""1NK5L1mviMn0j3D3uo53ASkIZOFRlLnqaCTnwzOG2_Wg"",""Direct Link!A2:A""),0)),XLOOKUP($C48,IMPORTRANGE(""1NK5L1mviMn0j3D3u"&amp;"o53ASkIZOFRlLnqaCTnwzOG2_Wg"",""Direct links Without Sizes!A2:A""),IMPORTRANGE(""1NK5L1mviMn0j3D3uo53ASkIZOFRlLnqaCTnwzOG2_Wg"",""Direct links Without Sizes!B2:B""))),XLOOKUP($C48,IMPORTRANGE(""1NK5L1mviMn0j3D3uo53ASkIZOFRlLnqaCTnwzOG2_Wg"",""Direct links"&amp;" Without Sizes!D2:D""),IMPORTRANGE(""1NK5L1mviMn0j3D3uo53ASkIZOFRlLnqaCTnwzOG2_Wg"",""Direct links Without Sizes!E2:E""))),"""")"),"")</f>
        <v/>
      </c>
      <c r="I48" s="5"/>
      <c r="J48" s="24" t="str">
        <f t="shared" si="1"/>
        <v>egg</v>
      </c>
      <c r="K48" s="25"/>
      <c r="L48" s="24" t="str">
        <f t="shared" si="2"/>
        <v>egg</v>
      </c>
      <c r="M48" s="8"/>
      <c r="N48" s="23"/>
      <c r="O48" s="23"/>
      <c r="P48" s="23"/>
      <c r="Q48" s="4" t="str">
        <f t="shared" si="3"/>
        <v>1</v>
      </c>
      <c r="R48" s="20"/>
      <c r="S48" s="20"/>
    </row>
    <row r="49">
      <c r="A49" s="5" t="s">
        <v>199</v>
      </c>
      <c r="B49" s="5" t="s">
        <v>19</v>
      </c>
      <c r="C49" s="11" t="s">
        <v>200</v>
      </c>
      <c r="D49" s="7" t="s">
        <v>201</v>
      </c>
      <c r="E49" s="14"/>
      <c r="F49" s="29"/>
      <c r="G49" s="22">
        <v>6.0</v>
      </c>
      <c r="H49" s="23" t="str">
        <f>IFERROR(__xludf.DUMMYFUNCTION("iferror(iferror(iferror(index(IMPORTRANGE(""1NK5L1mviMn0j3D3uo53ASkIZOFRlLnqaCTnwzOG2_Wg"",""Direct Link!B2:B""),MATCH($C49,IMPORTRANGE(""1NK5L1mviMn0j3D3uo53ASkIZOFRlLnqaCTnwzOG2_Wg"",""Direct Link!A2:A""),0)),XLOOKUP($C49,IMPORTRANGE(""1NK5L1mviMn0j3D3u"&amp;"o53ASkIZOFRlLnqaCTnwzOG2_Wg"",""Direct links Without Sizes!A2:A""),IMPORTRANGE(""1NK5L1mviMn0j3D3uo53ASkIZOFRlLnqaCTnwzOG2_Wg"",""Direct links Without Sizes!B2:B""))),XLOOKUP($C49,IMPORTRANGE(""1NK5L1mviMn0j3D3uo53ASkIZOFRlLnqaCTnwzOG2_Wg"",""Direct links"&amp;" Without Sizes!D2:D""),IMPORTRANGE(""1NK5L1mviMn0j3D3uo53ASkIZOFRlLnqaCTnwzOG2_Wg"",""Direct links Without Sizes!E2:E""))),"""")"),"")</f>
        <v/>
      </c>
      <c r="I49" s="5"/>
      <c r="J49" s="24" t="str">
        <f t="shared" si="1"/>
        <v>veg</v>
      </c>
      <c r="K49" s="25"/>
      <c r="L49" s="24" t="str">
        <f t="shared" si="2"/>
        <v>veg</v>
      </c>
      <c r="M49" s="8"/>
      <c r="N49" s="23"/>
      <c r="O49" s="23"/>
      <c r="P49" s="23"/>
      <c r="Q49" s="4" t="str">
        <f t="shared" si="3"/>
        <v>1</v>
      </c>
      <c r="R49" s="20"/>
      <c r="S49" s="20"/>
    </row>
    <row r="50">
      <c r="A50" s="5" t="s">
        <v>202</v>
      </c>
      <c r="B50" s="5" t="s">
        <v>19</v>
      </c>
      <c r="C50" s="11" t="s">
        <v>203</v>
      </c>
      <c r="D50" s="7" t="s">
        <v>204</v>
      </c>
      <c r="E50" s="14"/>
      <c r="F50" s="29"/>
      <c r="G50" s="22">
        <v>10.0</v>
      </c>
      <c r="H50" s="23" t="str">
        <f>IFERROR(__xludf.DUMMYFUNCTION("iferror(iferror(iferror(index(IMPORTRANGE(""1NK5L1mviMn0j3D3uo53ASkIZOFRlLnqaCTnwzOG2_Wg"",""Direct Link!B2:B""),MATCH($C50,IMPORTRANGE(""1NK5L1mviMn0j3D3uo53ASkIZOFRlLnqaCTnwzOG2_Wg"",""Direct Link!A2:A""),0)),XLOOKUP($C50,IMPORTRANGE(""1NK5L1mviMn0j3D3u"&amp;"o53ASkIZOFRlLnqaCTnwzOG2_Wg"",""Direct links Without Sizes!A2:A""),IMPORTRANGE(""1NK5L1mviMn0j3D3uo53ASkIZOFRlLnqaCTnwzOG2_Wg"",""Direct links Without Sizes!B2:B""))),XLOOKUP($C50,IMPORTRANGE(""1NK5L1mviMn0j3D3uo53ASkIZOFRlLnqaCTnwzOG2_Wg"",""Direct links"&amp;" Without Sizes!D2:D""),IMPORTRANGE(""1NK5L1mviMn0j3D3uo53ASkIZOFRlLnqaCTnwzOG2_Wg"",""Direct links Without Sizes!E2:E""))),"""")"),"")</f>
        <v/>
      </c>
      <c r="I50" s="5"/>
      <c r="J50" s="24" t="str">
        <f t="shared" si="1"/>
        <v>non_veg</v>
      </c>
      <c r="K50" s="25"/>
      <c r="L50" s="24" t="str">
        <f t="shared" si="2"/>
        <v>non_veg</v>
      </c>
      <c r="M50" s="8"/>
      <c r="N50" s="23"/>
      <c r="O50" s="23"/>
      <c r="P50" s="23"/>
      <c r="Q50" s="4" t="str">
        <f t="shared" si="3"/>
        <v>1</v>
      </c>
      <c r="R50" s="20"/>
      <c r="S50" s="20"/>
    </row>
    <row r="51">
      <c r="A51" s="5" t="s">
        <v>205</v>
      </c>
      <c r="B51" s="5" t="s">
        <v>19</v>
      </c>
      <c r="C51" s="11" t="s">
        <v>206</v>
      </c>
      <c r="D51" s="7" t="s">
        <v>207</v>
      </c>
      <c r="E51" s="14"/>
      <c r="F51" s="29"/>
      <c r="G51" s="22">
        <v>10.0</v>
      </c>
      <c r="H51" s="23" t="str">
        <f>IFERROR(__xludf.DUMMYFUNCTION("iferror(iferror(iferror(index(IMPORTRANGE(""1NK5L1mviMn0j3D3uo53ASkIZOFRlLnqaCTnwzOG2_Wg"",""Direct Link!B2:B""),MATCH($C51,IMPORTRANGE(""1NK5L1mviMn0j3D3uo53ASkIZOFRlLnqaCTnwzOG2_Wg"",""Direct Link!A2:A""),0)),XLOOKUP($C51,IMPORTRANGE(""1NK5L1mviMn0j3D3u"&amp;"o53ASkIZOFRlLnqaCTnwzOG2_Wg"",""Direct links Without Sizes!A2:A""),IMPORTRANGE(""1NK5L1mviMn0j3D3uo53ASkIZOFRlLnqaCTnwzOG2_Wg"",""Direct links Without Sizes!B2:B""))),XLOOKUP($C51,IMPORTRANGE(""1NK5L1mviMn0j3D3uo53ASkIZOFRlLnqaCTnwzOG2_Wg"",""Direct links"&amp;" Without Sizes!D2:D""),IMPORTRANGE(""1NK5L1mviMn0j3D3uo53ASkIZOFRlLnqaCTnwzOG2_Wg"",""Direct links Without Sizes!E2:E""))),"""")"),"")</f>
        <v/>
      </c>
      <c r="I51" s="5"/>
      <c r="J51" s="24" t="str">
        <f t="shared" si="1"/>
        <v>non_veg</v>
      </c>
      <c r="K51" s="25"/>
      <c r="L51" s="24" t="str">
        <f t="shared" si="2"/>
        <v>non_veg</v>
      </c>
      <c r="M51" s="8"/>
      <c r="N51" s="23"/>
      <c r="O51" s="23"/>
      <c r="P51" s="23"/>
      <c r="Q51" s="4" t="str">
        <f t="shared" si="3"/>
        <v>1</v>
      </c>
      <c r="R51" s="20"/>
      <c r="S51" s="20"/>
    </row>
    <row r="52">
      <c r="A52" s="5" t="s">
        <v>208</v>
      </c>
      <c r="B52" s="5" t="s">
        <v>19</v>
      </c>
      <c r="C52" s="11" t="s">
        <v>209</v>
      </c>
      <c r="D52" s="7" t="s">
        <v>210</v>
      </c>
      <c r="E52" s="14"/>
      <c r="F52" s="29"/>
      <c r="G52" s="22">
        <v>12.0</v>
      </c>
      <c r="H52" s="23" t="str">
        <f>IFERROR(__xludf.DUMMYFUNCTION("iferror(iferror(iferror(index(IMPORTRANGE(""1NK5L1mviMn0j3D3uo53ASkIZOFRlLnqaCTnwzOG2_Wg"",""Direct Link!B2:B""),MATCH($C52,IMPORTRANGE(""1NK5L1mviMn0j3D3uo53ASkIZOFRlLnqaCTnwzOG2_Wg"",""Direct Link!A2:A""),0)),XLOOKUP($C52,IMPORTRANGE(""1NK5L1mviMn0j3D3u"&amp;"o53ASkIZOFRlLnqaCTnwzOG2_Wg"",""Direct links Without Sizes!A2:A""),IMPORTRANGE(""1NK5L1mviMn0j3D3uo53ASkIZOFRlLnqaCTnwzOG2_Wg"",""Direct links Without Sizes!B2:B""))),XLOOKUP($C52,IMPORTRANGE(""1NK5L1mviMn0j3D3uo53ASkIZOFRlLnqaCTnwzOG2_Wg"",""Direct links"&amp;" Without Sizes!D2:D""),IMPORTRANGE(""1NK5L1mviMn0j3D3uo53ASkIZOFRlLnqaCTnwzOG2_Wg"",""Direct links Without Sizes!E2:E""))),"""")"),"")</f>
        <v/>
      </c>
      <c r="I52" s="5"/>
      <c r="J52" s="24" t="str">
        <f t="shared" si="1"/>
        <v>non_veg</v>
      </c>
      <c r="K52" s="25"/>
      <c r="L52" s="24" t="str">
        <f t="shared" si="2"/>
        <v>non_veg</v>
      </c>
      <c r="M52" s="8"/>
      <c r="N52" s="23"/>
      <c r="O52" s="23"/>
      <c r="P52" s="23"/>
      <c r="Q52" s="4" t="str">
        <f t="shared" si="3"/>
        <v>1</v>
      </c>
      <c r="R52" s="20"/>
      <c r="S52" s="20"/>
    </row>
    <row r="53">
      <c r="A53" s="5" t="s">
        <v>211</v>
      </c>
      <c r="B53" s="5" t="s">
        <v>19</v>
      </c>
      <c r="C53" s="11" t="s">
        <v>212</v>
      </c>
      <c r="D53" s="7" t="s">
        <v>213</v>
      </c>
      <c r="E53" s="14"/>
      <c r="F53" s="29"/>
      <c r="G53" s="22">
        <v>16.0</v>
      </c>
      <c r="H53" s="23" t="str">
        <f>IFERROR(__xludf.DUMMYFUNCTION("iferror(iferror(iferror(index(IMPORTRANGE(""1NK5L1mviMn0j3D3uo53ASkIZOFRlLnqaCTnwzOG2_Wg"",""Direct Link!B2:B""),MATCH($C53,IMPORTRANGE(""1NK5L1mviMn0j3D3uo53ASkIZOFRlLnqaCTnwzOG2_Wg"",""Direct Link!A2:A""),0)),XLOOKUP($C53,IMPORTRANGE(""1NK5L1mviMn0j3D3u"&amp;"o53ASkIZOFRlLnqaCTnwzOG2_Wg"",""Direct links Without Sizes!A2:A""),IMPORTRANGE(""1NK5L1mviMn0j3D3uo53ASkIZOFRlLnqaCTnwzOG2_Wg"",""Direct links Without Sizes!B2:B""))),XLOOKUP($C53,IMPORTRANGE(""1NK5L1mviMn0j3D3uo53ASkIZOFRlLnqaCTnwzOG2_Wg"",""Direct links"&amp;" Without Sizes!D2:D""),IMPORTRANGE(""1NK5L1mviMn0j3D3uo53ASkIZOFRlLnqaCTnwzOG2_Wg"",""Direct links Without Sizes!E2:E""))),"""")"),"")</f>
        <v/>
      </c>
      <c r="I53" s="5"/>
      <c r="J53" s="24" t="str">
        <f t="shared" si="1"/>
        <v/>
      </c>
      <c r="K53" s="25"/>
      <c r="L53" s="24" t="str">
        <f t="shared" si="2"/>
        <v/>
      </c>
      <c r="M53" s="8"/>
      <c r="N53" s="23"/>
      <c r="O53" s="23"/>
      <c r="P53" s="23"/>
      <c r="Q53" s="4" t="str">
        <f t="shared" si="3"/>
        <v>1</v>
      </c>
      <c r="R53" s="20"/>
      <c r="S53" s="20"/>
    </row>
    <row r="54">
      <c r="A54" s="5" t="s">
        <v>214</v>
      </c>
      <c r="B54" s="5" t="s">
        <v>19</v>
      </c>
      <c r="C54" s="11" t="s">
        <v>215</v>
      </c>
      <c r="D54" s="7" t="s">
        <v>216</v>
      </c>
      <c r="E54" s="14"/>
      <c r="F54" s="29"/>
      <c r="G54" s="22">
        <v>2.0</v>
      </c>
      <c r="H54" s="23" t="str">
        <f>IFERROR(__xludf.DUMMYFUNCTION("iferror(iferror(iferror(index(IMPORTRANGE(""1NK5L1mviMn0j3D3uo53ASkIZOFRlLnqaCTnwzOG2_Wg"",""Direct Link!B2:B""),MATCH($C54,IMPORTRANGE(""1NK5L1mviMn0j3D3uo53ASkIZOFRlLnqaCTnwzOG2_Wg"",""Direct Link!A2:A""),0)),XLOOKUP($C54,IMPORTRANGE(""1NK5L1mviMn0j3D3u"&amp;"o53ASkIZOFRlLnqaCTnwzOG2_Wg"",""Direct links Without Sizes!A2:A""),IMPORTRANGE(""1NK5L1mviMn0j3D3uo53ASkIZOFRlLnqaCTnwzOG2_Wg"",""Direct links Without Sizes!B2:B""))),XLOOKUP($C54,IMPORTRANGE(""1NK5L1mviMn0j3D3uo53ASkIZOFRlLnqaCTnwzOG2_Wg"",""Direct links"&amp;" Without Sizes!D2:D""),IMPORTRANGE(""1NK5L1mviMn0j3D3uo53ASkIZOFRlLnqaCTnwzOG2_Wg"",""Direct links Without Sizes!E2:E""))),"""")"),"")</f>
        <v/>
      </c>
      <c r="I54" s="5"/>
      <c r="J54" s="24" t="str">
        <f t="shared" si="1"/>
        <v>veg</v>
      </c>
      <c r="K54" s="25"/>
      <c r="L54" s="24" t="str">
        <f t="shared" si="2"/>
        <v>veg</v>
      </c>
      <c r="M54" s="8"/>
      <c r="N54" s="23"/>
      <c r="O54" s="23"/>
      <c r="P54" s="23"/>
      <c r="Q54" s="4" t="str">
        <f t="shared" si="3"/>
        <v>1</v>
      </c>
      <c r="R54" s="20"/>
      <c r="S54" s="20"/>
    </row>
    <row r="55">
      <c r="A55" s="5" t="s">
        <v>217</v>
      </c>
      <c r="B55" s="5" t="s">
        <v>19</v>
      </c>
      <c r="C55" s="11" t="s">
        <v>218</v>
      </c>
      <c r="D55" s="7" t="s">
        <v>219</v>
      </c>
      <c r="E55" s="14"/>
      <c r="F55" s="29"/>
      <c r="G55" s="22">
        <v>4.0</v>
      </c>
      <c r="H55" s="23" t="str">
        <f>IFERROR(__xludf.DUMMYFUNCTION("iferror(iferror(iferror(index(IMPORTRANGE(""1NK5L1mviMn0j3D3uo53ASkIZOFRlLnqaCTnwzOG2_Wg"",""Direct Link!B2:B""),MATCH($C55,IMPORTRANGE(""1NK5L1mviMn0j3D3uo53ASkIZOFRlLnqaCTnwzOG2_Wg"",""Direct Link!A2:A""),0)),XLOOKUP($C55,IMPORTRANGE(""1NK5L1mviMn0j3D3u"&amp;"o53ASkIZOFRlLnqaCTnwzOG2_Wg"",""Direct links Without Sizes!A2:A""),IMPORTRANGE(""1NK5L1mviMn0j3D3uo53ASkIZOFRlLnqaCTnwzOG2_Wg"",""Direct links Without Sizes!B2:B""))),XLOOKUP($C55,IMPORTRANGE(""1NK5L1mviMn0j3D3uo53ASkIZOFRlLnqaCTnwzOG2_Wg"",""Direct links"&amp;" Without Sizes!D2:D""),IMPORTRANGE(""1NK5L1mviMn0j3D3uo53ASkIZOFRlLnqaCTnwzOG2_Wg"",""Direct links Without Sizes!E2:E""))),"""")"),"")</f>
        <v/>
      </c>
      <c r="I55" s="5"/>
      <c r="J55" s="24" t="str">
        <f t="shared" si="1"/>
        <v>veg</v>
      </c>
      <c r="K55" s="25"/>
      <c r="L55" s="24" t="str">
        <f t="shared" si="2"/>
        <v>veg</v>
      </c>
      <c r="M55" s="8"/>
      <c r="N55" s="23"/>
      <c r="O55" s="23"/>
      <c r="P55" s="23"/>
      <c r="Q55" s="4" t="str">
        <f t="shared" si="3"/>
        <v>1</v>
      </c>
      <c r="R55" s="20"/>
      <c r="S55" s="20"/>
    </row>
    <row r="56">
      <c r="A56" s="5" t="s">
        <v>220</v>
      </c>
      <c r="B56" s="5" t="s">
        <v>19</v>
      </c>
      <c r="C56" s="11" t="s">
        <v>221</v>
      </c>
      <c r="D56" s="7" t="s">
        <v>222</v>
      </c>
      <c r="E56" s="14"/>
      <c r="F56" s="29"/>
      <c r="G56" s="22">
        <v>4.0</v>
      </c>
      <c r="H56" s="23" t="str">
        <f>IFERROR(__xludf.DUMMYFUNCTION("iferror(iferror(iferror(index(IMPORTRANGE(""1NK5L1mviMn0j3D3uo53ASkIZOFRlLnqaCTnwzOG2_Wg"",""Direct Link!B2:B""),MATCH($C56,IMPORTRANGE(""1NK5L1mviMn0j3D3uo53ASkIZOFRlLnqaCTnwzOG2_Wg"",""Direct Link!A2:A""),0)),XLOOKUP($C56,IMPORTRANGE(""1NK5L1mviMn0j3D3u"&amp;"o53ASkIZOFRlLnqaCTnwzOG2_Wg"",""Direct links Without Sizes!A2:A""),IMPORTRANGE(""1NK5L1mviMn0j3D3uo53ASkIZOFRlLnqaCTnwzOG2_Wg"",""Direct links Without Sizes!B2:B""))),XLOOKUP($C56,IMPORTRANGE(""1NK5L1mviMn0j3D3uo53ASkIZOFRlLnqaCTnwzOG2_Wg"",""Direct links"&amp;" Without Sizes!D2:D""),IMPORTRANGE(""1NK5L1mviMn0j3D3uo53ASkIZOFRlLnqaCTnwzOG2_Wg"",""Direct links Without Sizes!E2:E""))),"""")"),"")</f>
        <v/>
      </c>
      <c r="I56" s="5"/>
      <c r="J56" s="24" t="str">
        <f t="shared" si="1"/>
        <v>veg</v>
      </c>
      <c r="K56" s="25"/>
      <c r="L56" s="24" t="str">
        <f t="shared" si="2"/>
        <v>veg</v>
      </c>
      <c r="M56" s="8"/>
      <c r="N56" s="23"/>
      <c r="O56" s="23"/>
      <c r="P56" s="23"/>
      <c r="Q56" s="4" t="str">
        <f t="shared" si="3"/>
        <v>1</v>
      </c>
      <c r="R56" s="20"/>
      <c r="S56" s="20"/>
    </row>
    <row r="57">
      <c r="A57" s="5" t="s">
        <v>223</v>
      </c>
      <c r="B57" s="5" t="s">
        <v>19</v>
      </c>
      <c r="C57" s="11" t="s">
        <v>224</v>
      </c>
      <c r="D57" s="7" t="s">
        <v>225</v>
      </c>
      <c r="E57" s="14"/>
      <c r="F57" s="29"/>
      <c r="G57" s="22">
        <v>4.0</v>
      </c>
      <c r="H57" s="23" t="str">
        <f>IFERROR(__xludf.DUMMYFUNCTION("iferror(iferror(iferror(index(IMPORTRANGE(""1NK5L1mviMn0j3D3uo53ASkIZOFRlLnqaCTnwzOG2_Wg"",""Direct Link!B2:B""),MATCH($C57,IMPORTRANGE(""1NK5L1mviMn0j3D3uo53ASkIZOFRlLnqaCTnwzOG2_Wg"",""Direct Link!A2:A""),0)),XLOOKUP($C57,IMPORTRANGE(""1NK5L1mviMn0j3D3u"&amp;"o53ASkIZOFRlLnqaCTnwzOG2_Wg"",""Direct links Without Sizes!A2:A""),IMPORTRANGE(""1NK5L1mviMn0j3D3uo53ASkIZOFRlLnqaCTnwzOG2_Wg"",""Direct links Without Sizes!B2:B""))),XLOOKUP($C57,IMPORTRANGE(""1NK5L1mviMn0j3D3uo53ASkIZOFRlLnqaCTnwzOG2_Wg"",""Direct links"&amp;" Without Sizes!D2:D""),IMPORTRANGE(""1NK5L1mviMn0j3D3uo53ASkIZOFRlLnqaCTnwzOG2_Wg"",""Direct links Without Sizes!E2:E""))),"""")"),"")</f>
        <v/>
      </c>
      <c r="I57" s="5"/>
      <c r="J57" s="24" t="str">
        <f t="shared" si="1"/>
        <v>veg</v>
      </c>
      <c r="K57" s="25"/>
      <c r="L57" s="24" t="str">
        <f t="shared" si="2"/>
        <v>veg</v>
      </c>
      <c r="M57" s="8"/>
      <c r="N57" s="23"/>
      <c r="O57" s="23"/>
      <c r="P57" s="23"/>
      <c r="Q57" s="4" t="str">
        <f t="shared" si="3"/>
        <v>1</v>
      </c>
      <c r="R57" s="20"/>
      <c r="S57" s="20"/>
    </row>
    <row r="58">
      <c r="A58" s="5" t="s">
        <v>226</v>
      </c>
      <c r="B58" s="5" t="s">
        <v>19</v>
      </c>
      <c r="C58" s="11" t="s">
        <v>227</v>
      </c>
      <c r="D58" s="7" t="s">
        <v>228</v>
      </c>
      <c r="E58" s="14"/>
      <c r="F58" s="29"/>
      <c r="G58" s="22">
        <v>3.0</v>
      </c>
      <c r="H58" s="23" t="str">
        <f>IFERROR(__xludf.DUMMYFUNCTION("iferror(iferror(iferror(index(IMPORTRANGE(""1NK5L1mviMn0j3D3uo53ASkIZOFRlLnqaCTnwzOG2_Wg"",""Direct Link!B2:B""),MATCH($C58,IMPORTRANGE(""1NK5L1mviMn0j3D3uo53ASkIZOFRlLnqaCTnwzOG2_Wg"",""Direct Link!A2:A""),0)),XLOOKUP($C58,IMPORTRANGE(""1NK5L1mviMn0j3D3u"&amp;"o53ASkIZOFRlLnqaCTnwzOG2_Wg"",""Direct links Without Sizes!A2:A""),IMPORTRANGE(""1NK5L1mviMn0j3D3uo53ASkIZOFRlLnqaCTnwzOG2_Wg"",""Direct links Without Sizes!B2:B""))),XLOOKUP($C58,IMPORTRANGE(""1NK5L1mviMn0j3D3uo53ASkIZOFRlLnqaCTnwzOG2_Wg"",""Direct links"&amp;" Without Sizes!D2:D""),IMPORTRANGE(""1NK5L1mviMn0j3D3uo53ASkIZOFRlLnqaCTnwzOG2_Wg"",""Direct links Without Sizes!E2:E""))),"""")"),"")</f>
        <v/>
      </c>
      <c r="I58" s="5"/>
      <c r="J58" s="24" t="str">
        <f t="shared" si="1"/>
        <v/>
      </c>
      <c r="K58" s="25"/>
      <c r="L58" s="24" t="str">
        <f t="shared" si="2"/>
        <v/>
      </c>
      <c r="M58" s="8"/>
      <c r="N58" s="23"/>
      <c r="O58" s="23"/>
      <c r="P58" s="23"/>
      <c r="Q58" s="4" t="str">
        <f t="shared" si="3"/>
        <v>1</v>
      </c>
      <c r="R58" s="20"/>
      <c r="S58" s="20"/>
    </row>
    <row r="59">
      <c r="A59" s="5" t="s">
        <v>229</v>
      </c>
      <c r="B59" s="5" t="s">
        <v>22</v>
      </c>
      <c r="C59" s="32" t="s">
        <v>230</v>
      </c>
      <c r="D59" s="33" t="s">
        <v>231</v>
      </c>
      <c r="E59" s="14" t="s">
        <v>232</v>
      </c>
      <c r="F59" s="29" t="s">
        <v>233</v>
      </c>
      <c r="G59" s="22">
        <v>0.0</v>
      </c>
      <c r="H59" s="23" t="str">
        <f>IFERROR(__xludf.DUMMYFUNCTION("iferror(iferror(iferror(index(IMPORTRANGE(""1NK5L1mviMn0j3D3uo53ASkIZOFRlLnqaCTnwzOG2_Wg"",""Direct Link!B2:B""),MATCH($C59,IMPORTRANGE(""1NK5L1mviMn0j3D3uo53ASkIZOFRlLnqaCTnwzOG2_Wg"",""Direct Link!A2:A""),0)),XLOOKUP($C59,IMPORTRANGE(""1NK5L1mviMn0j3D3u"&amp;"o53ASkIZOFRlLnqaCTnwzOG2_Wg"",""Direct links Without Sizes!A2:A""),IMPORTRANGE(""1NK5L1mviMn0j3D3uo53ASkIZOFRlLnqaCTnwzOG2_Wg"",""Direct links Without Sizes!B2:B""))),XLOOKUP($C59,IMPORTRANGE(""1NK5L1mviMn0j3D3uo53ASkIZOFRlLnqaCTnwzOG2_Wg"",""Direct links"&amp;" Without Sizes!D2:D""),IMPORTRANGE(""1NK5L1mviMn0j3D3uo53ASkIZOFRlLnqaCTnwzOG2_Wg"",""Direct links Without Sizes!E2:E""))),"""")"),"")</f>
        <v/>
      </c>
      <c r="I59" s="5" t="s">
        <v>234</v>
      </c>
      <c r="J59" s="24" t="str">
        <f t="shared" si="1"/>
        <v>non_veg</v>
      </c>
      <c r="K59" s="25"/>
      <c r="L59" s="24" t="str">
        <f t="shared" si="2"/>
        <v>non_veg</v>
      </c>
      <c r="M59" s="8"/>
      <c r="N59" s="23"/>
      <c r="O59" s="23"/>
      <c r="P59" s="23"/>
      <c r="Q59" s="4" t="str">
        <f t="shared" si="3"/>
        <v>1</v>
      </c>
      <c r="R59" s="20"/>
      <c r="S59" s="20"/>
    </row>
    <row r="60">
      <c r="A60" s="5" t="s">
        <v>235</v>
      </c>
      <c r="B60" s="5" t="s">
        <v>22</v>
      </c>
      <c r="C60" s="11" t="s">
        <v>236</v>
      </c>
      <c r="D60" s="7" t="s">
        <v>237</v>
      </c>
      <c r="E60" s="14"/>
      <c r="F60" s="29"/>
      <c r="G60" s="22">
        <v>0.0</v>
      </c>
      <c r="H60" s="23" t="str">
        <f>IFERROR(__xludf.DUMMYFUNCTION("iferror(iferror(iferror(index(IMPORTRANGE(""1NK5L1mviMn0j3D3uo53ASkIZOFRlLnqaCTnwzOG2_Wg"",""Direct Link!B2:B""),MATCH($C60,IMPORTRANGE(""1NK5L1mviMn0j3D3uo53ASkIZOFRlLnqaCTnwzOG2_Wg"",""Direct Link!A2:A""),0)),XLOOKUP($C60,IMPORTRANGE(""1NK5L1mviMn0j3D3u"&amp;"o53ASkIZOFRlLnqaCTnwzOG2_Wg"",""Direct links Without Sizes!A2:A""),IMPORTRANGE(""1NK5L1mviMn0j3D3uo53ASkIZOFRlLnqaCTnwzOG2_Wg"",""Direct links Without Sizes!B2:B""))),XLOOKUP($C60,IMPORTRANGE(""1NK5L1mviMn0j3D3uo53ASkIZOFRlLnqaCTnwzOG2_Wg"",""Direct links"&amp;" Without Sizes!D2:D""),IMPORTRANGE(""1NK5L1mviMn0j3D3uo53ASkIZOFRlLnqaCTnwzOG2_Wg"",""Direct links Without Sizes!E2:E""))),"""")"),"")</f>
        <v/>
      </c>
      <c r="I60" s="5" t="s">
        <v>238</v>
      </c>
      <c r="J60" s="24" t="str">
        <f t="shared" si="1"/>
        <v>non_veg</v>
      </c>
      <c r="K60" s="25"/>
      <c r="L60" s="24" t="str">
        <f t="shared" si="2"/>
        <v>non_veg</v>
      </c>
      <c r="M60" s="8"/>
      <c r="N60" s="23"/>
      <c r="O60" s="23"/>
      <c r="P60" s="23"/>
      <c r="Q60" s="4" t="str">
        <f t="shared" si="3"/>
        <v>1</v>
      </c>
      <c r="R60" s="20"/>
      <c r="S60" s="20"/>
    </row>
    <row r="61">
      <c r="A61" s="5" t="s">
        <v>239</v>
      </c>
      <c r="B61" s="5" t="s">
        <v>22</v>
      </c>
      <c r="C61" s="11" t="s">
        <v>240</v>
      </c>
      <c r="D61" s="7" t="s">
        <v>241</v>
      </c>
      <c r="E61" s="14"/>
      <c r="F61" s="29"/>
      <c r="G61" s="22">
        <v>0.0</v>
      </c>
      <c r="H61" s="23" t="str">
        <f>IFERROR(__xludf.DUMMYFUNCTION("iferror(iferror(iferror(index(IMPORTRANGE(""1NK5L1mviMn0j3D3uo53ASkIZOFRlLnqaCTnwzOG2_Wg"",""Direct Link!B2:B""),MATCH($C61,IMPORTRANGE(""1NK5L1mviMn0j3D3uo53ASkIZOFRlLnqaCTnwzOG2_Wg"",""Direct Link!A2:A""),0)),XLOOKUP($C61,IMPORTRANGE(""1NK5L1mviMn0j3D3u"&amp;"o53ASkIZOFRlLnqaCTnwzOG2_Wg"",""Direct links Without Sizes!A2:A""),IMPORTRANGE(""1NK5L1mviMn0j3D3uo53ASkIZOFRlLnqaCTnwzOG2_Wg"",""Direct links Without Sizes!B2:B""))),XLOOKUP($C61,IMPORTRANGE(""1NK5L1mviMn0j3D3uo53ASkIZOFRlLnqaCTnwzOG2_Wg"",""Direct links"&amp;" Without Sizes!D2:D""),IMPORTRANGE(""1NK5L1mviMn0j3D3uo53ASkIZOFRlLnqaCTnwzOG2_Wg"",""Direct links Without Sizes!E2:E""))),"""")"),"")</f>
        <v/>
      </c>
      <c r="I61" s="5" t="s">
        <v>242</v>
      </c>
      <c r="J61" s="24" t="str">
        <f t="shared" si="1"/>
        <v>non_veg</v>
      </c>
      <c r="K61" s="25"/>
      <c r="L61" s="24" t="str">
        <f t="shared" si="2"/>
        <v>non_veg</v>
      </c>
      <c r="M61" s="8"/>
      <c r="N61" s="23"/>
      <c r="O61" s="23"/>
      <c r="P61" s="23"/>
      <c r="Q61" s="4" t="str">
        <f t="shared" si="3"/>
        <v>1</v>
      </c>
      <c r="R61" s="20"/>
      <c r="S61" s="20"/>
    </row>
    <row r="62">
      <c r="A62" s="5" t="s">
        <v>243</v>
      </c>
      <c r="B62" s="5" t="s">
        <v>22</v>
      </c>
      <c r="C62" s="11" t="s">
        <v>244</v>
      </c>
      <c r="D62" s="7" t="s">
        <v>245</v>
      </c>
      <c r="E62" s="14"/>
      <c r="F62" s="29"/>
      <c r="G62" s="22">
        <v>12.0</v>
      </c>
      <c r="H62" s="23" t="str">
        <f>IFERROR(__xludf.DUMMYFUNCTION("iferror(iferror(iferror(index(IMPORTRANGE(""1NK5L1mviMn0j3D3uo53ASkIZOFRlLnqaCTnwzOG2_Wg"",""Direct Link!B2:B""),MATCH($C62,IMPORTRANGE(""1NK5L1mviMn0j3D3uo53ASkIZOFRlLnqaCTnwzOG2_Wg"",""Direct Link!A2:A""),0)),XLOOKUP($C62,IMPORTRANGE(""1NK5L1mviMn0j3D3u"&amp;"o53ASkIZOFRlLnqaCTnwzOG2_Wg"",""Direct links Without Sizes!A2:A""),IMPORTRANGE(""1NK5L1mviMn0j3D3uo53ASkIZOFRlLnqaCTnwzOG2_Wg"",""Direct links Without Sizes!B2:B""))),XLOOKUP($C62,IMPORTRANGE(""1NK5L1mviMn0j3D3uo53ASkIZOFRlLnqaCTnwzOG2_Wg"",""Direct links"&amp;" Without Sizes!D2:D""),IMPORTRANGE(""1NK5L1mviMn0j3D3uo53ASkIZOFRlLnqaCTnwzOG2_Wg"",""Direct links Without Sizes!E2:E""))),"""")"),"")</f>
        <v/>
      </c>
      <c r="I62" s="5"/>
      <c r="J62" s="24" t="str">
        <f t="shared" si="1"/>
        <v>non_veg</v>
      </c>
      <c r="K62" s="25"/>
      <c r="L62" s="24" t="str">
        <f t="shared" si="2"/>
        <v>non_veg</v>
      </c>
      <c r="M62" s="8"/>
      <c r="N62" s="23"/>
      <c r="O62" s="23"/>
      <c r="P62" s="23"/>
      <c r="Q62" s="4" t="str">
        <f t="shared" si="3"/>
        <v>1</v>
      </c>
      <c r="R62" s="20"/>
      <c r="S62" s="20"/>
    </row>
    <row r="63">
      <c r="A63" s="5" t="s">
        <v>246</v>
      </c>
      <c r="B63" s="5" t="s">
        <v>22</v>
      </c>
      <c r="C63" s="11" t="s">
        <v>247</v>
      </c>
      <c r="D63" s="7" t="s">
        <v>248</v>
      </c>
      <c r="E63" s="14"/>
      <c r="F63" s="29"/>
      <c r="G63" s="22">
        <v>14.0</v>
      </c>
      <c r="H63" s="23" t="str">
        <f>IFERROR(__xludf.DUMMYFUNCTION("iferror(iferror(iferror(index(IMPORTRANGE(""1NK5L1mviMn0j3D3uo53ASkIZOFRlLnqaCTnwzOG2_Wg"",""Direct Link!B2:B""),MATCH($C63,IMPORTRANGE(""1NK5L1mviMn0j3D3uo53ASkIZOFRlLnqaCTnwzOG2_Wg"",""Direct Link!A2:A""),0)),XLOOKUP($C63,IMPORTRANGE(""1NK5L1mviMn0j3D3u"&amp;"o53ASkIZOFRlLnqaCTnwzOG2_Wg"",""Direct links Without Sizes!A2:A""),IMPORTRANGE(""1NK5L1mviMn0j3D3uo53ASkIZOFRlLnqaCTnwzOG2_Wg"",""Direct links Without Sizes!B2:B""))),XLOOKUP($C63,IMPORTRANGE(""1NK5L1mviMn0j3D3uo53ASkIZOFRlLnqaCTnwzOG2_Wg"",""Direct links"&amp;" Without Sizes!D2:D""),IMPORTRANGE(""1NK5L1mviMn0j3D3uo53ASkIZOFRlLnqaCTnwzOG2_Wg"",""Direct links Without Sizes!E2:E""))),"""")"),"")</f>
        <v/>
      </c>
      <c r="I63" s="5"/>
      <c r="J63" s="24" t="str">
        <f t="shared" si="1"/>
        <v>non_veg</v>
      </c>
      <c r="K63" s="25"/>
      <c r="L63" s="24" t="str">
        <f t="shared" si="2"/>
        <v>non_veg</v>
      </c>
      <c r="M63" s="8"/>
      <c r="N63" s="23"/>
      <c r="O63" s="23"/>
      <c r="P63" s="23"/>
      <c r="Q63" s="4" t="str">
        <f t="shared" si="3"/>
        <v>1</v>
      </c>
      <c r="R63" s="20"/>
      <c r="S63" s="20"/>
    </row>
    <row r="64">
      <c r="A64" s="5" t="s">
        <v>249</v>
      </c>
      <c r="B64" s="5" t="s">
        <v>22</v>
      </c>
      <c r="C64" s="11" t="s">
        <v>250</v>
      </c>
      <c r="D64" s="7" t="s">
        <v>251</v>
      </c>
      <c r="E64" s="14"/>
      <c r="F64" s="29"/>
      <c r="G64" s="22">
        <v>0.0</v>
      </c>
      <c r="H64" s="23" t="str">
        <f>IFERROR(__xludf.DUMMYFUNCTION("iferror(iferror(iferror(index(IMPORTRANGE(""1NK5L1mviMn0j3D3uo53ASkIZOFRlLnqaCTnwzOG2_Wg"",""Direct Link!B2:B""),MATCH($C64,IMPORTRANGE(""1NK5L1mviMn0j3D3uo53ASkIZOFRlLnqaCTnwzOG2_Wg"",""Direct Link!A2:A""),0)),XLOOKUP($C64,IMPORTRANGE(""1NK5L1mviMn0j3D3u"&amp;"o53ASkIZOFRlLnqaCTnwzOG2_Wg"",""Direct links Without Sizes!A2:A""),IMPORTRANGE(""1NK5L1mviMn0j3D3uo53ASkIZOFRlLnqaCTnwzOG2_Wg"",""Direct links Without Sizes!B2:B""))),XLOOKUP($C64,IMPORTRANGE(""1NK5L1mviMn0j3D3uo53ASkIZOFRlLnqaCTnwzOG2_Wg"",""Direct links"&amp;" Without Sizes!D2:D""),IMPORTRANGE(""1NK5L1mviMn0j3D3uo53ASkIZOFRlLnqaCTnwzOG2_Wg"",""Direct links Without Sizes!E2:E""))),"""")"),"")</f>
        <v/>
      </c>
      <c r="I64" s="5" t="s">
        <v>242</v>
      </c>
      <c r="J64" s="24" t="str">
        <f t="shared" si="1"/>
        <v>non_veg</v>
      </c>
      <c r="K64" s="25"/>
      <c r="L64" s="24" t="str">
        <f t="shared" si="2"/>
        <v>non_veg</v>
      </c>
      <c r="M64" s="8"/>
      <c r="N64" s="23"/>
      <c r="O64" s="23"/>
      <c r="P64" s="23"/>
      <c r="Q64" s="4" t="str">
        <f t="shared" si="3"/>
        <v>1</v>
      </c>
      <c r="R64" s="20"/>
      <c r="S64" s="20"/>
    </row>
    <row r="65">
      <c r="A65" s="5" t="s">
        <v>252</v>
      </c>
      <c r="B65" s="5" t="s">
        <v>22</v>
      </c>
      <c r="C65" s="11" t="s">
        <v>253</v>
      </c>
      <c r="D65" s="7" t="s">
        <v>254</v>
      </c>
      <c r="E65" s="14"/>
      <c r="F65" s="29"/>
      <c r="G65" s="22">
        <v>25.0</v>
      </c>
      <c r="H65" s="23" t="str">
        <f>IFERROR(__xludf.DUMMYFUNCTION("iferror(iferror(iferror(index(IMPORTRANGE(""1NK5L1mviMn0j3D3uo53ASkIZOFRlLnqaCTnwzOG2_Wg"",""Direct Link!B2:B""),MATCH($C65,IMPORTRANGE(""1NK5L1mviMn0j3D3uo53ASkIZOFRlLnqaCTnwzOG2_Wg"",""Direct Link!A2:A""),0)),XLOOKUP($C65,IMPORTRANGE(""1NK5L1mviMn0j3D3u"&amp;"o53ASkIZOFRlLnqaCTnwzOG2_Wg"",""Direct links Without Sizes!A2:A""),IMPORTRANGE(""1NK5L1mviMn0j3D3uo53ASkIZOFRlLnqaCTnwzOG2_Wg"",""Direct links Without Sizes!B2:B""))),XLOOKUP($C65,IMPORTRANGE(""1NK5L1mviMn0j3D3uo53ASkIZOFRlLnqaCTnwzOG2_Wg"",""Direct links"&amp;" Without Sizes!D2:D""),IMPORTRANGE(""1NK5L1mviMn0j3D3uo53ASkIZOFRlLnqaCTnwzOG2_Wg"",""Direct links Without Sizes!E2:E""))),"""")"),"")</f>
        <v/>
      </c>
      <c r="I65" s="5"/>
      <c r="J65" s="24" t="str">
        <f t="shared" si="1"/>
        <v>non_veg</v>
      </c>
      <c r="K65" s="25"/>
      <c r="L65" s="24" t="str">
        <f t="shared" si="2"/>
        <v>non_veg</v>
      </c>
      <c r="M65" s="8"/>
      <c r="N65" s="23"/>
      <c r="O65" s="23"/>
      <c r="P65" s="23"/>
      <c r="Q65" s="4" t="str">
        <f t="shared" si="3"/>
        <v>1</v>
      </c>
      <c r="R65" s="20"/>
      <c r="S65" s="20"/>
    </row>
    <row r="66">
      <c r="A66" s="5" t="s">
        <v>255</v>
      </c>
      <c r="B66" s="5" t="s">
        <v>22</v>
      </c>
      <c r="C66" s="11" t="s">
        <v>256</v>
      </c>
      <c r="D66" s="7" t="s">
        <v>257</v>
      </c>
      <c r="E66" s="14"/>
      <c r="F66" s="29"/>
      <c r="G66" s="22">
        <v>0.0</v>
      </c>
      <c r="H66" s="23" t="str">
        <f>IFERROR(__xludf.DUMMYFUNCTION("iferror(iferror(iferror(index(IMPORTRANGE(""1NK5L1mviMn0j3D3uo53ASkIZOFRlLnqaCTnwzOG2_Wg"",""Direct Link!B2:B""),MATCH($C66,IMPORTRANGE(""1NK5L1mviMn0j3D3uo53ASkIZOFRlLnqaCTnwzOG2_Wg"",""Direct Link!A2:A""),0)),XLOOKUP($C66,IMPORTRANGE(""1NK5L1mviMn0j3D3u"&amp;"o53ASkIZOFRlLnqaCTnwzOG2_Wg"",""Direct links Without Sizes!A2:A""),IMPORTRANGE(""1NK5L1mviMn0j3D3uo53ASkIZOFRlLnqaCTnwzOG2_Wg"",""Direct links Without Sizes!B2:B""))),XLOOKUP($C66,IMPORTRANGE(""1NK5L1mviMn0j3D3uo53ASkIZOFRlLnqaCTnwzOG2_Wg"",""Direct links"&amp;" Without Sizes!D2:D""),IMPORTRANGE(""1NK5L1mviMn0j3D3uo53ASkIZOFRlLnqaCTnwzOG2_Wg"",""Direct links Without Sizes!E2:E""))),"""")"),"")</f>
        <v/>
      </c>
      <c r="I66" s="5" t="s">
        <v>238</v>
      </c>
      <c r="J66" s="24" t="str">
        <f t="shared" si="1"/>
        <v>non_veg</v>
      </c>
      <c r="K66" s="25"/>
      <c r="L66" s="24" t="str">
        <f t="shared" si="2"/>
        <v>non_veg</v>
      </c>
      <c r="M66" s="8"/>
      <c r="N66" s="23"/>
      <c r="O66" s="23"/>
      <c r="P66" s="23"/>
      <c r="Q66" s="4" t="str">
        <f t="shared" si="3"/>
        <v>1</v>
      </c>
      <c r="R66" s="20"/>
      <c r="S66" s="20"/>
    </row>
    <row r="67">
      <c r="A67" s="5" t="s">
        <v>258</v>
      </c>
      <c r="B67" s="5" t="s">
        <v>22</v>
      </c>
      <c r="C67" s="11" t="s">
        <v>259</v>
      </c>
      <c r="D67" s="7" t="s">
        <v>260</v>
      </c>
      <c r="E67" s="14"/>
      <c r="F67" s="29"/>
      <c r="G67" s="22">
        <v>10.0</v>
      </c>
      <c r="H67" s="23" t="str">
        <f>IFERROR(__xludf.DUMMYFUNCTION("iferror(iferror(iferror(index(IMPORTRANGE(""1NK5L1mviMn0j3D3uo53ASkIZOFRlLnqaCTnwzOG2_Wg"",""Direct Link!B2:B""),MATCH($C67,IMPORTRANGE(""1NK5L1mviMn0j3D3uo53ASkIZOFRlLnqaCTnwzOG2_Wg"",""Direct Link!A2:A""),0)),XLOOKUP($C67,IMPORTRANGE(""1NK5L1mviMn0j3D3u"&amp;"o53ASkIZOFRlLnqaCTnwzOG2_Wg"",""Direct links Without Sizes!A2:A""),IMPORTRANGE(""1NK5L1mviMn0j3D3uo53ASkIZOFRlLnqaCTnwzOG2_Wg"",""Direct links Without Sizes!B2:B""))),XLOOKUP($C67,IMPORTRANGE(""1NK5L1mviMn0j3D3uo53ASkIZOFRlLnqaCTnwzOG2_Wg"",""Direct links"&amp;" Without Sizes!D2:D""),IMPORTRANGE(""1NK5L1mviMn0j3D3uo53ASkIZOFRlLnqaCTnwzOG2_Wg"",""Direct links Without Sizes!E2:E""))),"""")"),"")</f>
        <v/>
      </c>
      <c r="I67" s="5"/>
      <c r="J67" s="24" t="str">
        <f t="shared" si="1"/>
        <v>non_veg</v>
      </c>
      <c r="K67" s="25"/>
      <c r="L67" s="24" t="str">
        <f t="shared" si="2"/>
        <v>non_veg</v>
      </c>
      <c r="M67" s="8"/>
      <c r="N67" s="23"/>
      <c r="O67" s="23"/>
      <c r="P67" s="23"/>
      <c r="Q67" s="4" t="str">
        <f t="shared" si="3"/>
        <v>1</v>
      </c>
      <c r="R67" s="20"/>
      <c r="S67" s="20"/>
    </row>
    <row r="68">
      <c r="A68" s="5" t="s">
        <v>261</v>
      </c>
      <c r="B68" s="5" t="s">
        <v>22</v>
      </c>
      <c r="C68" s="11" t="s">
        <v>262</v>
      </c>
      <c r="D68" s="7" t="s">
        <v>263</v>
      </c>
      <c r="E68" s="14"/>
      <c r="F68" s="29"/>
      <c r="G68" s="22">
        <v>0.0</v>
      </c>
      <c r="H68" s="23" t="str">
        <f>IFERROR(__xludf.DUMMYFUNCTION("iferror(iferror(iferror(index(IMPORTRANGE(""1NK5L1mviMn0j3D3uo53ASkIZOFRlLnqaCTnwzOG2_Wg"",""Direct Link!B2:B""),MATCH($C68,IMPORTRANGE(""1NK5L1mviMn0j3D3uo53ASkIZOFRlLnqaCTnwzOG2_Wg"",""Direct Link!A2:A""),0)),XLOOKUP($C68,IMPORTRANGE(""1NK5L1mviMn0j3D3u"&amp;"o53ASkIZOFRlLnqaCTnwzOG2_Wg"",""Direct links Without Sizes!A2:A""),IMPORTRANGE(""1NK5L1mviMn0j3D3uo53ASkIZOFRlLnqaCTnwzOG2_Wg"",""Direct links Without Sizes!B2:B""))),XLOOKUP($C68,IMPORTRANGE(""1NK5L1mviMn0j3D3uo53ASkIZOFRlLnqaCTnwzOG2_Wg"",""Direct links"&amp;" Without Sizes!D2:D""),IMPORTRANGE(""1NK5L1mviMn0j3D3uo53ASkIZOFRlLnqaCTnwzOG2_Wg"",""Direct links Without Sizes!E2:E""))),"""")"),"")</f>
        <v/>
      </c>
      <c r="I68" s="5" t="s">
        <v>264</v>
      </c>
      <c r="J68" s="24" t="str">
        <f t="shared" si="1"/>
        <v>non_veg</v>
      </c>
      <c r="K68" s="25"/>
      <c r="L68" s="24" t="str">
        <f t="shared" si="2"/>
        <v>non_veg</v>
      </c>
      <c r="M68" s="8"/>
      <c r="N68" s="23"/>
      <c r="O68" s="23"/>
      <c r="P68" s="23"/>
      <c r="Q68" s="4" t="str">
        <f t="shared" si="3"/>
        <v>1</v>
      </c>
      <c r="R68" s="20"/>
      <c r="S68" s="20"/>
    </row>
    <row r="69">
      <c r="A69" s="5" t="s">
        <v>265</v>
      </c>
      <c r="B69" s="5" t="s">
        <v>22</v>
      </c>
      <c r="C69" s="11" t="s">
        <v>266</v>
      </c>
      <c r="D69" s="7" t="s">
        <v>267</v>
      </c>
      <c r="E69" s="14"/>
      <c r="F69" s="29"/>
      <c r="G69" s="22">
        <v>0.0</v>
      </c>
      <c r="H69" s="23" t="str">
        <f>IFERROR(__xludf.DUMMYFUNCTION("iferror(iferror(iferror(index(IMPORTRANGE(""1NK5L1mviMn0j3D3uo53ASkIZOFRlLnqaCTnwzOG2_Wg"",""Direct Link!B2:B""),MATCH($C69,IMPORTRANGE(""1NK5L1mviMn0j3D3uo53ASkIZOFRlLnqaCTnwzOG2_Wg"",""Direct Link!A2:A""),0)),XLOOKUP($C69,IMPORTRANGE(""1NK5L1mviMn0j3D3u"&amp;"o53ASkIZOFRlLnqaCTnwzOG2_Wg"",""Direct links Without Sizes!A2:A""),IMPORTRANGE(""1NK5L1mviMn0j3D3uo53ASkIZOFRlLnqaCTnwzOG2_Wg"",""Direct links Without Sizes!B2:B""))),XLOOKUP($C69,IMPORTRANGE(""1NK5L1mviMn0j3D3uo53ASkIZOFRlLnqaCTnwzOG2_Wg"",""Direct links"&amp;" Without Sizes!D2:D""),IMPORTRANGE(""1NK5L1mviMn0j3D3uo53ASkIZOFRlLnqaCTnwzOG2_Wg"",""Direct links Without Sizes!E2:E""))),"""")"),"")</f>
        <v/>
      </c>
      <c r="I69" s="5" t="s">
        <v>268</v>
      </c>
      <c r="J69" s="24" t="str">
        <f t="shared" si="1"/>
        <v>non_veg</v>
      </c>
      <c r="K69" s="25"/>
      <c r="L69" s="24" t="str">
        <f t="shared" si="2"/>
        <v>non_veg</v>
      </c>
      <c r="M69" s="8"/>
      <c r="N69" s="23"/>
      <c r="O69" s="23"/>
      <c r="P69" s="23"/>
      <c r="Q69" s="4" t="str">
        <f t="shared" si="3"/>
        <v>1</v>
      </c>
      <c r="R69" s="20"/>
      <c r="S69" s="20"/>
    </row>
    <row r="70">
      <c r="A70" s="5" t="s">
        <v>269</v>
      </c>
      <c r="B70" s="5" t="s">
        <v>22</v>
      </c>
      <c r="C70" s="32" t="s">
        <v>270</v>
      </c>
      <c r="D70" s="33" t="s">
        <v>271</v>
      </c>
      <c r="E70" s="14" t="s">
        <v>272</v>
      </c>
      <c r="F70" s="29" t="s">
        <v>273</v>
      </c>
      <c r="G70" s="22">
        <v>65.0</v>
      </c>
      <c r="H70" s="23" t="str">
        <f>IFERROR(__xludf.DUMMYFUNCTION("iferror(iferror(iferror(index(IMPORTRANGE(""1NK5L1mviMn0j3D3uo53ASkIZOFRlLnqaCTnwzOG2_Wg"",""Direct Link!B2:B""),MATCH($C70,IMPORTRANGE(""1NK5L1mviMn0j3D3uo53ASkIZOFRlLnqaCTnwzOG2_Wg"",""Direct Link!A2:A""),0)),XLOOKUP($C70,IMPORTRANGE(""1NK5L1mviMn0j3D3u"&amp;"o53ASkIZOFRlLnqaCTnwzOG2_Wg"",""Direct links Without Sizes!A2:A""),IMPORTRANGE(""1NK5L1mviMn0j3D3uo53ASkIZOFRlLnqaCTnwzOG2_Wg"",""Direct links Without Sizes!B2:B""))),XLOOKUP($C70,IMPORTRANGE(""1NK5L1mviMn0j3D3uo53ASkIZOFRlLnqaCTnwzOG2_Wg"",""Direct links"&amp;" Without Sizes!D2:D""),IMPORTRANGE(""1NK5L1mviMn0j3D3uo53ASkIZOFRlLnqaCTnwzOG2_Wg"",""Direct links Without Sizes!E2:E""))),"""")"),"")</f>
        <v/>
      </c>
      <c r="I70" s="5"/>
      <c r="J70" s="24" t="str">
        <f t="shared" si="1"/>
        <v>non_veg</v>
      </c>
      <c r="K70" s="25"/>
      <c r="L70" s="24" t="str">
        <f t="shared" si="2"/>
        <v>non_veg</v>
      </c>
      <c r="M70" s="8"/>
      <c r="N70" s="23"/>
      <c r="O70" s="23"/>
      <c r="P70" s="23"/>
      <c r="Q70" s="4" t="str">
        <f t="shared" si="3"/>
        <v>1</v>
      </c>
      <c r="R70" s="20"/>
      <c r="S70" s="20"/>
    </row>
    <row r="71">
      <c r="A71" s="5" t="s">
        <v>274</v>
      </c>
      <c r="B71" s="5" t="s">
        <v>22</v>
      </c>
      <c r="C71" s="11" t="s">
        <v>275</v>
      </c>
      <c r="D71" s="7" t="s">
        <v>276</v>
      </c>
      <c r="E71" s="14"/>
      <c r="F71" s="29"/>
      <c r="G71" s="22">
        <v>10.0</v>
      </c>
      <c r="H71" s="23" t="str">
        <f>IFERROR(__xludf.DUMMYFUNCTION("iferror(iferror(iferror(index(IMPORTRANGE(""1NK5L1mviMn0j3D3uo53ASkIZOFRlLnqaCTnwzOG2_Wg"",""Direct Link!B2:B""),MATCH($C71,IMPORTRANGE(""1NK5L1mviMn0j3D3uo53ASkIZOFRlLnqaCTnwzOG2_Wg"",""Direct Link!A2:A""),0)),XLOOKUP($C71,IMPORTRANGE(""1NK5L1mviMn0j3D3u"&amp;"o53ASkIZOFRlLnqaCTnwzOG2_Wg"",""Direct links Without Sizes!A2:A""),IMPORTRANGE(""1NK5L1mviMn0j3D3uo53ASkIZOFRlLnqaCTnwzOG2_Wg"",""Direct links Without Sizes!B2:B""))),XLOOKUP($C71,IMPORTRANGE(""1NK5L1mviMn0j3D3uo53ASkIZOFRlLnqaCTnwzOG2_Wg"",""Direct links"&amp;" Without Sizes!D2:D""),IMPORTRANGE(""1NK5L1mviMn0j3D3uo53ASkIZOFRlLnqaCTnwzOG2_Wg"",""Direct links Without Sizes!E2:E""))),"""")"),"")</f>
        <v/>
      </c>
      <c r="I71" s="5"/>
      <c r="J71" s="24" t="str">
        <f t="shared" si="1"/>
        <v/>
      </c>
      <c r="K71" s="25"/>
      <c r="L71" s="24" t="str">
        <f t="shared" si="2"/>
        <v/>
      </c>
      <c r="M71" s="8"/>
      <c r="N71" s="23"/>
      <c r="O71" s="23"/>
      <c r="P71" s="23"/>
      <c r="Q71" s="4" t="str">
        <f t="shared" si="3"/>
        <v>1</v>
      </c>
      <c r="R71" s="20"/>
      <c r="S71" s="20"/>
    </row>
    <row r="72">
      <c r="A72" s="5" t="s">
        <v>277</v>
      </c>
      <c r="B72" s="5" t="s">
        <v>25</v>
      </c>
      <c r="C72" s="11" t="s">
        <v>278</v>
      </c>
      <c r="D72" s="7" t="s">
        <v>279</v>
      </c>
      <c r="E72" s="14"/>
      <c r="F72" s="29"/>
      <c r="G72" s="22">
        <v>0.0</v>
      </c>
      <c r="H72" s="23" t="str">
        <f>IFERROR(__xludf.DUMMYFUNCTION("iferror(iferror(iferror(index(IMPORTRANGE(""1NK5L1mviMn0j3D3uo53ASkIZOFRlLnqaCTnwzOG2_Wg"",""Direct Link!B2:B""),MATCH($C72,IMPORTRANGE(""1NK5L1mviMn0j3D3uo53ASkIZOFRlLnqaCTnwzOG2_Wg"",""Direct Link!A2:A""),0)),XLOOKUP($C72,IMPORTRANGE(""1NK5L1mviMn0j3D3u"&amp;"o53ASkIZOFRlLnqaCTnwzOG2_Wg"",""Direct links Without Sizes!A2:A""),IMPORTRANGE(""1NK5L1mviMn0j3D3uo53ASkIZOFRlLnqaCTnwzOG2_Wg"",""Direct links Without Sizes!B2:B""))),XLOOKUP($C72,IMPORTRANGE(""1NK5L1mviMn0j3D3uo53ASkIZOFRlLnqaCTnwzOG2_Wg"",""Direct links"&amp;" Without Sizes!D2:D""),IMPORTRANGE(""1NK5L1mviMn0j3D3uo53ASkIZOFRlLnqaCTnwzOG2_Wg"",""Direct links Without Sizes!E2:E""))),"""")"),"")</f>
        <v/>
      </c>
      <c r="I72" s="5" t="s">
        <v>280</v>
      </c>
      <c r="J72" s="24" t="str">
        <f t="shared" si="1"/>
        <v>veg</v>
      </c>
      <c r="K72" s="25"/>
      <c r="L72" s="24" t="str">
        <f t="shared" si="2"/>
        <v>veg</v>
      </c>
      <c r="M72" s="8"/>
      <c r="N72" s="23"/>
      <c r="O72" s="23"/>
      <c r="P72" s="23"/>
      <c r="Q72" s="4" t="str">
        <f t="shared" si="3"/>
        <v>1</v>
      </c>
      <c r="R72" s="20"/>
      <c r="S72" s="20"/>
    </row>
    <row r="73">
      <c r="A73" s="5" t="s">
        <v>281</v>
      </c>
      <c r="B73" s="5" t="s">
        <v>25</v>
      </c>
      <c r="C73" s="11" t="s">
        <v>282</v>
      </c>
      <c r="D73" s="7" t="s">
        <v>283</v>
      </c>
      <c r="E73" s="14"/>
      <c r="F73" s="29"/>
      <c r="G73" s="22">
        <v>0.0</v>
      </c>
      <c r="H73" s="23" t="str">
        <f>IFERROR(__xludf.DUMMYFUNCTION("iferror(iferror(iferror(index(IMPORTRANGE(""1NK5L1mviMn0j3D3uo53ASkIZOFRlLnqaCTnwzOG2_Wg"",""Direct Link!B2:B""),MATCH($C73,IMPORTRANGE(""1NK5L1mviMn0j3D3uo53ASkIZOFRlLnqaCTnwzOG2_Wg"",""Direct Link!A2:A""),0)),XLOOKUP($C73,IMPORTRANGE(""1NK5L1mviMn0j3D3u"&amp;"o53ASkIZOFRlLnqaCTnwzOG2_Wg"",""Direct links Without Sizes!A2:A""),IMPORTRANGE(""1NK5L1mviMn0j3D3uo53ASkIZOFRlLnqaCTnwzOG2_Wg"",""Direct links Without Sizes!B2:B""))),XLOOKUP($C73,IMPORTRANGE(""1NK5L1mviMn0j3D3uo53ASkIZOFRlLnqaCTnwzOG2_Wg"",""Direct links"&amp;" Without Sizes!D2:D""),IMPORTRANGE(""1NK5L1mviMn0j3D3uo53ASkIZOFRlLnqaCTnwzOG2_Wg"",""Direct links Without Sizes!E2:E""))),"""")"),"")</f>
        <v/>
      </c>
      <c r="I73" s="5" t="s">
        <v>280</v>
      </c>
      <c r="J73" s="24" t="str">
        <f t="shared" si="1"/>
        <v>veg</v>
      </c>
      <c r="K73" s="25"/>
      <c r="L73" s="24" t="str">
        <f t="shared" si="2"/>
        <v>veg</v>
      </c>
      <c r="M73" s="8"/>
      <c r="N73" s="23"/>
      <c r="O73" s="23"/>
      <c r="P73" s="23"/>
      <c r="Q73" s="4" t="str">
        <f t="shared" si="3"/>
        <v>1</v>
      </c>
      <c r="R73" s="20"/>
      <c r="S73" s="20"/>
    </row>
    <row r="74">
      <c r="A74" s="5" t="s">
        <v>284</v>
      </c>
      <c r="B74" s="5" t="s">
        <v>25</v>
      </c>
      <c r="C74" s="11" t="s">
        <v>285</v>
      </c>
      <c r="D74" s="7" t="s">
        <v>286</v>
      </c>
      <c r="E74" s="14"/>
      <c r="F74" s="29"/>
      <c r="G74" s="22">
        <v>0.0</v>
      </c>
      <c r="H74" s="23" t="str">
        <f>IFERROR(__xludf.DUMMYFUNCTION("iferror(iferror(iferror(index(IMPORTRANGE(""1NK5L1mviMn0j3D3uo53ASkIZOFRlLnqaCTnwzOG2_Wg"",""Direct Link!B2:B""),MATCH($C74,IMPORTRANGE(""1NK5L1mviMn0j3D3uo53ASkIZOFRlLnqaCTnwzOG2_Wg"",""Direct Link!A2:A""),0)),XLOOKUP($C74,IMPORTRANGE(""1NK5L1mviMn0j3D3u"&amp;"o53ASkIZOFRlLnqaCTnwzOG2_Wg"",""Direct links Without Sizes!A2:A""),IMPORTRANGE(""1NK5L1mviMn0j3D3uo53ASkIZOFRlLnqaCTnwzOG2_Wg"",""Direct links Without Sizes!B2:B""))),XLOOKUP($C74,IMPORTRANGE(""1NK5L1mviMn0j3D3uo53ASkIZOFRlLnqaCTnwzOG2_Wg"",""Direct links"&amp;" Without Sizes!D2:D""),IMPORTRANGE(""1NK5L1mviMn0j3D3uo53ASkIZOFRlLnqaCTnwzOG2_Wg"",""Direct links Without Sizes!E2:E""))),"""")"),"")</f>
        <v/>
      </c>
      <c r="I74" s="5" t="s">
        <v>280</v>
      </c>
      <c r="J74" s="24" t="str">
        <f t="shared" si="1"/>
        <v>veg</v>
      </c>
      <c r="K74" s="25"/>
      <c r="L74" s="24" t="str">
        <f t="shared" si="2"/>
        <v>veg</v>
      </c>
      <c r="M74" s="8"/>
      <c r="N74" s="23"/>
      <c r="O74" s="23"/>
      <c r="P74" s="23"/>
      <c r="Q74" s="4" t="str">
        <f t="shared" si="3"/>
        <v>1</v>
      </c>
      <c r="R74" s="20"/>
      <c r="S74" s="20"/>
    </row>
    <row r="75">
      <c r="A75" s="5" t="s">
        <v>287</v>
      </c>
      <c r="B75" s="5" t="s">
        <v>25</v>
      </c>
      <c r="C75" s="11" t="s">
        <v>288</v>
      </c>
      <c r="D75" s="7" t="s">
        <v>289</v>
      </c>
      <c r="E75" s="14"/>
      <c r="F75" s="29"/>
      <c r="G75" s="22">
        <v>0.0</v>
      </c>
      <c r="H75" s="23" t="str">
        <f>IFERROR(__xludf.DUMMYFUNCTION("iferror(iferror(iferror(index(IMPORTRANGE(""1NK5L1mviMn0j3D3uo53ASkIZOFRlLnqaCTnwzOG2_Wg"",""Direct Link!B2:B""),MATCH($C75,IMPORTRANGE(""1NK5L1mviMn0j3D3uo53ASkIZOFRlLnqaCTnwzOG2_Wg"",""Direct Link!A2:A""),0)),XLOOKUP($C75,IMPORTRANGE(""1NK5L1mviMn0j3D3u"&amp;"o53ASkIZOFRlLnqaCTnwzOG2_Wg"",""Direct links Without Sizes!A2:A""),IMPORTRANGE(""1NK5L1mviMn0j3D3uo53ASkIZOFRlLnqaCTnwzOG2_Wg"",""Direct links Without Sizes!B2:B""))),XLOOKUP($C75,IMPORTRANGE(""1NK5L1mviMn0j3D3uo53ASkIZOFRlLnqaCTnwzOG2_Wg"",""Direct links"&amp;" Without Sizes!D2:D""),IMPORTRANGE(""1NK5L1mviMn0j3D3uo53ASkIZOFRlLnqaCTnwzOG2_Wg"",""Direct links Without Sizes!E2:E""))),"""")"),"")</f>
        <v/>
      </c>
      <c r="I75" s="5" t="s">
        <v>290</v>
      </c>
      <c r="J75" s="24" t="str">
        <f t="shared" si="1"/>
        <v>veg</v>
      </c>
      <c r="K75" s="25"/>
      <c r="L75" s="24" t="str">
        <f t="shared" si="2"/>
        <v>veg</v>
      </c>
      <c r="M75" s="8"/>
      <c r="N75" s="23"/>
      <c r="O75" s="23"/>
      <c r="P75" s="23"/>
      <c r="Q75" s="4" t="str">
        <f t="shared" si="3"/>
        <v>1</v>
      </c>
      <c r="R75" s="20"/>
      <c r="S75" s="20"/>
    </row>
    <row r="76">
      <c r="A76" s="5" t="s">
        <v>291</v>
      </c>
      <c r="B76" s="5" t="s">
        <v>25</v>
      </c>
      <c r="C76" s="11" t="s">
        <v>292</v>
      </c>
      <c r="D76" s="7" t="s">
        <v>293</v>
      </c>
      <c r="E76" s="14"/>
      <c r="F76" s="29"/>
      <c r="G76" s="22">
        <v>0.0</v>
      </c>
      <c r="H76" s="23" t="str">
        <f>IFERROR(__xludf.DUMMYFUNCTION("iferror(iferror(iferror(index(IMPORTRANGE(""1NK5L1mviMn0j3D3uo53ASkIZOFRlLnqaCTnwzOG2_Wg"",""Direct Link!B2:B""),MATCH($C76,IMPORTRANGE(""1NK5L1mviMn0j3D3uo53ASkIZOFRlLnqaCTnwzOG2_Wg"",""Direct Link!A2:A""),0)),XLOOKUP($C76,IMPORTRANGE(""1NK5L1mviMn0j3D3u"&amp;"o53ASkIZOFRlLnqaCTnwzOG2_Wg"",""Direct links Without Sizes!A2:A""),IMPORTRANGE(""1NK5L1mviMn0j3D3uo53ASkIZOFRlLnqaCTnwzOG2_Wg"",""Direct links Without Sizes!B2:B""))),XLOOKUP($C76,IMPORTRANGE(""1NK5L1mviMn0j3D3uo53ASkIZOFRlLnqaCTnwzOG2_Wg"",""Direct links"&amp;" Without Sizes!D2:D""),IMPORTRANGE(""1NK5L1mviMn0j3D3uo53ASkIZOFRlLnqaCTnwzOG2_Wg"",""Direct links Without Sizes!E2:E""))),"""")"),"")</f>
        <v/>
      </c>
      <c r="I76" s="5" t="s">
        <v>280</v>
      </c>
      <c r="J76" s="24" t="str">
        <f t="shared" si="1"/>
        <v>veg</v>
      </c>
      <c r="K76" s="25"/>
      <c r="L76" s="24" t="str">
        <f t="shared" si="2"/>
        <v>veg</v>
      </c>
      <c r="M76" s="8"/>
      <c r="N76" s="23"/>
      <c r="O76" s="23"/>
      <c r="P76" s="23"/>
      <c r="Q76" s="4" t="str">
        <f t="shared" si="3"/>
        <v>1</v>
      </c>
      <c r="R76" s="20"/>
      <c r="S76" s="20"/>
    </row>
    <row r="77">
      <c r="A77" s="5" t="s">
        <v>294</v>
      </c>
      <c r="B77" s="5" t="s">
        <v>25</v>
      </c>
      <c r="C77" s="11" t="s">
        <v>295</v>
      </c>
      <c r="D77" s="7" t="s">
        <v>296</v>
      </c>
      <c r="E77" s="14"/>
      <c r="F77" s="29"/>
      <c r="G77" s="22">
        <v>0.0</v>
      </c>
      <c r="H77" s="23" t="str">
        <f>IFERROR(__xludf.DUMMYFUNCTION("iferror(iferror(iferror(index(IMPORTRANGE(""1NK5L1mviMn0j3D3uo53ASkIZOFRlLnqaCTnwzOG2_Wg"",""Direct Link!B2:B""),MATCH($C77,IMPORTRANGE(""1NK5L1mviMn0j3D3uo53ASkIZOFRlLnqaCTnwzOG2_Wg"",""Direct Link!A2:A""),0)),XLOOKUP($C77,IMPORTRANGE(""1NK5L1mviMn0j3D3u"&amp;"o53ASkIZOFRlLnqaCTnwzOG2_Wg"",""Direct links Without Sizes!A2:A""),IMPORTRANGE(""1NK5L1mviMn0j3D3uo53ASkIZOFRlLnqaCTnwzOG2_Wg"",""Direct links Without Sizes!B2:B""))),XLOOKUP($C77,IMPORTRANGE(""1NK5L1mviMn0j3D3uo53ASkIZOFRlLnqaCTnwzOG2_Wg"",""Direct links"&amp;" Without Sizes!D2:D""),IMPORTRANGE(""1NK5L1mviMn0j3D3uo53ASkIZOFRlLnqaCTnwzOG2_Wg"",""Direct links Without Sizes!E2:E""))),"""")"),"")</f>
        <v/>
      </c>
      <c r="I77" s="5" t="s">
        <v>280</v>
      </c>
      <c r="J77" s="24" t="str">
        <f t="shared" si="1"/>
        <v>veg</v>
      </c>
      <c r="K77" s="25"/>
      <c r="L77" s="24" t="str">
        <f t="shared" si="2"/>
        <v>veg</v>
      </c>
      <c r="M77" s="8"/>
      <c r="N77" s="23"/>
      <c r="O77" s="23"/>
      <c r="P77" s="23"/>
      <c r="Q77" s="4" t="str">
        <f t="shared" si="3"/>
        <v>1</v>
      </c>
      <c r="R77" s="20"/>
      <c r="S77" s="20"/>
    </row>
    <row r="78">
      <c r="A78" s="5" t="s">
        <v>297</v>
      </c>
      <c r="B78" s="5" t="s">
        <v>25</v>
      </c>
      <c r="C78" s="11" t="s">
        <v>298</v>
      </c>
      <c r="D78" s="7" t="s">
        <v>299</v>
      </c>
      <c r="E78" s="14"/>
      <c r="F78" s="29"/>
      <c r="G78" s="22">
        <v>0.0</v>
      </c>
      <c r="H78" s="23" t="str">
        <f>IFERROR(__xludf.DUMMYFUNCTION("iferror(iferror(iferror(index(IMPORTRANGE(""1NK5L1mviMn0j3D3uo53ASkIZOFRlLnqaCTnwzOG2_Wg"",""Direct Link!B2:B""),MATCH($C78,IMPORTRANGE(""1NK5L1mviMn0j3D3uo53ASkIZOFRlLnqaCTnwzOG2_Wg"",""Direct Link!A2:A""),0)),XLOOKUP($C78,IMPORTRANGE(""1NK5L1mviMn0j3D3u"&amp;"o53ASkIZOFRlLnqaCTnwzOG2_Wg"",""Direct links Without Sizes!A2:A""),IMPORTRANGE(""1NK5L1mviMn0j3D3uo53ASkIZOFRlLnqaCTnwzOG2_Wg"",""Direct links Without Sizes!B2:B""))),XLOOKUP($C78,IMPORTRANGE(""1NK5L1mviMn0j3D3uo53ASkIZOFRlLnqaCTnwzOG2_Wg"",""Direct links"&amp;" Without Sizes!D2:D""),IMPORTRANGE(""1NK5L1mviMn0j3D3uo53ASkIZOFRlLnqaCTnwzOG2_Wg"",""Direct links Without Sizes!E2:E""))),"""")"),"")</f>
        <v/>
      </c>
      <c r="I78" s="5" t="s">
        <v>280</v>
      </c>
      <c r="J78" s="24" t="str">
        <f t="shared" si="1"/>
        <v>veg</v>
      </c>
      <c r="K78" s="25"/>
      <c r="L78" s="24" t="str">
        <f t="shared" si="2"/>
        <v>veg</v>
      </c>
      <c r="M78" s="8"/>
      <c r="N78" s="23"/>
      <c r="O78" s="23"/>
      <c r="P78" s="23"/>
      <c r="Q78" s="4" t="str">
        <f t="shared" si="3"/>
        <v>1</v>
      </c>
      <c r="R78" s="20"/>
      <c r="S78" s="20"/>
    </row>
    <row r="79">
      <c r="A79" s="5" t="s">
        <v>300</v>
      </c>
      <c r="B79" s="5" t="s">
        <v>25</v>
      </c>
      <c r="C79" s="34" t="s">
        <v>301</v>
      </c>
      <c r="D79" s="7" t="s">
        <v>302</v>
      </c>
      <c r="E79" s="14"/>
      <c r="F79" s="29"/>
      <c r="G79" s="22">
        <v>0.0</v>
      </c>
      <c r="H79" s="23" t="str">
        <f>IFERROR(__xludf.DUMMYFUNCTION("iferror(iferror(iferror(index(IMPORTRANGE(""1NK5L1mviMn0j3D3uo53ASkIZOFRlLnqaCTnwzOG2_Wg"",""Direct Link!B2:B""),MATCH($C79,IMPORTRANGE(""1NK5L1mviMn0j3D3uo53ASkIZOFRlLnqaCTnwzOG2_Wg"",""Direct Link!A2:A""),0)),XLOOKUP($C79,IMPORTRANGE(""1NK5L1mviMn0j3D3u"&amp;"o53ASkIZOFRlLnqaCTnwzOG2_Wg"",""Direct links Without Sizes!A2:A""),IMPORTRANGE(""1NK5L1mviMn0j3D3uo53ASkIZOFRlLnqaCTnwzOG2_Wg"",""Direct links Without Sizes!B2:B""))),XLOOKUP($C79,IMPORTRANGE(""1NK5L1mviMn0j3D3uo53ASkIZOFRlLnqaCTnwzOG2_Wg"",""Direct links"&amp;" Without Sizes!D2:D""),IMPORTRANGE(""1NK5L1mviMn0j3D3uo53ASkIZOFRlLnqaCTnwzOG2_Wg"",""Direct links Without Sizes!E2:E""))),"""")"),"")</f>
        <v/>
      </c>
      <c r="I79" s="5" t="s">
        <v>290</v>
      </c>
      <c r="J79" s="24" t="str">
        <f t="shared" si="1"/>
        <v>veg</v>
      </c>
      <c r="K79" s="25"/>
      <c r="L79" s="24" t="str">
        <f t="shared" si="2"/>
        <v>veg</v>
      </c>
      <c r="M79" s="8"/>
      <c r="N79" s="23"/>
      <c r="O79" s="23"/>
      <c r="P79" s="23"/>
      <c r="Q79" s="4" t="str">
        <f t="shared" si="3"/>
        <v>1</v>
      </c>
      <c r="R79" s="20"/>
      <c r="S79" s="20"/>
    </row>
    <row r="80">
      <c r="A80" s="5" t="s">
        <v>303</v>
      </c>
      <c r="B80" s="5" t="s">
        <v>25</v>
      </c>
      <c r="C80" s="11" t="s">
        <v>304</v>
      </c>
      <c r="D80" s="7" t="s">
        <v>305</v>
      </c>
      <c r="E80" s="14"/>
      <c r="F80" s="29"/>
      <c r="G80" s="22">
        <v>0.0</v>
      </c>
      <c r="H80" s="23" t="str">
        <f>IFERROR(__xludf.DUMMYFUNCTION("iferror(iferror(iferror(index(IMPORTRANGE(""1NK5L1mviMn0j3D3uo53ASkIZOFRlLnqaCTnwzOG2_Wg"",""Direct Link!B2:B""),MATCH($C80,IMPORTRANGE(""1NK5L1mviMn0j3D3uo53ASkIZOFRlLnqaCTnwzOG2_Wg"",""Direct Link!A2:A""),0)),XLOOKUP($C80,IMPORTRANGE(""1NK5L1mviMn0j3D3u"&amp;"o53ASkIZOFRlLnqaCTnwzOG2_Wg"",""Direct links Without Sizes!A2:A""),IMPORTRANGE(""1NK5L1mviMn0j3D3uo53ASkIZOFRlLnqaCTnwzOG2_Wg"",""Direct links Without Sizes!B2:B""))),XLOOKUP($C80,IMPORTRANGE(""1NK5L1mviMn0j3D3uo53ASkIZOFRlLnqaCTnwzOG2_Wg"",""Direct links"&amp;" Without Sizes!D2:D""),IMPORTRANGE(""1NK5L1mviMn0j3D3uo53ASkIZOFRlLnqaCTnwzOG2_Wg"",""Direct links Without Sizes!E2:E""))),"""")"),"")</f>
        <v/>
      </c>
      <c r="I80" s="5" t="s">
        <v>280</v>
      </c>
      <c r="J80" s="24" t="str">
        <f t="shared" si="1"/>
        <v>veg</v>
      </c>
      <c r="K80" s="25"/>
      <c r="L80" s="24" t="str">
        <f t="shared" si="2"/>
        <v>veg</v>
      </c>
      <c r="M80" s="8"/>
      <c r="N80" s="23"/>
      <c r="O80" s="23"/>
      <c r="P80" s="23"/>
      <c r="Q80" s="4" t="str">
        <f t="shared" si="3"/>
        <v>1</v>
      </c>
      <c r="R80" s="20"/>
      <c r="S80" s="20"/>
    </row>
    <row r="81">
      <c r="A81" s="5" t="s">
        <v>306</v>
      </c>
      <c r="B81" s="5" t="s">
        <v>25</v>
      </c>
      <c r="C81" s="11" t="s">
        <v>307</v>
      </c>
      <c r="D81" s="7" t="s">
        <v>308</v>
      </c>
      <c r="E81" s="14"/>
      <c r="F81" s="29"/>
      <c r="G81" s="22">
        <v>0.0</v>
      </c>
      <c r="H81" s="23" t="str">
        <f>IFERROR(__xludf.DUMMYFUNCTION("iferror(iferror(iferror(index(IMPORTRANGE(""1NK5L1mviMn0j3D3uo53ASkIZOFRlLnqaCTnwzOG2_Wg"",""Direct Link!B2:B""),MATCH($C81,IMPORTRANGE(""1NK5L1mviMn0j3D3uo53ASkIZOFRlLnqaCTnwzOG2_Wg"",""Direct Link!A2:A""),0)),XLOOKUP($C81,IMPORTRANGE(""1NK5L1mviMn0j3D3u"&amp;"o53ASkIZOFRlLnqaCTnwzOG2_Wg"",""Direct links Without Sizes!A2:A""),IMPORTRANGE(""1NK5L1mviMn0j3D3uo53ASkIZOFRlLnqaCTnwzOG2_Wg"",""Direct links Without Sizes!B2:B""))),XLOOKUP($C81,IMPORTRANGE(""1NK5L1mviMn0j3D3uo53ASkIZOFRlLnqaCTnwzOG2_Wg"",""Direct links"&amp;" Without Sizes!D2:D""),IMPORTRANGE(""1NK5L1mviMn0j3D3uo53ASkIZOFRlLnqaCTnwzOG2_Wg"",""Direct links Without Sizes!E2:E""))),"""")"),"")</f>
        <v/>
      </c>
      <c r="I81" s="5" t="s">
        <v>280</v>
      </c>
      <c r="J81" s="24" t="str">
        <f t="shared" si="1"/>
        <v>veg</v>
      </c>
      <c r="K81" s="25"/>
      <c r="L81" s="24" t="str">
        <f t="shared" si="2"/>
        <v>veg</v>
      </c>
      <c r="M81" s="8"/>
      <c r="N81" s="23"/>
      <c r="O81" s="23"/>
      <c r="P81" s="23"/>
      <c r="Q81" s="4" t="str">
        <f t="shared" si="3"/>
        <v>1</v>
      </c>
      <c r="R81" s="20"/>
      <c r="S81" s="20"/>
    </row>
    <row r="82">
      <c r="A82" s="5" t="s">
        <v>309</v>
      </c>
      <c r="B82" s="5" t="s">
        <v>25</v>
      </c>
      <c r="C82" s="11" t="s">
        <v>310</v>
      </c>
      <c r="D82" s="7" t="s">
        <v>311</v>
      </c>
      <c r="E82" s="14"/>
      <c r="F82" s="29"/>
      <c r="G82" s="22">
        <v>0.0</v>
      </c>
      <c r="H82" s="23" t="str">
        <f>IFERROR(__xludf.DUMMYFUNCTION("iferror(iferror(iferror(index(IMPORTRANGE(""1NK5L1mviMn0j3D3uo53ASkIZOFRlLnqaCTnwzOG2_Wg"",""Direct Link!B2:B""),MATCH($C82,IMPORTRANGE(""1NK5L1mviMn0j3D3uo53ASkIZOFRlLnqaCTnwzOG2_Wg"",""Direct Link!A2:A""),0)),XLOOKUP($C82,IMPORTRANGE(""1NK5L1mviMn0j3D3u"&amp;"o53ASkIZOFRlLnqaCTnwzOG2_Wg"",""Direct links Without Sizes!A2:A""),IMPORTRANGE(""1NK5L1mviMn0j3D3uo53ASkIZOFRlLnqaCTnwzOG2_Wg"",""Direct links Without Sizes!B2:B""))),XLOOKUP($C82,IMPORTRANGE(""1NK5L1mviMn0j3D3uo53ASkIZOFRlLnqaCTnwzOG2_Wg"",""Direct links"&amp;" Without Sizes!D2:D""),IMPORTRANGE(""1NK5L1mviMn0j3D3uo53ASkIZOFRlLnqaCTnwzOG2_Wg"",""Direct links Without Sizes!E2:E""))),"""")"),"")</f>
        <v/>
      </c>
      <c r="I82" s="5" t="s">
        <v>280</v>
      </c>
      <c r="J82" s="24" t="str">
        <f t="shared" si="1"/>
        <v>veg</v>
      </c>
      <c r="K82" s="25"/>
      <c r="L82" s="24" t="str">
        <f t="shared" si="2"/>
        <v>veg</v>
      </c>
      <c r="M82" s="8"/>
      <c r="N82" s="23"/>
      <c r="O82" s="23"/>
      <c r="P82" s="23"/>
      <c r="Q82" s="4" t="str">
        <f t="shared" si="3"/>
        <v>1</v>
      </c>
      <c r="R82" s="20"/>
      <c r="S82" s="20"/>
    </row>
    <row r="83">
      <c r="A83" s="5" t="s">
        <v>312</v>
      </c>
      <c r="B83" s="5" t="s">
        <v>25</v>
      </c>
      <c r="C83" s="11" t="s">
        <v>313</v>
      </c>
      <c r="D83" s="7" t="s">
        <v>314</v>
      </c>
      <c r="E83" s="14"/>
      <c r="F83" s="29"/>
      <c r="G83" s="22">
        <v>18.0</v>
      </c>
      <c r="H83" s="23" t="str">
        <f>IFERROR(__xludf.DUMMYFUNCTION("iferror(iferror(iferror(index(IMPORTRANGE(""1NK5L1mviMn0j3D3uo53ASkIZOFRlLnqaCTnwzOG2_Wg"",""Direct Link!B2:B""),MATCH($C83,IMPORTRANGE(""1NK5L1mviMn0j3D3uo53ASkIZOFRlLnqaCTnwzOG2_Wg"",""Direct Link!A2:A""),0)),XLOOKUP($C83,IMPORTRANGE(""1NK5L1mviMn0j3D3u"&amp;"o53ASkIZOFRlLnqaCTnwzOG2_Wg"",""Direct links Without Sizes!A2:A""),IMPORTRANGE(""1NK5L1mviMn0j3D3uo53ASkIZOFRlLnqaCTnwzOG2_Wg"",""Direct links Without Sizes!B2:B""))),XLOOKUP($C83,IMPORTRANGE(""1NK5L1mviMn0j3D3uo53ASkIZOFRlLnqaCTnwzOG2_Wg"",""Direct links"&amp;" Without Sizes!D2:D""),IMPORTRANGE(""1NK5L1mviMn0j3D3uo53ASkIZOFRlLnqaCTnwzOG2_Wg"",""Direct links Without Sizes!E2:E""))),"""")"),"")</f>
        <v/>
      </c>
      <c r="I83" s="5"/>
      <c r="J83" s="24" t="str">
        <f t="shared" si="1"/>
        <v>veg</v>
      </c>
      <c r="K83" s="25"/>
      <c r="L83" s="24" t="str">
        <f t="shared" si="2"/>
        <v>veg</v>
      </c>
      <c r="M83" s="8"/>
      <c r="N83" s="23"/>
      <c r="O83" s="23"/>
      <c r="P83" s="23"/>
      <c r="Q83" s="4" t="str">
        <f t="shared" si="3"/>
        <v>1</v>
      </c>
      <c r="R83" s="20"/>
      <c r="S83" s="20"/>
    </row>
    <row r="84">
      <c r="A84" s="5" t="s">
        <v>315</v>
      </c>
      <c r="B84" s="5" t="s">
        <v>25</v>
      </c>
      <c r="C84" s="11" t="s">
        <v>316</v>
      </c>
      <c r="D84" s="7" t="s">
        <v>317</v>
      </c>
      <c r="E84" s="14"/>
      <c r="F84" s="29"/>
      <c r="G84" s="22">
        <v>0.0</v>
      </c>
      <c r="H84" s="23" t="str">
        <f>IFERROR(__xludf.DUMMYFUNCTION("iferror(iferror(iferror(index(IMPORTRANGE(""1NK5L1mviMn0j3D3uo53ASkIZOFRlLnqaCTnwzOG2_Wg"",""Direct Link!B2:B""),MATCH($C84,IMPORTRANGE(""1NK5L1mviMn0j3D3uo53ASkIZOFRlLnqaCTnwzOG2_Wg"",""Direct Link!A2:A""),0)),XLOOKUP($C84,IMPORTRANGE(""1NK5L1mviMn0j3D3u"&amp;"o53ASkIZOFRlLnqaCTnwzOG2_Wg"",""Direct links Without Sizes!A2:A""),IMPORTRANGE(""1NK5L1mviMn0j3D3uo53ASkIZOFRlLnqaCTnwzOG2_Wg"",""Direct links Without Sizes!B2:B""))),XLOOKUP($C84,IMPORTRANGE(""1NK5L1mviMn0j3D3uo53ASkIZOFRlLnqaCTnwzOG2_Wg"",""Direct links"&amp;" Without Sizes!D2:D""),IMPORTRANGE(""1NK5L1mviMn0j3D3uo53ASkIZOFRlLnqaCTnwzOG2_Wg"",""Direct links Without Sizes!E2:E""))),"""")"),"")</f>
        <v/>
      </c>
      <c r="I84" s="5" t="s">
        <v>280</v>
      </c>
      <c r="J84" s="24" t="str">
        <f t="shared" si="1"/>
        <v>veg</v>
      </c>
      <c r="K84" s="25"/>
      <c r="L84" s="24" t="str">
        <f t="shared" si="2"/>
        <v>veg</v>
      </c>
      <c r="M84" s="8"/>
      <c r="N84" s="23"/>
      <c r="O84" s="23"/>
      <c r="P84" s="23"/>
      <c r="Q84" s="4" t="str">
        <f t="shared" si="3"/>
        <v>1</v>
      </c>
      <c r="R84" s="20"/>
      <c r="S84" s="20"/>
    </row>
    <row r="85">
      <c r="A85" s="5" t="s">
        <v>318</v>
      </c>
      <c r="B85" s="5" t="s">
        <v>25</v>
      </c>
      <c r="C85" s="11" t="s">
        <v>319</v>
      </c>
      <c r="D85" s="7" t="s">
        <v>320</v>
      </c>
      <c r="E85" s="14"/>
      <c r="F85" s="29"/>
      <c r="G85" s="22">
        <v>0.0</v>
      </c>
      <c r="H85" s="23" t="str">
        <f>IFERROR(__xludf.DUMMYFUNCTION("iferror(iferror(iferror(index(IMPORTRANGE(""1NK5L1mviMn0j3D3uo53ASkIZOFRlLnqaCTnwzOG2_Wg"",""Direct Link!B2:B""),MATCH($C85,IMPORTRANGE(""1NK5L1mviMn0j3D3uo53ASkIZOFRlLnqaCTnwzOG2_Wg"",""Direct Link!A2:A""),0)),XLOOKUP($C85,IMPORTRANGE(""1NK5L1mviMn0j3D3u"&amp;"o53ASkIZOFRlLnqaCTnwzOG2_Wg"",""Direct links Without Sizes!A2:A""),IMPORTRANGE(""1NK5L1mviMn0j3D3uo53ASkIZOFRlLnqaCTnwzOG2_Wg"",""Direct links Without Sizes!B2:B""))),XLOOKUP($C85,IMPORTRANGE(""1NK5L1mviMn0j3D3uo53ASkIZOFRlLnqaCTnwzOG2_Wg"",""Direct links"&amp;" Without Sizes!D2:D""),IMPORTRANGE(""1NK5L1mviMn0j3D3uo53ASkIZOFRlLnqaCTnwzOG2_Wg"",""Direct links Without Sizes!E2:E""))),"""")"),"")</f>
        <v/>
      </c>
      <c r="I85" s="5" t="s">
        <v>280</v>
      </c>
      <c r="J85" s="24" t="str">
        <f t="shared" si="1"/>
        <v>veg</v>
      </c>
      <c r="K85" s="25"/>
      <c r="L85" s="24" t="str">
        <f t="shared" si="2"/>
        <v>veg</v>
      </c>
      <c r="M85" s="8"/>
      <c r="N85" s="23"/>
      <c r="O85" s="23"/>
      <c r="P85" s="23"/>
      <c r="Q85" s="4" t="str">
        <f t="shared" si="3"/>
        <v>1</v>
      </c>
      <c r="R85" s="20"/>
      <c r="S85" s="20"/>
    </row>
    <row r="86">
      <c r="A86" s="5" t="s">
        <v>321</v>
      </c>
      <c r="B86" s="5" t="s">
        <v>25</v>
      </c>
      <c r="C86" s="11" t="s">
        <v>322</v>
      </c>
      <c r="D86" s="7" t="s">
        <v>323</v>
      </c>
      <c r="E86" s="14"/>
      <c r="F86" s="29"/>
      <c r="G86" s="22">
        <v>15.0</v>
      </c>
      <c r="H86" s="23" t="str">
        <f>IFERROR(__xludf.DUMMYFUNCTION("iferror(iferror(iferror(index(IMPORTRANGE(""1NK5L1mviMn0j3D3uo53ASkIZOFRlLnqaCTnwzOG2_Wg"",""Direct Link!B2:B""),MATCH($C86,IMPORTRANGE(""1NK5L1mviMn0j3D3uo53ASkIZOFRlLnqaCTnwzOG2_Wg"",""Direct Link!A2:A""),0)),XLOOKUP($C86,IMPORTRANGE(""1NK5L1mviMn0j3D3u"&amp;"o53ASkIZOFRlLnqaCTnwzOG2_Wg"",""Direct links Without Sizes!A2:A""),IMPORTRANGE(""1NK5L1mviMn0j3D3uo53ASkIZOFRlLnqaCTnwzOG2_Wg"",""Direct links Without Sizes!B2:B""))),XLOOKUP($C86,IMPORTRANGE(""1NK5L1mviMn0j3D3uo53ASkIZOFRlLnqaCTnwzOG2_Wg"",""Direct links"&amp;" Without Sizes!D2:D""),IMPORTRANGE(""1NK5L1mviMn0j3D3uo53ASkIZOFRlLnqaCTnwzOG2_Wg"",""Direct links Without Sizes!E2:E""))),"""")"),"")</f>
        <v/>
      </c>
      <c r="I86" s="5"/>
      <c r="J86" s="24" t="str">
        <f t="shared" si="1"/>
        <v>veg</v>
      </c>
      <c r="K86" s="25"/>
      <c r="L86" s="24" t="str">
        <f t="shared" si="2"/>
        <v>veg</v>
      </c>
      <c r="M86" s="8"/>
      <c r="N86" s="23"/>
      <c r="O86" s="23"/>
      <c r="P86" s="23"/>
      <c r="Q86" s="4" t="str">
        <f t="shared" si="3"/>
        <v>1</v>
      </c>
      <c r="R86" s="20"/>
      <c r="S86" s="20"/>
    </row>
    <row r="87">
      <c r="A87" s="5" t="s">
        <v>324</v>
      </c>
      <c r="B87" s="5" t="s">
        <v>25</v>
      </c>
      <c r="C87" s="32" t="s">
        <v>325</v>
      </c>
      <c r="D87" s="33" t="s">
        <v>326</v>
      </c>
      <c r="E87" s="14"/>
      <c r="F87" s="29"/>
      <c r="G87" s="22">
        <v>4.0</v>
      </c>
      <c r="H87" s="23" t="str">
        <f>IFERROR(__xludf.DUMMYFUNCTION("iferror(iferror(iferror(index(IMPORTRANGE(""1NK5L1mviMn0j3D3uo53ASkIZOFRlLnqaCTnwzOG2_Wg"",""Direct Link!B2:B""),MATCH($C87,IMPORTRANGE(""1NK5L1mviMn0j3D3uo53ASkIZOFRlLnqaCTnwzOG2_Wg"",""Direct Link!A2:A""),0)),XLOOKUP($C87,IMPORTRANGE(""1NK5L1mviMn0j3D3u"&amp;"o53ASkIZOFRlLnqaCTnwzOG2_Wg"",""Direct links Without Sizes!A2:A""),IMPORTRANGE(""1NK5L1mviMn0j3D3uo53ASkIZOFRlLnqaCTnwzOG2_Wg"",""Direct links Without Sizes!B2:B""))),XLOOKUP($C87,IMPORTRANGE(""1NK5L1mviMn0j3D3uo53ASkIZOFRlLnqaCTnwzOG2_Wg"",""Direct links"&amp;" Without Sizes!D2:D""),IMPORTRANGE(""1NK5L1mviMn0j3D3uo53ASkIZOFRlLnqaCTnwzOG2_Wg"",""Direct links Without Sizes!E2:E""))),"""")"),"")</f>
        <v/>
      </c>
      <c r="I87" s="5"/>
      <c r="J87" s="24" t="str">
        <f t="shared" si="1"/>
        <v/>
      </c>
      <c r="K87" s="25"/>
      <c r="L87" s="24" t="str">
        <f t="shared" si="2"/>
        <v/>
      </c>
      <c r="M87" s="8"/>
      <c r="N87" s="23"/>
      <c r="O87" s="23"/>
      <c r="P87" s="23"/>
      <c r="Q87" s="12">
        <v>0.0</v>
      </c>
      <c r="R87" s="20"/>
      <c r="S87" s="20"/>
    </row>
    <row r="88">
      <c r="A88" s="5" t="s">
        <v>327</v>
      </c>
      <c r="B88" s="5" t="s">
        <v>25</v>
      </c>
      <c r="C88" s="32" t="s">
        <v>328</v>
      </c>
      <c r="D88" s="33" t="s">
        <v>329</v>
      </c>
      <c r="E88" s="14"/>
      <c r="F88" s="29"/>
      <c r="G88" s="22">
        <v>6.0</v>
      </c>
      <c r="H88" s="23" t="str">
        <f>IFERROR(__xludf.DUMMYFUNCTION("iferror(iferror(iferror(index(IMPORTRANGE(""1NK5L1mviMn0j3D3uo53ASkIZOFRlLnqaCTnwzOG2_Wg"",""Direct Link!B2:B""),MATCH($C88,IMPORTRANGE(""1NK5L1mviMn0j3D3uo53ASkIZOFRlLnqaCTnwzOG2_Wg"",""Direct Link!A2:A""),0)),XLOOKUP($C88,IMPORTRANGE(""1NK5L1mviMn0j3D3u"&amp;"o53ASkIZOFRlLnqaCTnwzOG2_Wg"",""Direct links Without Sizes!A2:A""),IMPORTRANGE(""1NK5L1mviMn0j3D3uo53ASkIZOFRlLnqaCTnwzOG2_Wg"",""Direct links Without Sizes!B2:B""))),XLOOKUP($C88,IMPORTRANGE(""1NK5L1mviMn0j3D3uo53ASkIZOFRlLnqaCTnwzOG2_Wg"",""Direct links"&amp;" Without Sizes!D2:D""),IMPORTRANGE(""1NK5L1mviMn0j3D3uo53ASkIZOFRlLnqaCTnwzOG2_Wg"",""Direct links Without Sizes!E2:E""))),"""")"),"")</f>
        <v/>
      </c>
      <c r="I88" s="5"/>
      <c r="J88" s="24" t="str">
        <f t="shared" si="1"/>
        <v/>
      </c>
      <c r="K88" s="25"/>
      <c r="L88" s="24" t="str">
        <f t="shared" si="2"/>
        <v/>
      </c>
      <c r="M88" s="8"/>
      <c r="N88" s="23"/>
      <c r="O88" s="23"/>
      <c r="P88" s="23"/>
      <c r="Q88" s="12">
        <v>0.0</v>
      </c>
      <c r="R88" s="20"/>
      <c r="S88" s="20"/>
    </row>
    <row r="89">
      <c r="A89" s="5" t="s">
        <v>330</v>
      </c>
      <c r="B89" s="5" t="s">
        <v>25</v>
      </c>
      <c r="C89" s="11" t="s">
        <v>331</v>
      </c>
      <c r="D89" s="7" t="s">
        <v>332</v>
      </c>
      <c r="E89" s="14"/>
      <c r="F89" s="29"/>
      <c r="G89" s="22">
        <v>1.0</v>
      </c>
      <c r="H89" s="23" t="str">
        <f>IFERROR(__xludf.DUMMYFUNCTION("iferror(iferror(iferror(index(IMPORTRANGE(""1NK5L1mviMn0j3D3uo53ASkIZOFRlLnqaCTnwzOG2_Wg"",""Direct Link!B2:B""),MATCH($C89,IMPORTRANGE(""1NK5L1mviMn0j3D3uo53ASkIZOFRlLnqaCTnwzOG2_Wg"",""Direct Link!A2:A""),0)),XLOOKUP($C89,IMPORTRANGE(""1NK5L1mviMn0j3D3u"&amp;"o53ASkIZOFRlLnqaCTnwzOG2_Wg"",""Direct links Without Sizes!A2:A""),IMPORTRANGE(""1NK5L1mviMn0j3D3uo53ASkIZOFRlLnqaCTnwzOG2_Wg"",""Direct links Without Sizes!B2:B""))),XLOOKUP($C89,IMPORTRANGE(""1NK5L1mviMn0j3D3uo53ASkIZOFRlLnqaCTnwzOG2_Wg"",""Direct links"&amp;" Without Sizes!D2:D""),IMPORTRANGE(""1NK5L1mviMn0j3D3uo53ASkIZOFRlLnqaCTnwzOG2_Wg"",""Direct links Without Sizes!E2:E""))),"""")"),"")</f>
        <v/>
      </c>
      <c r="I89" s="5"/>
      <c r="J89" s="24" t="str">
        <f t="shared" si="1"/>
        <v/>
      </c>
      <c r="K89" s="25"/>
      <c r="L89" s="24" t="str">
        <f t="shared" si="2"/>
        <v/>
      </c>
      <c r="M89" s="8"/>
      <c r="N89" s="23"/>
      <c r="O89" s="23"/>
      <c r="P89" s="23"/>
      <c r="Q89" s="4" t="str">
        <f t="shared" ref="Q89:Q1299" si="4">IF(C89&lt;&gt;"","1","")</f>
        <v>1</v>
      </c>
      <c r="R89" s="20"/>
      <c r="S89" s="20"/>
    </row>
    <row r="90">
      <c r="A90" s="5" t="s">
        <v>333</v>
      </c>
      <c r="B90" s="5" t="s">
        <v>25</v>
      </c>
      <c r="C90" s="11" t="s">
        <v>334</v>
      </c>
      <c r="D90" s="7" t="s">
        <v>335</v>
      </c>
      <c r="E90" s="14"/>
      <c r="F90" s="29"/>
      <c r="G90" s="22">
        <v>2.0</v>
      </c>
      <c r="H90" s="23" t="str">
        <f>IFERROR(__xludf.DUMMYFUNCTION("iferror(iferror(iferror(index(IMPORTRANGE(""1NK5L1mviMn0j3D3uo53ASkIZOFRlLnqaCTnwzOG2_Wg"",""Direct Link!B2:B""),MATCH($C90,IMPORTRANGE(""1NK5L1mviMn0j3D3uo53ASkIZOFRlLnqaCTnwzOG2_Wg"",""Direct Link!A2:A""),0)),XLOOKUP($C90,IMPORTRANGE(""1NK5L1mviMn0j3D3u"&amp;"o53ASkIZOFRlLnqaCTnwzOG2_Wg"",""Direct links Without Sizes!A2:A""),IMPORTRANGE(""1NK5L1mviMn0j3D3uo53ASkIZOFRlLnqaCTnwzOG2_Wg"",""Direct links Without Sizes!B2:B""))),XLOOKUP($C90,IMPORTRANGE(""1NK5L1mviMn0j3D3uo53ASkIZOFRlLnqaCTnwzOG2_Wg"",""Direct links"&amp;" Without Sizes!D2:D""),IMPORTRANGE(""1NK5L1mviMn0j3D3uo53ASkIZOFRlLnqaCTnwzOG2_Wg"",""Direct links Without Sizes!E2:E""))),"""")"),"")</f>
        <v/>
      </c>
      <c r="I90" s="5"/>
      <c r="J90" s="24" t="str">
        <f t="shared" si="1"/>
        <v/>
      </c>
      <c r="K90" s="25"/>
      <c r="L90" s="24" t="str">
        <f t="shared" si="2"/>
        <v/>
      </c>
      <c r="M90" s="8"/>
      <c r="N90" s="23"/>
      <c r="O90" s="23"/>
      <c r="P90" s="23"/>
      <c r="Q90" s="4" t="str">
        <f t="shared" si="4"/>
        <v>1</v>
      </c>
      <c r="R90" s="20"/>
      <c r="S90" s="20"/>
    </row>
    <row r="91">
      <c r="A91" s="5" t="s">
        <v>336</v>
      </c>
      <c r="B91" s="5" t="s">
        <v>28</v>
      </c>
      <c r="C91" s="11" t="s">
        <v>337</v>
      </c>
      <c r="D91" s="7" t="s">
        <v>338</v>
      </c>
      <c r="E91" s="14"/>
      <c r="F91" s="29"/>
      <c r="G91" s="22">
        <v>3.0</v>
      </c>
      <c r="H91" s="23" t="str">
        <f>IFERROR(__xludf.DUMMYFUNCTION("iferror(iferror(iferror(index(IMPORTRANGE(""1NK5L1mviMn0j3D3uo53ASkIZOFRlLnqaCTnwzOG2_Wg"",""Direct Link!B2:B""),MATCH($C91,IMPORTRANGE(""1NK5L1mviMn0j3D3uo53ASkIZOFRlLnqaCTnwzOG2_Wg"",""Direct Link!A2:A""),0)),XLOOKUP($C91,IMPORTRANGE(""1NK5L1mviMn0j3D3u"&amp;"o53ASkIZOFRlLnqaCTnwzOG2_Wg"",""Direct links Without Sizes!A2:A""),IMPORTRANGE(""1NK5L1mviMn0j3D3uo53ASkIZOFRlLnqaCTnwzOG2_Wg"",""Direct links Without Sizes!B2:B""))),XLOOKUP($C91,IMPORTRANGE(""1NK5L1mviMn0j3D3uo53ASkIZOFRlLnqaCTnwzOG2_Wg"",""Direct links"&amp;" Without Sizes!D2:D""),IMPORTRANGE(""1NK5L1mviMn0j3D3uo53ASkIZOFRlLnqaCTnwzOG2_Wg"",""Direct links Without Sizes!E2:E""))),"""")"),"")</f>
        <v/>
      </c>
      <c r="I91" s="5"/>
      <c r="J91" s="24" t="str">
        <f t="shared" si="1"/>
        <v>veg</v>
      </c>
      <c r="K91" s="25"/>
      <c r="L91" s="24" t="str">
        <f t="shared" si="2"/>
        <v>veg</v>
      </c>
      <c r="M91" s="8"/>
      <c r="N91" s="23"/>
      <c r="O91" s="23"/>
      <c r="P91" s="23"/>
      <c r="Q91" s="4" t="str">
        <f t="shared" si="4"/>
        <v>1</v>
      </c>
      <c r="R91" s="20"/>
      <c r="S91" s="20"/>
    </row>
    <row r="92">
      <c r="A92" s="5" t="s">
        <v>339</v>
      </c>
      <c r="B92" s="5" t="s">
        <v>28</v>
      </c>
      <c r="C92" s="11" t="s">
        <v>340</v>
      </c>
      <c r="D92" s="7" t="s">
        <v>341</v>
      </c>
      <c r="E92" s="14"/>
      <c r="F92" s="29"/>
      <c r="G92" s="22">
        <v>4.0</v>
      </c>
      <c r="H92" s="23" t="str">
        <f>IFERROR(__xludf.DUMMYFUNCTION("iferror(iferror(iferror(index(IMPORTRANGE(""1NK5L1mviMn0j3D3uo53ASkIZOFRlLnqaCTnwzOG2_Wg"",""Direct Link!B2:B""),MATCH($C92,IMPORTRANGE(""1NK5L1mviMn0j3D3uo53ASkIZOFRlLnqaCTnwzOG2_Wg"",""Direct Link!A2:A""),0)),XLOOKUP($C92,IMPORTRANGE(""1NK5L1mviMn0j3D3u"&amp;"o53ASkIZOFRlLnqaCTnwzOG2_Wg"",""Direct links Without Sizes!A2:A""),IMPORTRANGE(""1NK5L1mviMn0j3D3uo53ASkIZOFRlLnqaCTnwzOG2_Wg"",""Direct links Without Sizes!B2:B""))),XLOOKUP($C92,IMPORTRANGE(""1NK5L1mviMn0j3D3uo53ASkIZOFRlLnqaCTnwzOG2_Wg"",""Direct links"&amp;" Without Sizes!D2:D""),IMPORTRANGE(""1NK5L1mviMn0j3D3uo53ASkIZOFRlLnqaCTnwzOG2_Wg"",""Direct links Without Sizes!E2:E""))),"""")"),"")</f>
        <v/>
      </c>
      <c r="I92" s="5"/>
      <c r="J92" s="24" t="str">
        <f t="shared" si="1"/>
        <v>veg</v>
      </c>
      <c r="K92" s="25"/>
      <c r="L92" s="24" t="str">
        <f t="shared" si="2"/>
        <v>veg</v>
      </c>
      <c r="M92" s="8"/>
      <c r="N92" s="23"/>
      <c r="O92" s="23"/>
      <c r="P92" s="23"/>
      <c r="Q92" s="4" t="str">
        <f t="shared" si="4"/>
        <v>1</v>
      </c>
      <c r="R92" s="20"/>
      <c r="S92" s="20"/>
    </row>
    <row r="93">
      <c r="A93" s="5" t="s">
        <v>342</v>
      </c>
      <c r="B93" s="5" t="s">
        <v>28</v>
      </c>
      <c r="C93" s="11" t="s">
        <v>343</v>
      </c>
      <c r="D93" s="7" t="s">
        <v>344</v>
      </c>
      <c r="E93" s="35"/>
      <c r="F93" s="29"/>
      <c r="G93" s="22">
        <v>4.0</v>
      </c>
      <c r="H93" s="23" t="str">
        <f>IFERROR(__xludf.DUMMYFUNCTION("iferror(iferror(iferror(index(IMPORTRANGE(""1NK5L1mviMn0j3D3uo53ASkIZOFRlLnqaCTnwzOG2_Wg"",""Direct Link!B2:B""),MATCH($C93,IMPORTRANGE(""1NK5L1mviMn0j3D3uo53ASkIZOFRlLnqaCTnwzOG2_Wg"",""Direct Link!A2:A""),0)),XLOOKUP($C93,IMPORTRANGE(""1NK5L1mviMn0j3D3u"&amp;"o53ASkIZOFRlLnqaCTnwzOG2_Wg"",""Direct links Without Sizes!A2:A""),IMPORTRANGE(""1NK5L1mviMn0j3D3uo53ASkIZOFRlLnqaCTnwzOG2_Wg"",""Direct links Without Sizes!B2:B""))),XLOOKUP($C93,IMPORTRANGE(""1NK5L1mviMn0j3D3uo53ASkIZOFRlLnqaCTnwzOG2_Wg"",""Direct links"&amp;" Without Sizes!D2:D""),IMPORTRANGE(""1NK5L1mviMn0j3D3uo53ASkIZOFRlLnqaCTnwzOG2_Wg"",""Direct links Without Sizes!E2:E""))),"""")"),"")</f>
        <v/>
      </c>
      <c r="I93" s="5"/>
      <c r="J93" s="24" t="str">
        <f t="shared" si="1"/>
        <v>veg</v>
      </c>
      <c r="K93" s="25"/>
      <c r="L93" s="24" t="str">
        <f t="shared" si="2"/>
        <v>veg</v>
      </c>
      <c r="M93" s="8"/>
      <c r="N93" s="23"/>
      <c r="O93" s="23"/>
      <c r="P93" s="23"/>
      <c r="Q93" s="4" t="str">
        <f t="shared" si="4"/>
        <v>1</v>
      </c>
      <c r="R93" s="20"/>
      <c r="S93" s="20"/>
    </row>
    <row r="94">
      <c r="A94" s="5" t="s">
        <v>345</v>
      </c>
      <c r="B94" s="5" t="s">
        <v>28</v>
      </c>
      <c r="C94" s="11" t="s">
        <v>346</v>
      </c>
      <c r="D94" s="7" t="s">
        <v>347</v>
      </c>
      <c r="E94" s="14"/>
      <c r="F94" s="29"/>
      <c r="G94" s="22">
        <v>2.0</v>
      </c>
      <c r="H94" s="23" t="str">
        <f>IFERROR(__xludf.DUMMYFUNCTION("iferror(iferror(iferror(index(IMPORTRANGE(""1NK5L1mviMn0j3D3uo53ASkIZOFRlLnqaCTnwzOG2_Wg"",""Direct Link!B2:B""),MATCH($C94,IMPORTRANGE(""1NK5L1mviMn0j3D3uo53ASkIZOFRlLnqaCTnwzOG2_Wg"",""Direct Link!A2:A""),0)),XLOOKUP($C94,IMPORTRANGE(""1NK5L1mviMn0j3D3u"&amp;"o53ASkIZOFRlLnqaCTnwzOG2_Wg"",""Direct links Without Sizes!A2:A""),IMPORTRANGE(""1NK5L1mviMn0j3D3uo53ASkIZOFRlLnqaCTnwzOG2_Wg"",""Direct links Without Sizes!B2:B""))),XLOOKUP($C94,IMPORTRANGE(""1NK5L1mviMn0j3D3uo53ASkIZOFRlLnqaCTnwzOG2_Wg"",""Direct links"&amp;" Without Sizes!D2:D""),IMPORTRANGE(""1NK5L1mviMn0j3D3uo53ASkIZOFRlLnqaCTnwzOG2_Wg"",""Direct links Without Sizes!E2:E""))),"""")"),"")</f>
        <v/>
      </c>
      <c r="I94" s="5"/>
      <c r="J94" s="24" t="str">
        <f t="shared" si="1"/>
        <v>veg</v>
      </c>
      <c r="K94" s="25"/>
      <c r="L94" s="24" t="str">
        <f t="shared" si="2"/>
        <v>veg</v>
      </c>
      <c r="M94" s="8"/>
      <c r="N94" s="23"/>
      <c r="O94" s="23"/>
      <c r="P94" s="23"/>
      <c r="Q94" s="4" t="str">
        <f t="shared" si="4"/>
        <v>1</v>
      </c>
      <c r="R94" s="20"/>
      <c r="S94" s="20"/>
    </row>
    <row r="95">
      <c r="A95" s="5" t="s">
        <v>348</v>
      </c>
      <c r="B95" s="5" t="s">
        <v>28</v>
      </c>
      <c r="C95" s="11" t="s">
        <v>349</v>
      </c>
      <c r="D95" s="7" t="s">
        <v>350</v>
      </c>
      <c r="E95" s="14"/>
      <c r="F95" s="29"/>
      <c r="G95" s="22">
        <v>2.0</v>
      </c>
      <c r="H95" s="23" t="str">
        <f>IFERROR(__xludf.DUMMYFUNCTION("iferror(iferror(iferror(index(IMPORTRANGE(""1NK5L1mviMn0j3D3uo53ASkIZOFRlLnqaCTnwzOG2_Wg"",""Direct Link!B2:B""),MATCH($C95,IMPORTRANGE(""1NK5L1mviMn0j3D3uo53ASkIZOFRlLnqaCTnwzOG2_Wg"",""Direct Link!A2:A""),0)),XLOOKUP($C95,IMPORTRANGE(""1NK5L1mviMn0j3D3u"&amp;"o53ASkIZOFRlLnqaCTnwzOG2_Wg"",""Direct links Without Sizes!A2:A""),IMPORTRANGE(""1NK5L1mviMn0j3D3uo53ASkIZOFRlLnqaCTnwzOG2_Wg"",""Direct links Without Sizes!B2:B""))),XLOOKUP($C95,IMPORTRANGE(""1NK5L1mviMn0j3D3uo53ASkIZOFRlLnqaCTnwzOG2_Wg"",""Direct links"&amp;" Without Sizes!D2:D""),IMPORTRANGE(""1NK5L1mviMn0j3D3uo53ASkIZOFRlLnqaCTnwzOG2_Wg"",""Direct links Without Sizes!E2:E""))),"""")"),"")</f>
        <v/>
      </c>
      <c r="I95" s="5"/>
      <c r="J95" s="24" t="str">
        <f t="shared" si="1"/>
        <v>veg</v>
      </c>
      <c r="K95" s="25"/>
      <c r="L95" s="24" t="str">
        <f t="shared" si="2"/>
        <v>veg</v>
      </c>
      <c r="M95" s="8"/>
      <c r="N95" s="23"/>
      <c r="O95" s="23"/>
      <c r="P95" s="23"/>
      <c r="Q95" s="4" t="str">
        <f t="shared" si="4"/>
        <v>1</v>
      </c>
      <c r="R95" s="20"/>
      <c r="S95" s="20"/>
    </row>
    <row r="96">
      <c r="A96" s="5" t="s">
        <v>351</v>
      </c>
      <c r="B96" s="5" t="s">
        <v>28</v>
      </c>
      <c r="C96" s="11" t="s">
        <v>352</v>
      </c>
      <c r="D96" s="7" t="s">
        <v>353</v>
      </c>
      <c r="E96" s="14"/>
      <c r="F96" s="29"/>
      <c r="G96" s="22">
        <v>2.0</v>
      </c>
      <c r="H96" s="23" t="str">
        <f>IFERROR(__xludf.DUMMYFUNCTION("iferror(iferror(iferror(index(IMPORTRANGE(""1NK5L1mviMn0j3D3uo53ASkIZOFRlLnqaCTnwzOG2_Wg"",""Direct Link!B2:B""),MATCH($C96,IMPORTRANGE(""1NK5L1mviMn0j3D3uo53ASkIZOFRlLnqaCTnwzOG2_Wg"",""Direct Link!A2:A""),0)),XLOOKUP($C96,IMPORTRANGE(""1NK5L1mviMn0j3D3u"&amp;"o53ASkIZOFRlLnqaCTnwzOG2_Wg"",""Direct links Without Sizes!A2:A""),IMPORTRANGE(""1NK5L1mviMn0j3D3uo53ASkIZOFRlLnqaCTnwzOG2_Wg"",""Direct links Without Sizes!B2:B""))),XLOOKUP($C96,IMPORTRANGE(""1NK5L1mviMn0j3D3uo53ASkIZOFRlLnqaCTnwzOG2_Wg"",""Direct links"&amp;" Without Sizes!D2:D""),IMPORTRANGE(""1NK5L1mviMn0j3D3uo53ASkIZOFRlLnqaCTnwzOG2_Wg"",""Direct links Without Sizes!E2:E""))),"""")"),"")</f>
        <v/>
      </c>
      <c r="I96" s="5"/>
      <c r="J96" s="24" t="str">
        <f t="shared" si="1"/>
        <v>veg</v>
      </c>
      <c r="K96" s="25"/>
      <c r="L96" s="24" t="str">
        <f t="shared" si="2"/>
        <v>veg</v>
      </c>
      <c r="M96" s="8"/>
      <c r="N96" s="23"/>
      <c r="O96" s="23"/>
      <c r="P96" s="23"/>
      <c r="Q96" s="4" t="str">
        <f t="shared" si="4"/>
        <v>1</v>
      </c>
      <c r="R96" s="20"/>
      <c r="S96" s="20"/>
    </row>
    <row r="97">
      <c r="A97" s="5" t="s">
        <v>354</v>
      </c>
      <c r="B97" s="5" t="s">
        <v>28</v>
      </c>
      <c r="C97" s="11" t="s">
        <v>355</v>
      </c>
      <c r="D97" s="7" t="s">
        <v>356</v>
      </c>
      <c r="E97" s="14"/>
      <c r="F97" s="29"/>
      <c r="G97" s="22">
        <v>4.0</v>
      </c>
      <c r="H97" s="23" t="str">
        <f>IFERROR(__xludf.DUMMYFUNCTION("iferror(iferror(iferror(index(IMPORTRANGE(""1NK5L1mviMn0j3D3uo53ASkIZOFRlLnqaCTnwzOG2_Wg"",""Direct Link!B2:B""),MATCH($C97,IMPORTRANGE(""1NK5L1mviMn0j3D3uo53ASkIZOFRlLnqaCTnwzOG2_Wg"",""Direct Link!A2:A""),0)),XLOOKUP($C97,IMPORTRANGE(""1NK5L1mviMn0j3D3u"&amp;"o53ASkIZOFRlLnqaCTnwzOG2_Wg"",""Direct links Without Sizes!A2:A""),IMPORTRANGE(""1NK5L1mviMn0j3D3uo53ASkIZOFRlLnqaCTnwzOG2_Wg"",""Direct links Without Sizes!B2:B""))),XLOOKUP($C97,IMPORTRANGE(""1NK5L1mviMn0j3D3uo53ASkIZOFRlLnqaCTnwzOG2_Wg"",""Direct links"&amp;" Without Sizes!D2:D""),IMPORTRANGE(""1NK5L1mviMn0j3D3uo53ASkIZOFRlLnqaCTnwzOG2_Wg"",""Direct links Without Sizes!E2:E""))),"""")"),"")</f>
        <v/>
      </c>
      <c r="I97" s="5"/>
      <c r="J97" s="24" t="str">
        <f t="shared" si="1"/>
        <v>veg</v>
      </c>
      <c r="K97" s="25"/>
      <c r="L97" s="24" t="str">
        <f t="shared" si="2"/>
        <v>veg</v>
      </c>
      <c r="M97" s="8"/>
      <c r="N97" s="23"/>
      <c r="O97" s="23"/>
      <c r="P97" s="23"/>
      <c r="Q97" s="4" t="str">
        <f t="shared" si="4"/>
        <v>1</v>
      </c>
      <c r="R97" s="20"/>
      <c r="S97" s="20"/>
    </row>
    <row r="98">
      <c r="A98" s="5" t="s">
        <v>357</v>
      </c>
      <c r="B98" s="5" t="s">
        <v>28</v>
      </c>
      <c r="C98" s="11" t="s">
        <v>358</v>
      </c>
      <c r="D98" s="7" t="s">
        <v>359</v>
      </c>
      <c r="E98" s="14"/>
      <c r="F98" s="29"/>
      <c r="G98" s="22">
        <v>3.0</v>
      </c>
      <c r="H98" s="23" t="str">
        <f>IFERROR(__xludf.DUMMYFUNCTION("iferror(iferror(iferror(index(IMPORTRANGE(""1NK5L1mviMn0j3D3uo53ASkIZOFRlLnqaCTnwzOG2_Wg"",""Direct Link!B2:B""),MATCH($C98,IMPORTRANGE(""1NK5L1mviMn0j3D3uo53ASkIZOFRlLnqaCTnwzOG2_Wg"",""Direct Link!A2:A""),0)),XLOOKUP($C98,IMPORTRANGE(""1NK5L1mviMn0j3D3u"&amp;"o53ASkIZOFRlLnqaCTnwzOG2_Wg"",""Direct links Without Sizes!A2:A""),IMPORTRANGE(""1NK5L1mviMn0j3D3uo53ASkIZOFRlLnqaCTnwzOG2_Wg"",""Direct links Without Sizes!B2:B""))),XLOOKUP($C98,IMPORTRANGE(""1NK5L1mviMn0j3D3uo53ASkIZOFRlLnqaCTnwzOG2_Wg"",""Direct links"&amp;" Without Sizes!D2:D""),IMPORTRANGE(""1NK5L1mviMn0j3D3uo53ASkIZOFRlLnqaCTnwzOG2_Wg"",""Direct links Without Sizes!E2:E""))),"""")"),"")</f>
        <v/>
      </c>
      <c r="I98" s="5"/>
      <c r="J98" s="24" t="str">
        <f t="shared" si="1"/>
        <v>veg</v>
      </c>
      <c r="K98" s="25"/>
      <c r="L98" s="24" t="str">
        <f t="shared" si="2"/>
        <v>veg</v>
      </c>
      <c r="M98" s="8"/>
      <c r="N98" s="23"/>
      <c r="O98" s="23"/>
      <c r="P98" s="23"/>
      <c r="Q98" s="4" t="str">
        <f t="shared" si="4"/>
        <v>1</v>
      </c>
      <c r="R98" s="20"/>
      <c r="S98" s="20"/>
    </row>
    <row r="99">
      <c r="A99" s="5" t="s">
        <v>360</v>
      </c>
      <c r="B99" s="5" t="s">
        <v>31</v>
      </c>
      <c r="C99" s="11" t="s">
        <v>361</v>
      </c>
      <c r="D99" s="7" t="s">
        <v>362</v>
      </c>
      <c r="E99" s="14"/>
      <c r="F99" s="29"/>
      <c r="G99" s="22">
        <v>7.0</v>
      </c>
      <c r="H99" s="23" t="str">
        <f>IFERROR(__xludf.DUMMYFUNCTION("iferror(iferror(iferror(index(IMPORTRANGE(""1NK5L1mviMn0j3D3uo53ASkIZOFRlLnqaCTnwzOG2_Wg"",""Direct Link!B2:B""),MATCH($C99,IMPORTRANGE(""1NK5L1mviMn0j3D3uo53ASkIZOFRlLnqaCTnwzOG2_Wg"",""Direct Link!A2:A""),0)),XLOOKUP($C99,IMPORTRANGE(""1NK5L1mviMn0j3D3u"&amp;"o53ASkIZOFRlLnqaCTnwzOG2_Wg"",""Direct links Without Sizes!A2:A""),IMPORTRANGE(""1NK5L1mviMn0j3D3uo53ASkIZOFRlLnqaCTnwzOG2_Wg"",""Direct links Without Sizes!B2:B""))),XLOOKUP($C99,IMPORTRANGE(""1NK5L1mviMn0j3D3uo53ASkIZOFRlLnqaCTnwzOG2_Wg"",""Direct links"&amp;" Without Sizes!D2:D""),IMPORTRANGE(""1NK5L1mviMn0j3D3uo53ASkIZOFRlLnqaCTnwzOG2_Wg"",""Direct links Without Sizes!E2:E""))),"""")"),"")</f>
        <v/>
      </c>
      <c r="I99" s="5"/>
      <c r="J99" s="24" t="str">
        <f t="shared" si="1"/>
        <v>veg</v>
      </c>
      <c r="K99" s="25"/>
      <c r="L99" s="24" t="str">
        <f t="shared" si="2"/>
        <v>veg</v>
      </c>
      <c r="M99" s="8"/>
      <c r="N99" s="23"/>
      <c r="O99" s="23"/>
      <c r="P99" s="23"/>
      <c r="Q99" s="4" t="str">
        <f t="shared" si="4"/>
        <v>1</v>
      </c>
      <c r="R99" s="20"/>
      <c r="S99" s="20"/>
    </row>
    <row r="100">
      <c r="A100" s="5" t="s">
        <v>363</v>
      </c>
      <c r="B100" s="5" t="s">
        <v>31</v>
      </c>
      <c r="C100" s="11" t="s">
        <v>364</v>
      </c>
      <c r="D100" s="7" t="s">
        <v>365</v>
      </c>
      <c r="E100" s="14"/>
      <c r="F100" s="29"/>
      <c r="G100" s="22">
        <v>7.0</v>
      </c>
      <c r="H100" s="23" t="str">
        <f>IFERROR(__xludf.DUMMYFUNCTION("iferror(iferror(iferror(index(IMPORTRANGE(""1NK5L1mviMn0j3D3uo53ASkIZOFRlLnqaCTnwzOG2_Wg"",""Direct Link!B2:B""),MATCH($C100,IMPORTRANGE(""1NK5L1mviMn0j3D3uo53ASkIZOFRlLnqaCTnwzOG2_Wg"",""Direct Link!A2:A""),0)),XLOOKUP($C100,IMPORTRANGE(""1NK5L1mviMn0j3D"&amp;"3uo53ASkIZOFRlLnqaCTnwzOG2_Wg"",""Direct links Without Sizes!A2:A""),IMPORTRANGE(""1NK5L1mviMn0j3D3uo53ASkIZOFRlLnqaCTnwzOG2_Wg"",""Direct links Without Sizes!B2:B""))),XLOOKUP($C100,IMPORTRANGE(""1NK5L1mviMn0j3D3uo53ASkIZOFRlLnqaCTnwzOG2_Wg"",""Direct li"&amp;"nks Without Sizes!D2:D""),IMPORTRANGE(""1NK5L1mviMn0j3D3uo53ASkIZOFRlLnqaCTnwzOG2_Wg"",""Direct links Without Sizes!E2:E""))),"""")"),"")</f>
        <v/>
      </c>
      <c r="I100" s="5"/>
      <c r="J100" s="24" t="str">
        <f t="shared" si="1"/>
        <v/>
      </c>
      <c r="K100" s="25"/>
      <c r="L100" s="24" t="str">
        <f t="shared" si="2"/>
        <v/>
      </c>
      <c r="M100" s="8"/>
      <c r="N100" s="23"/>
      <c r="O100" s="23"/>
      <c r="P100" s="23"/>
      <c r="Q100" s="4" t="str">
        <f t="shared" si="4"/>
        <v>1</v>
      </c>
      <c r="R100" s="20"/>
      <c r="S100" s="20"/>
    </row>
    <row r="101">
      <c r="A101" s="5" t="s">
        <v>366</v>
      </c>
      <c r="B101" s="5" t="s">
        <v>31</v>
      </c>
      <c r="C101" s="11" t="s">
        <v>367</v>
      </c>
      <c r="D101" s="7" t="s">
        <v>368</v>
      </c>
      <c r="E101" s="14"/>
      <c r="F101" s="29"/>
      <c r="G101" s="22">
        <v>7.0</v>
      </c>
      <c r="H101" s="23" t="str">
        <f>IFERROR(__xludf.DUMMYFUNCTION("iferror(iferror(iferror(index(IMPORTRANGE(""1NK5L1mviMn0j3D3uo53ASkIZOFRlLnqaCTnwzOG2_Wg"",""Direct Link!B2:B""),MATCH($C101,IMPORTRANGE(""1NK5L1mviMn0j3D3uo53ASkIZOFRlLnqaCTnwzOG2_Wg"",""Direct Link!A2:A""),0)),XLOOKUP($C101,IMPORTRANGE(""1NK5L1mviMn0j3D"&amp;"3uo53ASkIZOFRlLnqaCTnwzOG2_Wg"",""Direct links Without Sizes!A2:A""),IMPORTRANGE(""1NK5L1mviMn0j3D3uo53ASkIZOFRlLnqaCTnwzOG2_Wg"",""Direct links Without Sizes!B2:B""))),XLOOKUP($C101,IMPORTRANGE(""1NK5L1mviMn0j3D3uo53ASkIZOFRlLnqaCTnwzOG2_Wg"",""Direct li"&amp;"nks Without Sizes!D2:D""),IMPORTRANGE(""1NK5L1mviMn0j3D3uo53ASkIZOFRlLnqaCTnwzOG2_Wg"",""Direct links Without Sizes!E2:E""))),"""")"),"")</f>
        <v/>
      </c>
      <c r="I101" s="5"/>
      <c r="J101" s="24" t="str">
        <f t="shared" si="1"/>
        <v>veg</v>
      </c>
      <c r="K101" s="25"/>
      <c r="L101" s="24" t="str">
        <f t="shared" si="2"/>
        <v>veg</v>
      </c>
      <c r="M101" s="8"/>
      <c r="N101" s="23"/>
      <c r="O101" s="23"/>
      <c r="P101" s="23"/>
      <c r="Q101" s="4" t="str">
        <f t="shared" si="4"/>
        <v>1</v>
      </c>
      <c r="R101" s="20"/>
      <c r="S101" s="20"/>
    </row>
    <row r="102">
      <c r="A102" s="5" t="s">
        <v>369</v>
      </c>
      <c r="B102" s="5" t="s">
        <v>31</v>
      </c>
      <c r="C102" s="11" t="s">
        <v>370</v>
      </c>
      <c r="D102" s="7" t="s">
        <v>371</v>
      </c>
      <c r="E102" s="14"/>
      <c r="F102" s="29"/>
      <c r="G102" s="22">
        <v>5.0</v>
      </c>
      <c r="H102" s="23" t="str">
        <f>IFERROR(__xludf.DUMMYFUNCTION("iferror(iferror(iferror(index(IMPORTRANGE(""1NK5L1mviMn0j3D3uo53ASkIZOFRlLnqaCTnwzOG2_Wg"",""Direct Link!B2:B""),MATCH($C102,IMPORTRANGE(""1NK5L1mviMn0j3D3uo53ASkIZOFRlLnqaCTnwzOG2_Wg"",""Direct Link!A2:A""),0)),XLOOKUP($C102,IMPORTRANGE(""1NK5L1mviMn0j3D"&amp;"3uo53ASkIZOFRlLnqaCTnwzOG2_Wg"",""Direct links Without Sizes!A2:A""),IMPORTRANGE(""1NK5L1mviMn0j3D3uo53ASkIZOFRlLnqaCTnwzOG2_Wg"",""Direct links Without Sizes!B2:B""))),XLOOKUP($C102,IMPORTRANGE(""1NK5L1mviMn0j3D3uo53ASkIZOFRlLnqaCTnwzOG2_Wg"",""Direct li"&amp;"nks Without Sizes!D2:D""),IMPORTRANGE(""1NK5L1mviMn0j3D3uo53ASkIZOFRlLnqaCTnwzOG2_Wg"",""Direct links Without Sizes!E2:E""))),"""")"),"")</f>
        <v/>
      </c>
      <c r="I102" s="5"/>
      <c r="J102" s="24" t="str">
        <f t="shared" si="1"/>
        <v/>
      </c>
      <c r="K102" s="25"/>
      <c r="L102" s="24" t="str">
        <f t="shared" si="2"/>
        <v/>
      </c>
      <c r="M102" s="8"/>
      <c r="N102" s="23"/>
      <c r="O102" s="23"/>
      <c r="P102" s="23"/>
      <c r="Q102" s="4" t="str">
        <f t="shared" si="4"/>
        <v>1</v>
      </c>
      <c r="R102" s="20"/>
      <c r="S102" s="20"/>
    </row>
    <row r="103">
      <c r="A103" s="5"/>
      <c r="B103" s="5"/>
      <c r="C103" s="11"/>
      <c r="D103" s="7" t="str">
        <f>IFERROR(__xludf.DUMMYFUNCTION("iferror(iferror(INDEX(IMPORTRANGE(""12vtnxaE_Q1s4tyr10kZQx7ZF_xG0lBFae4jQEUtgsMU"",""All!B2:B""),MATCH($C103,IMPORTRANGE(""12vtnxaE_Q1s4tyr10kZQx7ZF_xG0lBFae4jQEUtgsMU"",""All!A2:A""),0)),INDEX(IMPORTRANGE(""13KC70HngS4DDi8y9E5khtSpQEPG6owaQ9z4E-tR5mnY"","&amp;"""Non-Food!B2:B""),MATCH($C103,IMPORTRANGE(""13KC70HngS4DDi8y9E5khtSpQEPG6owaQ9z4E-tR5mnY"",""Non-Food!A2:A""),0))),"""")"),"")</f>
        <v/>
      </c>
      <c r="E103" s="14"/>
      <c r="F103" s="29"/>
      <c r="G103" s="22"/>
      <c r="H103" s="23" t="str">
        <f>IFERROR(__xludf.DUMMYFUNCTION("iferror(iferror(iferror(index(IMPORTRANGE(""1NK5L1mviMn0j3D3uo53ASkIZOFRlLnqaCTnwzOG2_Wg"",""Direct Link!B2:B""),MATCH($C103,IMPORTRANGE(""1NK5L1mviMn0j3D3uo53ASkIZOFRlLnqaCTnwzOG2_Wg"",""Direct Link!A2:A""),0)),XLOOKUP($C103,IMPORTRANGE(""1NK5L1mviMn0j3D"&amp;"3uo53ASkIZOFRlLnqaCTnwzOG2_Wg"",""Direct links Without Sizes!A2:A""),IMPORTRANGE(""1NK5L1mviMn0j3D3uo53ASkIZOFRlLnqaCTnwzOG2_Wg"",""Direct links Without Sizes!B2:B""))),XLOOKUP($C103,IMPORTRANGE(""1NK5L1mviMn0j3D3uo53ASkIZOFRlLnqaCTnwzOG2_Wg"",""Direct li"&amp;"nks Without Sizes!D2:D""),IMPORTRANGE(""1NK5L1mviMn0j3D3uo53ASkIZOFRlLnqaCTnwzOG2_Wg"",""Direct links Without Sizes!E2:E""))),"""")"),"")</f>
        <v/>
      </c>
      <c r="I103" s="5"/>
      <c r="J103" s="24" t="str">
        <f t="shared" si="1"/>
        <v/>
      </c>
      <c r="K103" s="25"/>
      <c r="L103" s="24" t="str">
        <f t="shared" si="2"/>
        <v/>
      </c>
      <c r="M103" s="8"/>
      <c r="N103" s="23"/>
      <c r="O103" s="23"/>
      <c r="P103" s="23"/>
      <c r="Q103" s="4" t="str">
        <f t="shared" si="4"/>
        <v/>
      </c>
      <c r="R103" s="20"/>
      <c r="S103" s="20"/>
    </row>
    <row r="104">
      <c r="A104" s="5"/>
      <c r="B104" s="5"/>
      <c r="C104" s="11"/>
      <c r="D104" s="7" t="str">
        <f>IFERROR(__xludf.DUMMYFUNCTION("iferror(iferror(INDEX(IMPORTRANGE(""12vtnxaE_Q1s4tyr10kZQx7ZF_xG0lBFae4jQEUtgsMU"",""All!B2:B""),MATCH($C104,IMPORTRANGE(""12vtnxaE_Q1s4tyr10kZQx7ZF_xG0lBFae4jQEUtgsMU"",""All!A2:A""),0)),INDEX(IMPORTRANGE(""13KC70HngS4DDi8y9E5khtSpQEPG6owaQ9z4E-tR5mnY"","&amp;"""Non-Food!B2:B""),MATCH($C104,IMPORTRANGE(""13KC70HngS4DDi8y9E5khtSpQEPG6owaQ9z4E-tR5mnY"",""Non-Food!A2:A""),0))),"""")"),"")</f>
        <v/>
      </c>
      <c r="E104" s="14"/>
      <c r="F104" s="29"/>
      <c r="G104" s="22"/>
      <c r="H104" s="23" t="str">
        <f>IFERROR(__xludf.DUMMYFUNCTION("iferror(iferror(iferror(index(IMPORTRANGE(""1NK5L1mviMn0j3D3uo53ASkIZOFRlLnqaCTnwzOG2_Wg"",""Direct Link!B2:B""),MATCH($C104,IMPORTRANGE(""1NK5L1mviMn0j3D3uo53ASkIZOFRlLnqaCTnwzOG2_Wg"",""Direct Link!A2:A""),0)),XLOOKUP($C104,IMPORTRANGE(""1NK5L1mviMn0j3D"&amp;"3uo53ASkIZOFRlLnqaCTnwzOG2_Wg"",""Direct links Without Sizes!A2:A""),IMPORTRANGE(""1NK5L1mviMn0j3D3uo53ASkIZOFRlLnqaCTnwzOG2_Wg"",""Direct links Without Sizes!B2:B""))),XLOOKUP($C104,IMPORTRANGE(""1NK5L1mviMn0j3D3uo53ASkIZOFRlLnqaCTnwzOG2_Wg"",""Direct li"&amp;"nks Without Sizes!D2:D""),IMPORTRANGE(""1NK5L1mviMn0j3D3uo53ASkIZOFRlLnqaCTnwzOG2_Wg"",""Direct links Without Sizes!E2:E""))),"""")"),"")</f>
        <v/>
      </c>
      <c r="I104" s="5"/>
      <c r="J104" s="24" t="str">
        <f t="shared" si="1"/>
        <v/>
      </c>
      <c r="K104" s="25"/>
      <c r="L104" s="24" t="str">
        <f t="shared" si="2"/>
        <v/>
      </c>
      <c r="M104" s="4"/>
      <c r="N104" s="23"/>
      <c r="O104" s="23"/>
      <c r="P104" s="23"/>
      <c r="Q104" s="4" t="str">
        <f t="shared" si="4"/>
        <v/>
      </c>
      <c r="R104" s="20"/>
      <c r="S104" s="20"/>
    </row>
    <row r="105">
      <c r="A105" s="5"/>
      <c r="B105" s="5"/>
      <c r="C105" s="11"/>
      <c r="D105" s="7" t="str">
        <f>IFERROR(__xludf.DUMMYFUNCTION("iferror(iferror(INDEX(IMPORTRANGE(""12vtnxaE_Q1s4tyr10kZQx7ZF_xG0lBFae4jQEUtgsMU"",""All!B2:B""),MATCH($C105,IMPORTRANGE(""12vtnxaE_Q1s4tyr10kZQx7ZF_xG0lBFae4jQEUtgsMU"",""All!A2:A""),0)),INDEX(IMPORTRANGE(""13KC70HngS4DDi8y9E5khtSpQEPG6owaQ9z4E-tR5mnY"","&amp;"""Non-Food!B2:B""),MATCH($C105,IMPORTRANGE(""13KC70HngS4DDi8y9E5khtSpQEPG6owaQ9z4E-tR5mnY"",""Non-Food!A2:A""),0))),"""")"),"")</f>
        <v/>
      </c>
      <c r="E105" s="14"/>
      <c r="F105" s="29"/>
      <c r="G105" s="22"/>
      <c r="H105" s="23" t="str">
        <f>IFERROR(__xludf.DUMMYFUNCTION("iferror(iferror(iferror(index(IMPORTRANGE(""1NK5L1mviMn0j3D3uo53ASkIZOFRlLnqaCTnwzOG2_Wg"",""Direct Link!B2:B""),MATCH($C105,IMPORTRANGE(""1NK5L1mviMn0j3D3uo53ASkIZOFRlLnqaCTnwzOG2_Wg"",""Direct Link!A2:A""),0)),XLOOKUP($C105,IMPORTRANGE(""1NK5L1mviMn0j3D"&amp;"3uo53ASkIZOFRlLnqaCTnwzOG2_Wg"",""Direct links Without Sizes!A2:A""),IMPORTRANGE(""1NK5L1mviMn0j3D3uo53ASkIZOFRlLnqaCTnwzOG2_Wg"",""Direct links Without Sizes!B2:B""))),XLOOKUP($C105,IMPORTRANGE(""1NK5L1mviMn0j3D3uo53ASkIZOFRlLnqaCTnwzOG2_Wg"",""Direct li"&amp;"nks Without Sizes!D2:D""),IMPORTRANGE(""1NK5L1mviMn0j3D3uo53ASkIZOFRlLnqaCTnwzOG2_Wg"",""Direct links Without Sizes!E2:E""))),"""")"),"")</f>
        <v/>
      </c>
      <c r="I105" s="5"/>
      <c r="J105" s="24" t="str">
        <f t="shared" si="1"/>
        <v/>
      </c>
      <c r="K105" s="25"/>
      <c r="L105" s="24" t="str">
        <f t="shared" si="2"/>
        <v/>
      </c>
      <c r="M105" s="4"/>
      <c r="N105" s="23"/>
      <c r="O105" s="23"/>
      <c r="P105" s="23"/>
      <c r="Q105" s="4" t="str">
        <f t="shared" si="4"/>
        <v/>
      </c>
      <c r="R105" s="20"/>
      <c r="S105" s="20"/>
    </row>
    <row r="106">
      <c r="A106" s="5"/>
      <c r="B106" s="5"/>
      <c r="C106" s="11"/>
      <c r="D106" s="7" t="str">
        <f>IFERROR(__xludf.DUMMYFUNCTION("iferror(iferror(INDEX(IMPORTRANGE(""12vtnxaE_Q1s4tyr10kZQx7ZF_xG0lBFae4jQEUtgsMU"",""All!B2:B""),MATCH($C106,IMPORTRANGE(""12vtnxaE_Q1s4tyr10kZQx7ZF_xG0lBFae4jQEUtgsMU"",""All!A2:A""),0)),INDEX(IMPORTRANGE(""13KC70HngS4DDi8y9E5khtSpQEPG6owaQ9z4E-tR5mnY"","&amp;"""Non-Food!B2:B""),MATCH($C106,IMPORTRANGE(""13KC70HngS4DDi8y9E5khtSpQEPG6owaQ9z4E-tR5mnY"",""Non-Food!A2:A""),0))),"""")"),"")</f>
        <v/>
      </c>
      <c r="E106" s="14"/>
      <c r="F106" s="29"/>
      <c r="G106" s="22"/>
      <c r="H106" s="23" t="str">
        <f>IFERROR(__xludf.DUMMYFUNCTION("iferror(iferror(iferror(index(IMPORTRANGE(""1NK5L1mviMn0j3D3uo53ASkIZOFRlLnqaCTnwzOG2_Wg"",""Direct Link!B2:B""),MATCH($C106,IMPORTRANGE(""1NK5L1mviMn0j3D3uo53ASkIZOFRlLnqaCTnwzOG2_Wg"",""Direct Link!A2:A""),0)),XLOOKUP($C106,IMPORTRANGE(""1NK5L1mviMn0j3D"&amp;"3uo53ASkIZOFRlLnqaCTnwzOG2_Wg"",""Direct links Without Sizes!A2:A""),IMPORTRANGE(""1NK5L1mviMn0j3D3uo53ASkIZOFRlLnqaCTnwzOG2_Wg"",""Direct links Without Sizes!B2:B""))),XLOOKUP($C106,IMPORTRANGE(""1NK5L1mviMn0j3D3uo53ASkIZOFRlLnqaCTnwzOG2_Wg"",""Direct li"&amp;"nks Without Sizes!D2:D""),IMPORTRANGE(""1NK5L1mviMn0j3D3uo53ASkIZOFRlLnqaCTnwzOG2_Wg"",""Direct links Without Sizes!E2:E""))),"""")"),"")</f>
        <v/>
      </c>
      <c r="I106" s="5"/>
      <c r="J106" s="24" t="str">
        <f t="shared" si="1"/>
        <v/>
      </c>
      <c r="K106" s="25"/>
      <c r="L106" s="24" t="str">
        <f t="shared" si="2"/>
        <v/>
      </c>
      <c r="M106" s="4"/>
      <c r="N106" s="23"/>
      <c r="O106" s="23"/>
      <c r="P106" s="23"/>
      <c r="Q106" s="4" t="str">
        <f t="shared" si="4"/>
        <v/>
      </c>
      <c r="R106" s="20"/>
      <c r="S106" s="20"/>
    </row>
    <row r="107">
      <c r="A107" s="5"/>
      <c r="B107" s="5"/>
      <c r="C107" s="11"/>
      <c r="D107" s="7" t="str">
        <f>IFERROR(__xludf.DUMMYFUNCTION("iferror(iferror(INDEX(IMPORTRANGE(""12vtnxaE_Q1s4tyr10kZQx7ZF_xG0lBFae4jQEUtgsMU"",""All!B2:B""),MATCH($C107,IMPORTRANGE(""12vtnxaE_Q1s4tyr10kZQx7ZF_xG0lBFae4jQEUtgsMU"",""All!A2:A""),0)),INDEX(IMPORTRANGE(""13KC70HngS4DDi8y9E5khtSpQEPG6owaQ9z4E-tR5mnY"","&amp;"""Non-Food!B2:B""),MATCH($C107,IMPORTRANGE(""13KC70HngS4DDi8y9E5khtSpQEPG6owaQ9z4E-tR5mnY"",""Non-Food!A2:A""),0))),"""")"),"")</f>
        <v/>
      </c>
      <c r="E107" s="14"/>
      <c r="F107" s="29"/>
      <c r="G107" s="22"/>
      <c r="H107" s="23" t="str">
        <f>IFERROR(__xludf.DUMMYFUNCTION("iferror(iferror(iferror(index(IMPORTRANGE(""1NK5L1mviMn0j3D3uo53ASkIZOFRlLnqaCTnwzOG2_Wg"",""Direct Link!B2:B""),MATCH($C107,IMPORTRANGE(""1NK5L1mviMn0j3D3uo53ASkIZOFRlLnqaCTnwzOG2_Wg"",""Direct Link!A2:A""),0)),XLOOKUP($C107,IMPORTRANGE(""1NK5L1mviMn0j3D"&amp;"3uo53ASkIZOFRlLnqaCTnwzOG2_Wg"",""Direct links Without Sizes!A2:A""),IMPORTRANGE(""1NK5L1mviMn0j3D3uo53ASkIZOFRlLnqaCTnwzOG2_Wg"",""Direct links Without Sizes!B2:B""))),XLOOKUP($C107,IMPORTRANGE(""1NK5L1mviMn0j3D3uo53ASkIZOFRlLnqaCTnwzOG2_Wg"",""Direct li"&amp;"nks Without Sizes!D2:D""),IMPORTRANGE(""1NK5L1mviMn0j3D3uo53ASkIZOFRlLnqaCTnwzOG2_Wg"",""Direct links Without Sizes!E2:E""))),"""")"),"")</f>
        <v/>
      </c>
      <c r="I107" s="5"/>
      <c r="J107" s="24" t="str">
        <f t="shared" si="1"/>
        <v/>
      </c>
      <c r="K107" s="25"/>
      <c r="L107" s="24" t="str">
        <f t="shared" si="2"/>
        <v/>
      </c>
      <c r="M107" s="4"/>
      <c r="N107" s="23"/>
      <c r="O107" s="23"/>
      <c r="P107" s="23"/>
      <c r="Q107" s="4" t="str">
        <f t="shared" si="4"/>
        <v/>
      </c>
      <c r="R107" s="20"/>
      <c r="S107" s="20"/>
    </row>
    <row r="108">
      <c r="A108" s="5"/>
      <c r="B108" s="5"/>
      <c r="C108" s="11"/>
      <c r="D108" s="7" t="str">
        <f>IFERROR(__xludf.DUMMYFUNCTION("iferror(iferror(INDEX(IMPORTRANGE(""12vtnxaE_Q1s4tyr10kZQx7ZF_xG0lBFae4jQEUtgsMU"",""All!B2:B""),MATCH($C108,IMPORTRANGE(""12vtnxaE_Q1s4tyr10kZQx7ZF_xG0lBFae4jQEUtgsMU"",""All!A2:A""),0)),INDEX(IMPORTRANGE(""13KC70HngS4DDi8y9E5khtSpQEPG6owaQ9z4E-tR5mnY"","&amp;"""Non-Food!B2:B""),MATCH($C108,IMPORTRANGE(""13KC70HngS4DDi8y9E5khtSpQEPG6owaQ9z4E-tR5mnY"",""Non-Food!A2:A""),0))),"""")"),"")</f>
        <v/>
      </c>
      <c r="E108" s="14"/>
      <c r="F108" s="29"/>
      <c r="G108" s="22"/>
      <c r="H108" s="23" t="str">
        <f>IFERROR(__xludf.DUMMYFUNCTION("iferror(iferror(iferror(index(IMPORTRANGE(""1NK5L1mviMn0j3D3uo53ASkIZOFRlLnqaCTnwzOG2_Wg"",""Direct Link!B2:B""),MATCH($C108,IMPORTRANGE(""1NK5L1mviMn0j3D3uo53ASkIZOFRlLnqaCTnwzOG2_Wg"",""Direct Link!A2:A""),0)),XLOOKUP($C108,IMPORTRANGE(""1NK5L1mviMn0j3D"&amp;"3uo53ASkIZOFRlLnqaCTnwzOG2_Wg"",""Direct links Without Sizes!A2:A""),IMPORTRANGE(""1NK5L1mviMn0j3D3uo53ASkIZOFRlLnqaCTnwzOG2_Wg"",""Direct links Without Sizes!B2:B""))),XLOOKUP($C108,IMPORTRANGE(""1NK5L1mviMn0j3D3uo53ASkIZOFRlLnqaCTnwzOG2_Wg"",""Direct li"&amp;"nks Without Sizes!D2:D""),IMPORTRANGE(""1NK5L1mviMn0j3D3uo53ASkIZOFRlLnqaCTnwzOG2_Wg"",""Direct links Without Sizes!E2:E""))),"""")"),"")</f>
        <v/>
      </c>
      <c r="I108" s="5"/>
      <c r="J108" s="24" t="str">
        <f t="shared" si="1"/>
        <v/>
      </c>
      <c r="K108" s="25"/>
      <c r="L108" s="24" t="str">
        <f t="shared" si="2"/>
        <v/>
      </c>
      <c r="M108" s="4"/>
      <c r="N108" s="23"/>
      <c r="O108" s="23"/>
      <c r="P108" s="23"/>
      <c r="Q108" s="4" t="str">
        <f t="shared" si="4"/>
        <v/>
      </c>
      <c r="R108" s="20"/>
      <c r="S108" s="20"/>
    </row>
    <row r="109">
      <c r="A109" s="5"/>
      <c r="B109" s="5"/>
      <c r="C109" s="11"/>
      <c r="D109" s="7" t="str">
        <f>IFERROR(__xludf.DUMMYFUNCTION("iferror(iferror(INDEX(IMPORTRANGE(""12vtnxaE_Q1s4tyr10kZQx7ZF_xG0lBFae4jQEUtgsMU"",""All!B2:B""),MATCH($C109,IMPORTRANGE(""12vtnxaE_Q1s4tyr10kZQx7ZF_xG0lBFae4jQEUtgsMU"",""All!A2:A""),0)),INDEX(IMPORTRANGE(""13KC70HngS4DDi8y9E5khtSpQEPG6owaQ9z4E-tR5mnY"","&amp;"""Non-Food!B2:B""),MATCH($C109,IMPORTRANGE(""13KC70HngS4DDi8y9E5khtSpQEPG6owaQ9z4E-tR5mnY"",""Non-Food!A2:A""),0))),"""")"),"")</f>
        <v/>
      </c>
      <c r="E109" s="14"/>
      <c r="F109" s="29"/>
      <c r="G109" s="22"/>
      <c r="H109" s="23" t="str">
        <f>IFERROR(__xludf.DUMMYFUNCTION("iferror(iferror(iferror(index(IMPORTRANGE(""1NK5L1mviMn0j3D3uo53ASkIZOFRlLnqaCTnwzOG2_Wg"",""Direct Link!B2:B""),MATCH($C109,IMPORTRANGE(""1NK5L1mviMn0j3D3uo53ASkIZOFRlLnqaCTnwzOG2_Wg"",""Direct Link!A2:A""),0)),XLOOKUP($C109,IMPORTRANGE(""1NK5L1mviMn0j3D"&amp;"3uo53ASkIZOFRlLnqaCTnwzOG2_Wg"",""Direct links Without Sizes!A2:A""),IMPORTRANGE(""1NK5L1mviMn0j3D3uo53ASkIZOFRlLnqaCTnwzOG2_Wg"",""Direct links Without Sizes!B2:B""))),XLOOKUP($C109,IMPORTRANGE(""1NK5L1mviMn0j3D3uo53ASkIZOFRlLnqaCTnwzOG2_Wg"",""Direct li"&amp;"nks Without Sizes!D2:D""),IMPORTRANGE(""1NK5L1mviMn0j3D3uo53ASkIZOFRlLnqaCTnwzOG2_Wg"",""Direct links Without Sizes!E2:E""))),"""")"),"")</f>
        <v/>
      </c>
      <c r="I109" s="5"/>
      <c r="J109" s="24" t="str">
        <f t="shared" si="1"/>
        <v/>
      </c>
      <c r="K109" s="25"/>
      <c r="L109" s="24" t="str">
        <f t="shared" si="2"/>
        <v/>
      </c>
      <c r="M109" s="4"/>
      <c r="N109" s="23"/>
      <c r="O109" s="23"/>
      <c r="P109" s="23"/>
      <c r="Q109" s="4" t="str">
        <f t="shared" si="4"/>
        <v/>
      </c>
      <c r="R109" s="20"/>
      <c r="S109" s="20"/>
    </row>
    <row r="110">
      <c r="A110" s="5"/>
      <c r="B110" s="5"/>
      <c r="C110" s="11"/>
      <c r="D110" s="7" t="str">
        <f>IFERROR(__xludf.DUMMYFUNCTION("iferror(iferror(INDEX(IMPORTRANGE(""12vtnxaE_Q1s4tyr10kZQx7ZF_xG0lBFae4jQEUtgsMU"",""All!B2:B""),MATCH($C110,IMPORTRANGE(""12vtnxaE_Q1s4tyr10kZQx7ZF_xG0lBFae4jQEUtgsMU"",""All!A2:A""),0)),INDEX(IMPORTRANGE(""13KC70HngS4DDi8y9E5khtSpQEPG6owaQ9z4E-tR5mnY"","&amp;"""Non-Food!B2:B""),MATCH($C110,IMPORTRANGE(""13KC70HngS4DDi8y9E5khtSpQEPG6owaQ9z4E-tR5mnY"",""Non-Food!A2:A""),0))),"""")"),"")</f>
        <v/>
      </c>
      <c r="E110" s="14"/>
      <c r="F110" s="29"/>
      <c r="G110" s="22"/>
      <c r="H110" s="23" t="str">
        <f>IFERROR(__xludf.DUMMYFUNCTION("iferror(iferror(iferror(index(IMPORTRANGE(""1NK5L1mviMn0j3D3uo53ASkIZOFRlLnqaCTnwzOG2_Wg"",""Direct Link!B2:B""),MATCH($C110,IMPORTRANGE(""1NK5L1mviMn0j3D3uo53ASkIZOFRlLnqaCTnwzOG2_Wg"",""Direct Link!A2:A""),0)),XLOOKUP($C110,IMPORTRANGE(""1NK5L1mviMn0j3D"&amp;"3uo53ASkIZOFRlLnqaCTnwzOG2_Wg"",""Direct links Without Sizes!A2:A""),IMPORTRANGE(""1NK5L1mviMn0j3D3uo53ASkIZOFRlLnqaCTnwzOG2_Wg"",""Direct links Without Sizes!B2:B""))),XLOOKUP($C110,IMPORTRANGE(""1NK5L1mviMn0j3D3uo53ASkIZOFRlLnqaCTnwzOG2_Wg"",""Direct li"&amp;"nks Without Sizes!D2:D""),IMPORTRANGE(""1NK5L1mviMn0j3D3uo53ASkIZOFRlLnqaCTnwzOG2_Wg"",""Direct links Without Sizes!E2:E""))),"""")"),"")</f>
        <v/>
      </c>
      <c r="I110" s="4"/>
      <c r="J110" s="24" t="str">
        <f t="shared" si="1"/>
        <v/>
      </c>
      <c r="K110" s="25"/>
      <c r="L110" s="24" t="str">
        <f t="shared" si="2"/>
        <v/>
      </c>
      <c r="M110" s="4"/>
      <c r="N110" s="23"/>
      <c r="O110" s="23"/>
      <c r="P110" s="23"/>
      <c r="Q110" s="4" t="str">
        <f t="shared" si="4"/>
        <v/>
      </c>
      <c r="R110" s="20"/>
      <c r="S110" s="20"/>
    </row>
    <row r="111">
      <c r="A111" s="5"/>
      <c r="B111" s="5"/>
      <c r="C111" s="11"/>
      <c r="D111" s="7" t="str">
        <f>IFERROR(__xludf.DUMMYFUNCTION("iferror(iferror(INDEX(IMPORTRANGE(""12vtnxaE_Q1s4tyr10kZQx7ZF_xG0lBFae4jQEUtgsMU"",""All!B2:B""),MATCH($C111,IMPORTRANGE(""12vtnxaE_Q1s4tyr10kZQx7ZF_xG0lBFae4jQEUtgsMU"",""All!A2:A""),0)),INDEX(IMPORTRANGE(""13KC70HngS4DDi8y9E5khtSpQEPG6owaQ9z4E-tR5mnY"","&amp;"""Non-Food!B2:B""),MATCH($C111,IMPORTRANGE(""13KC70HngS4DDi8y9E5khtSpQEPG6owaQ9z4E-tR5mnY"",""Non-Food!A2:A""),0))),"""")"),"")</f>
        <v/>
      </c>
      <c r="E111" s="14"/>
      <c r="F111" s="29"/>
      <c r="G111" s="22"/>
      <c r="H111" s="23" t="str">
        <f>IFERROR(__xludf.DUMMYFUNCTION("iferror(iferror(iferror(index(IMPORTRANGE(""1NK5L1mviMn0j3D3uo53ASkIZOFRlLnqaCTnwzOG2_Wg"",""Direct Link!B2:B""),MATCH($C111,IMPORTRANGE(""1NK5L1mviMn0j3D3uo53ASkIZOFRlLnqaCTnwzOG2_Wg"",""Direct Link!A2:A""),0)),XLOOKUP($C111,IMPORTRANGE(""1NK5L1mviMn0j3D"&amp;"3uo53ASkIZOFRlLnqaCTnwzOG2_Wg"",""Direct links Without Sizes!A2:A""),IMPORTRANGE(""1NK5L1mviMn0j3D3uo53ASkIZOFRlLnqaCTnwzOG2_Wg"",""Direct links Without Sizes!B2:B""))),XLOOKUP($C111,IMPORTRANGE(""1NK5L1mviMn0j3D3uo53ASkIZOFRlLnqaCTnwzOG2_Wg"",""Direct li"&amp;"nks Without Sizes!D2:D""),IMPORTRANGE(""1NK5L1mviMn0j3D3uo53ASkIZOFRlLnqaCTnwzOG2_Wg"",""Direct links Without Sizes!E2:E""))),"""")"),"")</f>
        <v/>
      </c>
      <c r="I111" s="4"/>
      <c r="J111" s="24" t="str">
        <f t="shared" si="1"/>
        <v/>
      </c>
      <c r="K111" s="25"/>
      <c r="L111" s="24" t="str">
        <f t="shared" si="2"/>
        <v/>
      </c>
      <c r="M111" s="4"/>
      <c r="N111" s="23"/>
      <c r="O111" s="23"/>
      <c r="P111" s="23"/>
      <c r="Q111" s="4" t="str">
        <f t="shared" si="4"/>
        <v/>
      </c>
      <c r="R111" s="20"/>
      <c r="S111" s="20"/>
    </row>
    <row r="112">
      <c r="A112" s="5"/>
      <c r="B112" s="5"/>
      <c r="C112" s="11"/>
      <c r="D112" s="7" t="str">
        <f>IFERROR(__xludf.DUMMYFUNCTION("iferror(iferror(INDEX(IMPORTRANGE(""12vtnxaE_Q1s4tyr10kZQx7ZF_xG0lBFae4jQEUtgsMU"",""All!B2:B""),MATCH($C112,IMPORTRANGE(""12vtnxaE_Q1s4tyr10kZQx7ZF_xG0lBFae4jQEUtgsMU"",""All!A2:A""),0)),INDEX(IMPORTRANGE(""13KC70HngS4DDi8y9E5khtSpQEPG6owaQ9z4E-tR5mnY"","&amp;"""Non-Food!B2:B""),MATCH($C112,IMPORTRANGE(""13KC70HngS4DDi8y9E5khtSpQEPG6owaQ9z4E-tR5mnY"",""Non-Food!A2:A""),0))),"""")"),"")</f>
        <v/>
      </c>
      <c r="E112" s="14"/>
      <c r="F112" s="29"/>
      <c r="G112" s="22"/>
      <c r="H112" s="23" t="str">
        <f>IFERROR(__xludf.DUMMYFUNCTION("iferror(iferror(iferror(index(IMPORTRANGE(""1NK5L1mviMn0j3D3uo53ASkIZOFRlLnqaCTnwzOG2_Wg"",""Direct Link!B2:B""),MATCH($C112,IMPORTRANGE(""1NK5L1mviMn0j3D3uo53ASkIZOFRlLnqaCTnwzOG2_Wg"",""Direct Link!A2:A""),0)),XLOOKUP($C112,IMPORTRANGE(""1NK5L1mviMn0j3D"&amp;"3uo53ASkIZOFRlLnqaCTnwzOG2_Wg"",""Direct links Without Sizes!A2:A""),IMPORTRANGE(""1NK5L1mviMn0j3D3uo53ASkIZOFRlLnqaCTnwzOG2_Wg"",""Direct links Without Sizes!B2:B""))),XLOOKUP($C112,IMPORTRANGE(""1NK5L1mviMn0j3D3uo53ASkIZOFRlLnqaCTnwzOG2_Wg"",""Direct li"&amp;"nks Without Sizes!D2:D""),IMPORTRANGE(""1NK5L1mviMn0j3D3uo53ASkIZOFRlLnqaCTnwzOG2_Wg"",""Direct links Without Sizes!E2:E""))),"""")"),"")</f>
        <v/>
      </c>
      <c r="I112" s="4"/>
      <c r="J112" s="24" t="str">
        <f t="shared" si="1"/>
        <v/>
      </c>
      <c r="K112" s="25"/>
      <c r="L112" s="24" t="str">
        <f t="shared" si="2"/>
        <v/>
      </c>
      <c r="M112" s="4"/>
      <c r="N112" s="23"/>
      <c r="O112" s="23"/>
      <c r="P112" s="23"/>
      <c r="Q112" s="4" t="str">
        <f t="shared" si="4"/>
        <v/>
      </c>
      <c r="R112" s="20"/>
      <c r="S112" s="20"/>
    </row>
    <row r="113">
      <c r="A113" s="5"/>
      <c r="B113" s="5"/>
      <c r="C113" s="11"/>
      <c r="D113" s="7" t="str">
        <f>IFERROR(__xludf.DUMMYFUNCTION("iferror(iferror(INDEX(IMPORTRANGE(""12vtnxaE_Q1s4tyr10kZQx7ZF_xG0lBFae4jQEUtgsMU"",""All!B2:B""),MATCH($C113,IMPORTRANGE(""12vtnxaE_Q1s4tyr10kZQx7ZF_xG0lBFae4jQEUtgsMU"",""All!A2:A""),0)),INDEX(IMPORTRANGE(""13KC70HngS4DDi8y9E5khtSpQEPG6owaQ9z4E-tR5mnY"","&amp;"""Non-Food!B2:B""),MATCH($C113,IMPORTRANGE(""13KC70HngS4DDi8y9E5khtSpQEPG6owaQ9z4E-tR5mnY"",""Non-Food!A2:A""),0))),"""")"),"")</f>
        <v/>
      </c>
      <c r="E113" s="14"/>
      <c r="F113" s="29"/>
      <c r="G113" s="22"/>
      <c r="H113" s="23" t="str">
        <f>IFERROR(__xludf.DUMMYFUNCTION("iferror(iferror(iferror(index(IMPORTRANGE(""1NK5L1mviMn0j3D3uo53ASkIZOFRlLnqaCTnwzOG2_Wg"",""Direct Link!B2:B""),MATCH($C113,IMPORTRANGE(""1NK5L1mviMn0j3D3uo53ASkIZOFRlLnqaCTnwzOG2_Wg"",""Direct Link!A2:A""),0)),XLOOKUP($C113,IMPORTRANGE(""1NK5L1mviMn0j3D"&amp;"3uo53ASkIZOFRlLnqaCTnwzOG2_Wg"",""Direct links Without Sizes!A2:A""),IMPORTRANGE(""1NK5L1mviMn0j3D3uo53ASkIZOFRlLnqaCTnwzOG2_Wg"",""Direct links Without Sizes!B2:B""))),XLOOKUP($C113,IMPORTRANGE(""1NK5L1mviMn0j3D3uo53ASkIZOFRlLnqaCTnwzOG2_Wg"",""Direct li"&amp;"nks Without Sizes!D2:D""),IMPORTRANGE(""1NK5L1mviMn0j3D3uo53ASkIZOFRlLnqaCTnwzOG2_Wg"",""Direct links Without Sizes!E2:E""))),"""")"),"")</f>
        <v/>
      </c>
      <c r="I113" s="5"/>
      <c r="J113" s="24" t="str">
        <f t="shared" si="1"/>
        <v/>
      </c>
      <c r="K113" s="25"/>
      <c r="L113" s="24" t="str">
        <f t="shared" si="2"/>
        <v/>
      </c>
      <c r="M113" s="4"/>
      <c r="N113" s="23"/>
      <c r="O113" s="23"/>
      <c r="P113" s="23"/>
      <c r="Q113" s="4" t="str">
        <f t="shared" si="4"/>
        <v/>
      </c>
      <c r="R113" s="20"/>
      <c r="S113" s="20"/>
    </row>
    <row r="114">
      <c r="A114" s="5"/>
      <c r="B114" s="5"/>
      <c r="C114" s="11"/>
      <c r="D114" s="7" t="str">
        <f>IFERROR(__xludf.DUMMYFUNCTION("iferror(iferror(INDEX(IMPORTRANGE(""12vtnxaE_Q1s4tyr10kZQx7ZF_xG0lBFae4jQEUtgsMU"",""All!B2:B""),MATCH($C114,IMPORTRANGE(""12vtnxaE_Q1s4tyr10kZQx7ZF_xG0lBFae4jQEUtgsMU"",""All!A2:A""),0)),INDEX(IMPORTRANGE(""13KC70HngS4DDi8y9E5khtSpQEPG6owaQ9z4E-tR5mnY"","&amp;"""Non-Food!B2:B""),MATCH($C114,IMPORTRANGE(""13KC70HngS4DDi8y9E5khtSpQEPG6owaQ9z4E-tR5mnY"",""Non-Food!A2:A""),0))),"""")"),"")</f>
        <v/>
      </c>
      <c r="E114" s="14"/>
      <c r="F114" s="29"/>
      <c r="G114" s="22"/>
      <c r="H114" s="23" t="str">
        <f>IFERROR(__xludf.DUMMYFUNCTION("iferror(iferror(iferror(index(IMPORTRANGE(""1NK5L1mviMn0j3D3uo53ASkIZOFRlLnqaCTnwzOG2_Wg"",""Direct Link!B2:B""),MATCH($C114,IMPORTRANGE(""1NK5L1mviMn0j3D3uo53ASkIZOFRlLnqaCTnwzOG2_Wg"",""Direct Link!A2:A""),0)),XLOOKUP($C114,IMPORTRANGE(""1NK5L1mviMn0j3D"&amp;"3uo53ASkIZOFRlLnqaCTnwzOG2_Wg"",""Direct links Without Sizes!A2:A""),IMPORTRANGE(""1NK5L1mviMn0j3D3uo53ASkIZOFRlLnqaCTnwzOG2_Wg"",""Direct links Without Sizes!B2:B""))),XLOOKUP($C114,IMPORTRANGE(""1NK5L1mviMn0j3D3uo53ASkIZOFRlLnqaCTnwzOG2_Wg"",""Direct li"&amp;"nks Without Sizes!D2:D""),IMPORTRANGE(""1NK5L1mviMn0j3D3uo53ASkIZOFRlLnqaCTnwzOG2_Wg"",""Direct links Without Sizes!E2:E""))),"""")"),"")</f>
        <v/>
      </c>
      <c r="I114" s="5"/>
      <c r="J114" s="24" t="str">
        <f t="shared" si="1"/>
        <v/>
      </c>
      <c r="K114" s="25"/>
      <c r="L114" s="24" t="str">
        <f t="shared" si="2"/>
        <v/>
      </c>
      <c r="M114" s="4"/>
      <c r="N114" s="23"/>
      <c r="O114" s="23"/>
      <c r="P114" s="23"/>
      <c r="Q114" s="4" t="str">
        <f t="shared" si="4"/>
        <v/>
      </c>
      <c r="R114" s="20"/>
      <c r="S114" s="20"/>
    </row>
    <row r="115">
      <c r="A115" s="5"/>
      <c r="B115" s="5"/>
      <c r="C115" s="11"/>
      <c r="D115" s="7" t="str">
        <f>IFERROR(__xludf.DUMMYFUNCTION("iferror(iferror(INDEX(IMPORTRANGE(""12vtnxaE_Q1s4tyr10kZQx7ZF_xG0lBFae4jQEUtgsMU"",""All!B2:B""),MATCH($C115,IMPORTRANGE(""12vtnxaE_Q1s4tyr10kZQx7ZF_xG0lBFae4jQEUtgsMU"",""All!A2:A""),0)),INDEX(IMPORTRANGE(""13KC70HngS4DDi8y9E5khtSpQEPG6owaQ9z4E-tR5mnY"","&amp;"""Non-Food!B2:B""),MATCH($C115,IMPORTRANGE(""13KC70HngS4DDi8y9E5khtSpQEPG6owaQ9z4E-tR5mnY"",""Non-Food!A2:A""),0))),"""")"),"")</f>
        <v/>
      </c>
      <c r="E115" s="14"/>
      <c r="F115" s="29"/>
      <c r="G115" s="22"/>
      <c r="H115" s="23" t="str">
        <f>IFERROR(__xludf.DUMMYFUNCTION("iferror(iferror(iferror(index(IMPORTRANGE(""1NK5L1mviMn0j3D3uo53ASkIZOFRlLnqaCTnwzOG2_Wg"",""Direct Link!B2:B""),MATCH($C115,IMPORTRANGE(""1NK5L1mviMn0j3D3uo53ASkIZOFRlLnqaCTnwzOG2_Wg"",""Direct Link!A2:A""),0)),XLOOKUP($C115,IMPORTRANGE(""1NK5L1mviMn0j3D"&amp;"3uo53ASkIZOFRlLnqaCTnwzOG2_Wg"",""Direct links Without Sizes!A2:A""),IMPORTRANGE(""1NK5L1mviMn0j3D3uo53ASkIZOFRlLnqaCTnwzOG2_Wg"",""Direct links Without Sizes!B2:B""))),XLOOKUP($C115,IMPORTRANGE(""1NK5L1mviMn0j3D3uo53ASkIZOFRlLnqaCTnwzOG2_Wg"",""Direct li"&amp;"nks Without Sizes!D2:D""),IMPORTRANGE(""1NK5L1mviMn0j3D3uo53ASkIZOFRlLnqaCTnwzOG2_Wg"",""Direct links Without Sizes!E2:E""))),"""")"),"")</f>
        <v/>
      </c>
      <c r="I115" s="5"/>
      <c r="J115" s="24" t="str">
        <f t="shared" si="1"/>
        <v/>
      </c>
      <c r="K115" s="25"/>
      <c r="L115" s="24" t="str">
        <f t="shared" si="2"/>
        <v/>
      </c>
      <c r="M115" s="4"/>
      <c r="N115" s="23"/>
      <c r="O115" s="23"/>
      <c r="P115" s="23"/>
      <c r="Q115" s="4" t="str">
        <f t="shared" si="4"/>
        <v/>
      </c>
      <c r="R115" s="20"/>
      <c r="S115" s="20"/>
    </row>
    <row r="116">
      <c r="A116" s="5"/>
      <c r="B116" s="5"/>
      <c r="C116" s="11"/>
      <c r="D116" s="7" t="str">
        <f>IFERROR(__xludf.DUMMYFUNCTION("iferror(iferror(INDEX(IMPORTRANGE(""12vtnxaE_Q1s4tyr10kZQx7ZF_xG0lBFae4jQEUtgsMU"",""All!B2:B""),MATCH($C116,IMPORTRANGE(""12vtnxaE_Q1s4tyr10kZQx7ZF_xG0lBFae4jQEUtgsMU"",""All!A2:A""),0)),INDEX(IMPORTRANGE(""13KC70HngS4DDi8y9E5khtSpQEPG6owaQ9z4E-tR5mnY"","&amp;"""Non-Food!B2:B""),MATCH($C116,IMPORTRANGE(""13KC70HngS4DDi8y9E5khtSpQEPG6owaQ9z4E-tR5mnY"",""Non-Food!A2:A""),0))),"""")"),"")</f>
        <v/>
      </c>
      <c r="E116" s="14"/>
      <c r="F116" s="29"/>
      <c r="G116" s="22"/>
      <c r="H116" s="23" t="str">
        <f>IFERROR(__xludf.DUMMYFUNCTION("iferror(iferror(iferror(index(IMPORTRANGE(""1NK5L1mviMn0j3D3uo53ASkIZOFRlLnqaCTnwzOG2_Wg"",""Direct Link!B2:B""),MATCH($C116,IMPORTRANGE(""1NK5L1mviMn0j3D3uo53ASkIZOFRlLnqaCTnwzOG2_Wg"",""Direct Link!A2:A""),0)),XLOOKUP($C116,IMPORTRANGE(""1NK5L1mviMn0j3D"&amp;"3uo53ASkIZOFRlLnqaCTnwzOG2_Wg"",""Direct links Without Sizes!A2:A""),IMPORTRANGE(""1NK5L1mviMn0j3D3uo53ASkIZOFRlLnqaCTnwzOG2_Wg"",""Direct links Without Sizes!B2:B""))),XLOOKUP($C116,IMPORTRANGE(""1NK5L1mviMn0j3D3uo53ASkIZOFRlLnqaCTnwzOG2_Wg"",""Direct li"&amp;"nks Without Sizes!D2:D""),IMPORTRANGE(""1NK5L1mviMn0j3D3uo53ASkIZOFRlLnqaCTnwzOG2_Wg"",""Direct links Without Sizes!E2:E""))),"""")"),"")</f>
        <v/>
      </c>
      <c r="I116" s="5"/>
      <c r="J116" s="24" t="str">
        <f t="shared" si="1"/>
        <v/>
      </c>
      <c r="K116" s="25"/>
      <c r="L116" s="24" t="str">
        <f t="shared" si="2"/>
        <v/>
      </c>
      <c r="M116" s="4"/>
      <c r="N116" s="23"/>
      <c r="O116" s="23"/>
      <c r="P116" s="23"/>
      <c r="Q116" s="4" t="str">
        <f t="shared" si="4"/>
        <v/>
      </c>
      <c r="R116" s="20"/>
      <c r="S116" s="20"/>
    </row>
    <row r="117">
      <c r="A117" s="5"/>
      <c r="B117" s="5"/>
      <c r="C117" s="11"/>
      <c r="D117" s="7" t="str">
        <f>IFERROR(__xludf.DUMMYFUNCTION("iferror(iferror(INDEX(IMPORTRANGE(""12vtnxaE_Q1s4tyr10kZQx7ZF_xG0lBFae4jQEUtgsMU"",""All!B2:B""),MATCH($C117,IMPORTRANGE(""12vtnxaE_Q1s4tyr10kZQx7ZF_xG0lBFae4jQEUtgsMU"",""All!A2:A""),0)),INDEX(IMPORTRANGE(""13KC70HngS4DDi8y9E5khtSpQEPG6owaQ9z4E-tR5mnY"","&amp;"""Non-Food!B2:B""),MATCH($C117,IMPORTRANGE(""13KC70HngS4DDi8y9E5khtSpQEPG6owaQ9z4E-tR5mnY"",""Non-Food!A2:A""),0))),"""")"),"")</f>
        <v/>
      </c>
      <c r="E117" s="14"/>
      <c r="F117" s="29"/>
      <c r="G117" s="22"/>
      <c r="H117" s="23" t="str">
        <f>IFERROR(__xludf.DUMMYFUNCTION("iferror(iferror(iferror(index(IMPORTRANGE(""1NK5L1mviMn0j3D3uo53ASkIZOFRlLnqaCTnwzOG2_Wg"",""Direct Link!B2:B""),MATCH($C117,IMPORTRANGE(""1NK5L1mviMn0j3D3uo53ASkIZOFRlLnqaCTnwzOG2_Wg"",""Direct Link!A2:A""),0)),XLOOKUP($C117,IMPORTRANGE(""1NK5L1mviMn0j3D"&amp;"3uo53ASkIZOFRlLnqaCTnwzOG2_Wg"",""Direct links Without Sizes!A2:A""),IMPORTRANGE(""1NK5L1mviMn0j3D3uo53ASkIZOFRlLnqaCTnwzOG2_Wg"",""Direct links Without Sizes!B2:B""))),XLOOKUP($C117,IMPORTRANGE(""1NK5L1mviMn0j3D3uo53ASkIZOFRlLnqaCTnwzOG2_Wg"",""Direct li"&amp;"nks Without Sizes!D2:D""),IMPORTRANGE(""1NK5L1mviMn0j3D3uo53ASkIZOFRlLnqaCTnwzOG2_Wg"",""Direct links Without Sizes!E2:E""))),"""")"),"")</f>
        <v/>
      </c>
      <c r="I117" s="5"/>
      <c r="J117" s="24" t="str">
        <f t="shared" si="1"/>
        <v/>
      </c>
      <c r="K117" s="25"/>
      <c r="L117" s="24" t="str">
        <f t="shared" si="2"/>
        <v/>
      </c>
      <c r="M117" s="4"/>
      <c r="N117" s="23"/>
      <c r="O117" s="23"/>
      <c r="P117" s="23"/>
      <c r="Q117" s="4" t="str">
        <f t="shared" si="4"/>
        <v/>
      </c>
      <c r="R117" s="20"/>
      <c r="S117" s="20"/>
    </row>
    <row r="118">
      <c r="A118" s="5"/>
      <c r="B118" s="5"/>
      <c r="C118" s="11"/>
      <c r="D118" s="7" t="str">
        <f>IFERROR(__xludf.DUMMYFUNCTION("iferror(iferror(INDEX(IMPORTRANGE(""12vtnxaE_Q1s4tyr10kZQx7ZF_xG0lBFae4jQEUtgsMU"",""All!B2:B""),MATCH($C118,IMPORTRANGE(""12vtnxaE_Q1s4tyr10kZQx7ZF_xG0lBFae4jQEUtgsMU"",""All!A2:A""),0)),INDEX(IMPORTRANGE(""13KC70HngS4DDi8y9E5khtSpQEPG6owaQ9z4E-tR5mnY"","&amp;"""Non-Food!B2:B""),MATCH($C118,IMPORTRANGE(""13KC70HngS4DDi8y9E5khtSpQEPG6owaQ9z4E-tR5mnY"",""Non-Food!A2:A""),0))),"""")"),"")</f>
        <v/>
      </c>
      <c r="E118" s="14"/>
      <c r="F118" s="29"/>
      <c r="G118" s="22"/>
      <c r="H118" s="23" t="str">
        <f>IFERROR(__xludf.DUMMYFUNCTION("iferror(iferror(iferror(index(IMPORTRANGE(""1NK5L1mviMn0j3D3uo53ASkIZOFRlLnqaCTnwzOG2_Wg"",""Direct Link!B2:B""),MATCH($C118,IMPORTRANGE(""1NK5L1mviMn0j3D3uo53ASkIZOFRlLnqaCTnwzOG2_Wg"",""Direct Link!A2:A""),0)),XLOOKUP($C118,IMPORTRANGE(""1NK5L1mviMn0j3D"&amp;"3uo53ASkIZOFRlLnqaCTnwzOG2_Wg"",""Direct links Without Sizes!A2:A""),IMPORTRANGE(""1NK5L1mviMn0j3D3uo53ASkIZOFRlLnqaCTnwzOG2_Wg"",""Direct links Without Sizes!B2:B""))),XLOOKUP($C118,IMPORTRANGE(""1NK5L1mviMn0j3D3uo53ASkIZOFRlLnqaCTnwzOG2_Wg"",""Direct li"&amp;"nks Without Sizes!D2:D""),IMPORTRANGE(""1NK5L1mviMn0j3D3uo53ASkIZOFRlLnqaCTnwzOG2_Wg"",""Direct links Without Sizes!E2:E""))),"""")"),"")</f>
        <v/>
      </c>
      <c r="I118" s="5"/>
      <c r="J118" s="24" t="str">
        <f t="shared" si="1"/>
        <v/>
      </c>
      <c r="K118" s="25"/>
      <c r="L118" s="24" t="str">
        <f t="shared" si="2"/>
        <v/>
      </c>
      <c r="M118" s="4"/>
      <c r="N118" s="23"/>
      <c r="O118" s="23"/>
      <c r="P118" s="23"/>
      <c r="Q118" s="4" t="str">
        <f t="shared" si="4"/>
        <v/>
      </c>
      <c r="R118" s="20"/>
      <c r="S118" s="20"/>
    </row>
    <row r="119">
      <c r="A119" s="5"/>
      <c r="B119" s="5"/>
      <c r="C119" s="11"/>
      <c r="D119" s="7" t="str">
        <f>IFERROR(__xludf.DUMMYFUNCTION("iferror(iferror(INDEX(IMPORTRANGE(""12vtnxaE_Q1s4tyr10kZQx7ZF_xG0lBFae4jQEUtgsMU"",""All!B2:B""),MATCH($C119,IMPORTRANGE(""12vtnxaE_Q1s4tyr10kZQx7ZF_xG0lBFae4jQEUtgsMU"",""All!A2:A""),0)),INDEX(IMPORTRANGE(""13KC70HngS4DDi8y9E5khtSpQEPG6owaQ9z4E-tR5mnY"","&amp;"""Non-Food!B2:B""),MATCH($C119,IMPORTRANGE(""13KC70HngS4DDi8y9E5khtSpQEPG6owaQ9z4E-tR5mnY"",""Non-Food!A2:A""),0))),"""")"),"")</f>
        <v/>
      </c>
      <c r="E119" s="14"/>
      <c r="F119" s="29"/>
      <c r="G119" s="22"/>
      <c r="H119" s="23" t="str">
        <f>IFERROR(__xludf.DUMMYFUNCTION("iferror(iferror(iferror(index(IMPORTRANGE(""1NK5L1mviMn0j3D3uo53ASkIZOFRlLnqaCTnwzOG2_Wg"",""Direct Link!B2:B""),MATCH($C119,IMPORTRANGE(""1NK5L1mviMn0j3D3uo53ASkIZOFRlLnqaCTnwzOG2_Wg"",""Direct Link!A2:A""),0)),XLOOKUP($C119,IMPORTRANGE(""1NK5L1mviMn0j3D"&amp;"3uo53ASkIZOFRlLnqaCTnwzOG2_Wg"",""Direct links Without Sizes!A2:A""),IMPORTRANGE(""1NK5L1mviMn0j3D3uo53ASkIZOFRlLnqaCTnwzOG2_Wg"",""Direct links Without Sizes!B2:B""))),XLOOKUP($C119,IMPORTRANGE(""1NK5L1mviMn0j3D3uo53ASkIZOFRlLnqaCTnwzOG2_Wg"",""Direct li"&amp;"nks Without Sizes!D2:D""),IMPORTRANGE(""1NK5L1mviMn0j3D3uo53ASkIZOFRlLnqaCTnwzOG2_Wg"",""Direct links Without Sizes!E2:E""))),"""")"),"")</f>
        <v/>
      </c>
      <c r="I119" s="5"/>
      <c r="J119" s="24" t="str">
        <f t="shared" si="1"/>
        <v/>
      </c>
      <c r="K119" s="25"/>
      <c r="L119" s="24" t="str">
        <f t="shared" si="2"/>
        <v/>
      </c>
      <c r="M119" s="4"/>
      <c r="N119" s="23"/>
      <c r="O119" s="23"/>
      <c r="P119" s="23"/>
      <c r="Q119" s="4" t="str">
        <f t="shared" si="4"/>
        <v/>
      </c>
      <c r="R119" s="20"/>
      <c r="S119" s="20"/>
    </row>
    <row r="120">
      <c r="A120" s="5"/>
      <c r="B120" s="5"/>
      <c r="C120" s="11"/>
      <c r="D120" s="7" t="str">
        <f>IFERROR(__xludf.DUMMYFUNCTION("iferror(iferror(INDEX(IMPORTRANGE(""12vtnxaE_Q1s4tyr10kZQx7ZF_xG0lBFae4jQEUtgsMU"",""All!B2:B""),MATCH($C120,IMPORTRANGE(""12vtnxaE_Q1s4tyr10kZQx7ZF_xG0lBFae4jQEUtgsMU"",""All!A2:A""),0)),INDEX(IMPORTRANGE(""13KC70HngS4DDi8y9E5khtSpQEPG6owaQ9z4E-tR5mnY"","&amp;"""Non-Food!B2:B""),MATCH($C120,IMPORTRANGE(""13KC70HngS4DDi8y9E5khtSpQEPG6owaQ9z4E-tR5mnY"",""Non-Food!A2:A""),0))),"""")"),"")</f>
        <v/>
      </c>
      <c r="E120" s="14"/>
      <c r="F120" s="29"/>
      <c r="G120" s="22"/>
      <c r="H120" s="23" t="str">
        <f>IFERROR(__xludf.DUMMYFUNCTION("iferror(iferror(iferror(index(IMPORTRANGE(""1NK5L1mviMn0j3D3uo53ASkIZOFRlLnqaCTnwzOG2_Wg"",""Direct Link!B2:B""),MATCH($C120,IMPORTRANGE(""1NK5L1mviMn0j3D3uo53ASkIZOFRlLnqaCTnwzOG2_Wg"",""Direct Link!A2:A""),0)),XLOOKUP($C120,IMPORTRANGE(""1NK5L1mviMn0j3D"&amp;"3uo53ASkIZOFRlLnqaCTnwzOG2_Wg"",""Direct links Without Sizes!A2:A""),IMPORTRANGE(""1NK5L1mviMn0j3D3uo53ASkIZOFRlLnqaCTnwzOG2_Wg"",""Direct links Without Sizes!B2:B""))),XLOOKUP($C120,IMPORTRANGE(""1NK5L1mviMn0j3D3uo53ASkIZOFRlLnqaCTnwzOG2_Wg"",""Direct li"&amp;"nks Without Sizes!D2:D""),IMPORTRANGE(""1NK5L1mviMn0j3D3uo53ASkIZOFRlLnqaCTnwzOG2_Wg"",""Direct links Without Sizes!E2:E""))),"""")"),"")</f>
        <v/>
      </c>
      <c r="I120" s="5"/>
      <c r="J120" s="24" t="str">
        <f t="shared" si="1"/>
        <v/>
      </c>
      <c r="K120" s="25"/>
      <c r="L120" s="24" t="str">
        <f t="shared" si="2"/>
        <v/>
      </c>
      <c r="M120" s="4"/>
      <c r="N120" s="23"/>
      <c r="O120" s="23"/>
      <c r="P120" s="23"/>
      <c r="Q120" s="4" t="str">
        <f t="shared" si="4"/>
        <v/>
      </c>
      <c r="R120" s="20"/>
      <c r="S120" s="20"/>
    </row>
    <row r="121">
      <c r="A121" s="5"/>
      <c r="B121" s="5"/>
      <c r="C121" s="11"/>
      <c r="D121" s="7" t="str">
        <f>IFERROR(__xludf.DUMMYFUNCTION("iferror(iferror(INDEX(IMPORTRANGE(""12vtnxaE_Q1s4tyr10kZQx7ZF_xG0lBFae4jQEUtgsMU"",""All!B2:B""),MATCH($C121,IMPORTRANGE(""12vtnxaE_Q1s4tyr10kZQx7ZF_xG0lBFae4jQEUtgsMU"",""All!A2:A""),0)),INDEX(IMPORTRANGE(""13KC70HngS4DDi8y9E5khtSpQEPG6owaQ9z4E-tR5mnY"","&amp;"""Non-Food!B2:B""),MATCH($C121,IMPORTRANGE(""13KC70HngS4DDi8y9E5khtSpQEPG6owaQ9z4E-tR5mnY"",""Non-Food!A2:A""),0))),"""")"),"")</f>
        <v/>
      </c>
      <c r="E121" s="14"/>
      <c r="F121" s="29"/>
      <c r="G121" s="22"/>
      <c r="H121" s="23" t="str">
        <f>IFERROR(__xludf.DUMMYFUNCTION("iferror(iferror(iferror(index(IMPORTRANGE(""1NK5L1mviMn0j3D3uo53ASkIZOFRlLnqaCTnwzOG2_Wg"",""Direct Link!B2:B""),MATCH($C121,IMPORTRANGE(""1NK5L1mviMn0j3D3uo53ASkIZOFRlLnqaCTnwzOG2_Wg"",""Direct Link!A2:A""),0)),XLOOKUP($C121,IMPORTRANGE(""1NK5L1mviMn0j3D"&amp;"3uo53ASkIZOFRlLnqaCTnwzOG2_Wg"",""Direct links Without Sizes!A2:A""),IMPORTRANGE(""1NK5L1mviMn0j3D3uo53ASkIZOFRlLnqaCTnwzOG2_Wg"",""Direct links Without Sizes!B2:B""))),XLOOKUP($C121,IMPORTRANGE(""1NK5L1mviMn0j3D3uo53ASkIZOFRlLnqaCTnwzOG2_Wg"",""Direct li"&amp;"nks Without Sizes!D2:D""),IMPORTRANGE(""1NK5L1mviMn0j3D3uo53ASkIZOFRlLnqaCTnwzOG2_Wg"",""Direct links Without Sizes!E2:E""))),"""")"),"")</f>
        <v/>
      </c>
      <c r="I121" s="5"/>
      <c r="J121" s="24" t="str">
        <f t="shared" si="1"/>
        <v/>
      </c>
      <c r="K121" s="25"/>
      <c r="L121" s="24" t="str">
        <f t="shared" si="2"/>
        <v/>
      </c>
      <c r="M121" s="4"/>
      <c r="N121" s="23"/>
      <c r="O121" s="23"/>
      <c r="P121" s="23"/>
      <c r="Q121" s="4" t="str">
        <f t="shared" si="4"/>
        <v/>
      </c>
      <c r="R121" s="20"/>
      <c r="S121" s="20"/>
    </row>
    <row r="122">
      <c r="A122" s="5"/>
      <c r="B122" s="5"/>
      <c r="C122" s="11"/>
      <c r="D122" s="7" t="str">
        <f>IFERROR(__xludf.DUMMYFUNCTION("iferror(iferror(INDEX(IMPORTRANGE(""12vtnxaE_Q1s4tyr10kZQx7ZF_xG0lBFae4jQEUtgsMU"",""All!B2:B""),MATCH($C122,IMPORTRANGE(""12vtnxaE_Q1s4tyr10kZQx7ZF_xG0lBFae4jQEUtgsMU"",""All!A2:A""),0)),INDEX(IMPORTRANGE(""13KC70HngS4DDi8y9E5khtSpQEPG6owaQ9z4E-tR5mnY"","&amp;"""Non-Food!B2:B""),MATCH($C122,IMPORTRANGE(""13KC70HngS4DDi8y9E5khtSpQEPG6owaQ9z4E-tR5mnY"",""Non-Food!A2:A""),0))),"""")"),"")</f>
        <v/>
      </c>
      <c r="E122" s="14"/>
      <c r="F122" s="29"/>
      <c r="G122" s="22"/>
      <c r="H122" s="23" t="str">
        <f>IFERROR(__xludf.DUMMYFUNCTION("iferror(iferror(iferror(index(IMPORTRANGE(""1NK5L1mviMn0j3D3uo53ASkIZOFRlLnqaCTnwzOG2_Wg"",""Direct Link!B2:B""),MATCH($C122,IMPORTRANGE(""1NK5L1mviMn0j3D3uo53ASkIZOFRlLnqaCTnwzOG2_Wg"",""Direct Link!A2:A""),0)),XLOOKUP($C122,IMPORTRANGE(""1NK5L1mviMn0j3D"&amp;"3uo53ASkIZOFRlLnqaCTnwzOG2_Wg"",""Direct links Without Sizes!A2:A""),IMPORTRANGE(""1NK5L1mviMn0j3D3uo53ASkIZOFRlLnqaCTnwzOG2_Wg"",""Direct links Without Sizes!B2:B""))),XLOOKUP($C122,IMPORTRANGE(""1NK5L1mviMn0j3D3uo53ASkIZOFRlLnqaCTnwzOG2_Wg"",""Direct li"&amp;"nks Without Sizes!D2:D""),IMPORTRANGE(""1NK5L1mviMn0j3D3uo53ASkIZOFRlLnqaCTnwzOG2_Wg"",""Direct links Without Sizes!E2:E""))),"""")"),"")</f>
        <v/>
      </c>
      <c r="I122" s="4"/>
      <c r="J122" s="24" t="str">
        <f t="shared" si="1"/>
        <v/>
      </c>
      <c r="K122" s="25"/>
      <c r="L122" s="24" t="str">
        <f t="shared" si="2"/>
        <v/>
      </c>
      <c r="M122" s="4"/>
      <c r="N122" s="23"/>
      <c r="O122" s="23"/>
      <c r="P122" s="23"/>
      <c r="Q122" s="4" t="str">
        <f t="shared" si="4"/>
        <v/>
      </c>
      <c r="R122" s="20"/>
      <c r="S122" s="20"/>
    </row>
    <row r="123">
      <c r="A123" s="5"/>
      <c r="B123" s="5"/>
      <c r="C123" s="11"/>
      <c r="D123" s="7" t="str">
        <f>IFERROR(__xludf.DUMMYFUNCTION("iferror(iferror(INDEX(IMPORTRANGE(""12vtnxaE_Q1s4tyr10kZQx7ZF_xG0lBFae4jQEUtgsMU"",""All!B2:B""),MATCH($C123,IMPORTRANGE(""12vtnxaE_Q1s4tyr10kZQx7ZF_xG0lBFae4jQEUtgsMU"",""All!A2:A""),0)),INDEX(IMPORTRANGE(""13KC70HngS4DDi8y9E5khtSpQEPG6owaQ9z4E-tR5mnY"","&amp;"""Non-Food!B2:B""),MATCH($C123,IMPORTRANGE(""13KC70HngS4DDi8y9E5khtSpQEPG6owaQ9z4E-tR5mnY"",""Non-Food!A2:A""),0))),"""")"),"")</f>
        <v/>
      </c>
      <c r="E123" s="14"/>
      <c r="F123" s="29"/>
      <c r="G123" s="22"/>
      <c r="H123" s="23" t="str">
        <f>IFERROR(__xludf.DUMMYFUNCTION("iferror(iferror(iferror(index(IMPORTRANGE(""1NK5L1mviMn0j3D3uo53ASkIZOFRlLnqaCTnwzOG2_Wg"",""Direct Link!B2:B""),MATCH($C123,IMPORTRANGE(""1NK5L1mviMn0j3D3uo53ASkIZOFRlLnqaCTnwzOG2_Wg"",""Direct Link!A2:A""),0)),XLOOKUP($C123,IMPORTRANGE(""1NK5L1mviMn0j3D"&amp;"3uo53ASkIZOFRlLnqaCTnwzOG2_Wg"",""Direct links Without Sizes!A2:A""),IMPORTRANGE(""1NK5L1mviMn0j3D3uo53ASkIZOFRlLnqaCTnwzOG2_Wg"",""Direct links Without Sizes!B2:B""))),XLOOKUP($C123,IMPORTRANGE(""1NK5L1mviMn0j3D3uo53ASkIZOFRlLnqaCTnwzOG2_Wg"",""Direct li"&amp;"nks Without Sizes!D2:D""),IMPORTRANGE(""1NK5L1mviMn0j3D3uo53ASkIZOFRlLnqaCTnwzOG2_Wg"",""Direct links Without Sizes!E2:E""))),"""")"),"")</f>
        <v/>
      </c>
      <c r="I123" s="4"/>
      <c r="J123" s="24" t="str">
        <f t="shared" si="1"/>
        <v/>
      </c>
      <c r="K123" s="25"/>
      <c r="L123" s="24" t="str">
        <f t="shared" si="2"/>
        <v/>
      </c>
      <c r="M123" s="4"/>
      <c r="N123" s="23"/>
      <c r="O123" s="23"/>
      <c r="P123" s="23"/>
      <c r="Q123" s="4" t="str">
        <f t="shared" si="4"/>
        <v/>
      </c>
      <c r="R123" s="20"/>
      <c r="S123" s="20"/>
    </row>
    <row r="124">
      <c r="A124" s="5"/>
      <c r="B124" s="5"/>
      <c r="C124" s="11"/>
      <c r="D124" s="7" t="str">
        <f>IFERROR(__xludf.DUMMYFUNCTION("iferror(iferror(INDEX(IMPORTRANGE(""12vtnxaE_Q1s4tyr10kZQx7ZF_xG0lBFae4jQEUtgsMU"",""All!B2:B""),MATCH($C124,IMPORTRANGE(""12vtnxaE_Q1s4tyr10kZQx7ZF_xG0lBFae4jQEUtgsMU"",""All!A2:A""),0)),INDEX(IMPORTRANGE(""13KC70HngS4DDi8y9E5khtSpQEPG6owaQ9z4E-tR5mnY"","&amp;"""Non-Food!B2:B""),MATCH($C124,IMPORTRANGE(""13KC70HngS4DDi8y9E5khtSpQEPG6owaQ9z4E-tR5mnY"",""Non-Food!A2:A""),0))),"""")"),"")</f>
        <v/>
      </c>
      <c r="E124" s="14"/>
      <c r="F124" s="29"/>
      <c r="G124" s="22"/>
      <c r="H124" s="23" t="str">
        <f>IFERROR(__xludf.DUMMYFUNCTION("iferror(iferror(iferror(index(IMPORTRANGE(""1NK5L1mviMn0j3D3uo53ASkIZOFRlLnqaCTnwzOG2_Wg"",""Direct Link!B2:B""),MATCH($C124,IMPORTRANGE(""1NK5L1mviMn0j3D3uo53ASkIZOFRlLnqaCTnwzOG2_Wg"",""Direct Link!A2:A""),0)),XLOOKUP($C124,IMPORTRANGE(""1NK5L1mviMn0j3D"&amp;"3uo53ASkIZOFRlLnqaCTnwzOG2_Wg"",""Direct links Without Sizes!A2:A""),IMPORTRANGE(""1NK5L1mviMn0j3D3uo53ASkIZOFRlLnqaCTnwzOG2_Wg"",""Direct links Without Sizes!B2:B""))),XLOOKUP($C124,IMPORTRANGE(""1NK5L1mviMn0j3D3uo53ASkIZOFRlLnqaCTnwzOG2_Wg"",""Direct li"&amp;"nks Without Sizes!D2:D""),IMPORTRANGE(""1NK5L1mviMn0j3D3uo53ASkIZOFRlLnqaCTnwzOG2_Wg"",""Direct links Without Sizes!E2:E""))),"""")"),"")</f>
        <v/>
      </c>
      <c r="I124" s="4"/>
      <c r="J124" s="24" t="str">
        <f t="shared" si="1"/>
        <v/>
      </c>
      <c r="K124" s="25"/>
      <c r="L124" s="24" t="str">
        <f t="shared" si="2"/>
        <v/>
      </c>
      <c r="M124" s="4"/>
      <c r="N124" s="23"/>
      <c r="O124" s="23"/>
      <c r="P124" s="23"/>
      <c r="Q124" s="4" t="str">
        <f t="shared" si="4"/>
        <v/>
      </c>
      <c r="R124" s="20"/>
      <c r="S124" s="20"/>
    </row>
    <row r="125">
      <c r="A125" s="5"/>
      <c r="B125" s="5"/>
      <c r="C125" s="11"/>
      <c r="D125" s="7" t="str">
        <f>IFERROR(__xludf.DUMMYFUNCTION("iferror(iferror(INDEX(IMPORTRANGE(""12vtnxaE_Q1s4tyr10kZQx7ZF_xG0lBFae4jQEUtgsMU"",""All!B2:B""),MATCH($C125,IMPORTRANGE(""12vtnxaE_Q1s4tyr10kZQx7ZF_xG0lBFae4jQEUtgsMU"",""All!A2:A""),0)),INDEX(IMPORTRANGE(""13KC70HngS4DDi8y9E5khtSpQEPG6owaQ9z4E-tR5mnY"","&amp;"""Non-Food!B2:B""),MATCH($C125,IMPORTRANGE(""13KC70HngS4DDi8y9E5khtSpQEPG6owaQ9z4E-tR5mnY"",""Non-Food!A2:A""),0))),"""")"),"")</f>
        <v/>
      </c>
      <c r="E125" s="14"/>
      <c r="F125" s="29"/>
      <c r="G125" s="22"/>
      <c r="H125" s="23" t="str">
        <f>IFERROR(__xludf.DUMMYFUNCTION("iferror(iferror(iferror(index(IMPORTRANGE(""1NK5L1mviMn0j3D3uo53ASkIZOFRlLnqaCTnwzOG2_Wg"",""Direct Link!B2:B""),MATCH($C125,IMPORTRANGE(""1NK5L1mviMn0j3D3uo53ASkIZOFRlLnqaCTnwzOG2_Wg"",""Direct Link!A2:A""),0)),XLOOKUP($C125,IMPORTRANGE(""1NK5L1mviMn0j3D"&amp;"3uo53ASkIZOFRlLnqaCTnwzOG2_Wg"",""Direct links Without Sizes!A2:A""),IMPORTRANGE(""1NK5L1mviMn0j3D3uo53ASkIZOFRlLnqaCTnwzOG2_Wg"",""Direct links Without Sizes!B2:B""))),XLOOKUP($C125,IMPORTRANGE(""1NK5L1mviMn0j3D3uo53ASkIZOFRlLnqaCTnwzOG2_Wg"",""Direct li"&amp;"nks Without Sizes!D2:D""),IMPORTRANGE(""1NK5L1mviMn0j3D3uo53ASkIZOFRlLnqaCTnwzOG2_Wg"",""Direct links Without Sizes!E2:E""))),"""")"),"")</f>
        <v/>
      </c>
      <c r="I125" s="4"/>
      <c r="J125" s="24" t="str">
        <f t="shared" si="1"/>
        <v/>
      </c>
      <c r="K125" s="25"/>
      <c r="L125" s="24" t="str">
        <f t="shared" si="2"/>
        <v/>
      </c>
      <c r="M125" s="4"/>
      <c r="N125" s="23"/>
      <c r="O125" s="23"/>
      <c r="P125" s="23"/>
      <c r="Q125" s="4" t="str">
        <f t="shared" si="4"/>
        <v/>
      </c>
      <c r="R125" s="20"/>
      <c r="S125" s="20"/>
    </row>
    <row r="126">
      <c r="A126" s="5"/>
      <c r="B126" s="5"/>
      <c r="C126" s="11"/>
      <c r="D126" s="7" t="str">
        <f>IFERROR(__xludf.DUMMYFUNCTION("iferror(iferror(INDEX(IMPORTRANGE(""12vtnxaE_Q1s4tyr10kZQx7ZF_xG0lBFae4jQEUtgsMU"",""All!B2:B""),MATCH($C126,IMPORTRANGE(""12vtnxaE_Q1s4tyr10kZQx7ZF_xG0lBFae4jQEUtgsMU"",""All!A2:A""),0)),INDEX(IMPORTRANGE(""13KC70HngS4DDi8y9E5khtSpQEPG6owaQ9z4E-tR5mnY"","&amp;"""Non-Food!B2:B""),MATCH($C126,IMPORTRANGE(""13KC70HngS4DDi8y9E5khtSpQEPG6owaQ9z4E-tR5mnY"",""Non-Food!A2:A""),0))),"""")"),"")</f>
        <v/>
      </c>
      <c r="E126" s="14"/>
      <c r="F126" s="29"/>
      <c r="G126" s="22"/>
      <c r="H126" s="23" t="str">
        <f>IFERROR(__xludf.DUMMYFUNCTION("iferror(iferror(iferror(index(IMPORTRANGE(""1NK5L1mviMn0j3D3uo53ASkIZOFRlLnqaCTnwzOG2_Wg"",""Direct Link!B2:B""),MATCH($C126,IMPORTRANGE(""1NK5L1mviMn0j3D3uo53ASkIZOFRlLnqaCTnwzOG2_Wg"",""Direct Link!A2:A""),0)),XLOOKUP($C126,IMPORTRANGE(""1NK5L1mviMn0j3D"&amp;"3uo53ASkIZOFRlLnqaCTnwzOG2_Wg"",""Direct links Without Sizes!A2:A""),IMPORTRANGE(""1NK5L1mviMn0j3D3uo53ASkIZOFRlLnqaCTnwzOG2_Wg"",""Direct links Without Sizes!B2:B""))),XLOOKUP($C126,IMPORTRANGE(""1NK5L1mviMn0j3D3uo53ASkIZOFRlLnqaCTnwzOG2_Wg"",""Direct li"&amp;"nks Without Sizes!D2:D""),IMPORTRANGE(""1NK5L1mviMn0j3D3uo53ASkIZOFRlLnqaCTnwzOG2_Wg"",""Direct links Without Sizes!E2:E""))),"""")"),"")</f>
        <v/>
      </c>
      <c r="I126" s="4"/>
      <c r="J126" s="24" t="str">
        <f t="shared" si="1"/>
        <v/>
      </c>
      <c r="K126" s="25"/>
      <c r="L126" s="24" t="str">
        <f t="shared" si="2"/>
        <v/>
      </c>
      <c r="M126" s="4"/>
      <c r="N126" s="23"/>
      <c r="O126" s="23"/>
      <c r="P126" s="23"/>
      <c r="Q126" s="4" t="str">
        <f t="shared" si="4"/>
        <v/>
      </c>
      <c r="R126" s="20"/>
      <c r="S126" s="20"/>
    </row>
    <row r="127">
      <c r="A127" s="5"/>
      <c r="B127" s="5"/>
      <c r="C127" s="11"/>
      <c r="D127" s="7" t="str">
        <f>IFERROR(__xludf.DUMMYFUNCTION("iferror(iferror(INDEX(IMPORTRANGE(""12vtnxaE_Q1s4tyr10kZQx7ZF_xG0lBFae4jQEUtgsMU"",""All!B2:B""),MATCH($C127,IMPORTRANGE(""12vtnxaE_Q1s4tyr10kZQx7ZF_xG0lBFae4jQEUtgsMU"",""All!A2:A""),0)),INDEX(IMPORTRANGE(""13KC70HngS4DDi8y9E5khtSpQEPG6owaQ9z4E-tR5mnY"","&amp;"""Non-Food!B2:B""),MATCH($C127,IMPORTRANGE(""13KC70HngS4DDi8y9E5khtSpQEPG6owaQ9z4E-tR5mnY"",""Non-Food!A2:A""),0))),"""")"),"")</f>
        <v/>
      </c>
      <c r="E127" s="14"/>
      <c r="F127" s="29"/>
      <c r="G127" s="22"/>
      <c r="H127" s="23" t="str">
        <f>IFERROR(__xludf.DUMMYFUNCTION("iferror(iferror(iferror(index(IMPORTRANGE(""1NK5L1mviMn0j3D3uo53ASkIZOFRlLnqaCTnwzOG2_Wg"",""Direct Link!B2:B""),MATCH($C127,IMPORTRANGE(""1NK5L1mviMn0j3D3uo53ASkIZOFRlLnqaCTnwzOG2_Wg"",""Direct Link!A2:A""),0)),XLOOKUP($C127,IMPORTRANGE(""1NK5L1mviMn0j3D"&amp;"3uo53ASkIZOFRlLnqaCTnwzOG2_Wg"",""Direct links Without Sizes!A2:A""),IMPORTRANGE(""1NK5L1mviMn0j3D3uo53ASkIZOFRlLnqaCTnwzOG2_Wg"",""Direct links Without Sizes!B2:B""))),XLOOKUP($C127,IMPORTRANGE(""1NK5L1mviMn0j3D3uo53ASkIZOFRlLnqaCTnwzOG2_Wg"",""Direct li"&amp;"nks Without Sizes!D2:D""),IMPORTRANGE(""1NK5L1mviMn0j3D3uo53ASkIZOFRlLnqaCTnwzOG2_Wg"",""Direct links Without Sizes!E2:E""))),"""")"),"")</f>
        <v/>
      </c>
      <c r="I127" s="4"/>
      <c r="J127" s="24" t="str">
        <f t="shared" si="1"/>
        <v/>
      </c>
      <c r="K127" s="25"/>
      <c r="L127" s="24" t="str">
        <f t="shared" si="2"/>
        <v/>
      </c>
      <c r="M127" s="4"/>
      <c r="N127" s="23"/>
      <c r="O127" s="23"/>
      <c r="P127" s="23"/>
      <c r="Q127" s="4" t="str">
        <f t="shared" si="4"/>
        <v/>
      </c>
      <c r="R127" s="20"/>
      <c r="S127" s="20"/>
    </row>
    <row r="128">
      <c r="A128" s="5"/>
      <c r="B128" s="5"/>
      <c r="C128" s="11"/>
      <c r="D128" s="7" t="str">
        <f>IFERROR(__xludf.DUMMYFUNCTION("iferror(iferror(INDEX(IMPORTRANGE(""12vtnxaE_Q1s4tyr10kZQx7ZF_xG0lBFae4jQEUtgsMU"",""All!B2:B""),MATCH($C128,IMPORTRANGE(""12vtnxaE_Q1s4tyr10kZQx7ZF_xG0lBFae4jQEUtgsMU"",""All!A2:A""),0)),INDEX(IMPORTRANGE(""13KC70HngS4DDi8y9E5khtSpQEPG6owaQ9z4E-tR5mnY"","&amp;"""Non-Food!B2:B""),MATCH($C128,IMPORTRANGE(""13KC70HngS4DDi8y9E5khtSpQEPG6owaQ9z4E-tR5mnY"",""Non-Food!A2:A""),0))),"""")"),"")</f>
        <v/>
      </c>
      <c r="E128" s="14"/>
      <c r="F128" s="29"/>
      <c r="G128" s="22"/>
      <c r="H128" s="23" t="str">
        <f>IFERROR(__xludf.DUMMYFUNCTION("iferror(iferror(iferror(index(IMPORTRANGE(""1NK5L1mviMn0j3D3uo53ASkIZOFRlLnqaCTnwzOG2_Wg"",""Direct Link!B2:B""),MATCH($C128,IMPORTRANGE(""1NK5L1mviMn0j3D3uo53ASkIZOFRlLnqaCTnwzOG2_Wg"",""Direct Link!A2:A""),0)),XLOOKUP($C128,IMPORTRANGE(""1NK5L1mviMn0j3D"&amp;"3uo53ASkIZOFRlLnqaCTnwzOG2_Wg"",""Direct links Without Sizes!A2:A""),IMPORTRANGE(""1NK5L1mviMn0j3D3uo53ASkIZOFRlLnqaCTnwzOG2_Wg"",""Direct links Without Sizes!B2:B""))),XLOOKUP($C128,IMPORTRANGE(""1NK5L1mviMn0j3D3uo53ASkIZOFRlLnqaCTnwzOG2_Wg"",""Direct li"&amp;"nks Without Sizes!D2:D""),IMPORTRANGE(""1NK5L1mviMn0j3D3uo53ASkIZOFRlLnqaCTnwzOG2_Wg"",""Direct links Without Sizes!E2:E""))),"""")"),"")</f>
        <v/>
      </c>
      <c r="I128" s="5"/>
      <c r="J128" s="24" t="str">
        <f t="shared" si="1"/>
        <v/>
      </c>
      <c r="K128" s="25"/>
      <c r="L128" s="24" t="str">
        <f t="shared" si="2"/>
        <v/>
      </c>
      <c r="M128" s="4"/>
      <c r="N128" s="23"/>
      <c r="O128" s="23"/>
      <c r="P128" s="23"/>
      <c r="Q128" s="4" t="str">
        <f t="shared" si="4"/>
        <v/>
      </c>
      <c r="R128" s="20"/>
      <c r="S128" s="20"/>
    </row>
    <row r="129">
      <c r="A129" s="5"/>
      <c r="B129" s="5"/>
      <c r="C129" s="11"/>
      <c r="D129" s="7" t="str">
        <f>IFERROR(__xludf.DUMMYFUNCTION("iferror(iferror(INDEX(IMPORTRANGE(""12vtnxaE_Q1s4tyr10kZQx7ZF_xG0lBFae4jQEUtgsMU"",""All!B2:B""),MATCH($C129,IMPORTRANGE(""12vtnxaE_Q1s4tyr10kZQx7ZF_xG0lBFae4jQEUtgsMU"",""All!A2:A""),0)),INDEX(IMPORTRANGE(""13KC70HngS4DDi8y9E5khtSpQEPG6owaQ9z4E-tR5mnY"","&amp;"""Non-Food!B2:B""),MATCH($C129,IMPORTRANGE(""13KC70HngS4DDi8y9E5khtSpQEPG6owaQ9z4E-tR5mnY"",""Non-Food!A2:A""),0))),"""")"),"")</f>
        <v/>
      </c>
      <c r="E129" s="14"/>
      <c r="F129" s="29"/>
      <c r="G129" s="22"/>
      <c r="H129" s="23" t="str">
        <f>IFERROR(__xludf.DUMMYFUNCTION("iferror(iferror(iferror(index(IMPORTRANGE(""1NK5L1mviMn0j3D3uo53ASkIZOFRlLnqaCTnwzOG2_Wg"",""Direct Link!B2:B""),MATCH($C129,IMPORTRANGE(""1NK5L1mviMn0j3D3uo53ASkIZOFRlLnqaCTnwzOG2_Wg"",""Direct Link!A2:A""),0)),XLOOKUP($C129,IMPORTRANGE(""1NK5L1mviMn0j3D"&amp;"3uo53ASkIZOFRlLnqaCTnwzOG2_Wg"",""Direct links Without Sizes!A2:A""),IMPORTRANGE(""1NK5L1mviMn0j3D3uo53ASkIZOFRlLnqaCTnwzOG2_Wg"",""Direct links Without Sizes!B2:B""))),XLOOKUP($C129,IMPORTRANGE(""1NK5L1mviMn0j3D3uo53ASkIZOFRlLnqaCTnwzOG2_Wg"",""Direct li"&amp;"nks Without Sizes!D2:D""),IMPORTRANGE(""1NK5L1mviMn0j3D3uo53ASkIZOFRlLnqaCTnwzOG2_Wg"",""Direct links Without Sizes!E2:E""))),"""")"),"")</f>
        <v/>
      </c>
      <c r="I129" s="5"/>
      <c r="J129" s="24" t="str">
        <f t="shared" si="1"/>
        <v/>
      </c>
      <c r="K129" s="25"/>
      <c r="L129" s="24" t="str">
        <f t="shared" si="2"/>
        <v/>
      </c>
      <c r="M129" s="4"/>
      <c r="N129" s="23"/>
      <c r="O129" s="23"/>
      <c r="P129" s="23"/>
      <c r="Q129" s="4" t="str">
        <f t="shared" si="4"/>
        <v/>
      </c>
      <c r="R129" s="20"/>
      <c r="S129" s="20"/>
    </row>
    <row r="130">
      <c r="A130" s="5"/>
      <c r="B130" s="5"/>
      <c r="C130" s="11"/>
      <c r="D130" s="7" t="str">
        <f>IFERROR(__xludf.DUMMYFUNCTION("iferror(iferror(INDEX(IMPORTRANGE(""12vtnxaE_Q1s4tyr10kZQx7ZF_xG0lBFae4jQEUtgsMU"",""All!B2:B""),MATCH($C130,IMPORTRANGE(""12vtnxaE_Q1s4tyr10kZQx7ZF_xG0lBFae4jQEUtgsMU"",""All!A2:A""),0)),INDEX(IMPORTRANGE(""13KC70HngS4DDi8y9E5khtSpQEPG6owaQ9z4E-tR5mnY"","&amp;"""Non-Food!B2:B""),MATCH($C130,IMPORTRANGE(""13KC70HngS4DDi8y9E5khtSpQEPG6owaQ9z4E-tR5mnY"",""Non-Food!A2:A""),0))),"""")"),"")</f>
        <v/>
      </c>
      <c r="E130" s="14"/>
      <c r="F130" s="29"/>
      <c r="G130" s="22"/>
      <c r="H130" s="23" t="str">
        <f>IFERROR(__xludf.DUMMYFUNCTION("iferror(iferror(iferror(index(IMPORTRANGE(""1NK5L1mviMn0j3D3uo53ASkIZOFRlLnqaCTnwzOG2_Wg"",""Direct Link!B2:B""),MATCH($C130,IMPORTRANGE(""1NK5L1mviMn0j3D3uo53ASkIZOFRlLnqaCTnwzOG2_Wg"",""Direct Link!A2:A""),0)),XLOOKUP($C130,IMPORTRANGE(""1NK5L1mviMn0j3D"&amp;"3uo53ASkIZOFRlLnqaCTnwzOG2_Wg"",""Direct links Without Sizes!A2:A""),IMPORTRANGE(""1NK5L1mviMn0j3D3uo53ASkIZOFRlLnqaCTnwzOG2_Wg"",""Direct links Without Sizes!B2:B""))),XLOOKUP($C130,IMPORTRANGE(""1NK5L1mviMn0j3D3uo53ASkIZOFRlLnqaCTnwzOG2_Wg"",""Direct li"&amp;"nks Without Sizes!D2:D""),IMPORTRANGE(""1NK5L1mviMn0j3D3uo53ASkIZOFRlLnqaCTnwzOG2_Wg"",""Direct links Without Sizes!E2:E""))),"""")"),"")</f>
        <v/>
      </c>
      <c r="I130" s="4"/>
      <c r="J130" s="24" t="str">
        <f t="shared" si="1"/>
        <v/>
      </c>
      <c r="K130" s="25"/>
      <c r="L130" s="24" t="str">
        <f t="shared" si="2"/>
        <v/>
      </c>
      <c r="M130" s="4"/>
      <c r="N130" s="23"/>
      <c r="O130" s="23"/>
      <c r="P130" s="23"/>
      <c r="Q130" s="4" t="str">
        <f t="shared" si="4"/>
        <v/>
      </c>
      <c r="R130" s="20"/>
      <c r="S130" s="20"/>
    </row>
    <row r="131">
      <c r="A131" s="5"/>
      <c r="B131" s="5"/>
      <c r="C131" s="11"/>
      <c r="D131" s="7" t="str">
        <f>IFERROR(__xludf.DUMMYFUNCTION("iferror(iferror(INDEX(IMPORTRANGE(""12vtnxaE_Q1s4tyr10kZQx7ZF_xG0lBFae4jQEUtgsMU"",""All!B2:B""),MATCH($C131,IMPORTRANGE(""12vtnxaE_Q1s4tyr10kZQx7ZF_xG0lBFae4jQEUtgsMU"",""All!A2:A""),0)),INDEX(IMPORTRANGE(""13KC70HngS4DDi8y9E5khtSpQEPG6owaQ9z4E-tR5mnY"","&amp;"""Non-Food!B2:B""),MATCH($C131,IMPORTRANGE(""13KC70HngS4DDi8y9E5khtSpQEPG6owaQ9z4E-tR5mnY"",""Non-Food!A2:A""),0))),"""")"),"")</f>
        <v/>
      </c>
      <c r="E131" s="14"/>
      <c r="F131" s="29"/>
      <c r="G131" s="22"/>
      <c r="H131" s="23" t="str">
        <f>IFERROR(__xludf.DUMMYFUNCTION("iferror(iferror(iferror(index(IMPORTRANGE(""1NK5L1mviMn0j3D3uo53ASkIZOFRlLnqaCTnwzOG2_Wg"",""Direct Link!B2:B""),MATCH($C131,IMPORTRANGE(""1NK5L1mviMn0j3D3uo53ASkIZOFRlLnqaCTnwzOG2_Wg"",""Direct Link!A2:A""),0)),XLOOKUP($C131,IMPORTRANGE(""1NK5L1mviMn0j3D"&amp;"3uo53ASkIZOFRlLnqaCTnwzOG2_Wg"",""Direct links Without Sizes!A2:A""),IMPORTRANGE(""1NK5L1mviMn0j3D3uo53ASkIZOFRlLnqaCTnwzOG2_Wg"",""Direct links Without Sizes!B2:B""))),XLOOKUP($C131,IMPORTRANGE(""1NK5L1mviMn0j3D3uo53ASkIZOFRlLnqaCTnwzOG2_Wg"",""Direct li"&amp;"nks Without Sizes!D2:D""),IMPORTRANGE(""1NK5L1mviMn0j3D3uo53ASkIZOFRlLnqaCTnwzOG2_Wg"",""Direct links Without Sizes!E2:E""))),"""")"),"")</f>
        <v/>
      </c>
      <c r="I131" s="5"/>
      <c r="J131" s="24" t="str">
        <f t="shared" si="1"/>
        <v/>
      </c>
      <c r="K131" s="25"/>
      <c r="L131" s="24" t="str">
        <f t="shared" si="2"/>
        <v/>
      </c>
      <c r="M131" s="4"/>
      <c r="N131" s="23"/>
      <c r="O131" s="23"/>
      <c r="P131" s="23"/>
      <c r="Q131" s="4" t="str">
        <f t="shared" si="4"/>
        <v/>
      </c>
      <c r="R131" s="20"/>
      <c r="S131" s="20"/>
    </row>
    <row r="132">
      <c r="A132" s="5"/>
      <c r="B132" s="5"/>
      <c r="C132" s="11"/>
      <c r="D132" s="7" t="str">
        <f>IFERROR(__xludf.DUMMYFUNCTION("iferror(iferror(INDEX(IMPORTRANGE(""12vtnxaE_Q1s4tyr10kZQx7ZF_xG0lBFae4jQEUtgsMU"",""All!B2:B""),MATCH($C132,IMPORTRANGE(""12vtnxaE_Q1s4tyr10kZQx7ZF_xG0lBFae4jQEUtgsMU"",""All!A2:A""),0)),INDEX(IMPORTRANGE(""13KC70HngS4DDi8y9E5khtSpQEPG6owaQ9z4E-tR5mnY"","&amp;"""Non-Food!B2:B""),MATCH($C132,IMPORTRANGE(""13KC70HngS4DDi8y9E5khtSpQEPG6owaQ9z4E-tR5mnY"",""Non-Food!A2:A""),0))),"""")"),"")</f>
        <v/>
      </c>
      <c r="E132" s="14"/>
      <c r="F132" s="29"/>
      <c r="G132" s="22"/>
      <c r="H132" s="23" t="str">
        <f>IFERROR(__xludf.DUMMYFUNCTION("iferror(iferror(iferror(index(IMPORTRANGE(""1NK5L1mviMn0j3D3uo53ASkIZOFRlLnqaCTnwzOG2_Wg"",""Direct Link!B2:B""),MATCH($C132,IMPORTRANGE(""1NK5L1mviMn0j3D3uo53ASkIZOFRlLnqaCTnwzOG2_Wg"",""Direct Link!A2:A""),0)),XLOOKUP($C132,IMPORTRANGE(""1NK5L1mviMn0j3D"&amp;"3uo53ASkIZOFRlLnqaCTnwzOG2_Wg"",""Direct links Without Sizes!A2:A""),IMPORTRANGE(""1NK5L1mviMn0j3D3uo53ASkIZOFRlLnqaCTnwzOG2_Wg"",""Direct links Without Sizes!B2:B""))),XLOOKUP($C132,IMPORTRANGE(""1NK5L1mviMn0j3D3uo53ASkIZOFRlLnqaCTnwzOG2_Wg"",""Direct li"&amp;"nks Without Sizes!D2:D""),IMPORTRANGE(""1NK5L1mviMn0j3D3uo53ASkIZOFRlLnqaCTnwzOG2_Wg"",""Direct links Without Sizes!E2:E""))),"""")"),"")</f>
        <v/>
      </c>
      <c r="I132" s="5"/>
      <c r="J132" s="24" t="str">
        <f t="shared" si="1"/>
        <v/>
      </c>
      <c r="K132" s="25"/>
      <c r="L132" s="24" t="str">
        <f t="shared" si="2"/>
        <v/>
      </c>
      <c r="M132" s="4"/>
      <c r="N132" s="23"/>
      <c r="O132" s="23"/>
      <c r="P132" s="23"/>
      <c r="Q132" s="4" t="str">
        <f t="shared" si="4"/>
        <v/>
      </c>
      <c r="R132" s="20"/>
      <c r="S132" s="20"/>
    </row>
    <row r="133">
      <c r="A133" s="5"/>
      <c r="B133" s="5"/>
      <c r="C133" s="11"/>
      <c r="D133" s="7" t="str">
        <f>IFERROR(__xludf.DUMMYFUNCTION("iferror(iferror(INDEX(IMPORTRANGE(""12vtnxaE_Q1s4tyr10kZQx7ZF_xG0lBFae4jQEUtgsMU"",""All!B2:B""),MATCH($C133,IMPORTRANGE(""12vtnxaE_Q1s4tyr10kZQx7ZF_xG0lBFae4jQEUtgsMU"",""All!A2:A""),0)),INDEX(IMPORTRANGE(""13KC70HngS4DDi8y9E5khtSpQEPG6owaQ9z4E-tR5mnY"","&amp;"""Non-Food!B2:B""),MATCH($C133,IMPORTRANGE(""13KC70HngS4DDi8y9E5khtSpQEPG6owaQ9z4E-tR5mnY"",""Non-Food!A2:A""),0))),"""")"),"")</f>
        <v/>
      </c>
      <c r="E133" s="14"/>
      <c r="F133" s="29"/>
      <c r="G133" s="22"/>
      <c r="H133" s="23" t="str">
        <f>IFERROR(__xludf.DUMMYFUNCTION("iferror(iferror(iferror(index(IMPORTRANGE(""1NK5L1mviMn0j3D3uo53ASkIZOFRlLnqaCTnwzOG2_Wg"",""Direct Link!B2:B""),MATCH($C133,IMPORTRANGE(""1NK5L1mviMn0j3D3uo53ASkIZOFRlLnqaCTnwzOG2_Wg"",""Direct Link!A2:A""),0)),XLOOKUP($C133,IMPORTRANGE(""1NK5L1mviMn0j3D"&amp;"3uo53ASkIZOFRlLnqaCTnwzOG2_Wg"",""Direct links Without Sizes!A2:A""),IMPORTRANGE(""1NK5L1mviMn0j3D3uo53ASkIZOFRlLnqaCTnwzOG2_Wg"",""Direct links Without Sizes!B2:B""))),XLOOKUP($C133,IMPORTRANGE(""1NK5L1mviMn0j3D3uo53ASkIZOFRlLnqaCTnwzOG2_Wg"",""Direct li"&amp;"nks Without Sizes!D2:D""),IMPORTRANGE(""1NK5L1mviMn0j3D3uo53ASkIZOFRlLnqaCTnwzOG2_Wg"",""Direct links Without Sizes!E2:E""))),"""")"),"")</f>
        <v/>
      </c>
      <c r="I133" s="4"/>
      <c r="J133" s="24" t="str">
        <f t="shared" si="1"/>
        <v/>
      </c>
      <c r="K133" s="25"/>
      <c r="L133" s="24" t="str">
        <f t="shared" si="2"/>
        <v/>
      </c>
      <c r="M133" s="4"/>
      <c r="N133" s="23"/>
      <c r="O133" s="23"/>
      <c r="P133" s="23"/>
      <c r="Q133" s="4" t="str">
        <f t="shared" si="4"/>
        <v/>
      </c>
      <c r="R133" s="20"/>
      <c r="S133" s="20"/>
    </row>
    <row r="134">
      <c r="A134" s="5"/>
      <c r="B134" s="5"/>
      <c r="C134" s="11"/>
      <c r="D134" s="7" t="str">
        <f>IFERROR(__xludf.DUMMYFUNCTION("iferror(iferror(INDEX(IMPORTRANGE(""12vtnxaE_Q1s4tyr10kZQx7ZF_xG0lBFae4jQEUtgsMU"",""All!B2:B""),MATCH($C134,IMPORTRANGE(""12vtnxaE_Q1s4tyr10kZQx7ZF_xG0lBFae4jQEUtgsMU"",""All!A2:A""),0)),INDEX(IMPORTRANGE(""13KC70HngS4DDi8y9E5khtSpQEPG6owaQ9z4E-tR5mnY"","&amp;"""Non-Food!B2:B""),MATCH($C134,IMPORTRANGE(""13KC70HngS4DDi8y9E5khtSpQEPG6owaQ9z4E-tR5mnY"",""Non-Food!A2:A""),0))),"""")"),"")</f>
        <v/>
      </c>
      <c r="E134" s="14"/>
      <c r="F134" s="29"/>
      <c r="G134" s="22"/>
      <c r="H134" s="23" t="str">
        <f>IFERROR(__xludf.DUMMYFUNCTION("iferror(iferror(iferror(index(IMPORTRANGE(""1NK5L1mviMn0j3D3uo53ASkIZOFRlLnqaCTnwzOG2_Wg"",""Direct Link!B2:B""),MATCH($C134,IMPORTRANGE(""1NK5L1mviMn0j3D3uo53ASkIZOFRlLnqaCTnwzOG2_Wg"",""Direct Link!A2:A""),0)),XLOOKUP($C134,IMPORTRANGE(""1NK5L1mviMn0j3D"&amp;"3uo53ASkIZOFRlLnqaCTnwzOG2_Wg"",""Direct links Without Sizes!A2:A""),IMPORTRANGE(""1NK5L1mviMn0j3D3uo53ASkIZOFRlLnqaCTnwzOG2_Wg"",""Direct links Without Sizes!B2:B""))),XLOOKUP($C134,IMPORTRANGE(""1NK5L1mviMn0j3D3uo53ASkIZOFRlLnqaCTnwzOG2_Wg"",""Direct li"&amp;"nks Without Sizes!D2:D""),IMPORTRANGE(""1NK5L1mviMn0j3D3uo53ASkIZOFRlLnqaCTnwzOG2_Wg"",""Direct links Without Sizes!E2:E""))),"""")"),"")</f>
        <v/>
      </c>
      <c r="I134" s="4"/>
      <c r="J134" s="24" t="str">
        <f t="shared" si="1"/>
        <v/>
      </c>
      <c r="K134" s="25"/>
      <c r="L134" s="24" t="str">
        <f t="shared" si="2"/>
        <v/>
      </c>
      <c r="M134" s="4"/>
      <c r="N134" s="23"/>
      <c r="O134" s="23"/>
      <c r="P134" s="23"/>
      <c r="Q134" s="4" t="str">
        <f t="shared" si="4"/>
        <v/>
      </c>
      <c r="R134" s="20"/>
      <c r="S134" s="20"/>
    </row>
    <row r="135">
      <c r="A135" s="5"/>
      <c r="B135" s="5"/>
      <c r="C135" s="11"/>
      <c r="D135" s="7" t="str">
        <f>IFERROR(__xludf.DUMMYFUNCTION("iferror(iferror(INDEX(IMPORTRANGE(""12vtnxaE_Q1s4tyr10kZQx7ZF_xG0lBFae4jQEUtgsMU"",""All!B2:B""),MATCH($C135,IMPORTRANGE(""12vtnxaE_Q1s4tyr10kZQx7ZF_xG0lBFae4jQEUtgsMU"",""All!A2:A""),0)),INDEX(IMPORTRANGE(""13KC70HngS4DDi8y9E5khtSpQEPG6owaQ9z4E-tR5mnY"","&amp;"""Non-Food!B2:B""),MATCH($C135,IMPORTRANGE(""13KC70HngS4DDi8y9E5khtSpQEPG6owaQ9z4E-tR5mnY"",""Non-Food!A2:A""),0))),"""")"),"")</f>
        <v/>
      </c>
      <c r="E135" s="14"/>
      <c r="F135" s="29"/>
      <c r="G135" s="22"/>
      <c r="H135" s="23" t="str">
        <f>IFERROR(__xludf.DUMMYFUNCTION("iferror(iferror(iferror(index(IMPORTRANGE(""1NK5L1mviMn0j3D3uo53ASkIZOFRlLnqaCTnwzOG2_Wg"",""Direct Link!B2:B""),MATCH($C135,IMPORTRANGE(""1NK5L1mviMn0j3D3uo53ASkIZOFRlLnqaCTnwzOG2_Wg"",""Direct Link!A2:A""),0)),XLOOKUP($C135,IMPORTRANGE(""1NK5L1mviMn0j3D"&amp;"3uo53ASkIZOFRlLnqaCTnwzOG2_Wg"",""Direct links Without Sizes!A2:A""),IMPORTRANGE(""1NK5L1mviMn0j3D3uo53ASkIZOFRlLnqaCTnwzOG2_Wg"",""Direct links Without Sizes!B2:B""))),XLOOKUP($C135,IMPORTRANGE(""1NK5L1mviMn0j3D3uo53ASkIZOFRlLnqaCTnwzOG2_Wg"",""Direct li"&amp;"nks Without Sizes!D2:D""),IMPORTRANGE(""1NK5L1mviMn0j3D3uo53ASkIZOFRlLnqaCTnwzOG2_Wg"",""Direct links Without Sizes!E2:E""))),"""")"),"")</f>
        <v/>
      </c>
      <c r="I135" s="4"/>
      <c r="J135" s="24" t="str">
        <f t="shared" si="1"/>
        <v/>
      </c>
      <c r="K135" s="25"/>
      <c r="L135" s="24" t="str">
        <f t="shared" si="2"/>
        <v/>
      </c>
      <c r="M135" s="4"/>
      <c r="N135" s="23"/>
      <c r="O135" s="23"/>
      <c r="P135" s="23"/>
      <c r="Q135" s="4" t="str">
        <f t="shared" si="4"/>
        <v/>
      </c>
      <c r="R135" s="20"/>
      <c r="S135" s="20"/>
    </row>
    <row r="136">
      <c r="A136" s="5"/>
      <c r="B136" s="5"/>
      <c r="C136" s="11"/>
      <c r="D136" s="7" t="str">
        <f>IFERROR(__xludf.DUMMYFUNCTION("iferror(iferror(INDEX(IMPORTRANGE(""12vtnxaE_Q1s4tyr10kZQx7ZF_xG0lBFae4jQEUtgsMU"",""All!B2:B""),MATCH($C136,IMPORTRANGE(""12vtnxaE_Q1s4tyr10kZQx7ZF_xG0lBFae4jQEUtgsMU"",""All!A2:A""),0)),INDEX(IMPORTRANGE(""13KC70HngS4DDi8y9E5khtSpQEPG6owaQ9z4E-tR5mnY"","&amp;"""Non-Food!B2:B""),MATCH($C136,IMPORTRANGE(""13KC70HngS4DDi8y9E5khtSpQEPG6owaQ9z4E-tR5mnY"",""Non-Food!A2:A""),0))),"""")"),"")</f>
        <v/>
      </c>
      <c r="E136" s="14"/>
      <c r="F136" s="29"/>
      <c r="G136" s="22"/>
      <c r="H136" s="23" t="str">
        <f>IFERROR(__xludf.DUMMYFUNCTION("iferror(iferror(iferror(index(IMPORTRANGE(""1NK5L1mviMn0j3D3uo53ASkIZOFRlLnqaCTnwzOG2_Wg"",""Direct Link!B2:B""),MATCH($C136,IMPORTRANGE(""1NK5L1mviMn0j3D3uo53ASkIZOFRlLnqaCTnwzOG2_Wg"",""Direct Link!A2:A""),0)),XLOOKUP($C136,IMPORTRANGE(""1NK5L1mviMn0j3D"&amp;"3uo53ASkIZOFRlLnqaCTnwzOG2_Wg"",""Direct links Without Sizes!A2:A""),IMPORTRANGE(""1NK5L1mviMn0j3D3uo53ASkIZOFRlLnqaCTnwzOG2_Wg"",""Direct links Without Sizes!B2:B""))),XLOOKUP($C136,IMPORTRANGE(""1NK5L1mviMn0j3D3uo53ASkIZOFRlLnqaCTnwzOG2_Wg"",""Direct li"&amp;"nks Without Sizes!D2:D""),IMPORTRANGE(""1NK5L1mviMn0j3D3uo53ASkIZOFRlLnqaCTnwzOG2_Wg"",""Direct links Without Sizes!E2:E""))),"""")"),"")</f>
        <v/>
      </c>
      <c r="I136" s="4"/>
      <c r="J136" s="24" t="str">
        <f t="shared" si="1"/>
        <v/>
      </c>
      <c r="K136" s="25"/>
      <c r="L136" s="24" t="str">
        <f t="shared" si="2"/>
        <v/>
      </c>
      <c r="M136" s="4"/>
      <c r="N136" s="23"/>
      <c r="O136" s="23"/>
      <c r="P136" s="23"/>
      <c r="Q136" s="4" t="str">
        <f t="shared" si="4"/>
        <v/>
      </c>
      <c r="R136" s="20"/>
      <c r="S136" s="20"/>
    </row>
    <row r="137">
      <c r="A137" s="5"/>
      <c r="B137" s="5"/>
      <c r="C137" s="11"/>
      <c r="D137" s="7" t="str">
        <f>IFERROR(__xludf.DUMMYFUNCTION("iferror(iferror(INDEX(IMPORTRANGE(""12vtnxaE_Q1s4tyr10kZQx7ZF_xG0lBFae4jQEUtgsMU"",""All!B2:B""),MATCH($C137,IMPORTRANGE(""12vtnxaE_Q1s4tyr10kZQx7ZF_xG0lBFae4jQEUtgsMU"",""All!A2:A""),0)),INDEX(IMPORTRANGE(""13KC70HngS4DDi8y9E5khtSpQEPG6owaQ9z4E-tR5mnY"","&amp;"""Non-Food!B2:B""),MATCH($C137,IMPORTRANGE(""13KC70HngS4DDi8y9E5khtSpQEPG6owaQ9z4E-tR5mnY"",""Non-Food!A2:A""),0))),"""")"),"")</f>
        <v/>
      </c>
      <c r="E137" s="14"/>
      <c r="F137" s="29"/>
      <c r="G137" s="22"/>
      <c r="H137" s="23" t="str">
        <f>IFERROR(__xludf.DUMMYFUNCTION("iferror(iferror(iferror(index(IMPORTRANGE(""1NK5L1mviMn0j3D3uo53ASkIZOFRlLnqaCTnwzOG2_Wg"",""Direct Link!B2:B""),MATCH($C137,IMPORTRANGE(""1NK5L1mviMn0j3D3uo53ASkIZOFRlLnqaCTnwzOG2_Wg"",""Direct Link!A2:A""),0)),XLOOKUP($C137,IMPORTRANGE(""1NK5L1mviMn0j3D"&amp;"3uo53ASkIZOFRlLnqaCTnwzOG2_Wg"",""Direct links Without Sizes!A2:A""),IMPORTRANGE(""1NK5L1mviMn0j3D3uo53ASkIZOFRlLnqaCTnwzOG2_Wg"",""Direct links Without Sizes!B2:B""))),XLOOKUP($C137,IMPORTRANGE(""1NK5L1mviMn0j3D3uo53ASkIZOFRlLnqaCTnwzOG2_Wg"",""Direct li"&amp;"nks Without Sizes!D2:D""),IMPORTRANGE(""1NK5L1mviMn0j3D3uo53ASkIZOFRlLnqaCTnwzOG2_Wg"",""Direct links Without Sizes!E2:E""))),"""")"),"")</f>
        <v/>
      </c>
      <c r="I137" s="4"/>
      <c r="J137" s="24" t="str">
        <f t="shared" si="1"/>
        <v/>
      </c>
      <c r="K137" s="25"/>
      <c r="L137" s="24" t="str">
        <f t="shared" si="2"/>
        <v/>
      </c>
      <c r="M137" s="4"/>
      <c r="N137" s="23"/>
      <c r="O137" s="23"/>
      <c r="P137" s="23"/>
      <c r="Q137" s="4" t="str">
        <f t="shared" si="4"/>
        <v/>
      </c>
      <c r="R137" s="20"/>
      <c r="S137" s="20"/>
    </row>
    <row r="138">
      <c r="A138" s="5"/>
      <c r="B138" s="5"/>
      <c r="C138" s="11"/>
      <c r="D138" s="7" t="str">
        <f>IFERROR(__xludf.DUMMYFUNCTION("iferror(iferror(INDEX(IMPORTRANGE(""12vtnxaE_Q1s4tyr10kZQx7ZF_xG0lBFae4jQEUtgsMU"",""All!B2:B""),MATCH($C138,IMPORTRANGE(""12vtnxaE_Q1s4tyr10kZQx7ZF_xG0lBFae4jQEUtgsMU"",""All!A2:A""),0)),INDEX(IMPORTRANGE(""13KC70HngS4DDi8y9E5khtSpQEPG6owaQ9z4E-tR5mnY"","&amp;"""Non-Food!B2:B""),MATCH($C138,IMPORTRANGE(""13KC70HngS4DDi8y9E5khtSpQEPG6owaQ9z4E-tR5mnY"",""Non-Food!A2:A""),0))),"""")"),"")</f>
        <v/>
      </c>
      <c r="E138" s="14"/>
      <c r="F138" s="29"/>
      <c r="G138" s="22"/>
      <c r="H138" s="23" t="str">
        <f>IFERROR(__xludf.DUMMYFUNCTION("iferror(iferror(iferror(index(IMPORTRANGE(""1NK5L1mviMn0j3D3uo53ASkIZOFRlLnqaCTnwzOG2_Wg"",""Direct Link!B2:B""),MATCH($C138,IMPORTRANGE(""1NK5L1mviMn0j3D3uo53ASkIZOFRlLnqaCTnwzOG2_Wg"",""Direct Link!A2:A""),0)),XLOOKUP($C138,IMPORTRANGE(""1NK5L1mviMn0j3D"&amp;"3uo53ASkIZOFRlLnqaCTnwzOG2_Wg"",""Direct links Without Sizes!A2:A""),IMPORTRANGE(""1NK5L1mviMn0j3D3uo53ASkIZOFRlLnqaCTnwzOG2_Wg"",""Direct links Without Sizes!B2:B""))),XLOOKUP($C138,IMPORTRANGE(""1NK5L1mviMn0j3D3uo53ASkIZOFRlLnqaCTnwzOG2_Wg"",""Direct li"&amp;"nks Without Sizes!D2:D""),IMPORTRANGE(""1NK5L1mviMn0j3D3uo53ASkIZOFRlLnqaCTnwzOG2_Wg"",""Direct links Without Sizes!E2:E""))),"""")"),"")</f>
        <v/>
      </c>
      <c r="I138" s="4"/>
      <c r="J138" s="24" t="str">
        <f t="shared" si="1"/>
        <v/>
      </c>
      <c r="K138" s="25"/>
      <c r="L138" s="24" t="str">
        <f t="shared" si="2"/>
        <v/>
      </c>
      <c r="M138" s="4"/>
      <c r="N138" s="23"/>
      <c r="O138" s="23"/>
      <c r="P138" s="23"/>
      <c r="Q138" s="4" t="str">
        <f t="shared" si="4"/>
        <v/>
      </c>
      <c r="R138" s="20"/>
      <c r="S138" s="20"/>
    </row>
    <row r="139">
      <c r="A139" s="5"/>
      <c r="B139" s="5"/>
      <c r="C139" s="11"/>
      <c r="D139" s="7" t="str">
        <f>IFERROR(__xludf.DUMMYFUNCTION("iferror(iferror(INDEX(IMPORTRANGE(""12vtnxaE_Q1s4tyr10kZQx7ZF_xG0lBFae4jQEUtgsMU"",""All!B2:B""),MATCH($C139,IMPORTRANGE(""12vtnxaE_Q1s4tyr10kZQx7ZF_xG0lBFae4jQEUtgsMU"",""All!A2:A""),0)),INDEX(IMPORTRANGE(""13KC70HngS4DDi8y9E5khtSpQEPG6owaQ9z4E-tR5mnY"","&amp;"""Non-Food!B2:B""),MATCH($C139,IMPORTRANGE(""13KC70HngS4DDi8y9E5khtSpQEPG6owaQ9z4E-tR5mnY"",""Non-Food!A2:A""),0))),"""")"),"")</f>
        <v/>
      </c>
      <c r="E139" s="14"/>
      <c r="F139" s="29"/>
      <c r="G139" s="22"/>
      <c r="H139" s="23" t="str">
        <f>IFERROR(__xludf.DUMMYFUNCTION("iferror(iferror(iferror(index(IMPORTRANGE(""1NK5L1mviMn0j3D3uo53ASkIZOFRlLnqaCTnwzOG2_Wg"",""Direct Link!B2:B""),MATCH($C139,IMPORTRANGE(""1NK5L1mviMn0j3D3uo53ASkIZOFRlLnqaCTnwzOG2_Wg"",""Direct Link!A2:A""),0)),XLOOKUP($C139,IMPORTRANGE(""1NK5L1mviMn0j3D"&amp;"3uo53ASkIZOFRlLnqaCTnwzOG2_Wg"",""Direct links Without Sizes!A2:A""),IMPORTRANGE(""1NK5L1mviMn0j3D3uo53ASkIZOFRlLnqaCTnwzOG2_Wg"",""Direct links Without Sizes!B2:B""))),XLOOKUP($C139,IMPORTRANGE(""1NK5L1mviMn0j3D3uo53ASkIZOFRlLnqaCTnwzOG2_Wg"",""Direct li"&amp;"nks Without Sizes!D2:D""),IMPORTRANGE(""1NK5L1mviMn0j3D3uo53ASkIZOFRlLnqaCTnwzOG2_Wg"",""Direct links Without Sizes!E2:E""))),"""")"),"")</f>
        <v/>
      </c>
      <c r="I139" s="4"/>
      <c r="J139" s="24" t="str">
        <f t="shared" si="1"/>
        <v/>
      </c>
      <c r="K139" s="25"/>
      <c r="L139" s="24" t="str">
        <f t="shared" si="2"/>
        <v/>
      </c>
      <c r="M139" s="4"/>
      <c r="N139" s="23"/>
      <c r="O139" s="23"/>
      <c r="P139" s="23"/>
      <c r="Q139" s="4" t="str">
        <f t="shared" si="4"/>
        <v/>
      </c>
      <c r="R139" s="20"/>
      <c r="S139" s="20"/>
    </row>
    <row r="140">
      <c r="A140" s="5"/>
      <c r="B140" s="5"/>
      <c r="C140" s="11"/>
      <c r="D140" s="7" t="str">
        <f>IFERROR(__xludf.DUMMYFUNCTION("iferror(iferror(INDEX(IMPORTRANGE(""12vtnxaE_Q1s4tyr10kZQx7ZF_xG0lBFae4jQEUtgsMU"",""All!B2:B""),MATCH($C140,IMPORTRANGE(""12vtnxaE_Q1s4tyr10kZQx7ZF_xG0lBFae4jQEUtgsMU"",""All!A2:A""),0)),INDEX(IMPORTRANGE(""13KC70HngS4DDi8y9E5khtSpQEPG6owaQ9z4E-tR5mnY"","&amp;"""Non-Food!B2:B""),MATCH($C140,IMPORTRANGE(""13KC70HngS4DDi8y9E5khtSpQEPG6owaQ9z4E-tR5mnY"",""Non-Food!A2:A""),0))),"""")"),"")</f>
        <v/>
      </c>
      <c r="E140" s="14"/>
      <c r="F140" s="29"/>
      <c r="G140" s="22"/>
      <c r="H140" s="23" t="str">
        <f>IFERROR(__xludf.DUMMYFUNCTION("iferror(iferror(iferror(index(IMPORTRANGE(""1NK5L1mviMn0j3D3uo53ASkIZOFRlLnqaCTnwzOG2_Wg"",""Direct Link!B2:B""),MATCH($C140,IMPORTRANGE(""1NK5L1mviMn0j3D3uo53ASkIZOFRlLnqaCTnwzOG2_Wg"",""Direct Link!A2:A""),0)),XLOOKUP($C140,IMPORTRANGE(""1NK5L1mviMn0j3D"&amp;"3uo53ASkIZOFRlLnqaCTnwzOG2_Wg"",""Direct links Without Sizes!A2:A""),IMPORTRANGE(""1NK5L1mviMn0j3D3uo53ASkIZOFRlLnqaCTnwzOG2_Wg"",""Direct links Without Sizes!B2:B""))),XLOOKUP($C140,IMPORTRANGE(""1NK5L1mviMn0j3D3uo53ASkIZOFRlLnqaCTnwzOG2_Wg"",""Direct li"&amp;"nks Without Sizes!D2:D""),IMPORTRANGE(""1NK5L1mviMn0j3D3uo53ASkIZOFRlLnqaCTnwzOG2_Wg"",""Direct links Without Sizes!E2:E""))),"""")"),"")</f>
        <v/>
      </c>
      <c r="I140" s="4"/>
      <c r="J140" s="24" t="str">
        <f t="shared" si="1"/>
        <v/>
      </c>
      <c r="K140" s="25"/>
      <c r="L140" s="24" t="str">
        <f t="shared" si="2"/>
        <v/>
      </c>
      <c r="M140" s="4"/>
      <c r="N140" s="23"/>
      <c r="O140" s="23"/>
      <c r="P140" s="23"/>
      <c r="Q140" s="4" t="str">
        <f t="shared" si="4"/>
        <v/>
      </c>
      <c r="R140" s="20"/>
      <c r="S140" s="20"/>
    </row>
    <row r="141">
      <c r="A141" s="5"/>
      <c r="B141" s="5"/>
      <c r="C141" s="11"/>
      <c r="D141" s="7" t="str">
        <f>IFERROR(__xludf.DUMMYFUNCTION("iferror(iferror(INDEX(IMPORTRANGE(""12vtnxaE_Q1s4tyr10kZQx7ZF_xG0lBFae4jQEUtgsMU"",""All!B2:B""),MATCH($C141,IMPORTRANGE(""12vtnxaE_Q1s4tyr10kZQx7ZF_xG0lBFae4jQEUtgsMU"",""All!A2:A""),0)),INDEX(IMPORTRANGE(""13KC70HngS4DDi8y9E5khtSpQEPG6owaQ9z4E-tR5mnY"","&amp;"""Non-Food!B2:B""),MATCH($C141,IMPORTRANGE(""13KC70HngS4DDi8y9E5khtSpQEPG6owaQ9z4E-tR5mnY"",""Non-Food!A2:A""),0))),"""")"),"")</f>
        <v/>
      </c>
      <c r="E141" s="14"/>
      <c r="F141" s="29"/>
      <c r="G141" s="22"/>
      <c r="H141" s="23" t="str">
        <f>IFERROR(__xludf.DUMMYFUNCTION("iferror(iferror(iferror(index(IMPORTRANGE(""1NK5L1mviMn0j3D3uo53ASkIZOFRlLnqaCTnwzOG2_Wg"",""Direct Link!B2:B""),MATCH($C141,IMPORTRANGE(""1NK5L1mviMn0j3D3uo53ASkIZOFRlLnqaCTnwzOG2_Wg"",""Direct Link!A2:A""),0)),XLOOKUP($C141,IMPORTRANGE(""1NK5L1mviMn0j3D"&amp;"3uo53ASkIZOFRlLnqaCTnwzOG2_Wg"",""Direct links Without Sizes!A2:A""),IMPORTRANGE(""1NK5L1mviMn0j3D3uo53ASkIZOFRlLnqaCTnwzOG2_Wg"",""Direct links Without Sizes!B2:B""))),XLOOKUP($C141,IMPORTRANGE(""1NK5L1mviMn0j3D3uo53ASkIZOFRlLnqaCTnwzOG2_Wg"",""Direct li"&amp;"nks Without Sizes!D2:D""),IMPORTRANGE(""1NK5L1mviMn0j3D3uo53ASkIZOFRlLnqaCTnwzOG2_Wg"",""Direct links Without Sizes!E2:E""))),"""")"),"")</f>
        <v/>
      </c>
      <c r="I141" s="4"/>
      <c r="J141" s="24" t="str">
        <f t="shared" si="1"/>
        <v/>
      </c>
      <c r="K141" s="25"/>
      <c r="L141" s="24" t="str">
        <f t="shared" si="2"/>
        <v/>
      </c>
      <c r="M141" s="4"/>
      <c r="N141" s="23"/>
      <c r="O141" s="23"/>
      <c r="P141" s="23"/>
      <c r="Q141" s="4" t="str">
        <f t="shared" si="4"/>
        <v/>
      </c>
      <c r="R141" s="20"/>
      <c r="S141" s="20"/>
    </row>
    <row r="142">
      <c r="A142" s="5"/>
      <c r="B142" s="5"/>
      <c r="C142" s="11"/>
      <c r="D142" s="7" t="str">
        <f>IFERROR(__xludf.DUMMYFUNCTION("iferror(iferror(INDEX(IMPORTRANGE(""12vtnxaE_Q1s4tyr10kZQx7ZF_xG0lBFae4jQEUtgsMU"",""All!B2:B""),MATCH($C142,IMPORTRANGE(""12vtnxaE_Q1s4tyr10kZQx7ZF_xG0lBFae4jQEUtgsMU"",""All!A2:A""),0)),INDEX(IMPORTRANGE(""13KC70HngS4DDi8y9E5khtSpQEPG6owaQ9z4E-tR5mnY"","&amp;"""Non-Food!B2:B""),MATCH($C142,IMPORTRANGE(""13KC70HngS4DDi8y9E5khtSpQEPG6owaQ9z4E-tR5mnY"",""Non-Food!A2:A""),0))),"""")"),"")</f>
        <v/>
      </c>
      <c r="E142" s="14"/>
      <c r="F142" s="29"/>
      <c r="G142" s="22"/>
      <c r="H142" s="23" t="str">
        <f>IFERROR(__xludf.DUMMYFUNCTION("iferror(iferror(iferror(index(IMPORTRANGE(""1NK5L1mviMn0j3D3uo53ASkIZOFRlLnqaCTnwzOG2_Wg"",""Direct Link!B2:B""),MATCH($C142,IMPORTRANGE(""1NK5L1mviMn0j3D3uo53ASkIZOFRlLnqaCTnwzOG2_Wg"",""Direct Link!A2:A""),0)),XLOOKUP($C142,IMPORTRANGE(""1NK5L1mviMn0j3D"&amp;"3uo53ASkIZOFRlLnqaCTnwzOG2_Wg"",""Direct links Without Sizes!A2:A""),IMPORTRANGE(""1NK5L1mviMn0j3D3uo53ASkIZOFRlLnqaCTnwzOG2_Wg"",""Direct links Without Sizes!B2:B""))),XLOOKUP($C142,IMPORTRANGE(""1NK5L1mviMn0j3D3uo53ASkIZOFRlLnqaCTnwzOG2_Wg"",""Direct li"&amp;"nks Without Sizes!D2:D""),IMPORTRANGE(""1NK5L1mviMn0j3D3uo53ASkIZOFRlLnqaCTnwzOG2_Wg"",""Direct links Without Sizes!E2:E""))),"""")"),"")</f>
        <v/>
      </c>
      <c r="I142" s="4"/>
      <c r="J142" s="24" t="str">
        <f t="shared" si="1"/>
        <v/>
      </c>
      <c r="K142" s="25"/>
      <c r="L142" s="24" t="str">
        <f t="shared" si="2"/>
        <v/>
      </c>
      <c r="M142" s="4"/>
      <c r="N142" s="23"/>
      <c r="O142" s="23"/>
      <c r="P142" s="23"/>
      <c r="Q142" s="4" t="str">
        <f t="shared" si="4"/>
        <v/>
      </c>
      <c r="R142" s="20"/>
      <c r="S142" s="20"/>
    </row>
    <row r="143">
      <c r="A143" s="5"/>
      <c r="B143" s="5"/>
      <c r="C143" s="11"/>
      <c r="D143" s="7" t="str">
        <f>IFERROR(__xludf.DUMMYFUNCTION("iferror(iferror(INDEX(IMPORTRANGE(""12vtnxaE_Q1s4tyr10kZQx7ZF_xG0lBFae4jQEUtgsMU"",""All!B2:B""),MATCH($C143,IMPORTRANGE(""12vtnxaE_Q1s4tyr10kZQx7ZF_xG0lBFae4jQEUtgsMU"",""All!A2:A""),0)),INDEX(IMPORTRANGE(""13KC70HngS4DDi8y9E5khtSpQEPG6owaQ9z4E-tR5mnY"","&amp;"""Non-Food!B2:B""),MATCH($C143,IMPORTRANGE(""13KC70HngS4DDi8y9E5khtSpQEPG6owaQ9z4E-tR5mnY"",""Non-Food!A2:A""),0))),"""")"),"")</f>
        <v/>
      </c>
      <c r="E143" s="14"/>
      <c r="F143" s="29"/>
      <c r="G143" s="22"/>
      <c r="H143" s="23" t="str">
        <f>IFERROR(__xludf.DUMMYFUNCTION("iferror(iferror(iferror(index(IMPORTRANGE(""1NK5L1mviMn0j3D3uo53ASkIZOFRlLnqaCTnwzOG2_Wg"",""Direct Link!B2:B""),MATCH($C143,IMPORTRANGE(""1NK5L1mviMn0j3D3uo53ASkIZOFRlLnqaCTnwzOG2_Wg"",""Direct Link!A2:A""),0)),XLOOKUP($C143,IMPORTRANGE(""1NK5L1mviMn0j3D"&amp;"3uo53ASkIZOFRlLnqaCTnwzOG2_Wg"",""Direct links Without Sizes!A2:A""),IMPORTRANGE(""1NK5L1mviMn0j3D3uo53ASkIZOFRlLnqaCTnwzOG2_Wg"",""Direct links Without Sizes!B2:B""))),XLOOKUP($C143,IMPORTRANGE(""1NK5L1mviMn0j3D3uo53ASkIZOFRlLnqaCTnwzOG2_Wg"",""Direct li"&amp;"nks Without Sizes!D2:D""),IMPORTRANGE(""1NK5L1mviMn0j3D3uo53ASkIZOFRlLnqaCTnwzOG2_Wg"",""Direct links Without Sizes!E2:E""))),"""")"),"")</f>
        <v/>
      </c>
      <c r="I143" s="5"/>
      <c r="J143" s="24" t="str">
        <f t="shared" si="1"/>
        <v/>
      </c>
      <c r="K143" s="25"/>
      <c r="L143" s="24" t="str">
        <f t="shared" si="2"/>
        <v/>
      </c>
      <c r="M143" s="4"/>
      <c r="N143" s="23"/>
      <c r="O143" s="23"/>
      <c r="P143" s="23"/>
      <c r="Q143" s="4" t="str">
        <f t="shared" si="4"/>
        <v/>
      </c>
      <c r="R143" s="20"/>
      <c r="S143" s="20"/>
    </row>
    <row r="144">
      <c r="A144" s="5"/>
      <c r="B144" s="5"/>
      <c r="C144" s="11"/>
      <c r="D144" s="7" t="str">
        <f>IFERROR(__xludf.DUMMYFUNCTION("iferror(iferror(INDEX(IMPORTRANGE(""12vtnxaE_Q1s4tyr10kZQx7ZF_xG0lBFae4jQEUtgsMU"",""All!B2:B""),MATCH($C144,IMPORTRANGE(""12vtnxaE_Q1s4tyr10kZQx7ZF_xG0lBFae4jQEUtgsMU"",""All!A2:A""),0)),INDEX(IMPORTRANGE(""13KC70HngS4DDi8y9E5khtSpQEPG6owaQ9z4E-tR5mnY"","&amp;"""Non-Food!B2:B""),MATCH($C144,IMPORTRANGE(""13KC70HngS4DDi8y9E5khtSpQEPG6owaQ9z4E-tR5mnY"",""Non-Food!A2:A""),0))),"""")"),"")</f>
        <v/>
      </c>
      <c r="E144" s="14"/>
      <c r="F144" s="29"/>
      <c r="G144" s="22"/>
      <c r="H144" s="23" t="str">
        <f>IFERROR(__xludf.DUMMYFUNCTION("iferror(iferror(iferror(index(IMPORTRANGE(""1NK5L1mviMn0j3D3uo53ASkIZOFRlLnqaCTnwzOG2_Wg"",""Direct Link!B2:B""),MATCH($C144,IMPORTRANGE(""1NK5L1mviMn0j3D3uo53ASkIZOFRlLnqaCTnwzOG2_Wg"",""Direct Link!A2:A""),0)),XLOOKUP($C144,IMPORTRANGE(""1NK5L1mviMn0j3D"&amp;"3uo53ASkIZOFRlLnqaCTnwzOG2_Wg"",""Direct links Without Sizes!A2:A""),IMPORTRANGE(""1NK5L1mviMn0j3D3uo53ASkIZOFRlLnqaCTnwzOG2_Wg"",""Direct links Without Sizes!B2:B""))),XLOOKUP($C144,IMPORTRANGE(""1NK5L1mviMn0j3D3uo53ASkIZOFRlLnqaCTnwzOG2_Wg"",""Direct li"&amp;"nks Without Sizes!D2:D""),IMPORTRANGE(""1NK5L1mviMn0j3D3uo53ASkIZOFRlLnqaCTnwzOG2_Wg"",""Direct links Without Sizes!E2:E""))),"""")"),"")</f>
        <v/>
      </c>
      <c r="I144" s="4"/>
      <c r="J144" s="24" t="str">
        <f t="shared" si="1"/>
        <v/>
      </c>
      <c r="K144" s="25"/>
      <c r="L144" s="24" t="str">
        <f t="shared" si="2"/>
        <v/>
      </c>
      <c r="M144" s="4"/>
      <c r="N144" s="23"/>
      <c r="O144" s="23"/>
      <c r="P144" s="23"/>
      <c r="Q144" s="4" t="str">
        <f t="shared" si="4"/>
        <v/>
      </c>
      <c r="R144" s="20"/>
      <c r="S144" s="20"/>
    </row>
    <row r="145">
      <c r="A145" s="5"/>
      <c r="B145" s="5"/>
      <c r="C145" s="11"/>
      <c r="D145" s="7" t="str">
        <f>IFERROR(__xludf.DUMMYFUNCTION("iferror(iferror(INDEX(IMPORTRANGE(""12vtnxaE_Q1s4tyr10kZQx7ZF_xG0lBFae4jQEUtgsMU"",""All!B2:B""),MATCH($C145,IMPORTRANGE(""12vtnxaE_Q1s4tyr10kZQx7ZF_xG0lBFae4jQEUtgsMU"",""All!A2:A""),0)),INDEX(IMPORTRANGE(""13KC70HngS4DDi8y9E5khtSpQEPG6owaQ9z4E-tR5mnY"","&amp;"""Non-Food!B2:B""),MATCH($C145,IMPORTRANGE(""13KC70HngS4DDi8y9E5khtSpQEPG6owaQ9z4E-tR5mnY"",""Non-Food!A2:A""),0))),"""")"),"")</f>
        <v/>
      </c>
      <c r="E145" s="14"/>
      <c r="F145" s="29"/>
      <c r="G145" s="22"/>
      <c r="H145" s="23" t="str">
        <f>IFERROR(__xludf.DUMMYFUNCTION("iferror(iferror(iferror(index(IMPORTRANGE(""1NK5L1mviMn0j3D3uo53ASkIZOFRlLnqaCTnwzOG2_Wg"",""Direct Link!B2:B""),MATCH($C145,IMPORTRANGE(""1NK5L1mviMn0j3D3uo53ASkIZOFRlLnqaCTnwzOG2_Wg"",""Direct Link!A2:A""),0)),XLOOKUP($C145,IMPORTRANGE(""1NK5L1mviMn0j3D"&amp;"3uo53ASkIZOFRlLnqaCTnwzOG2_Wg"",""Direct links Without Sizes!A2:A""),IMPORTRANGE(""1NK5L1mviMn0j3D3uo53ASkIZOFRlLnqaCTnwzOG2_Wg"",""Direct links Without Sizes!B2:B""))),XLOOKUP($C145,IMPORTRANGE(""1NK5L1mviMn0j3D3uo53ASkIZOFRlLnqaCTnwzOG2_Wg"",""Direct li"&amp;"nks Without Sizes!D2:D""),IMPORTRANGE(""1NK5L1mviMn0j3D3uo53ASkIZOFRlLnqaCTnwzOG2_Wg"",""Direct links Without Sizes!E2:E""))),"""")"),"")</f>
        <v/>
      </c>
      <c r="I145" s="5"/>
      <c r="J145" s="24" t="str">
        <f t="shared" si="1"/>
        <v/>
      </c>
      <c r="K145" s="25"/>
      <c r="L145" s="24" t="str">
        <f t="shared" si="2"/>
        <v/>
      </c>
      <c r="M145" s="4"/>
      <c r="N145" s="23"/>
      <c r="O145" s="23"/>
      <c r="P145" s="23"/>
      <c r="Q145" s="4" t="str">
        <f t="shared" si="4"/>
        <v/>
      </c>
      <c r="R145" s="20"/>
      <c r="S145" s="20"/>
    </row>
    <row r="146">
      <c r="A146" s="5"/>
      <c r="B146" s="5"/>
      <c r="C146" s="11"/>
      <c r="D146" s="7" t="str">
        <f>IFERROR(__xludf.DUMMYFUNCTION("iferror(iferror(INDEX(IMPORTRANGE(""12vtnxaE_Q1s4tyr10kZQx7ZF_xG0lBFae4jQEUtgsMU"",""All!B2:B""),MATCH($C146,IMPORTRANGE(""12vtnxaE_Q1s4tyr10kZQx7ZF_xG0lBFae4jQEUtgsMU"",""All!A2:A""),0)),INDEX(IMPORTRANGE(""13KC70HngS4DDi8y9E5khtSpQEPG6owaQ9z4E-tR5mnY"","&amp;"""Non-Food!B2:B""),MATCH($C146,IMPORTRANGE(""13KC70HngS4DDi8y9E5khtSpQEPG6owaQ9z4E-tR5mnY"",""Non-Food!A2:A""),0))),"""")"),"")</f>
        <v/>
      </c>
      <c r="E146" s="14"/>
      <c r="F146" s="29"/>
      <c r="G146" s="22"/>
      <c r="H146" s="23" t="str">
        <f>IFERROR(__xludf.DUMMYFUNCTION("iferror(iferror(iferror(index(IMPORTRANGE(""1NK5L1mviMn0j3D3uo53ASkIZOFRlLnqaCTnwzOG2_Wg"",""Direct Link!B2:B""),MATCH($C146,IMPORTRANGE(""1NK5L1mviMn0j3D3uo53ASkIZOFRlLnqaCTnwzOG2_Wg"",""Direct Link!A2:A""),0)),XLOOKUP($C146,IMPORTRANGE(""1NK5L1mviMn0j3D"&amp;"3uo53ASkIZOFRlLnqaCTnwzOG2_Wg"",""Direct links Without Sizes!A2:A""),IMPORTRANGE(""1NK5L1mviMn0j3D3uo53ASkIZOFRlLnqaCTnwzOG2_Wg"",""Direct links Without Sizes!B2:B""))),XLOOKUP($C146,IMPORTRANGE(""1NK5L1mviMn0j3D3uo53ASkIZOFRlLnqaCTnwzOG2_Wg"",""Direct li"&amp;"nks Without Sizes!D2:D""),IMPORTRANGE(""1NK5L1mviMn0j3D3uo53ASkIZOFRlLnqaCTnwzOG2_Wg"",""Direct links Without Sizes!E2:E""))),"""")"),"")</f>
        <v/>
      </c>
      <c r="I146" s="5"/>
      <c r="J146" s="24" t="str">
        <f t="shared" si="1"/>
        <v/>
      </c>
      <c r="K146" s="25"/>
      <c r="L146" s="24" t="str">
        <f t="shared" si="2"/>
        <v/>
      </c>
      <c r="M146" s="4"/>
      <c r="N146" s="23"/>
      <c r="O146" s="23"/>
      <c r="P146" s="23"/>
      <c r="Q146" s="4" t="str">
        <f t="shared" si="4"/>
        <v/>
      </c>
      <c r="R146" s="20"/>
      <c r="S146" s="20"/>
    </row>
    <row r="147">
      <c r="A147" s="5"/>
      <c r="B147" s="5"/>
      <c r="C147" s="11"/>
      <c r="D147" s="7" t="str">
        <f>IFERROR(__xludf.DUMMYFUNCTION("iferror(iferror(INDEX(IMPORTRANGE(""12vtnxaE_Q1s4tyr10kZQx7ZF_xG0lBFae4jQEUtgsMU"",""All!B2:B""),MATCH($C147,IMPORTRANGE(""12vtnxaE_Q1s4tyr10kZQx7ZF_xG0lBFae4jQEUtgsMU"",""All!A2:A""),0)),INDEX(IMPORTRANGE(""13KC70HngS4DDi8y9E5khtSpQEPG6owaQ9z4E-tR5mnY"","&amp;"""Non-Food!B2:B""),MATCH($C147,IMPORTRANGE(""13KC70HngS4DDi8y9E5khtSpQEPG6owaQ9z4E-tR5mnY"",""Non-Food!A2:A""),0))),"""")"),"")</f>
        <v/>
      </c>
      <c r="E147" s="14"/>
      <c r="F147" s="29"/>
      <c r="G147" s="22"/>
      <c r="H147" s="23" t="str">
        <f>IFERROR(__xludf.DUMMYFUNCTION("iferror(iferror(iferror(index(IMPORTRANGE(""1NK5L1mviMn0j3D3uo53ASkIZOFRlLnqaCTnwzOG2_Wg"",""Direct Link!B2:B""),MATCH($C147,IMPORTRANGE(""1NK5L1mviMn0j3D3uo53ASkIZOFRlLnqaCTnwzOG2_Wg"",""Direct Link!A2:A""),0)),XLOOKUP($C147,IMPORTRANGE(""1NK5L1mviMn0j3D"&amp;"3uo53ASkIZOFRlLnqaCTnwzOG2_Wg"",""Direct links Without Sizes!A2:A""),IMPORTRANGE(""1NK5L1mviMn0j3D3uo53ASkIZOFRlLnqaCTnwzOG2_Wg"",""Direct links Without Sizes!B2:B""))),XLOOKUP($C147,IMPORTRANGE(""1NK5L1mviMn0j3D3uo53ASkIZOFRlLnqaCTnwzOG2_Wg"",""Direct li"&amp;"nks Without Sizes!D2:D""),IMPORTRANGE(""1NK5L1mviMn0j3D3uo53ASkIZOFRlLnqaCTnwzOG2_Wg"",""Direct links Without Sizes!E2:E""))),"""")"),"")</f>
        <v/>
      </c>
      <c r="I147" s="5"/>
      <c r="J147" s="24" t="str">
        <f t="shared" si="1"/>
        <v/>
      </c>
      <c r="K147" s="25"/>
      <c r="L147" s="24" t="str">
        <f t="shared" si="2"/>
        <v/>
      </c>
      <c r="M147" s="4"/>
      <c r="N147" s="23"/>
      <c r="O147" s="23"/>
      <c r="P147" s="23"/>
      <c r="Q147" s="4" t="str">
        <f t="shared" si="4"/>
        <v/>
      </c>
      <c r="R147" s="20"/>
      <c r="S147" s="20"/>
    </row>
    <row r="148">
      <c r="A148" s="5"/>
      <c r="B148" s="5"/>
      <c r="C148" s="11"/>
      <c r="D148" s="7" t="str">
        <f>IFERROR(__xludf.DUMMYFUNCTION("iferror(iferror(INDEX(IMPORTRANGE(""12vtnxaE_Q1s4tyr10kZQx7ZF_xG0lBFae4jQEUtgsMU"",""All!B2:B""),MATCH($C148,IMPORTRANGE(""12vtnxaE_Q1s4tyr10kZQx7ZF_xG0lBFae4jQEUtgsMU"",""All!A2:A""),0)),INDEX(IMPORTRANGE(""13KC70HngS4DDi8y9E5khtSpQEPG6owaQ9z4E-tR5mnY"","&amp;"""Non-Food!B2:B""),MATCH($C148,IMPORTRANGE(""13KC70HngS4DDi8y9E5khtSpQEPG6owaQ9z4E-tR5mnY"",""Non-Food!A2:A""),0))),"""")"),"")</f>
        <v/>
      </c>
      <c r="E148" s="14"/>
      <c r="F148" s="29"/>
      <c r="G148" s="22"/>
      <c r="H148" s="23" t="str">
        <f>IFERROR(__xludf.DUMMYFUNCTION("iferror(iferror(iferror(index(IMPORTRANGE(""1NK5L1mviMn0j3D3uo53ASkIZOFRlLnqaCTnwzOG2_Wg"",""Direct Link!B2:B""),MATCH($C148,IMPORTRANGE(""1NK5L1mviMn0j3D3uo53ASkIZOFRlLnqaCTnwzOG2_Wg"",""Direct Link!A2:A""),0)),XLOOKUP($C148,IMPORTRANGE(""1NK5L1mviMn0j3D"&amp;"3uo53ASkIZOFRlLnqaCTnwzOG2_Wg"",""Direct links Without Sizes!A2:A""),IMPORTRANGE(""1NK5L1mviMn0j3D3uo53ASkIZOFRlLnqaCTnwzOG2_Wg"",""Direct links Without Sizes!B2:B""))),XLOOKUP($C148,IMPORTRANGE(""1NK5L1mviMn0j3D3uo53ASkIZOFRlLnqaCTnwzOG2_Wg"",""Direct li"&amp;"nks Without Sizes!D2:D""),IMPORTRANGE(""1NK5L1mviMn0j3D3uo53ASkIZOFRlLnqaCTnwzOG2_Wg"",""Direct links Without Sizes!E2:E""))),"""")"),"")</f>
        <v/>
      </c>
      <c r="I148" s="5"/>
      <c r="J148" s="24" t="str">
        <f t="shared" si="1"/>
        <v/>
      </c>
      <c r="K148" s="25"/>
      <c r="L148" s="24" t="str">
        <f t="shared" si="2"/>
        <v/>
      </c>
      <c r="M148" s="4"/>
      <c r="N148" s="23"/>
      <c r="O148" s="23"/>
      <c r="P148" s="23"/>
      <c r="Q148" s="4" t="str">
        <f t="shared" si="4"/>
        <v/>
      </c>
      <c r="R148" s="20"/>
      <c r="S148" s="20"/>
    </row>
    <row r="149">
      <c r="A149" s="5"/>
      <c r="B149" s="5"/>
      <c r="C149" s="11"/>
      <c r="D149" s="7" t="str">
        <f>IFERROR(__xludf.DUMMYFUNCTION("iferror(iferror(INDEX(IMPORTRANGE(""12vtnxaE_Q1s4tyr10kZQx7ZF_xG0lBFae4jQEUtgsMU"",""All!B2:B""),MATCH($C149,IMPORTRANGE(""12vtnxaE_Q1s4tyr10kZQx7ZF_xG0lBFae4jQEUtgsMU"",""All!A2:A""),0)),INDEX(IMPORTRANGE(""13KC70HngS4DDi8y9E5khtSpQEPG6owaQ9z4E-tR5mnY"","&amp;"""Non-Food!B2:B""),MATCH($C149,IMPORTRANGE(""13KC70HngS4DDi8y9E5khtSpQEPG6owaQ9z4E-tR5mnY"",""Non-Food!A2:A""),0))),"""")"),"")</f>
        <v/>
      </c>
      <c r="E149" s="14"/>
      <c r="F149" s="29"/>
      <c r="G149" s="22"/>
      <c r="H149" s="23" t="str">
        <f>IFERROR(__xludf.DUMMYFUNCTION("iferror(iferror(iferror(index(IMPORTRANGE(""1NK5L1mviMn0j3D3uo53ASkIZOFRlLnqaCTnwzOG2_Wg"",""Direct Link!B2:B""),MATCH($C149,IMPORTRANGE(""1NK5L1mviMn0j3D3uo53ASkIZOFRlLnqaCTnwzOG2_Wg"",""Direct Link!A2:A""),0)),XLOOKUP($C149,IMPORTRANGE(""1NK5L1mviMn0j3D"&amp;"3uo53ASkIZOFRlLnqaCTnwzOG2_Wg"",""Direct links Without Sizes!A2:A""),IMPORTRANGE(""1NK5L1mviMn0j3D3uo53ASkIZOFRlLnqaCTnwzOG2_Wg"",""Direct links Without Sizes!B2:B""))),XLOOKUP($C149,IMPORTRANGE(""1NK5L1mviMn0j3D3uo53ASkIZOFRlLnqaCTnwzOG2_Wg"",""Direct li"&amp;"nks Without Sizes!D2:D""),IMPORTRANGE(""1NK5L1mviMn0j3D3uo53ASkIZOFRlLnqaCTnwzOG2_Wg"",""Direct links Without Sizes!E2:E""))),"""")"),"")</f>
        <v/>
      </c>
      <c r="I149" s="5"/>
      <c r="J149" s="24" t="str">
        <f t="shared" si="1"/>
        <v/>
      </c>
      <c r="K149" s="25"/>
      <c r="L149" s="24" t="str">
        <f t="shared" si="2"/>
        <v/>
      </c>
      <c r="M149" s="4"/>
      <c r="N149" s="23"/>
      <c r="O149" s="23"/>
      <c r="P149" s="23"/>
      <c r="Q149" s="4" t="str">
        <f t="shared" si="4"/>
        <v/>
      </c>
      <c r="R149" s="20"/>
      <c r="S149" s="20"/>
    </row>
    <row r="150">
      <c r="A150" s="5"/>
      <c r="B150" s="5"/>
      <c r="C150" s="11"/>
      <c r="D150" s="7" t="str">
        <f>IFERROR(__xludf.DUMMYFUNCTION("iferror(iferror(INDEX(IMPORTRANGE(""12vtnxaE_Q1s4tyr10kZQx7ZF_xG0lBFae4jQEUtgsMU"",""All!B2:B""),MATCH($C150,IMPORTRANGE(""12vtnxaE_Q1s4tyr10kZQx7ZF_xG0lBFae4jQEUtgsMU"",""All!A2:A""),0)),INDEX(IMPORTRANGE(""13KC70HngS4DDi8y9E5khtSpQEPG6owaQ9z4E-tR5mnY"","&amp;"""Non-Food!B2:B""),MATCH($C150,IMPORTRANGE(""13KC70HngS4DDi8y9E5khtSpQEPG6owaQ9z4E-tR5mnY"",""Non-Food!A2:A""),0))),"""")"),"")</f>
        <v/>
      </c>
      <c r="E150" s="14"/>
      <c r="F150" s="29"/>
      <c r="G150" s="22"/>
      <c r="H150" s="23" t="str">
        <f>IFERROR(__xludf.DUMMYFUNCTION("iferror(iferror(iferror(index(IMPORTRANGE(""1NK5L1mviMn0j3D3uo53ASkIZOFRlLnqaCTnwzOG2_Wg"",""Direct Link!B2:B""),MATCH($C150,IMPORTRANGE(""1NK5L1mviMn0j3D3uo53ASkIZOFRlLnqaCTnwzOG2_Wg"",""Direct Link!A2:A""),0)),XLOOKUP($C150,IMPORTRANGE(""1NK5L1mviMn0j3D"&amp;"3uo53ASkIZOFRlLnqaCTnwzOG2_Wg"",""Direct links Without Sizes!A2:A""),IMPORTRANGE(""1NK5L1mviMn0j3D3uo53ASkIZOFRlLnqaCTnwzOG2_Wg"",""Direct links Without Sizes!B2:B""))),XLOOKUP($C150,IMPORTRANGE(""1NK5L1mviMn0j3D3uo53ASkIZOFRlLnqaCTnwzOG2_Wg"",""Direct li"&amp;"nks Without Sizes!D2:D""),IMPORTRANGE(""1NK5L1mviMn0j3D3uo53ASkIZOFRlLnqaCTnwzOG2_Wg"",""Direct links Without Sizes!E2:E""))),"""")"),"")</f>
        <v/>
      </c>
      <c r="I150" s="5"/>
      <c r="J150" s="24" t="str">
        <f t="shared" si="1"/>
        <v/>
      </c>
      <c r="K150" s="25"/>
      <c r="L150" s="24" t="str">
        <f t="shared" si="2"/>
        <v/>
      </c>
      <c r="M150" s="4"/>
      <c r="N150" s="23"/>
      <c r="O150" s="23"/>
      <c r="P150" s="23"/>
      <c r="Q150" s="4" t="str">
        <f t="shared" si="4"/>
        <v/>
      </c>
      <c r="R150" s="20"/>
      <c r="S150" s="20"/>
    </row>
    <row r="151">
      <c r="A151" s="5"/>
      <c r="B151" s="5"/>
      <c r="C151" s="11"/>
      <c r="D151" s="7" t="str">
        <f>IFERROR(__xludf.DUMMYFUNCTION("iferror(iferror(INDEX(IMPORTRANGE(""12vtnxaE_Q1s4tyr10kZQx7ZF_xG0lBFae4jQEUtgsMU"",""All!B2:B""),MATCH($C151,IMPORTRANGE(""12vtnxaE_Q1s4tyr10kZQx7ZF_xG0lBFae4jQEUtgsMU"",""All!A2:A""),0)),INDEX(IMPORTRANGE(""13KC70HngS4DDi8y9E5khtSpQEPG6owaQ9z4E-tR5mnY"","&amp;"""Non-Food!B2:B""),MATCH($C151,IMPORTRANGE(""13KC70HngS4DDi8y9E5khtSpQEPG6owaQ9z4E-tR5mnY"",""Non-Food!A2:A""),0))),"""")"),"")</f>
        <v/>
      </c>
      <c r="E151" s="14"/>
      <c r="F151" s="29"/>
      <c r="G151" s="22"/>
      <c r="H151" s="23" t="str">
        <f>IFERROR(__xludf.DUMMYFUNCTION("iferror(iferror(iferror(index(IMPORTRANGE(""1NK5L1mviMn0j3D3uo53ASkIZOFRlLnqaCTnwzOG2_Wg"",""Direct Link!B2:B""),MATCH($C151,IMPORTRANGE(""1NK5L1mviMn0j3D3uo53ASkIZOFRlLnqaCTnwzOG2_Wg"",""Direct Link!A2:A""),0)),XLOOKUP($C151,IMPORTRANGE(""1NK5L1mviMn0j3D"&amp;"3uo53ASkIZOFRlLnqaCTnwzOG2_Wg"",""Direct links Without Sizes!A2:A""),IMPORTRANGE(""1NK5L1mviMn0j3D3uo53ASkIZOFRlLnqaCTnwzOG2_Wg"",""Direct links Without Sizes!B2:B""))),XLOOKUP($C151,IMPORTRANGE(""1NK5L1mviMn0j3D3uo53ASkIZOFRlLnqaCTnwzOG2_Wg"",""Direct li"&amp;"nks Without Sizes!D2:D""),IMPORTRANGE(""1NK5L1mviMn0j3D3uo53ASkIZOFRlLnqaCTnwzOG2_Wg"",""Direct links Without Sizes!E2:E""))),"""")"),"")</f>
        <v/>
      </c>
      <c r="I151" s="5"/>
      <c r="J151" s="24" t="str">
        <f t="shared" si="1"/>
        <v/>
      </c>
      <c r="K151" s="25"/>
      <c r="L151" s="24" t="str">
        <f t="shared" si="2"/>
        <v/>
      </c>
      <c r="M151" s="4"/>
      <c r="N151" s="23"/>
      <c r="O151" s="23"/>
      <c r="P151" s="23"/>
      <c r="Q151" s="4" t="str">
        <f t="shared" si="4"/>
        <v/>
      </c>
      <c r="R151" s="20"/>
      <c r="S151" s="20"/>
    </row>
    <row r="152">
      <c r="A152" s="5"/>
      <c r="B152" s="5"/>
      <c r="C152" s="11"/>
      <c r="D152" s="7" t="str">
        <f>IFERROR(__xludf.DUMMYFUNCTION("iferror(iferror(INDEX(IMPORTRANGE(""12vtnxaE_Q1s4tyr10kZQx7ZF_xG0lBFae4jQEUtgsMU"",""All!B2:B""),MATCH($C152,IMPORTRANGE(""12vtnxaE_Q1s4tyr10kZQx7ZF_xG0lBFae4jQEUtgsMU"",""All!A2:A""),0)),INDEX(IMPORTRANGE(""13KC70HngS4DDi8y9E5khtSpQEPG6owaQ9z4E-tR5mnY"","&amp;"""Non-Food!B2:B""),MATCH($C152,IMPORTRANGE(""13KC70HngS4DDi8y9E5khtSpQEPG6owaQ9z4E-tR5mnY"",""Non-Food!A2:A""),0))),"""")"),"")</f>
        <v/>
      </c>
      <c r="E152" s="14"/>
      <c r="F152" s="29"/>
      <c r="G152" s="22"/>
      <c r="H152" s="23" t="str">
        <f>IFERROR(__xludf.DUMMYFUNCTION("iferror(iferror(iferror(index(IMPORTRANGE(""1NK5L1mviMn0j3D3uo53ASkIZOFRlLnqaCTnwzOG2_Wg"",""Direct Link!B2:B""),MATCH($C152,IMPORTRANGE(""1NK5L1mviMn0j3D3uo53ASkIZOFRlLnqaCTnwzOG2_Wg"",""Direct Link!A2:A""),0)),XLOOKUP($C152,IMPORTRANGE(""1NK5L1mviMn0j3D"&amp;"3uo53ASkIZOFRlLnqaCTnwzOG2_Wg"",""Direct links Without Sizes!A2:A""),IMPORTRANGE(""1NK5L1mviMn0j3D3uo53ASkIZOFRlLnqaCTnwzOG2_Wg"",""Direct links Without Sizes!B2:B""))),XLOOKUP($C152,IMPORTRANGE(""1NK5L1mviMn0j3D3uo53ASkIZOFRlLnqaCTnwzOG2_Wg"",""Direct li"&amp;"nks Without Sizes!D2:D""),IMPORTRANGE(""1NK5L1mviMn0j3D3uo53ASkIZOFRlLnqaCTnwzOG2_Wg"",""Direct links Without Sizes!E2:E""))),"""")"),"")</f>
        <v/>
      </c>
      <c r="I152" s="5"/>
      <c r="J152" s="24" t="str">
        <f t="shared" si="1"/>
        <v/>
      </c>
      <c r="K152" s="25"/>
      <c r="L152" s="24" t="str">
        <f t="shared" si="2"/>
        <v/>
      </c>
      <c r="M152" s="4"/>
      <c r="N152" s="23"/>
      <c r="O152" s="23"/>
      <c r="P152" s="23"/>
      <c r="Q152" s="4" t="str">
        <f t="shared" si="4"/>
        <v/>
      </c>
      <c r="R152" s="20"/>
      <c r="S152" s="20"/>
    </row>
    <row r="153">
      <c r="A153" s="5"/>
      <c r="B153" s="5"/>
      <c r="C153" s="11"/>
      <c r="D153" s="7" t="str">
        <f>IFERROR(__xludf.DUMMYFUNCTION("iferror(iferror(INDEX(IMPORTRANGE(""12vtnxaE_Q1s4tyr10kZQx7ZF_xG0lBFae4jQEUtgsMU"",""All!B2:B""),MATCH($C153,IMPORTRANGE(""12vtnxaE_Q1s4tyr10kZQx7ZF_xG0lBFae4jQEUtgsMU"",""All!A2:A""),0)),INDEX(IMPORTRANGE(""13KC70HngS4DDi8y9E5khtSpQEPG6owaQ9z4E-tR5mnY"","&amp;"""Non-Food!B2:B""),MATCH($C153,IMPORTRANGE(""13KC70HngS4DDi8y9E5khtSpQEPG6owaQ9z4E-tR5mnY"",""Non-Food!A2:A""),0))),"""")"),"")</f>
        <v/>
      </c>
      <c r="E153" s="14"/>
      <c r="F153" s="29"/>
      <c r="G153" s="22"/>
      <c r="H153" s="23" t="str">
        <f>IFERROR(__xludf.DUMMYFUNCTION("iferror(iferror(iferror(index(IMPORTRANGE(""1NK5L1mviMn0j3D3uo53ASkIZOFRlLnqaCTnwzOG2_Wg"",""Direct Link!B2:B""),MATCH($C153,IMPORTRANGE(""1NK5L1mviMn0j3D3uo53ASkIZOFRlLnqaCTnwzOG2_Wg"",""Direct Link!A2:A""),0)),XLOOKUP($C153,IMPORTRANGE(""1NK5L1mviMn0j3D"&amp;"3uo53ASkIZOFRlLnqaCTnwzOG2_Wg"",""Direct links Without Sizes!A2:A""),IMPORTRANGE(""1NK5L1mviMn0j3D3uo53ASkIZOFRlLnqaCTnwzOG2_Wg"",""Direct links Without Sizes!B2:B""))),XLOOKUP($C153,IMPORTRANGE(""1NK5L1mviMn0j3D3uo53ASkIZOFRlLnqaCTnwzOG2_Wg"",""Direct li"&amp;"nks Without Sizes!D2:D""),IMPORTRANGE(""1NK5L1mviMn0j3D3uo53ASkIZOFRlLnqaCTnwzOG2_Wg"",""Direct links Without Sizes!E2:E""))),"""")"),"")</f>
        <v/>
      </c>
      <c r="I153" s="5"/>
      <c r="J153" s="24" t="str">
        <f t="shared" si="1"/>
        <v/>
      </c>
      <c r="K153" s="25"/>
      <c r="L153" s="24" t="str">
        <f t="shared" si="2"/>
        <v/>
      </c>
      <c r="M153" s="4"/>
      <c r="N153" s="23"/>
      <c r="O153" s="23"/>
      <c r="P153" s="23"/>
      <c r="Q153" s="4" t="str">
        <f t="shared" si="4"/>
        <v/>
      </c>
      <c r="R153" s="20"/>
      <c r="S153" s="20"/>
    </row>
    <row r="154">
      <c r="A154" s="5"/>
      <c r="B154" s="5"/>
      <c r="C154" s="11"/>
      <c r="D154" s="7" t="str">
        <f>IFERROR(__xludf.DUMMYFUNCTION("iferror(iferror(INDEX(IMPORTRANGE(""12vtnxaE_Q1s4tyr10kZQx7ZF_xG0lBFae4jQEUtgsMU"",""All!B2:B""),MATCH($C154,IMPORTRANGE(""12vtnxaE_Q1s4tyr10kZQx7ZF_xG0lBFae4jQEUtgsMU"",""All!A2:A""),0)),INDEX(IMPORTRANGE(""13KC70HngS4DDi8y9E5khtSpQEPG6owaQ9z4E-tR5mnY"","&amp;"""Non-Food!B2:B""),MATCH($C154,IMPORTRANGE(""13KC70HngS4DDi8y9E5khtSpQEPG6owaQ9z4E-tR5mnY"",""Non-Food!A2:A""),0))),"""")"),"")</f>
        <v/>
      </c>
      <c r="E154" s="15"/>
      <c r="F154" s="15"/>
      <c r="G154" s="22"/>
      <c r="H154" s="23" t="str">
        <f>IFERROR(__xludf.DUMMYFUNCTION("iferror(iferror(iferror(index(IMPORTRANGE(""1NK5L1mviMn0j3D3uo53ASkIZOFRlLnqaCTnwzOG2_Wg"",""Direct Link!B2:B""),MATCH($C154,IMPORTRANGE(""1NK5L1mviMn0j3D3uo53ASkIZOFRlLnqaCTnwzOG2_Wg"",""Direct Link!A2:A""),0)),XLOOKUP($C154,IMPORTRANGE(""1NK5L1mviMn0j3D"&amp;"3uo53ASkIZOFRlLnqaCTnwzOG2_Wg"",""Direct links Without Sizes!A2:A""),IMPORTRANGE(""1NK5L1mviMn0j3D3uo53ASkIZOFRlLnqaCTnwzOG2_Wg"",""Direct links Without Sizes!B2:B""))),XLOOKUP($C154,IMPORTRANGE(""1NK5L1mviMn0j3D3uo53ASkIZOFRlLnqaCTnwzOG2_Wg"",""Direct li"&amp;"nks Without Sizes!D2:D""),IMPORTRANGE(""1NK5L1mviMn0j3D3uo53ASkIZOFRlLnqaCTnwzOG2_Wg"",""Direct links Without Sizes!E2:E""))),"""")"),"")</f>
        <v/>
      </c>
      <c r="I154" s="5"/>
      <c r="J154" s="24" t="str">
        <f t="shared" si="1"/>
        <v/>
      </c>
      <c r="K154" s="25"/>
      <c r="L154" s="24" t="str">
        <f t="shared" si="2"/>
        <v/>
      </c>
      <c r="M154" s="4"/>
      <c r="N154" s="23"/>
      <c r="O154" s="23"/>
      <c r="P154" s="23"/>
      <c r="Q154" s="4" t="str">
        <f t="shared" si="4"/>
        <v/>
      </c>
      <c r="R154" s="20"/>
      <c r="S154" s="20"/>
    </row>
    <row r="155">
      <c r="A155" s="5"/>
      <c r="B155" s="5"/>
      <c r="C155" s="11"/>
      <c r="D155" s="7" t="str">
        <f>IFERROR(__xludf.DUMMYFUNCTION("iferror(iferror(INDEX(IMPORTRANGE(""12vtnxaE_Q1s4tyr10kZQx7ZF_xG0lBFae4jQEUtgsMU"",""All!B2:B""),MATCH($C155,IMPORTRANGE(""12vtnxaE_Q1s4tyr10kZQx7ZF_xG0lBFae4jQEUtgsMU"",""All!A2:A""),0)),INDEX(IMPORTRANGE(""13KC70HngS4DDi8y9E5khtSpQEPG6owaQ9z4E-tR5mnY"","&amp;"""Non-Food!B2:B""),MATCH($C155,IMPORTRANGE(""13KC70HngS4DDi8y9E5khtSpQEPG6owaQ9z4E-tR5mnY"",""Non-Food!A2:A""),0))),"""")"),"")</f>
        <v/>
      </c>
      <c r="E155" s="15"/>
      <c r="F155" s="15"/>
      <c r="G155" s="22"/>
      <c r="H155" s="23" t="str">
        <f>IFERROR(__xludf.DUMMYFUNCTION("iferror(iferror(iferror(index(IMPORTRANGE(""1NK5L1mviMn0j3D3uo53ASkIZOFRlLnqaCTnwzOG2_Wg"",""Direct Link!B2:B""),MATCH($C155,IMPORTRANGE(""1NK5L1mviMn0j3D3uo53ASkIZOFRlLnqaCTnwzOG2_Wg"",""Direct Link!A2:A""),0)),XLOOKUP($C155,IMPORTRANGE(""1NK5L1mviMn0j3D"&amp;"3uo53ASkIZOFRlLnqaCTnwzOG2_Wg"",""Direct links Without Sizes!A2:A""),IMPORTRANGE(""1NK5L1mviMn0j3D3uo53ASkIZOFRlLnqaCTnwzOG2_Wg"",""Direct links Without Sizes!B2:B""))),XLOOKUP($C155,IMPORTRANGE(""1NK5L1mviMn0j3D3uo53ASkIZOFRlLnqaCTnwzOG2_Wg"",""Direct li"&amp;"nks Without Sizes!D2:D""),IMPORTRANGE(""1NK5L1mviMn0j3D3uo53ASkIZOFRlLnqaCTnwzOG2_Wg"",""Direct links Without Sizes!E2:E""))),"""")"),"")</f>
        <v/>
      </c>
      <c r="I155" s="5"/>
      <c r="J155" s="24" t="str">
        <f t="shared" si="1"/>
        <v/>
      </c>
      <c r="K155" s="25"/>
      <c r="L155" s="24" t="str">
        <f t="shared" si="2"/>
        <v/>
      </c>
      <c r="M155" s="4"/>
      <c r="N155" s="23"/>
      <c r="O155" s="23"/>
      <c r="P155" s="23"/>
      <c r="Q155" s="4" t="str">
        <f t="shared" si="4"/>
        <v/>
      </c>
      <c r="R155" s="20"/>
      <c r="S155" s="20"/>
    </row>
    <row r="156">
      <c r="A156" s="5"/>
      <c r="B156" s="5"/>
      <c r="C156" s="11"/>
      <c r="D156" s="7" t="str">
        <f>IFERROR(__xludf.DUMMYFUNCTION("iferror(iferror(INDEX(IMPORTRANGE(""12vtnxaE_Q1s4tyr10kZQx7ZF_xG0lBFae4jQEUtgsMU"",""All!B2:B""),MATCH($C156,IMPORTRANGE(""12vtnxaE_Q1s4tyr10kZQx7ZF_xG0lBFae4jQEUtgsMU"",""All!A2:A""),0)),INDEX(IMPORTRANGE(""13KC70HngS4DDi8y9E5khtSpQEPG6owaQ9z4E-tR5mnY"","&amp;"""Non-Food!B2:B""),MATCH($C156,IMPORTRANGE(""13KC70HngS4DDi8y9E5khtSpQEPG6owaQ9z4E-tR5mnY"",""Non-Food!A2:A""),0))),"""")"),"")</f>
        <v/>
      </c>
      <c r="E156" s="15"/>
      <c r="F156" s="15"/>
      <c r="G156" s="22"/>
      <c r="H156" s="23" t="str">
        <f>IFERROR(__xludf.DUMMYFUNCTION("iferror(iferror(iferror(index(IMPORTRANGE(""1NK5L1mviMn0j3D3uo53ASkIZOFRlLnqaCTnwzOG2_Wg"",""Direct Link!B2:B""),MATCH($C156,IMPORTRANGE(""1NK5L1mviMn0j3D3uo53ASkIZOFRlLnqaCTnwzOG2_Wg"",""Direct Link!A2:A""),0)),XLOOKUP($C156,IMPORTRANGE(""1NK5L1mviMn0j3D"&amp;"3uo53ASkIZOFRlLnqaCTnwzOG2_Wg"",""Direct links Without Sizes!A2:A""),IMPORTRANGE(""1NK5L1mviMn0j3D3uo53ASkIZOFRlLnqaCTnwzOG2_Wg"",""Direct links Without Sizes!B2:B""))),XLOOKUP($C156,IMPORTRANGE(""1NK5L1mviMn0j3D3uo53ASkIZOFRlLnqaCTnwzOG2_Wg"",""Direct li"&amp;"nks Without Sizes!D2:D""),IMPORTRANGE(""1NK5L1mviMn0j3D3uo53ASkIZOFRlLnqaCTnwzOG2_Wg"",""Direct links Without Sizes!E2:E""))),"""")"),"")</f>
        <v/>
      </c>
      <c r="I156" s="5"/>
      <c r="J156" s="24" t="str">
        <f t="shared" si="1"/>
        <v/>
      </c>
      <c r="K156" s="25"/>
      <c r="L156" s="24" t="str">
        <f t="shared" si="2"/>
        <v/>
      </c>
      <c r="M156" s="4"/>
      <c r="N156" s="23"/>
      <c r="O156" s="23"/>
      <c r="P156" s="23"/>
      <c r="Q156" s="4" t="str">
        <f t="shared" si="4"/>
        <v/>
      </c>
      <c r="R156" s="20"/>
      <c r="S156" s="20"/>
    </row>
    <row r="157">
      <c r="A157" s="5"/>
      <c r="B157" s="5"/>
      <c r="C157" s="11"/>
      <c r="D157" s="7" t="str">
        <f>IFERROR(__xludf.DUMMYFUNCTION("iferror(iferror(INDEX(IMPORTRANGE(""12vtnxaE_Q1s4tyr10kZQx7ZF_xG0lBFae4jQEUtgsMU"",""All!B2:B""),MATCH($C157,IMPORTRANGE(""12vtnxaE_Q1s4tyr10kZQx7ZF_xG0lBFae4jQEUtgsMU"",""All!A2:A""),0)),INDEX(IMPORTRANGE(""13KC70HngS4DDi8y9E5khtSpQEPG6owaQ9z4E-tR5mnY"","&amp;"""Non-Food!B2:B""),MATCH($C157,IMPORTRANGE(""13KC70HngS4DDi8y9E5khtSpQEPG6owaQ9z4E-tR5mnY"",""Non-Food!A2:A""),0))),"""")"),"")</f>
        <v/>
      </c>
      <c r="E157" s="15"/>
      <c r="F157" s="15"/>
      <c r="G157" s="22"/>
      <c r="H157" s="23" t="str">
        <f>IFERROR(__xludf.DUMMYFUNCTION("iferror(iferror(iferror(index(IMPORTRANGE(""1NK5L1mviMn0j3D3uo53ASkIZOFRlLnqaCTnwzOG2_Wg"",""Direct Link!B2:B""),MATCH($C157,IMPORTRANGE(""1NK5L1mviMn0j3D3uo53ASkIZOFRlLnqaCTnwzOG2_Wg"",""Direct Link!A2:A""),0)),XLOOKUP($C157,IMPORTRANGE(""1NK5L1mviMn0j3D"&amp;"3uo53ASkIZOFRlLnqaCTnwzOG2_Wg"",""Direct links Without Sizes!A2:A""),IMPORTRANGE(""1NK5L1mviMn0j3D3uo53ASkIZOFRlLnqaCTnwzOG2_Wg"",""Direct links Without Sizes!B2:B""))),XLOOKUP($C157,IMPORTRANGE(""1NK5L1mviMn0j3D3uo53ASkIZOFRlLnqaCTnwzOG2_Wg"",""Direct li"&amp;"nks Without Sizes!D2:D""),IMPORTRANGE(""1NK5L1mviMn0j3D3uo53ASkIZOFRlLnqaCTnwzOG2_Wg"",""Direct links Without Sizes!E2:E""))),"""")"),"")</f>
        <v/>
      </c>
      <c r="I157" s="5"/>
      <c r="J157" s="24" t="str">
        <f t="shared" si="1"/>
        <v/>
      </c>
      <c r="K157" s="25"/>
      <c r="L157" s="24" t="str">
        <f t="shared" si="2"/>
        <v/>
      </c>
      <c r="M157" s="4"/>
      <c r="N157" s="23"/>
      <c r="O157" s="23"/>
      <c r="P157" s="23"/>
      <c r="Q157" s="4" t="str">
        <f t="shared" si="4"/>
        <v/>
      </c>
      <c r="R157" s="20"/>
      <c r="S157" s="20"/>
    </row>
    <row r="158">
      <c r="A158" s="5"/>
      <c r="B158" s="5"/>
      <c r="C158" s="11"/>
      <c r="D158" s="7" t="str">
        <f>IFERROR(__xludf.DUMMYFUNCTION("iferror(iferror(INDEX(IMPORTRANGE(""12vtnxaE_Q1s4tyr10kZQx7ZF_xG0lBFae4jQEUtgsMU"",""All!B2:B""),MATCH($C158,IMPORTRANGE(""12vtnxaE_Q1s4tyr10kZQx7ZF_xG0lBFae4jQEUtgsMU"",""All!A2:A""),0)),INDEX(IMPORTRANGE(""13KC70HngS4DDi8y9E5khtSpQEPG6owaQ9z4E-tR5mnY"","&amp;"""Non-Food!B2:B""),MATCH($C158,IMPORTRANGE(""13KC70HngS4DDi8y9E5khtSpQEPG6owaQ9z4E-tR5mnY"",""Non-Food!A2:A""),0))),"""")"),"")</f>
        <v/>
      </c>
      <c r="E158" s="15"/>
      <c r="F158" s="15"/>
      <c r="G158" s="22"/>
      <c r="H158" s="23" t="str">
        <f>IFERROR(__xludf.DUMMYFUNCTION("iferror(iferror(iferror(index(IMPORTRANGE(""1NK5L1mviMn0j3D3uo53ASkIZOFRlLnqaCTnwzOG2_Wg"",""Direct Link!B2:B""),MATCH($C158,IMPORTRANGE(""1NK5L1mviMn0j3D3uo53ASkIZOFRlLnqaCTnwzOG2_Wg"",""Direct Link!A2:A""),0)),XLOOKUP($C158,IMPORTRANGE(""1NK5L1mviMn0j3D"&amp;"3uo53ASkIZOFRlLnqaCTnwzOG2_Wg"",""Direct links Without Sizes!A2:A""),IMPORTRANGE(""1NK5L1mviMn0j3D3uo53ASkIZOFRlLnqaCTnwzOG2_Wg"",""Direct links Without Sizes!B2:B""))),XLOOKUP($C158,IMPORTRANGE(""1NK5L1mviMn0j3D3uo53ASkIZOFRlLnqaCTnwzOG2_Wg"",""Direct li"&amp;"nks Without Sizes!D2:D""),IMPORTRANGE(""1NK5L1mviMn0j3D3uo53ASkIZOFRlLnqaCTnwzOG2_Wg"",""Direct links Without Sizes!E2:E""))),"""")"),"")</f>
        <v/>
      </c>
      <c r="I158" s="4"/>
      <c r="J158" s="24" t="str">
        <f t="shared" si="1"/>
        <v/>
      </c>
      <c r="K158" s="25"/>
      <c r="L158" s="24" t="str">
        <f t="shared" si="2"/>
        <v/>
      </c>
      <c r="M158" s="4"/>
      <c r="N158" s="23"/>
      <c r="O158" s="23"/>
      <c r="P158" s="23"/>
      <c r="Q158" s="4" t="str">
        <f t="shared" si="4"/>
        <v/>
      </c>
      <c r="R158" s="20"/>
      <c r="S158" s="20"/>
    </row>
    <row r="159">
      <c r="A159" s="5"/>
      <c r="B159" s="5"/>
      <c r="C159" s="11"/>
      <c r="D159" s="7" t="str">
        <f>IFERROR(__xludf.DUMMYFUNCTION("iferror(iferror(INDEX(IMPORTRANGE(""12vtnxaE_Q1s4tyr10kZQx7ZF_xG0lBFae4jQEUtgsMU"",""All!B2:B""),MATCH($C159,IMPORTRANGE(""12vtnxaE_Q1s4tyr10kZQx7ZF_xG0lBFae4jQEUtgsMU"",""All!A2:A""),0)),INDEX(IMPORTRANGE(""13KC70HngS4DDi8y9E5khtSpQEPG6owaQ9z4E-tR5mnY"","&amp;"""Non-Food!B2:B""),MATCH($C159,IMPORTRANGE(""13KC70HngS4DDi8y9E5khtSpQEPG6owaQ9z4E-tR5mnY"",""Non-Food!A2:A""),0))),"""")"),"")</f>
        <v/>
      </c>
      <c r="E159" s="15"/>
      <c r="F159" s="15"/>
      <c r="G159" s="22"/>
      <c r="H159" s="23" t="str">
        <f>IFERROR(__xludf.DUMMYFUNCTION("iferror(iferror(iferror(index(IMPORTRANGE(""1NK5L1mviMn0j3D3uo53ASkIZOFRlLnqaCTnwzOG2_Wg"",""Direct Link!B2:B""),MATCH($C159,IMPORTRANGE(""1NK5L1mviMn0j3D3uo53ASkIZOFRlLnqaCTnwzOG2_Wg"",""Direct Link!A2:A""),0)),XLOOKUP($C159,IMPORTRANGE(""1NK5L1mviMn0j3D"&amp;"3uo53ASkIZOFRlLnqaCTnwzOG2_Wg"",""Direct links Without Sizes!A2:A""),IMPORTRANGE(""1NK5L1mviMn0j3D3uo53ASkIZOFRlLnqaCTnwzOG2_Wg"",""Direct links Without Sizes!B2:B""))),XLOOKUP($C159,IMPORTRANGE(""1NK5L1mviMn0j3D3uo53ASkIZOFRlLnqaCTnwzOG2_Wg"",""Direct li"&amp;"nks Without Sizes!D2:D""),IMPORTRANGE(""1NK5L1mviMn0j3D3uo53ASkIZOFRlLnqaCTnwzOG2_Wg"",""Direct links Without Sizes!E2:E""))),"""")"),"")</f>
        <v/>
      </c>
      <c r="I159" s="5"/>
      <c r="J159" s="24" t="str">
        <f t="shared" si="1"/>
        <v/>
      </c>
      <c r="K159" s="25"/>
      <c r="L159" s="24" t="str">
        <f t="shared" si="2"/>
        <v/>
      </c>
      <c r="M159" s="4"/>
      <c r="N159" s="23"/>
      <c r="O159" s="23"/>
      <c r="P159" s="23"/>
      <c r="Q159" s="4" t="str">
        <f t="shared" si="4"/>
        <v/>
      </c>
      <c r="R159" s="20"/>
      <c r="S159" s="20"/>
    </row>
    <row r="160">
      <c r="A160" s="5"/>
      <c r="B160" s="5"/>
      <c r="C160" s="11"/>
      <c r="D160" s="7" t="str">
        <f>IFERROR(__xludf.DUMMYFUNCTION("iferror(iferror(INDEX(IMPORTRANGE(""12vtnxaE_Q1s4tyr10kZQx7ZF_xG0lBFae4jQEUtgsMU"",""All!B2:B""),MATCH($C160,IMPORTRANGE(""12vtnxaE_Q1s4tyr10kZQx7ZF_xG0lBFae4jQEUtgsMU"",""All!A2:A""),0)),INDEX(IMPORTRANGE(""13KC70HngS4DDi8y9E5khtSpQEPG6owaQ9z4E-tR5mnY"","&amp;"""Non-Food!B2:B""),MATCH($C160,IMPORTRANGE(""13KC70HngS4DDi8y9E5khtSpQEPG6owaQ9z4E-tR5mnY"",""Non-Food!A2:A""),0))),"""")"),"")</f>
        <v/>
      </c>
      <c r="E160" s="15"/>
      <c r="F160" s="15"/>
      <c r="G160" s="22"/>
      <c r="H160" s="23" t="str">
        <f>IFERROR(__xludf.DUMMYFUNCTION("iferror(iferror(iferror(index(IMPORTRANGE(""1NK5L1mviMn0j3D3uo53ASkIZOFRlLnqaCTnwzOG2_Wg"",""Direct Link!B2:B""),MATCH($C160,IMPORTRANGE(""1NK5L1mviMn0j3D3uo53ASkIZOFRlLnqaCTnwzOG2_Wg"",""Direct Link!A2:A""),0)),XLOOKUP($C160,IMPORTRANGE(""1NK5L1mviMn0j3D"&amp;"3uo53ASkIZOFRlLnqaCTnwzOG2_Wg"",""Direct links Without Sizes!A2:A""),IMPORTRANGE(""1NK5L1mviMn0j3D3uo53ASkIZOFRlLnqaCTnwzOG2_Wg"",""Direct links Without Sizes!B2:B""))),XLOOKUP($C160,IMPORTRANGE(""1NK5L1mviMn0j3D3uo53ASkIZOFRlLnqaCTnwzOG2_Wg"",""Direct li"&amp;"nks Without Sizes!D2:D""),IMPORTRANGE(""1NK5L1mviMn0j3D3uo53ASkIZOFRlLnqaCTnwzOG2_Wg"",""Direct links Without Sizes!E2:E""))),"""")"),"")</f>
        <v/>
      </c>
      <c r="I160" s="4"/>
      <c r="J160" s="24" t="str">
        <f t="shared" si="1"/>
        <v/>
      </c>
      <c r="K160" s="25"/>
      <c r="L160" s="24" t="str">
        <f t="shared" si="2"/>
        <v/>
      </c>
      <c r="M160" s="4"/>
      <c r="N160" s="23"/>
      <c r="O160" s="23"/>
      <c r="P160" s="23"/>
      <c r="Q160" s="4" t="str">
        <f t="shared" si="4"/>
        <v/>
      </c>
      <c r="R160" s="20"/>
      <c r="S160" s="20"/>
    </row>
    <row r="161">
      <c r="A161" s="5"/>
      <c r="B161" s="5"/>
      <c r="C161" s="11"/>
      <c r="D161" s="7" t="str">
        <f>IFERROR(__xludf.DUMMYFUNCTION("iferror(iferror(INDEX(IMPORTRANGE(""12vtnxaE_Q1s4tyr10kZQx7ZF_xG0lBFae4jQEUtgsMU"",""All!B2:B""),MATCH($C161,IMPORTRANGE(""12vtnxaE_Q1s4tyr10kZQx7ZF_xG0lBFae4jQEUtgsMU"",""All!A2:A""),0)),INDEX(IMPORTRANGE(""13KC70HngS4DDi8y9E5khtSpQEPG6owaQ9z4E-tR5mnY"","&amp;"""Non-Food!B2:B""),MATCH($C161,IMPORTRANGE(""13KC70HngS4DDi8y9E5khtSpQEPG6owaQ9z4E-tR5mnY"",""Non-Food!A2:A""),0))),"""")"),"")</f>
        <v/>
      </c>
      <c r="E161" s="15"/>
      <c r="F161" s="15"/>
      <c r="G161" s="22"/>
      <c r="H161" s="23" t="str">
        <f>IFERROR(__xludf.DUMMYFUNCTION("iferror(iferror(iferror(index(IMPORTRANGE(""1NK5L1mviMn0j3D3uo53ASkIZOFRlLnqaCTnwzOG2_Wg"",""Direct Link!B2:B""),MATCH($C161,IMPORTRANGE(""1NK5L1mviMn0j3D3uo53ASkIZOFRlLnqaCTnwzOG2_Wg"",""Direct Link!A2:A""),0)),XLOOKUP($C161,IMPORTRANGE(""1NK5L1mviMn0j3D"&amp;"3uo53ASkIZOFRlLnqaCTnwzOG2_Wg"",""Direct links Without Sizes!A2:A""),IMPORTRANGE(""1NK5L1mviMn0j3D3uo53ASkIZOFRlLnqaCTnwzOG2_Wg"",""Direct links Without Sizes!B2:B""))),XLOOKUP($C161,IMPORTRANGE(""1NK5L1mviMn0j3D3uo53ASkIZOFRlLnqaCTnwzOG2_Wg"",""Direct li"&amp;"nks Without Sizes!D2:D""),IMPORTRANGE(""1NK5L1mviMn0j3D3uo53ASkIZOFRlLnqaCTnwzOG2_Wg"",""Direct links Without Sizes!E2:E""))),"""")"),"")</f>
        <v/>
      </c>
      <c r="I161" s="5"/>
      <c r="J161" s="24" t="str">
        <f t="shared" si="1"/>
        <v/>
      </c>
      <c r="K161" s="25"/>
      <c r="L161" s="24" t="str">
        <f t="shared" si="2"/>
        <v/>
      </c>
      <c r="M161" s="4"/>
      <c r="N161" s="23"/>
      <c r="O161" s="23"/>
      <c r="P161" s="23"/>
      <c r="Q161" s="4" t="str">
        <f t="shared" si="4"/>
        <v/>
      </c>
      <c r="R161" s="20"/>
      <c r="S161" s="20"/>
    </row>
    <row r="162">
      <c r="A162" s="5"/>
      <c r="B162" s="5"/>
      <c r="C162" s="11"/>
      <c r="D162" s="7" t="str">
        <f>IFERROR(__xludf.DUMMYFUNCTION("iferror(iferror(INDEX(IMPORTRANGE(""12vtnxaE_Q1s4tyr10kZQx7ZF_xG0lBFae4jQEUtgsMU"",""All!B2:B""),MATCH($C162,IMPORTRANGE(""12vtnxaE_Q1s4tyr10kZQx7ZF_xG0lBFae4jQEUtgsMU"",""All!A2:A""),0)),INDEX(IMPORTRANGE(""13KC70HngS4DDi8y9E5khtSpQEPG6owaQ9z4E-tR5mnY"","&amp;"""Non-Food!B2:B""),MATCH($C162,IMPORTRANGE(""13KC70HngS4DDi8y9E5khtSpQEPG6owaQ9z4E-tR5mnY"",""Non-Food!A2:A""),0))),"""")"),"")</f>
        <v/>
      </c>
      <c r="E162" s="15"/>
      <c r="F162" s="15"/>
      <c r="G162" s="22"/>
      <c r="H162" s="23" t="str">
        <f>IFERROR(__xludf.DUMMYFUNCTION("iferror(iferror(iferror(index(IMPORTRANGE(""1NK5L1mviMn0j3D3uo53ASkIZOFRlLnqaCTnwzOG2_Wg"",""Direct Link!B2:B""),MATCH($C162,IMPORTRANGE(""1NK5L1mviMn0j3D3uo53ASkIZOFRlLnqaCTnwzOG2_Wg"",""Direct Link!A2:A""),0)),XLOOKUP($C162,IMPORTRANGE(""1NK5L1mviMn0j3D"&amp;"3uo53ASkIZOFRlLnqaCTnwzOG2_Wg"",""Direct links Without Sizes!A2:A""),IMPORTRANGE(""1NK5L1mviMn0j3D3uo53ASkIZOFRlLnqaCTnwzOG2_Wg"",""Direct links Without Sizes!B2:B""))),XLOOKUP($C162,IMPORTRANGE(""1NK5L1mviMn0j3D3uo53ASkIZOFRlLnqaCTnwzOG2_Wg"",""Direct li"&amp;"nks Without Sizes!D2:D""),IMPORTRANGE(""1NK5L1mviMn0j3D3uo53ASkIZOFRlLnqaCTnwzOG2_Wg"",""Direct links Without Sizes!E2:E""))),"""")"),"")</f>
        <v/>
      </c>
      <c r="I162" s="5"/>
      <c r="J162" s="24" t="str">
        <f t="shared" si="1"/>
        <v/>
      </c>
      <c r="K162" s="25"/>
      <c r="L162" s="24" t="str">
        <f t="shared" si="2"/>
        <v/>
      </c>
      <c r="M162" s="4"/>
      <c r="N162" s="23"/>
      <c r="O162" s="23"/>
      <c r="P162" s="23"/>
      <c r="Q162" s="4" t="str">
        <f t="shared" si="4"/>
        <v/>
      </c>
      <c r="R162" s="20"/>
      <c r="S162" s="20"/>
    </row>
    <row r="163">
      <c r="A163" s="5"/>
      <c r="B163" s="5"/>
      <c r="C163" s="11"/>
      <c r="D163" s="7" t="str">
        <f>IFERROR(__xludf.DUMMYFUNCTION("iferror(iferror(INDEX(IMPORTRANGE(""12vtnxaE_Q1s4tyr10kZQx7ZF_xG0lBFae4jQEUtgsMU"",""All!B2:B""),MATCH($C163,IMPORTRANGE(""12vtnxaE_Q1s4tyr10kZQx7ZF_xG0lBFae4jQEUtgsMU"",""All!A2:A""),0)),INDEX(IMPORTRANGE(""13KC70HngS4DDi8y9E5khtSpQEPG6owaQ9z4E-tR5mnY"","&amp;"""Non-Food!B2:B""),MATCH($C163,IMPORTRANGE(""13KC70HngS4DDi8y9E5khtSpQEPG6owaQ9z4E-tR5mnY"",""Non-Food!A2:A""),0))),"""")"),"")</f>
        <v/>
      </c>
      <c r="E163" s="15"/>
      <c r="F163" s="15"/>
      <c r="G163" s="22"/>
      <c r="H163" s="23" t="str">
        <f>IFERROR(__xludf.DUMMYFUNCTION("iferror(iferror(iferror(index(IMPORTRANGE(""1NK5L1mviMn0j3D3uo53ASkIZOFRlLnqaCTnwzOG2_Wg"",""Direct Link!B2:B""),MATCH($C163,IMPORTRANGE(""1NK5L1mviMn0j3D3uo53ASkIZOFRlLnqaCTnwzOG2_Wg"",""Direct Link!A2:A""),0)),XLOOKUP($C163,IMPORTRANGE(""1NK5L1mviMn0j3D"&amp;"3uo53ASkIZOFRlLnqaCTnwzOG2_Wg"",""Direct links Without Sizes!A2:A""),IMPORTRANGE(""1NK5L1mviMn0j3D3uo53ASkIZOFRlLnqaCTnwzOG2_Wg"",""Direct links Without Sizes!B2:B""))),XLOOKUP($C163,IMPORTRANGE(""1NK5L1mviMn0j3D3uo53ASkIZOFRlLnqaCTnwzOG2_Wg"",""Direct li"&amp;"nks Without Sizes!D2:D""),IMPORTRANGE(""1NK5L1mviMn0j3D3uo53ASkIZOFRlLnqaCTnwzOG2_Wg"",""Direct links Without Sizes!E2:E""))),"""")"),"")</f>
        <v/>
      </c>
      <c r="I163" s="5"/>
      <c r="J163" s="24" t="str">
        <f t="shared" si="1"/>
        <v/>
      </c>
      <c r="K163" s="25"/>
      <c r="L163" s="24" t="str">
        <f t="shared" si="2"/>
        <v/>
      </c>
      <c r="M163" s="4"/>
      <c r="N163" s="23"/>
      <c r="O163" s="23"/>
      <c r="P163" s="23"/>
      <c r="Q163" s="4" t="str">
        <f t="shared" si="4"/>
        <v/>
      </c>
      <c r="R163" s="20"/>
      <c r="S163" s="20"/>
    </row>
    <row r="164">
      <c r="A164" s="5"/>
      <c r="B164" s="5"/>
      <c r="C164" s="11"/>
      <c r="D164" s="7" t="str">
        <f>IFERROR(__xludf.DUMMYFUNCTION("iferror(iferror(INDEX(IMPORTRANGE(""12vtnxaE_Q1s4tyr10kZQx7ZF_xG0lBFae4jQEUtgsMU"",""All!B2:B""),MATCH($C164,IMPORTRANGE(""12vtnxaE_Q1s4tyr10kZQx7ZF_xG0lBFae4jQEUtgsMU"",""All!A2:A""),0)),INDEX(IMPORTRANGE(""13KC70HngS4DDi8y9E5khtSpQEPG6owaQ9z4E-tR5mnY"","&amp;"""Non-Food!B2:B""),MATCH($C164,IMPORTRANGE(""13KC70HngS4DDi8y9E5khtSpQEPG6owaQ9z4E-tR5mnY"",""Non-Food!A2:A""),0))),"""")"),"")</f>
        <v/>
      </c>
      <c r="E164" s="15"/>
      <c r="F164" s="15"/>
      <c r="G164" s="22"/>
      <c r="H164" s="23" t="str">
        <f>IFERROR(__xludf.DUMMYFUNCTION("iferror(iferror(iferror(index(IMPORTRANGE(""1NK5L1mviMn0j3D3uo53ASkIZOFRlLnqaCTnwzOG2_Wg"",""Direct Link!B2:B""),MATCH($C164,IMPORTRANGE(""1NK5L1mviMn0j3D3uo53ASkIZOFRlLnqaCTnwzOG2_Wg"",""Direct Link!A2:A""),0)),XLOOKUP($C164,IMPORTRANGE(""1NK5L1mviMn0j3D"&amp;"3uo53ASkIZOFRlLnqaCTnwzOG2_Wg"",""Direct links Without Sizes!A2:A""),IMPORTRANGE(""1NK5L1mviMn0j3D3uo53ASkIZOFRlLnqaCTnwzOG2_Wg"",""Direct links Without Sizes!B2:B""))),XLOOKUP($C164,IMPORTRANGE(""1NK5L1mviMn0j3D3uo53ASkIZOFRlLnqaCTnwzOG2_Wg"",""Direct li"&amp;"nks Without Sizes!D2:D""),IMPORTRANGE(""1NK5L1mviMn0j3D3uo53ASkIZOFRlLnqaCTnwzOG2_Wg"",""Direct links Without Sizes!E2:E""))),"""")"),"")</f>
        <v/>
      </c>
      <c r="I164" s="4"/>
      <c r="J164" s="24" t="str">
        <f t="shared" si="1"/>
        <v/>
      </c>
      <c r="K164" s="25"/>
      <c r="L164" s="24" t="str">
        <f t="shared" si="2"/>
        <v/>
      </c>
      <c r="M164" s="4"/>
      <c r="N164" s="23"/>
      <c r="O164" s="23"/>
      <c r="P164" s="23"/>
      <c r="Q164" s="4" t="str">
        <f t="shared" si="4"/>
        <v/>
      </c>
      <c r="R164" s="20"/>
      <c r="S164" s="20"/>
    </row>
    <row r="165">
      <c r="A165" s="5"/>
      <c r="B165" s="5"/>
      <c r="C165" s="11"/>
      <c r="D165" s="7" t="str">
        <f>IFERROR(__xludf.DUMMYFUNCTION("iferror(iferror(INDEX(IMPORTRANGE(""12vtnxaE_Q1s4tyr10kZQx7ZF_xG0lBFae4jQEUtgsMU"",""All!B2:B""),MATCH($C165,IMPORTRANGE(""12vtnxaE_Q1s4tyr10kZQx7ZF_xG0lBFae4jQEUtgsMU"",""All!A2:A""),0)),INDEX(IMPORTRANGE(""13KC70HngS4DDi8y9E5khtSpQEPG6owaQ9z4E-tR5mnY"","&amp;"""Non-Food!B2:B""),MATCH($C165,IMPORTRANGE(""13KC70HngS4DDi8y9E5khtSpQEPG6owaQ9z4E-tR5mnY"",""Non-Food!A2:A""),0))),"""")"),"")</f>
        <v/>
      </c>
      <c r="E165" s="15"/>
      <c r="F165" s="15"/>
      <c r="G165" s="22"/>
      <c r="H165" s="23" t="str">
        <f>IFERROR(__xludf.DUMMYFUNCTION("iferror(iferror(iferror(index(IMPORTRANGE(""1NK5L1mviMn0j3D3uo53ASkIZOFRlLnqaCTnwzOG2_Wg"",""Direct Link!B2:B""),MATCH($C165,IMPORTRANGE(""1NK5L1mviMn0j3D3uo53ASkIZOFRlLnqaCTnwzOG2_Wg"",""Direct Link!A2:A""),0)),XLOOKUP($C165,IMPORTRANGE(""1NK5L1mviMn0j3D"&amp;"3uo53ASkIZOFRlLnqaCTnwzOG2_Wg"",""Direct links Without Sizes!A2:A""),IMPORTRANGE(""1NK5L1mviMn0j3D3uo53ASkIZOFRlLnqaCTnwzOG2_Wg"",""Direct links Without Sizes!B2:B""))),XLOOKUP($C165,IMPORTRANGE(""1NK5L1mviMn0j3D3uo53ASkIZOFRlLnqaCTnwzOG2_Wg"",""Direct li"&amp;"nks Without Sizes!D2:D""),IMPORTRANGE(""1NK5L1mviMn0j3D3uo53ASkIZOFRlLnqaCTnwzOG2_Wg"",""Direct links Without Sizes!E2:E""))),"""")"),"")</f>
        <v/>
      </c>
      <c r="I165" s="4"/>
      <c r="J165" s="24" t="str">
        <f t="shared" si="1"/>
        <v/>
      </c>
      <c r="K165" s="25"/>
      <c r="L165" s="24" t="str">
        <f t="shared" si="2"/>
        <v/>
      </c>
      <c r="M165" s="4"/>
      <c r="N165" s="23"/>
      <c r="O165" s="23"/>
      <c r="P165" s="23"/>
      <c r="Q165" s="4" t="str">
        <f t="shared" si="4"/>
        <v/>
      </c>
      <c r="R165" s="20"/>
      <c r="S165" s="20"/>
    </row>
    <row r="166">
      <c r="A166" s="5"/>
      <c r="B166" s="5"/>
      <c r="C166" s="11"/>
      <c r="D166" s="7" t="str">
        <f>IFERROR(__xludf.DUMMYFUNCTION("iferror(iferror(INDEX(IMPORTRANGE(""12vtnxaE_Q1s4tyr10kZQx7ZF_xG0lBFae4jQEUtgsMU"",""All!B2:B""),MATCH($C166,IMPORTRANGE(""12vtnxaE_Q1s4tyr10kZQx7ZF_xG0lBFae4jQEUtgsMU"",""All!A2:A""),0)),INDEX(IMPORTRANGE(""13KC70HngS4DDi8y9E5khtSpQEPG6owaQ9z4E-tR5mnY"","&amp;"""Non-Food!B2:B""),MATCH($C166,IMPORTRANGE(""13KC70HngS4DDi8y9E5khtSpQEPG6owaQ9z4E-tR5mnY"",""Non-Food!A2:A""),0))),"""")"),"")</f>
        <v/>
      </c>
      <c r="E166" s="15"/>
      <c r="F166" s="15"/>
      <c r="G166" s="22"/>
      <c r="H166" s="23" t="str">
        <f>IFERROR(__xludf.DUMMYFUNCTION("iferror(iferror(iferror(index(IMPORTRANGE(""1NK5L1mviMn0j3D3uo53ASkIZOFRlLnqaCTnwzOG2_Wg"",""Direct Link!B2:B""),MATCH($C166,IMPORTRANGE(""1NK5L1mviMn0j3D3uo53ASkIZOFRlLnqaCTnwzOG2_Wg"",""Direct Link!A2:A""),0)),XLOOKUP($C166,IMPORTRANGE(""1NK5L1mviMn0j3D"&amp;"3uo53ASkIZOFRlLnqaCTnwzOG2_Wg"",""Direct links Without Sizes!A2:A""),IMPORTRANGE(""1NK5L1mviMn0j3D3uo53ASkIZOFRlLnqaCTnwzOG2_Wg"",""Direct links Without Sizes!B2:B""))),XLOOKUP($C166,IMPORTRANGE(""1NK5L1mviMn0j3D3uo53ASkIZOFRlLnqaCTnwzOG2_Wg"",""Direct li"&amp;"nks Without Sizes!D2:D""),IMPORTRANGE(""1NK5L1mviMn0j3D3uo53ASkIZOFRlLnqaCTnwzOG2_Wg"",""Direct links Without Sizes!E2:E""))),"""")"),"")</f>
        <v/>
      </c>
      <c r="I166" s="4"/>
      <c r="J166" s="24" t="str">
        <f t="shared" si="1"/>
        <v/>
      </c>
      <c r="K166" s="25"/>
      <c r="L166" s="24" t="str">
        <f t="shared" si="2"/>
        <v/>
      </c>
      <c r="M166" s="4"/>
      <c r="N166" s="23"/>
      <c r="O166" s="23"/>
      <c r="P166" s="23"/>
      <c r="Q166" s="4" t="str">
        <f t="shared" si="4"/>
        <v/>
      </c>
      <c r="R166" s="20"/>
      <c r="S166" s="20"/>
    </row>
    <row r="167">
      <c r="A167" s="5"/>
      <c r="B167" s="5"/>
      <c r="C167" s="11"/>
      <c r="D167" s="7" t="str">
        <f>IFERROR(__xludf.DUMMYFUNCTION("iferror(iferror(INDEX(IMPORTRANGE(""12vtnxaE_Q1s4tyr10kZQx7ZF_xG0lBFae4jQEUtgsMU"",""All!B2:B""),MATCH($C167,IMPORTRANGE(""12vtnxaE_Q1s4tyr10kZQx7ZF_xG0lBFae4jQEUtgsMU"",""All!A2:A""),0)),INDEX(IMPORTRANGE(""13KC70HngS4DDi8y9E5khtSpQEPG6owaQ9z4E-tR5mnY"","&amp;"""Non-Food!B2:B""),MATCH($C167,IMPORTRANGE(""13KC70HngS4DDi8y9E5khtSpQEPG6owaQ9z4E-tR5mnY"",""Non-Food!A2:A""),0))),"""")"),"")</f>
        <v/>
      </c>
      <c r="E167" s="15"/>
      <c r="F167" s="15"/>
      <c r="G167" s="22"/>
      <c r="H167" s="23" t="str">
        <f>IFERROR(__xludf.DUMMYFUNCTION("iferror(iferror(iferror(index(IMPORTRANGE(""1NK5L1mviMn0j3D3uo53ASkIZOFRlLnqaCTnwzOG2_Wg"",""Direct Link!B2:B""),MATCH($C167,IMPORTRANGE(""1NK5L1mviMn0j3D3uo53ASkIZOFRlLnqaCTnwzOG2_Wg"",""Direct Link!A2:A""),0)),XLOOKUP($C167,IMPORTRANGE(""1NK5L1mviMn0j3D"&amp;"3uo53ASkIZOFRlLnqaCTnwzOG2_Wg"",""Direct links Without Sizes!A2:A""),IMPORTRANGE(""1NK5L1mviMn0j3D3uo53ASkIZOFRlLnqaCTnwzOG2_Wg"",""Direct links Without Sizes!B2:B""))),XLOOKUP($C167,IMPORTRANGE(""1NK5L1mviMn0j3D3uo53ASkIZOFRlLnqaCTnwzOG2_Wg"",""Direct li"&amp;"nks Without Sizes!D2:D""),IMPORTRANGE(""1NK5L1mviMn0j3D3uo53ASkIZOFRlLnqaCTnwzOG2_Wg"",""Direct links Without Sizes!E2:E""))),"""")"),"")</f>
        <v/>
      </c>
      <c r="I167" s="4"/>
      <c r="J167" s="24" t="str">
        <f t="shared" si="1"/>
        <v/>
      </c>
      <c r="K167" s="25"/>
      <c r="L167" s="24" t="str">
        <f t="shared" si="2"/>
        <v/>
      </c>
      <c r="M167" s="4"/>
      <c r="N167" s="23"/>
      <c r="O167" s="23"/>
      <c r="P167" s="23"/>
      <c r="Q167" s="4" t="str">
        <f t="shared" si="4"/>
        <v/>
      </c>
      <c r="R167" s="20"/>
      <c r="S167" s="20"/>
    </row>
    <row r="168">
      <c r="A168" s="5"/>
      <c r="B168" s="5"/>
      <c r="C168" s="11"/>
      <c r="D168" s="7" t="str">
        <f>IFERROR(__xludf.DUMMYFUNCTION("iferror(iferror(INDEX(IMPORTRANGE(""12vtnxaE_Q1s4tyr10kZQx7ZF_xG0lBFae4jQEUtgsMU"",""All!B2:B""),MATCH($C168,IMPORTRANGE(""12vtnxaE_Q1s4tyr10kZQx7ZF_xG0lBFae4jQEUtgsMU"",""All!A2:A""),0)),INDEX(IMPORTRANGE(""13KC70HngS4DDi8y9E5khtSpQEPG6owaQ9z4E-tR5mnY"","&amp;"""Non-Food!B2:B""),MATCH($C168,IMPORTRANGE(""13KC70HngS4DDi8y9E5khtSpQEPG6owaQ9z4E-tR5mnY"",""Non-Food!A2:A""),0))),"""")"),"")</f>
        <v/>
      </c>
      <c r="E168" s="15"/>
      <c r="F168" s="15"/>
      <c r="G168" s="22"/>
      <c r="H168" s="23" t="str">
        <f>IFERROR(__xludf.DUMMYFUNCTION("iferror(iferror(iferror(index(IMPORTRANGE(""1NK5L1mviMn0j3D3uo53ASkIZOFRlLnqaCTnwzOG2_Wg"",""Direct Link!B2:B""),MATCH($C168,IMPORTRANGE(""1NK5L1mviMn0j3D3uo53ASkIZOFRlLnqaCTnwzOG2_Wg"",""Direct Link!A2:A""),0)),XLOOKUP($C168,IMPORTRANGE(""1NK5L1mviMn0j3D"&amp;"3uo53ASkIZOFRlLnqaCTnwzOG2_Wg"",""Direct links Without Sizes!A2:A""),IMPORTRANGE(""1NK5L1mviMn0j3D3uo53ASkIZOFRlLnqaCTnwzOG2_Wg"",""Direct links Without Sizes!B2:B""))),XLOOKUP($C168,IMPORTRANGE(""1NK5L1mviMn0j3D3uo53ASkIZOFRlLnqaCTnwzOG2_Wg"",""Direct li"&amp;"nks Without Sizes!D2:D""),IMPORTRANGE(""1NK5L1mviMn0j3D3uo53ASkIZOFRlLnqaCTnwzOG2_Wg"",""Direct links Without Sizes!E2:E""))),"""")"),"")</f>
        <v/>
      </c>
      <c r="I168" s="4"/>
      <c r="J168" s="24" t="str">
        <f t="shared" si="1"/>
        <v/>
      </c>
      <c r="K168" s="25"/>
      <c r="L168" s="24" t="str">
        <f t="shared" si="2"/>
        <v/>
      </c>
      <c r="M168" s="4"/>
      <c r="N168" s="23"/>
      <c r="O168" s="23"/>
      <c r="P168" s="23"/>
      <c r="Q168" s="4" t="str">
        <f t="shared" si="4"/>
        <v/>
      </c>
      <c r="R168" s="20"/>
      <c r="S168" s="20"/>
    </row>
    <row r="169">
      <c r="A169" s="5"/>
      <c r="B169" s="5"/>
      <c r="C169" s="11"/>
      <c r="D169" s="7" t="str">
        <f>IFERROR(__xludf.DUMMYFUNCTION("iferror(iferror(INDEX(IMPORTRANGE(""12vtnxaE_Q1s4tyr10kZQx7ZF_xG0lBFae4jQEUtgsMU"",""All!B2:B""),MATCH($C169,IMPORTRANGE(""12vtnxaE_Q1s4tyr10kZQx7ZF_xG0lBFae4jQEUtgsMU"",""All!A2:A""),0)),INDEX(IMPORTRANGE(""13KC70HngS4DDi8y9E5khtSpQEPG6owaQ9z4E-tR5mnY"","&amp;"""Non-Food!B2:B""),MATCH($C169,IMPORTRANGE(""13KC70HngS4DDi8y9E5khtSpQEPG6owaQ9z4E-tR5mnY"",""Non-Food!A2:A""),0))),"""")"),"")</f>
        <v/>
      </c>
      <c r="E169" s="15"/>
      <c r="F169" s="15"/>
      <c r="G169" s="22"/>
      <c r="H169" s="23" t="str">
        <f>IFERROR(__xludf.DUMMYFUNCTION("iferror(iferror(iferror(index(IMPORTRANGE(""1NK5L1mviMn0j3D3uo53ASkIZOFRlLnqaCTnwzOG2_Wg"",""Direct Link!B2:B""),MATCH($C169,IMPORTRANGE(""1NK5L1mviMn0j3D3uo53ASkIZOFRlLnqaCTnwzOG2_Wg"",""Direct Link!A2:A""),0)),XLOOKUP($C169,IMPORTRANGE(""1NK5L1mviMn0j3D"&amp;"3uo53ASkIZOFRlLnqaCTnwzOG2_Wg"",""Direct links Without Sizes!A2:A""),IMPORTRANGE(""1NK5L1mviMn0j3D3uo53ASkIZOFRlLnqaCTnwzOG2_Wg"",""Direct links Without Sizes!B2:B""))),XLOOKUP($C169,IMPORTRANGE(""1NK5L1mviMn0j3D3uo53ASkIZOFRlLnqaCTnwzOG2_Wg"",""Direct li"&amp;"nks Without Sizes!D2:D""),IMPORTRANGE(""1NK5L1mviMn0j3D3uo53ASkIZOFRlLnqaCTnwzOG2_Wg"",""Direct links Without Sizes!E2:E""))),"""")"),"")</f>
        <v/>
      </c>
      <c r="I169" s="4"/>
      <c r="J169" s="24" t="str">
        <f t="shared" si="1"/>
        <v/>
      </c>
      <c r="K169" s="25"/>
      <c r="L169" s="24" t="str">
        <f t="shared" si="2"/>
        <v/>
      </c>
      <c r="M169" s="4"/>
      <c r="N169" s="23"/>
      <c r="O169" s="23"/>
      <c r="P169" s="23"/>
      <c r="Q169" s="4" t="str">
        <f t="shared" si="4"/>
        <v/>
      </c>
      <c r="R169" s="20"/>
      <c r="S169" s="20"/>
    </row>
    <row r="170">
      <c r="A170" s="5"/>
      <c r="B170" s="5"/>
      <c r="C170" s="11"/>
      <c r="D170" s="7" t="str">
        <f>IFERROR(__xludf.DUMMYFUNCTION("iferror(iferror(INDEX(IMPORTRANGE(""12vtnxaE_Q1s4tyr10kZQx7ZF_xG0lBFae4jQEUtgsMU"",""All!B2:B""),MATCH($C170,IMPORTRANGE(""12vtnxaE_Q1s4tyr10kZQx7ZF_xG0lBFae4jQEUtgsMU"",""All!A2:A""),0)),INDEX(IMPORTRANGE(""13KC70HngS4DDi8y9E5khtSpQEPG6owaQ9z4E-tR5mnY"","&amp;"""Non-Food!B2:B""),MATCH($C170,IMPORTRANGE(""13KC70HngS4DDi8y9E5khtSpQEPG6owaQ9z4E-tR5mnY"",""Non-Food!A2:A""),0))),"""")"),"")</f>
        <v/>
      </c>
      <c r="E170" s="15"/>
      <c r="F170" s="15"/>
      <c r="G170" s="22"/>
      <c r="H170" s="23" t="str">
        <f>IFERROR(__xludf.DUMMYFUNCTION("iferror(iferror(iferror(index(IMPORTRANGE(""1NK5L1mviMn0j3D3uo53ASkIZOFRlLnqaCTnwzOG2_Wg"",""Direct Link!B2:B""),MATCH($C170,IMPORTRANGE(""1NK5L1mviMn0j3D3uo53ASkIZOFRlLnqaCTnwzOG2_Wg"",""Direct Link!A2:A""),0)),XLOOKUP($C170,IMPORTRANGE(""1NK5L1mviMn0j3D"&amp;"3uo53ASkIZOFRlLnqaCTnwzOG2_Wg"",""Direct links Without Sizes!A2:A""),IMPORTRANGE(""1NK5L1mviMn0j3D3uo53ASkIZOFRlLnqaCTnwzOG2_Wg"",""Direct links Without Sizes!B2:B""))),XLOOKUP($C170,IMPORTRANGE(""1NK5L1mviMn0j3D3uo53ASkIZOFRlLnqaCTnwzOG2_Wg"",""Direct li"&amp;"nks Without Sizes!D2:D""),IMPORTRANGE(""1NK5L1mviMn0j3D3uo53ASkIZOFRlLnqaCTnwzOG2_Wg"",""Direct links Without Sizes!E2:E""))),"""")"),"")</f>
        <v/>
      </c>
      <c r="I170" s="4"/>
      <c r="J170" s="24" t="str">
        <f t="shared" si="1"/>
        <v/>
      </c>
      <c r="K170" s="25"/>
      <c r="L170" s="24" t="str">
        <f t="shared" si="2"/>
        <v/>
      </c>
      <c r="M170" s="4"/>
      <c r="N170" s="23"/>
      <c r="O170" s="23"/>
      <c r="P170" s="23"/>
      <c r="Q170" s="4" t="str">
        <f t="shared" si="4"/>
        <v/>
      </c>
      <c r="R170" s="20"/>
      <c r="S170" s="20"/>
    </row>
    <row r="171">
      <c r="A171" s="5"/>
      <c r="B171" s="5"/>
      <c r="C171" s="11"/>
      <c r="D171" s="7" t="str">
        <f>IFERROR(__xludf.DUMMYFUNCTION("iferror(iferror(INDEX(IMPORTRANGE(""12vtnxaE_Q1s4tyr10kZQx7ZF_xG0lBFae4jQEUtgsMU"",""All!B2:B""),MATCH($C171,IMPORTRANGE(""12vtnxaE_Q1s4tyr10kZQx7ZF_xG0lBFae4jQEUtgsMU"",""All!A2:A""),0)),INDEX(IMPORTRANGE(""13KC70HngS4DDi8y9E5khtSpQEPG6owaQ9z4E-tR5mnY"","&amp;"""Non-Food!B2:B""),MATCH($C171,IMPORTRANGE(""13KC70HngS4DDi8y9E5khtSpQEPG6owaQ9z4E-tR5mnY"",""Non-Food!A2:A""),0))),"""")"),"")</f>
        <v/>
      </c>
      <c r="E171" s="15"/>
      <c r="F171" s="15"/>
      <c r="G171" s="22"/>
      <c r="H171" s="23" t="str">
        <f>IFERROR(__xludf.DUMMYFUNCTION("iferror(iferror(iferror(index(IMPORTRANGE(""1NK5L1mviMn0j3D3uo53ASkIZOFRlLnqaCTnwzOG2_Wg"",""Direct Link!B2:B""),MATCH($C171,IMPORTRANGE(""1NK5L1mviMn0j3D3uo53ASkIZOFRlLnqaCTnwzOG2_Wg"",""Direct Link!A2:A""),0)),XLOOKUP($C171,IMPORTRANGE(""1NK5L1mviMn0j3D"&amp;"3uo53ASkIZOFRlLnqaCTnwzOG2_Wg"",""Direct links Without Sizes!A2:A""),IMPORTRANGE(""1NK5L1mviMn0j3D3uo53ASkIZOFRlLnqaCTnwzOG2_Wg"",""Direct links Without Sizes!B2:B""))),XLOOKUP($C171,IMPORTRANGE(""1NK5L1mviMn0j3D3uo53ASkIZOFRlLnqaCTnwzOG2_Wg"",""Direct li"&amp;"nks Without Sizes!D2:D""),IMPORTRANGE(""1NK5L1mviMn0j3D3uo53ASkIZOFRlLnqaCTnwzOG2_Wg"",""Direct links Without Sizes!E2:E""))),"""")"),"")</f>
        <v/>
      </c>
      <c r="I171" s="4"/>
      <c r="J171" s="24" t="str">
        <f t="shared" si="1"/>
        <v/>
      </c>
      <c r="K171" s="25"/>
      <c r="L171" s="24" t="str">
        <f t="shared" si="2"/>
        <v/>
      </c>
      <c r="M171" s="4"/>
      <c r="N171" s="23"/>
      <c r="O171" s="23"/>
      <c r="P171" s="23"/>
      <c r="Q171" s="4" t="str">
        <f t="shared" si="4"/>
        <v/>
      </c>
      <c r="R171" s="20"/>
      <c r="S171" s="20"/>
    </row>
    <row r="172">
      <c r="A172" s="5"/>
      <c r="B172" s="5"/>
      <c r="C172" s="11"/>
      <c r="D172" s="7" t="str">
        <f>IFERROR(__xludf.DUMMYFUNCTION("iferror(iferror(INDEX(IMPORTRANGE(""12vtnxaE_Q1s4tyr10kZQx7ZF_xG0lBFae4jQEUtgsMU"",""All!B2:B""),MATCH($C172,IMPORTRANGE(""12vtnxaE_Q1s4tyr10kZQx7ZF_xG0lBFae4jQEUtgsMU"",""All!A2:A""),0)),INDEX(IMPORTRANGE(""13KC70HngS4DDi8y9E5khtSpQEPG6owaQ9z4E-tR5mnY"","&amp;"""Non-Food!B2:B""),MATCH($C172,IMPORTRANGE(""13KC70HngS4DDi8y9E5khtSpQEPG6owaQ9z4E-tR5mnY"",""Non-Food!A2:A""),0))),"""")"),"")</f>
        <v/>
      </c>
      <c r="E172" s="15"/>
      <c r="F172" s="15"/>
      <c r="G172" s="22"/>
      <c r="H172" s="23" t="str">
        <f>IFERROR(__xludf.DUMMYFUNCTION("iferror(iferror(iferror(index(IMPORTRANGE(""1NK5L1mviMn0j3D3uo53ASkIZOFRlLnqaCTnwzOG2_Wg"",""Direct Link!B2:B""),MATCH($C172,IMPORTRANGE(""1NK5L1mviMn0j3D3uo53ASkIZOFRlLnqaCTnwzOG2_Wg"",""Direct Link!A2:A""),0)),XLOOKUP($C172,IMPORTRANGE(""1NK5L1mviMn0j3D"&amp;"3uo53ASkIZOFRlLnqaCTnwzOG2_Wg"",""Direct links Without Sizes!A2:A""),IMPORTRANGE(""1NK5L1mviMn0j3D3uo53ASkIZOFRlLnqaCTnwzOG2_Wg"",""Direct links Without Sizes!B2:B""))),XLOOKUP($C172,IMPORTRANGE(""1NK5L1mviMn0j3D3uo53ASkIZOFRlLnqaCTnwzOG2_Wg"",""Direct li"&amp;"nks Without Sizes!D2:D""),IMPORTRANGE(""1NK5L1mviMn0j3D3uo53ASkIZOFRlLnqaCTnwzOG2_Wg"",""Direct links Without Sizes!E2:E""))),"""")"),"")</f>
        <v/>
      </c>
      <c r="I172" s="4"/>
      <c r="J172" s="24" t="str">
        <f t="shared" si="1"/>
        <v/>
      </c>
      <c r="K172" s="25"/>
      <c r="L172" s="24" t="str">
        <f t="shared" si="2"/>
        <v/>
      </c>
      <c r="M172" s="4"/>
      <c r="N172" s="23"/>
      <c r="O172" s="23"/>
      <c r="P172" s="23"/>
      <c r="Q172" s="4" t="str">
        <f t="shared" si="4"/>
        <v/>
      </c>
      <c r="R172" s="20"/>
      <c r="S172" s="20"/>
    </row>
    <row r="173">
      <c r="A173" s="5"/>
      <c r="B173" s="5"/>
      <c r="C173" s="11"/>
      <c r="D173" s="7" t="str">
        <f>IFERROR(__xludf.DUMMYFUNCTION("iferror(iferror(INDEX(IMPORTRANGE(""12vtnxaE_Q1s4tyr10kZQx7ZF_xG0lBFae4jQEUtgsMU"",""All!B2:B""),MATCH($C173,IMPORTRANGE(""12vtnxaE_Q1s4tyr10kZQx7ZF_xG0lBFae4jQEUtgsMU"",""All!A2:A""),0)),INDEX(IMPORTRANGE(""13KC70HngS4DDi8y9E5khtSpQEPG6owaQ9z4E-tR5mnY"","&amp;"""Non-Food!B2:B""),MATCH($C173,IMPORTRANGE(""13KC70HngS4DDi8y9E5khtSpQEPG6owaQ9z4E-tR5mnY"",""Non-Food!A2:A""),0))),"""")"),"")</f>
        <v/>
      </c>
      <c r="E173" s="15"/>
      <c r="F173" s="15"/>
      <c r="G173" s="22"/>
      <c r="H173" s="23" t="str">
        <f>IFERROR(__xludf.DUMMYFUNCTION("iferror(iferror(iferror(index(IMPORTRANGE(""1NK5L1mviMn0j3D3uo53ASkIZOFRlLnqaCTnwzOG2_Wg"",""Direct Link!B2:B""),MATCH($C173,IMPORTRANGE(""1NK5L1mviMn0j3D3uo53ASkIZOFRlLnqaCTnwzOG2_Wg"",""Direct Link!A2:A""),0)),XLOOKUP($C173,IMPORTRANGE(""1NK5L1mviMn0j3D"&amp;"3uo53ASkIZOFRlLnqaCTnwzOG2_Wg"",""Direct links Without Sizes!A2:A""),IMPORTRANGE(""1NK5L1mviMn0j3D3uo53ASkIZOFRlLnqaCTnwzOG2_Wg"",""Direct links Without Sizes!B2:B""))),XLOOKUP($C173,IMPORTRANGE(""1NK5L1mviMn0j3D3uo53ASkIZOFRlLnqaCTnwzOG2_Wg"",""Direct li"&amp;"nks Without Sizes!D2:D""),IMPORTRANGE(""1NK5L1mviMn0j3D3uo53ASkIZOFRlLnqaCTnwzOG2_Wg"",""Direct links Without Sizes!E2:E""))),"""")"),"")</f>
        <v/>
      </c>
      <c r="I173" s="4"/>
      <c r="J173" s="24" t="str">
        <f t="shared" si="1"/>
        <v/>
      </c>
      <c r="K173" s="25"/>
      <c r="L173" s="24" t="str">
        <f t="shared" si="2"/>
        <v/>
      </c>
      <c r="M173" s="4"/>
      <c r="N173" s="23"/>
      <c r="O173" s="23"/>
      <c r="P173" s="23"/>
      <c r="Q173" s="4" t="str">
        <f t="shared" si="4"/>
        <v/>
      </c>
      <c r="R173" s="20"/>
      <c r="S173" s="20"/>
    </row>
    <row r="174">
      <c r="A174" s="5"/>
      <c r="B174" s="5"/>
      <c r="C174" s="11"/>
      <c r="D174" s="7" t="str">
        <f>IFERROR(__xludf.DUMMYFUNCTION("iferror(iferror(INDEX(IMPORTRANGE(""12vtnxaE_Q1s4tyr10kZQx7ZF_xG0lBFae4jQEUtgsMU"",""All!B2:B""),MATCH($C174,IMPORTRANGE(""12vtnxaE_Q1s4tyr10kZQx7ZF_xG0lBFae4jQEUtgsMU"",""All!A2:A""),0)),INDEX(IMPORTRANGE(""13KC70HngS4DDi8y9E5khtSpQEPG6owaQ9z4E-tR5mnY"","&amp;"""Non-Food!B2:B""),MATCH($C174,IMPORTRANGE(""13KC70HngS4DDi8y9E5khtSpQEPG6owaQ9z4E-tR5mnY"",""Non-Food!A2:A""),0))),"""")"),"")</f>
        <v/>
      </c>
      <c r="E174" s="15"/>
      <c r="F174" s="15"/>
      <c r="G174" s="22"/>
      <c r="H174" s="23" t="str">
        <f>IFERROR(__xludf.DUMMYFUNCTION("iferror(iferror(iferror(index(IMPORTRANGE(""1NK5L1mviMn0j3D3uo53ASkIZOFRlLnqaCTnwzOG2_Wg"",""Direct Link!B2:B""),MATCH($C174,IMPORTRANGE(""1NK5L1mviMn0j3D3uo53ASkIZOFRlLnqaCTnwzOG2_Wg"",""Direct Link!A2:A""),0)),XLOOKUP($C174,IMPORTRANGE(""1NK5L1mviMn0j3D"&amp;"3uo53ASkIZOFRlLnqaCTnwzOG2_Wg"",""Direct links Without Sizes!A2:A""),IMPORTRANGE(""1NK5L1mviMn0j3D3uo53ASkIZOFRlLnqaCTnwzOG2_Wg"",""Direct links Without Sizes!B2:B""))),XLOOKUP($C174,IMPORTRANGE(""1NK5L1mviMn0j3D3uo53ASkIZOFRlLnqaCTnwzOG2_Wg"",""Direct li"&amp;"nks Without Sizes!D2:D""),IMPORTRANGE(""1NK5L1mviMn0j3D3uo53ASkIZOFRlLnqaCTnwzOG2_Wg"",""Direct links Without Sizes!E2:E""))),"""")"),"")</f>
        <v/>
      </c>
      <c r="I174" s="4"/>
      <c r="J174" s="24" t="str">
        <f t="shared" si="1"/>
        <v/>
      </c>
      <c r="K174" s="25"/>
      <c r="L174" s="24" t="str">
        <f t="shared" si="2"/>
        <v/>
      </c>
      <c r="M174" s="4"/>
      <c r="N174" s="23"/>
      <c r="O174" s="23"/>
      <c r="P174" s="23"/>
      <c r="Q174" s="4" t="str">
        <f t="shared" si="4"/>
        <v/>
      </c>
      <c r="R174" s="20"/>
      <c r="S174" s="20"/>
    </row>
    <row r="175">
      <c r="A175" s="5"/>
      <c r="B175" s="5"/>
      <c r="C175" s="11"/>
      <c r="D175" s="7" t="str">
        <f>IFERROR(__xludf.DUMMYFUNCTION("iferror(iferror(INDEX(IMPORTRANGE(""12vtnxaE_Q1s4tyr10kZQx7ZF_xG0lBFae4jQEUtgsMU"",""All!B2:B""),MATCH($C175,IMPORTRANGE(""12vtnxaE_Q1s4tyr10kZQx7ZF_xG0lBFae4jQEUtgsMU"",""All!A2:A""),0)),INDEX(IMPORTRANGE(""13KC70HngS4DDi8y9E5khtSpQEPG6owaQ9z4E-tR5mnY"","&amp;"""Non-Food!B2:B""),MATCH($C175,IMPORTRANGE(""13KC70HngS4DDi8y9E5khtSpQEPG6owaQ9z4E-tR5mnY"",""Non-Food!A2:A""),0))),"""")"),"")</f>
        <v/>
      </c>
      <c r="E175" s="15"/>
      <c r="F175" s="15"/>
      <c r="G175" s="22"/>
      <c r="H175" s="23" t="str">
        <f>IFERROR(__xludf.DUMMYFUNCTION("iferror(iferror(iferror(index(IMPORTRANGE(""1NK5L1mviMn0j3D3uo53ASkIZOFRlLnqaCTnwzOG2_Wg"",""Direct Link!B2:B""),MATCH($C175,IMPORTRANGE(""1NK5L1mviMn0j3D3uo53ASkIZOFRlLnqaCTnwzOG2_Wg"",""Direct Link!A2:A""),0)),XLOOKUP($C175,IMPORTRANGE(""1NK5L1mviMn0j3D"&amp;"3uo53ASkIZOFRlLnqaCTnwzOG2_Wg"",""Direct links Without Sizes!A2:A""),IMPORTRANGE(""1NK5L1mviMn0j3D3uo53ASkIZOFRlLnqaCTnwzOG2_Wg"",""Direct links Without Sizes!B2:B""))),XLOOKUP($C175,IMPORTRANGE(""1NK5L1mviMn0j3D3uo53ASkIZOFRlLnqaCTnwzOG2_Wg"",""Direct li"&amp;"nks Without Sizes!D2:D""),IMPORTRANGE(""1NK5L1mviMn0j3D3uo53ASkIZOFRlLnqaCTnwzOG2_Wg"",""Direct links Without Sizes!E2:E""))),"""")"),"")</f>
        <v/>
      </c>
      <c r="I175" s="4"/>
      <c r="J175" s="24" t="str">
        <f t="shared" si="1"/>
        <v/>
      </c>
      <c r="K175" s="25"/>
      <c r="L175" s="24" t="str">
        <f t="shared" si="2"/>
        <v/>
      </c>
      <c r="M175" s="4"/>
      <c r="N175" s="23"/>
      <c r="O175" s="23"/>
      <c r="P175" s="23"/>
      <c r="Q175" s="4" t="str">
        <f t="shared" si="4"/>
        <v/>
      </c>
      <c r="R175" s="20"/>
      <c r="S175" s="20"/>
    </row>
    <row r="176">
      <c r="A176" s="5"/>
      <c r="B176" s="5"/>
      <c r="C176" s="11"/>
      <c r="D176" s="7" t="str">
        <f>IFERROR(__xludf.DUMMYFUNCTION("iferror(iferror(INDEX(IMPORTRANGE(""12vtnxaE_Q1s4tyr10kZQx7ZF_xG0lBFae4jQEUtgsMU"",""All!B2:B""),MATCH($C176,IMPORTRANGE(""12vtnxaE_Q1s4tyr10kZQx7ZF_xG0lBFae4jQEUtgsMU"",""All!A2:A""),0)),INDEX(IMPORTRANGE(""13KC70HngS4DDi8y9E5khtSpQEPG6owaQ9z4E-tR5mnY"","&amp;"""Non-Food!B2:B""),MATCH($C176,IMPORTRANGE(""13KC70HngS4DDi8y9E5khtSpQEPG6owaQ9z4E-tR5mnY"",""Non-Food!A2:A""),0))),"""")"),"")</f>
        <v/>
      </c>
      <c r="E176" s="15"/>
      <c r="F176" s="15"/>
      <c r="G176" s="22"/>
      <c r="H176" s="23" t="str">
        <f>IFERROR(__xludf.DUMMYFUNCTION("iferror(iferror(iferror(index(IMPORTRANGE(""1NK5L1mviMn0j3D3uo53ASkIZOFRlLnqaCTnwzOG2_Wg"",""Direct Link!B2:B""),MATCH($C176,IMPORTRANGE(""1NK5L1mviMn0j3D3uo53ASkIZOFRlLnqaCTnwzOG2_Wg"",""Direct Link!A2:A""),0)),XLOOKUP($C176,IMPORTRANGE(""1NK5L1mviMn0j3D"&amp;"3uo53ASkIZOFRlLnqaCTnwzOG2_Wg"",""Direct links Without Sizes!A2:A""),IMPORTRANGE(""1NK5L1mviMn0j3D3uo53ASkIZOFRlLnqaCTnwzOG2_Wg"",""Direct links Without Sizes!B2:B""))),XLOOKUP($C176,IMPORTRANGE(""1NK5L1mviMn0j3D3uo53ASkIZOFRlLnqaCTnwzOG2_Wg"",""Direct li"&amp;"nks Without Sizes!D2:D""),IMPORTRANGE(""1NK5L1mviMn0j3D3uo53ASkIZOFRlLnqaCTnwzOG2_Wg"",""Direct links Without Sizes!E2:E""))),"""")"),"")</f>
        <v/>
      </c>
      <c r="I176" s="4"/>
      <c r="J176" s="24" t="str">
        <f t="shared" si="1"/>
        <v/>
      </c>
      <c r="K176" s="25"/>
      <c r="L176" s="24" t="str">
        <f t="shared" si="2"/>
        <v/>
      </c>
      <c r="M176" s="4"/>
      <c r="N176" s="23"/>
      <c r="O176" s="23"/>
      <c r="P176" s="23"/>
      <c r="Q176" s="4" t="str">
        <f t="shared" si="4"/>
        <v/>
      </c>
      <c r="R176" s="20"/>
      <c r="S176" s="20"/>
    </row>
    <row r="177">
      <c r="A177" s="5"/>
      <c r="B177" s="5"/>
      <c r="C177" s="11"/>
      <c r="D177" s="7" t="str">
        <f>IFERROR(__xludf.DUMMYFUNCTION("iferror(iferror(INDEX(IMPORTRANGE(""12vtnxaE_Q1s4tyr10kZQx7ZF_xG0lBFae4jQEUtgsMU"",""All!B2:B""),MATCH($C177,IMPORTRANGE(""12vtnxaE_Q1s4tyr10kZQx7ZF_xG0lBFae4jQEUtgsMU"",""All!A2:A""),0)),INDEX(IMPORTRANGE(""13KC70HngS4DDi8y9E5khtSpQEPG6owaQ9z4E-tR5mnY"","&amp;"""Non-Food!B2:B""),MATCH($C177,IMPORTRANGE(""13KC70HngS4DDi8y9E5khtSpQEPG6owaQ9z4E-tR5mnY"",""Non-Food!A2:A""),0))),"""")"),"")</f>
        <v/>
      </c>
      <c r="E177" s="15"/>
      <c r="F177" s="15"/>
      <c r="G177" s="22"/>
      <c r="H177" s="23" t="str">
        <f>IFERROR(__xludf.DUMMYFUNCTION("iferror(iferror(iferror(index(IMPORTRANGE(""1NK5L1mviMn0j3D3uo53ASkIZOFRlLnqaCTnwzOG2_Wg"",""Direct Link!B2:B""),MATCH($C177,IMPORTRANGE(""1NK5L1mviMn0j3D3uo53ASkIZOFRlLnqaCTnwzOG2_Wg"",""Direct Link!A2:A""),0)),XLOOKUP($C177,IMPORTRANGE(""1NK5L1mviMn0j3D"&amp;"3uo53ASkIZOFRlLnqaCTnwzOG2_Wg"",""Direct links Without Sizes!A2:A""),IMPORTRANGE(""1NK5L1mviMn0j3D3uo53ASkIZOFRlLnqaCTnwzOG2_Wg"",""Direct links Without Sizes!B2:B""))),XLOOKUP($C177,IMPORTRANGE(""1NK5L1mviMn0j3D3uo53ASkIZOFRlLnqaCTnwzOG2_Wg"",""Direct li"&amp;"nks Without Sizes!D2:D""),IMPORTRANGE(""1NK5L1mviMn0j3D3uo53ASkIZOFRlLnqaCTnwzOG2_Wg"",""Direct links Without Sizes!E2:E""))),"""")"),"")</f>
        <v/>
      </c>
      <c r="I177" s="4"/>
      <c r="J177" s="24" t="str">
        <f t="shared" si="1"/>
        <v/>
      </c>
      <c r="K177" s="25"/>
      <c r="L177" s="24" t="str">
        <f t="shared" si="2"/>
        <v/>
      </c>
      <c r="M177" s="4"/>
      <c r="N177" s="23"/>
      <c r="O177" s="23"/>
      <c r="P177" s="23"/>
      <c r="Q177" s="4" t="str">
        <f t="shared" si="4"/>
        <v/>
      </c>
      <c r="R177" s="20"/>
      <c r="S177" s="20"/>
    </row>
    <row r="178">
      <c r="A178" s="5"/>
      <c r="B178" s="5"/>
      <c r="C178" s="11"/>
      <c r="D178" s="7" t="str">
        <f>IFERROR(__xludf.DUMMYFUNCTION("iferror(iferror(INDEX(IMPORTRANGE(""12vtnxaE_Q1s4tyr10kZQx7ZF_xG0lBFae4jQEUtgsMU"",""All!B2:B""),MATCH($C178,IMPORTRANGE(""12vtnxaE_Q1s4tyr10kZQx7ZF_xG0lBFae4jQEUtgsMU"",""All!A2:A""),0)),INDEX(IMPORTRANGE(""13KC70HngS4DDi8y9E5khtSpQEPG6owaQ9z4E-tR5mnY"","&amp;"""Non-Food!B2:B""),MATCH($C178,IMPORTRANGE(""13KC70HngS4DDi8y9E5khtSpQEPG6owaQ9z4E-tR5mnY"",""Non-Food!A2:A""),0))),"""")"),"")</f>
        <v/>
      </c>
      <c r="E178" s="15"/>
      <c r="F178" s="15"/>
      <c r="G178" s="22"/>
      <c r="H178" s="23" t="str">
        <f>IFERROR(__xludf.DUMMYFUNCTION("iferror(iferror(iferror(index(IMPORTRANGE(""1NK5L1mviMn0j3D3uo53ASkIZOFRlLnqaCTnwzOG2_Wg"",""Direct Link!B2:B""),MATCH($C178,IMPORTRANGE(""1NK5L1mviMn0j3D3uo53ASkIZOFRlLnqaCTnwzOG2_Wg"",""Direct Link!A2:A""),0)),XLOOKUP($C178,IMPORTRANGE(""1NK5L1mviMn0j3D"&amp;"3uo53ASkIZOFRlLnqaCTnwzOG2_Wg"",""Direct links Without Sizes!A2:A""),IMPORTRANGE(""1NK5L1mviMn0j3D3uo53ASkIZOFRlLnqaCTnwzOG2_Wg"",""Direct links Without Sizes!B2:B""))),XLOOKUP($C178,IMPORTRANGE(""1NK5L1mviMn0j3D3uo53ASkIZOFRlLnqaCTnwzOG2_Wg"",""Direct li"&amp;"nks Without Sizes!D2:D""),IMPORTRANGE(""1NK5L1mviMn0j3D3uo53ASkIZOFRlLnqaCTnwzOG2_Wg"",""Direct links Without Sizes!E2:E""))),"""")"),"")</f>
        <v/>
      </c>
      <c r="I178" s="4"/>
      <c r="J178" s="24" t="str">
        <f t="shared" si="1"/>
        <v/>
      </c>
      <c r="K178" s="25"/>
      <c r="L178" s="24" t="str">
        <f t="shared" si="2"/>
        <v/>
      </c>
      <c r="M178" s="4"/>
      <c r="N178" s="23"/>
      <c r="O178" s="23"/>
      <c r="P178" s="23"/>
      <c r="Q178" s="4" t="str">
        <f t="shared" si="4"/>
        <v/>
      </c>
      <c r="R178" s="20"/>
      <c r="S178" s="20"/>
    </row>
    <row r="179">
      <c r="A179" s="5"/>
      <c r="B179" s="5"/>
      <c r="C179" s="11"/>
      <c r="D179" s="7" t="str">
        <f>IFERROR(__xludf.DUMMYFUNCTION("iferror(iferror(INDEX(IMPORTRANGE(""12vtnxaE_Q1s4tyr10kZQx7ZF_xG0lBFae4jQEUtgsMU"",""All!B2:B""),MATCH($C179,IMPORTRANGE(""12vtnxaE_Q1s4tyr10kZQx7ZF_xG0lBFae4jQEUtgsMU"",""All!A2:A""),0)),INDEX(IMPORTRANGE(""13KC70HngS4DDi8y9E5khtSpQEPG6owaQ9z4E-tR5mnY"","&amp;"""Non-Food!B2:B""),MATCH($C179,IMPORTRANGE(""13KC70HngS4DDi8y9E5khtSpQEPG6owaQ9z4E-tR5mnY"",""Non-Food!A2:A""),0))),"""")"),"")</f>
        <v/>
      </c>
      <c r="E179" s="15"/>
      <c r="F179" s="15"/>
      <c r="G179" s="22"/>
      <c r="H179" s="23" t="str">
        <f>IFERROR(__xludf.DUMMYFUNCTION("iferror(iferror(iferror(index(IMPORTRANGE(""1NK5L1mviMn0j3D3uo53ASkIZOFRlLnqaCTnwzOG2_Wg"",""Direct Link!B2:B""),MATCH($C179,IMPORTRANGE(""1NK5L1mviMn0j3D3uo53ASkIZOFRlLnqaCTnwzOG2_Wg"",""Direct Link!A2:A""),0)),XLOOKUP($C179,IMPORTRANGE(""1NK5L1mviMn0j3D"&amp;"3uo53ASkIZOFRlLnqaCTnwzOG2_Wg"",""Direct links Without Sizes!A2:A""),IMPORTRANGE(""1NK5L1mviMn0j3D3uo53ASkIZOFRlLnqaCTnwzOG2_Wg"",""Direct links Without Sizes!B2:B""))),XLOOKUP($C179,IMPORTRANGE(""1NK5L1mviMn0j3D3uo53ASkIZOFRlLnqaCTnwzOG2_Wg"",""Direct li"&amp;"nks Without Sizes!D2:D""),IMPORTRANGE(""1NK5L1mviMn0j3D3uo53ASkIZOFRlLnqaCTnwzOG2_Wg"",""Direct links Without Sizes!E2:E""))),"""")"),"")</f>
        <v/>
      </c>
      <c r="I179" s="4"/>
      <c r="J179" s="24" t="str">
        <f t="shared" si="1"/>
        <v/>
      </c>
      <c r="K179" s="25"/>
      <c r="L179" s="24" t="str">
        <f t="shared" si="2"/>
        <v/>
      </c>
      <c r="M179" s="4"/>
      <c r="N179" s="23"/>
      <c r="O179" s="23"/>
      <c r="P179" s="23"/>
      <c r="Q179" s="4" t="str">
        <f t="shared" si="4"/>
        <v/>
      </c>
      <c r="R179" s="20"/>
      <c r="S179" s="20"/>
    </row>
    <row r="180">
      <c r="A180" s="5"/>
      <c r="B180" s="5"/>
      <c r="C180" s="11"/>
      <c r="D180" s="7" t="str">
        <f>IFERROR(__xludf.DUMMYFUNCTION("iferror(iferror(INDEX(IMPORTRANGE(""12vtnxaE_Q1s4tyr10kZQx7ZF_xG0lBFae4jQEUtgsMU"",""All!B2:B""),MATCH($C180,IMPORTRANGE(""12vtnxaE_Q1s4tyr10kZQx7ZF_xG0lBFae4jQEUtgsMU"",""All!A2:A""),0)),INDEX(IMPORTRANGE(""13KC70HngS4DDi8y9E5khtSpQEPG6owaQ9z4E-tR5mnY"","&amp;"""Non-Food!B2:B""),MATCH($C180,IMPORTRANGE(""13KC70HngS4DDi8y9E5khtSpQEPG6owaQ9z4E-tR5mnY"",""Non-Food!A2:A""),0))),"""")"),"")</f>
        <v/>
      </c>
      <c r="E180" s="15"/>
      <c r="F180" s="15"/>
      <c r="G180" s="22"/>
      <c r="H180" s="23" t="str">
        <f>IFERROR(__xludf.DUMMYFUNCTION("iferror(iferror(iferror(index(IMPORTRANGE(""1NK5L1mviMn0j3D3uo53ASkIZOFRlLnqaCTnwzOG2_Wg"",""Direct Link!B2:B""),MATCH($C180,IMPORTRANGE(""1NK5L1mviMn0j3D3uo53ASkIZOFRlLnqaCTnwzOG2_Wg"",""Direct Link!A2:A""),0)),XLOOKUP($C180,IMPORTRANGE(""1NK5L1mviMn0j3D"&amp;"3uo53ASkIZOFRlLnqaCTnwzOG2_Wg"",""Direct links Without Sizes!A2:A""),IMPORTRANGE(""1NK5L1mviMn0j3D3uo53ASkIZOFRlLnqaCTnwzOG2_Wg"",""Direct links Without Sizes!B2:B""))),XLOOKUP($C180,IMPORTRANGE(""1NK5L1mviMn0j3D3uo53ASkIZOFRlLnqaCTnwzOG2_Wg"",""Direct li"&amp;"nks Without Sizes!D2:D""),IMPORTRANGE(""1NK5L1mviMn0j3D3uo53ASkIZOFRlLnqaCTnwzOG2_Wg"",""Direct links Without Sizes!E2:E""))),"""")"),"")</f>
        <v/>
      </c>
      <c r="I180" s="4"/>
      <c r="J180" s="24" t="str">
        <f t="shared" si="1"/>
        <v/>
      </c>
      <c r="K180" s="25"/>
      <c r="L180" s="24" t="str">
        <f t="shared" si="2"/>
        <v/>
      </c>
      <c r="M180" s="4"/>
      <c r="N180" s="23"/>
      <c r="O180" s="23"/>
      <c r="P180" s="23"/>
      <c r="Q180" s="4" t="str">
        <f t="shared" si="4"/>
        <v/>
      </c>
      <c r="R180" s="20"/>
      <c r="S180" s="20"/>
    </row>
    <row r="181">
      <c r="A181" s="5"/>
      <c r="B181" s="5"/>
      <c r="C181" s="11"/>
      <c r="D181" s="7" t="str">
        <f>IFERROR(__xludf.DUMMYFUNCTION("iferror(iferror(INDEX(IMPORTRANGE(""12vtnxaE_Q1s4tyr10kZQx7ZF_xG0lBFae4jQEUtgsMU"",""All!B2:B""),MATCH($C181,IMPORTRANGE(""12vtnxaE_Q1s4tyr10kZQx7ZF_xG0lBFae4jQEUtgsMU"",""All!A2:A""),0)),INDEX(IMPORTRANGE(""13KC70HngS4DDi8y9E5khtSpQEPG6owaQ9z4E-tR5mnY"","&amp;"""Non-Food!B2:B""),MATCH($C181,IMPORTRANGE(""13KC70HngS4DDi8y9E5khtSpQEPG6owaQ9z4E-tR5mnY"",""Non-Food!A2:A""),0))),"""")"),"")</f>
        <v/>
      </c>
      <c r="E181" s="15"/>
      <c r="F181" s="15"/>
      <c r="G181" s="22"/>
      <c r="H181" s="23" t="str">
        <f>IFERROR(__xludf.DUMMYFUNCTION("iferror(iferror(iferror(index(IMPORTRANGE(""1NK5L1mviMn0j3D3uo53ASkIZOFRlLnqaCTnwzOG2_Wg"",""Direct Link!B2:B""),MATCH($C181,IMPORTRANGE(""1NK5L1mviMn0j3D3uo53ASkIZOFRlLnqaCTnwzOG2_Wg"",""Direct Link!A2:A""),0)),XLOOKUP($C181,IMPORTRANGE(""1NK5L1mviMn0j3D"&amp;"3uo53ASkIZOFRlLnqaCTnwzOG2_Wg"",""Direct links Without Sizes!A2:A""),IMPORTRANGE(""1NK5L1mviMn0j3D3uo53ASkIZOFRlLnqaCTnwzOG2_Wg"",""Direct links Without Sizes!B2:B""))),XLOOKUP($C181,IMPORTRANGE(""1NK5L1mviMn0j3D3uo53ASkIZOFRlLnqaCTnwzOG2_Wg"",""Direct li"&amp;"nks Without Sizes!D2:D""),IMPORTRANGE(""1NK5L1mviMn0j3D3uo53ASkIZOFRlLnqaCTnwzOG2_Wg"",""Direct links Without Sizes!E2:E""))),"""")"),"")</f>
        <v/>
      </c>
      <c r="I181" s="5"/>
      <c r="J181" s="24" t="str">
        <f t="shared" si="1"/>
        <v/>
      </c>
      <c r="K181" s="25"/>
      <c r="L181" s="24" t="str">
        <f t="shared" si="2"/>
        <v/>
      </c>
      <c r="M181" s="4"/>
      <c r="N181" s="23"/>
      <c r="O181" s="23"/>
      <c r="P181" s="23"/>
      <c r="Q181" s="4" t="str">
        <f t="shared" si="4"/>
        <v/>
      </c>
      <c r="R181" s="20"/>
      <c r="S181" s="20"/>
    </row>
    <row r="182">
      <c r="A182" s="5"/>
      <c r="B182" s="5"/>
      <c r="C182" s="11"/>
      <c r="D182" s="7" t="str">
        <f>IFERROR(__xludf.DUMMYFUNCTION("iferror(iferror(INDEX(IMPORTRANGE(""12vtnxaE_Q1s4tyr10kZQx7ZF_xG0lBFae4jQEUtgsMU"",""All!B2:B""),MATCH($C182,IMPORTRANGE(""12vtnxaE_Q1s4tyr10kZQx7ZF_xG0lBFae4jQEUtgsMU"",""All!A2:A""),0)),INDEX(IMPORTRANGE(""13KC70HngS4DDi8y9E5khtSpQEPG6owaQ9z4E-tR5mnY"","&amp;"""Non-Food!B2:B""),MATCH($C182,IMPORTRANGE(""13KC70HngS4DDi8y9E5khtSpQEPG6owaQ9z4E-tR5mnY"",""Non-Food!A2:A""),0))),"""")"),"")</f>
        <v/>
      </c>
      <c r="E182" s="15"/>
      <c r="F182" s="15"/>
      <c r="G182" s="22"/>
      <c r="H182" s="23" t="str">
        <f>IFERROR(__xludf.DUMMYFUNCTION("iferror(iferror(iferror(index(IMPORTRANGE(""1NK5L1mviMn0j3D3uo53ASkIZOFRlLnqaCTnwzOG2_Wg"",""Direct Link!B2:B""),MATCH($C182,IMPORTRANGE(""1NK5L1mviMn0j3D3uo53ASkIZOFRlLnqaCTnwzOG2_Wg"",""Direct Link!A2:A""),0)),XLOOKUP($C182,IMPORTRANGE(""1NK5L1mviMn0j3D"&amp;"3uo53ASkIZOFRlLnqaCTnwzOG2_Wg"",""Direct links Without Sizes!A2:A""),IMPORTRANGE(""1NK5L1mviMn0j3D3uo53ASkIZOFRlLnqaCTnwzOG2_Wg"",""Direct links Without Sizes!B2:B""))),XLOOKUP($C182,IMPORTRANGE(""1NK5L1mviMn0j3D3uo53ASkIZOFRlLnqaCTnwzOG2_Wg"",""Direct li"&amp;"nks Without Sizes!D2:D""),IMPORTRANGE(""1NK5L1mviMn0j3D3uo53ASkIZOFRlLnqaCTnwzOG2_Wg"",""Direct links Without Sizes!E2:E""))),"""")"),"")</f>
        <v/>
      </c>
      <c r="I182" s="5"/>
      <c r="J182" s="24" t="str">
        <f t="shared" si="1"/>
        <v/>
      </c>
      <c r="K182" s="25"/>
      <c r="L182" s="24" t="str">
        <f t="shared" si="2"/>
        <v/>
      </c>
      <c r="M182" s="4"/>
      <c r="N182" s="23"/>
      <c r="O182" s="23"/>
      <c r="P182" s="23"/>
      <c r="Q182" s="4" t="str">
        <f t="shared" si="4"/>
        <v/>
      </c>
      <c r="R182" s="20"/>
      <c r="S182" s="20"/>
    </row>
    <row r="183">
      <c r="A183" s="5"/>
      <c r="B183" s="5"/>
      <c r="C183" s="11"/>
      <c r="D183" s="7" t="str">
        <f>IFERROR(__xludf.DUMMYFUNCTION("iferror(iferror(INDEX(IMPORTRANGE(""12vtnxaE_Q1s4tyr10kZQx7ZF_xG0lBFae4jQEUtgsMU"",""All!B2:B""),MATCH($C183,IMPORTRANGE(""12vtnxaE_Q1s4tyr10kZQx7ZF_xG0lBFae4jQEUtgsMU"",""All!A2:A""),0)),INDEX(IMPORTRANGE(""13KC70HngS4DDi8y9E5khtSpQEPG6owaQ9z4E-tR5mnY"","&amp;"""Non-Food!B2:B""),MATCH($C183,IMPORTRANGE(""13KC70HngS4DDi8y9E5khtSpQEPG6owaQ9z4E-tR5mnY"",""Non-Food!A2:A""),0))),"""")"),"")</f>
        <v/>
      </c>
      <c r="E183" s="15"/>
      <c r="F183" s="15"/>
      <c r="G183" s="22"/>
      <c r="H183" s="23" t="str">
        <f>IFERROR(__xludf.DUMMYFUNCTION("iferror(iferror(iferror(index(IMPORTRANGE(""1NK5L1mviMn0j3D3uo53ASkIZOFRlLnqaCTnwzOG2_Wg"",""Direct Link!B2:B""),MATCH($C183,IMPORTRANGE(""1NK5L1mviMn0j3D3uo53ASkIZOFRlLnqaCTnwzOG2_Wg"",""Direct Link!A2:A""),0)),XLOOKUP($C183,IMPORTRANGE(""1NK5L1mviMn0j3D"&amp;"3uo53ASkIZOFRlLnqaCTnwzOG2_Wg"",""Direct links Without Sizes!A2:A""),IMPORTRANGE(""1NK5L1mviMn0j3D3uo53ASkIZOFRlLnqaCTnwzOG2_Wg"",""Direct links Without Sizes!B2:B""))),XLOOKUP($C183,IMPORTRANGE(""1NK5L1mviMn0j3D3uo53ASkIZOFRlLnqaCTnwzOG2_Wg"",""Direct li"&amp;"nks Without Sizes!D2:D""),IMPORTRANGE(""1NK5L1mviMn0j3D3uo53ASkIZOFRlLnqaCTnwzOG2_Wg"",""Direct links Without Sizes!E2:E""))),"""")"),"")</f>
        <v/>
      </c>
      <c r="I183" s="5"/>
      <c r="J183" s="24" t="str">
        <f t="shared" si="1"/>
        <v/>
      </c>
      <c r="K183" s="25"/>
      <c r="L183" s="24" t="str">
        <f t="shared" si="2"/>
        <v/>
      </c>
      <c r="M183" s="4"/>
      <c r="N183" s="23"/>
      <c r="O183" s="23"/>
      <c r="P183" s="23"/>
      <c r="Q183" s="4" t="str">
        <f t="shared" si="4"/>
        <v/>
      </c>
      <c r="R183" s="20"/>
      <c r="S183" s="20"/>
    </row>
    <row r="184">
      <c r="A184" s="5"/>
      <c r="B184" s="5"/>
      <c r="C184" s="11"/>
      <c r="D184" s="7" t="str">
        <f>IFERROR(__xludf.DUMMYFUNCTION("iferror(iferror(INDEX(IMPORTRANGE(""12vtnxaE_Q1s4tyr10kZQx7ZF_xG0lBFae4jQEUtgsMU"",""All!B2:B""),MATCH($C184,IMPORTRANGE(""12vtnxaE_Q1s4tyr10kZQx7ZF_xG0lBFae4jQEUtgsMU"",""All!A2:A""),0)),INDEX(IMPORTRANGE(""13KC70HngS4DDi8y9E5khtSpQEPG6owaQ9z4E-tR5mnY"","&amp;"""Non-Food!B2:B""),MATCH($C184,IMPORTRANGE(""13KC70HngS4DDi8y9E5khtSpQEPG6owaQ9z4E-tR5mnY"",""Non-Food!A2:A""),0))),"""")"),"")</f>
        <v/>
      </c>
      <c r="E184" s="15"/>
      <c r="F184" s="15"/>
      <c r="G184" s="22"/>
      <c r="H184" s="23" t="str">
        <f>IFERROR(__xludf.DUMMYFUNCTION("iferror(iferror(iferror(index(IMPORTRANGE(""1NK5L1mviMn0j3D3uo53ASkIZOFRlLnqaCTnwzOG2_Wg"",""Direct Link!B2:B""),MATCH($C184,IMPORTRANGE(""1NK5L1mviMn0j3D3uo53ASkIZOFRlLnqaCTnwzOG2_Wg"",""Direct Link!A2:A""),0)),XLOOKUP($C184,IMPORTRANGE(""1NK5L1mviMn0j3D"&amp;"3uo53ASkIZOFRlLnqaCTnwzOG2_Wg"",""Direct links Without Sizes!A2:A""),IMPORTRANGE(""1NK5L1mviMn0j3D3uo53ASkIZOFRlLnqaCTnwzOG2_Wg"",""Direct links Without Sizes!B2:B""))),XLOOKUP($C184,IMPORTRANGE(""1NK5L1mviMn0j3D3uo53ASkIZOFRlLnqaCTnwzOG2_Wg"",""Direct li"&amp;"nks Without Sizes!D2:D""),IMPORTRANGE(""1NK5L1mviMn0j3D3uo53ASkIZOFRlLnqaCTnwzOG2_Wg"",""Direct links Without Sizes!E2:E""))),"""")"),"")</f>
        <v/>
      </c>
      <c r="I184" s="5"/>
      <c r="J184" s="24" t="str">
        <f t="shared" si="1"/>
        <v/>
      </c>
      <c r="K184" s="25"/>
      <c r="L184" s="24" t="str">
        <f t="shared" si="2"/>
        <v/>
      </c>
      <c r="M184" s="4"/>
      <c r="N184" s="23"/>
      <c r="O184" s="23"/>
      <c r="P184" s="23"/>
      <c r="Q184" s="4" t="str">
        <f t="shared" si="4"/>
        <v/>
      </c>
      <c r="R184" s="20"/>
      <c r="S184" s="20"/>
    </row>
    <row r="185">
      <c r="A185" s="5"/>
      <c r="B185" s="5"/>
      <c r="C185" s="11"/>
      <c r="D185" s="7" t="str">
        <f>IFERROR(__xludf.DUMMYFUNCTION("iferror(iferror(INDEX(IMPORTRANGE(""12vtnxaE_Q1s4tyr10kZQx7ZF_xG0lBFae4jQEUtgsMU"",""All!B2:B""),MATCH($C185,IMPORTRANGE(""12vtnxaE_Q1s4tyr10kZQx7ZF_xG0lBFae4jQEUtgsMU"",""All!A2:A""),0)),INDEX(IMPORTRANGE(""13KC70HngS4DDi8y9E5khtSpQEPG6owaQ9z4E-tR5mnY"","&amp;"""Non-Food!B2:B""),MATCH($C185,IMPORTRANGE(""13KC70HngS4DDi8y9E5khtSpQEPG6owaQ9z4E-tR5mnY"",""Non-Food!A2:A""),0))),"""")"),"")</f>
        <v/>
      </c>
      <c r="E185" s="15"/>
      <c r="F185" s="15"/>
      <c r="G185" s="22"/>
      <c r="H185" s="23" t="str">
        <f>IFERROR(__xludf.DUMMYFUNCTION("iferror(iferror(iferror(index(IMPORTRANGE(""1NK5L1mviMn0j3D3uo53ASkIZOFRlLnqaCTnwzOG2_Wg"",""Direct Link!B2:B""),MATCH($C185,IMPORTRANGE(""1NK5L1mviMn0j3D3uo53ASkIZOFRlLnqaCTnwzOG2_Wg"",""Direct Link!A2:A""),0)),XLOOKUP($C185,IMPORTRANGE(""1NK5L1mviMn0j3D"&amp;"3uo53ASkIZOFRlLnqaCTnwzOG2_Wg"",""Direct links Without Sizes!A2:A""),IMPORTRANGE(""1NK5L1mviMn0j3D3uo53ASkIZOFRlLnqaCTnwzOG2_Wg"",""Direct links Without Sizes!B2:B""))),XLOOKUP($C185,IMPORTRANGE(""1NK5L1mviMn0j3D3uo53ASkIZOFRlLnqaCTnwzOG2_Wg"",""Direct li"&amp;"nks Without Sizes!D2:D""),IMPORTRANGE(""1NK5L1mviMn0j3D3uo53ASkIZOFRlLnqaCTnwzOG2_Wg"",""Direct links Without Sizes!E2:E""))),"""")"),"")</f>
        <v/>
      </c>
      <c r="I185" s="4"/>
      <c r="J185" s="24" t="str">
        <f t="shared" si="1"/>
        <v/>
      </c>
      <c r="K185" s="25"/>
      <c r="L185" s="24" t="str">
        <f t="shared" si="2"/>
        <v/>
      </c>
      <c r="M185" s="4"/>
      <c r="N185" s="23"/>
      <c r="O185" s="23"/>
      <c r="P185" s="23"/>
      <c r="Q185" s="4" t="str">
        <f t="shared" si="4"/>
        <v/>
      </c>
      <c r="R185" s="20"/>
      <c r="S185" s="20"/>
    </row>
    <row r="186">
      <c r="A186" s="5"/>
      <c r="B186" s="5"/>
      <c r="C186" s="11"/>
      <c r="D186" s="7" t="str">
        <f>IFERROR(__xludf.DUMMYFUNCTION("iferror(iferror(INDEX(IMPORTRANGE(""12vtnxaE_Q1s4tyr10kZQx7ZF_xG0lBFae4jQEUtgsMU"",""All!B2:B""),MATCH($C186,IMPORTRANGE(""12vtnxaE_Q1s4tyr10kZQx7ZF_xG0lBFae4jQEUtgsMU"",""All!A2:A""),0)),INDEX(IMPORTRANGE(""13KC70HngS4DDi8y9E5khtSpQEPG6owaQ9z4E-tR5mnY"","&amp;"""Non-Food!B2:B""),MATCH($C186,IMPORTRANGE(""13KC70HngS4DDi8y9E5khtSpQEPG6owaQ9z4E-tR5mnY"",""Non-Food!A2:A""),0))),"""")"),"")</f>
        <v/>
      </c>
      <c r="E186" s="15"/>
      <c r="F186" s="15"/>
      <c r="G186" s="22"/>
      <c r="H186" s="23" t="str">
        <f>IFERROR(__xludf.DUMMYFUNCTION("iferror(iferror(iferror(index(IMPORTRANGE(""1NK5L1mviMn0j3D3uo53ASkIZOFRlLnqaCTnwzOG2_Wg"",""Direct Link!B2:B""),MATCH($C186,IMPORTRANGE(""1NK5L1mviMn0j3D3uo53ASkIZOFRlLnqaCTnwzOG2_Wg"",""Direct Link!A2:A""),0)),XLOOKUP($C186,IMPORTRANGE(""1NK5L1mviMn0j3D"&amp;"3uo53ASkIZOFRlLnqaCTnwzOG2_Wg"",""Direct links Without Sizes!A2:A""),IMPORTRANGE(""1NK5L1mviMn0j3D3uo53ASkIZOFRlLnqaCTnwzOG2_Wg"",""Direct links Without Sizes!B2:B""))),XLOOKUP($C186,IMPORTRANGE(""1NK5L1mviMn0j3D3uo53ASkIZOFRlLnqaCTnwzOG2_Wg"",""Direct li"&amp;"nks Without Sizes!D2:D""),IMPORTRANGE(""1NK5L1mviMn0j3D3uo53ASkIZOFRlLnqaCTnwzOG2_Wg"",""Direct links Without Sizes!E2:E""))),"""")"),"")</f>
        <v/>
      </c>
      <c r="I186" s="4"/>
      <c r="J186" s="24" t="str">
        <f t="shared" si="1"/>
        <v/>
      </c>
      <c r="K186" s="25"/>
      <c r="L186" s="24" t="str">
        <f t="shared" si="2"/>
        <v/>
      </c>
      <c r="M186" s="4"/>
      <c r="N186" s="23"/>
      <c r="O186" s="23"/>
      <c r="P186" s="23"/>
      <c r="Q186" s="4" t="str">
        <f t="shared" si="4"/>
        <v/>
      </c>
      <c r="R186" s="20"/>
      <c r="S186" s="20"/>
    </row>
    <row r="187">
      <c r="A187" s="5"/>
      <c r="B187" s="5"/>
      <c r="C187" s="11"/>
      <c r="D187" s="7" t="str">
        <f>IFERROR(__xludf.DUMMYFUNCTION("iferror(iferror(INDEX(IMPORTRANGE(""12vtnxaE_Q1s4tyr10kZQx7ZF_xG0lBFae4jQEUtgsMU"",""All!B2:B""),MATCH($C187,IMPORTRANGE(""12vtnxaE_Q1s4tyr10kZQx7ZF_xG0lBFae4jQEUtgsMU"",""All!A2:A""),0)),INDEX(IMPORTRANGE(""13KC70HngS4DDi8y9E5khtSpQEPG6owaQ9z4E-tR5mnY"","&amp;"""Non-Food!B2:B""),MATCH($C187,IMPORTRANGE(""13KC70HngS4DDi8y9E5khtSpQEPG6owaQ9z4E-tR5mnY"",""Non-Food!A2:A""),0))),"""")"),"")</f>
        <v/>
      </c>
      <c r="E187" s="15"/>
      <c r="F187" s="15"/>
      <c r="G187" s="22"/>
      <c r="H187" s="23" t="str">
        <f>IFERROR(__xludf.DUMMYFUNCTION("iferror(iferror(iferror(index(IMPORTRANGE(""1NK5L1mviMn0j3D3uo53ASkIZOFRlLnqaCTnwzOG2_Wg"",""Direct Link!B2:B""),MATCH($C187,IMPORTRANGE(""1NK5L1mviMn0j3D3uo53ASkIZOFRlLnqaCTnwzOG2_Wg"",""Direct Link!A2:A""),0)),XLOOKUP($C187,IMPORTRANGE(""1NK5L1mviMn0j3D"&amp;"3uo53ASkIZOFRlLnqaCTnwzOG2_Wg"",""Direct links Without Sizes!A2:A""),IMPORTRANGE(""1NK5L1mviMn0j3D3uo53ASkIZOFRlLnqaCTnwzOG2_Wg"",""Direct links Without Sizes!B2:B""))),XLOOKUP($C187,IMPORTRANGE(""1NK5L1mviMn0j3D3uo53ASkIZOFRlLnqaCTnwzOG2_Wg"",""Direct li"&amp;"nks Without Sizes!D2:D""),IMPORTRANGE(""1NK5L1mviMn0j3D3uo53ASkIZOFRlLnqaCTnwzOG2_Wg"",""Direct links Without Sizes!E2:E""))),"""")"),"")</f>
        <v/>
      </c>
      <c r="I187" s="5"/>
      <c r="J187" s="24" t="str">
        <f t="shared" si="1"/>
        <v/>
      </c>
      <c r="K187" s="25"/>
      <c r="L187" s="24" t="str">
        <f t="shared" si="2"/>
        <v/>
      </c>
      <c r="M187" s="4"/>
      <c r="N187" s="23"/>
      <c r="O187" s="23"/>
      <c r="P187" s="23"/>
      <c r="Q187" s="4" t="str">
        <f t="shared" si="4"/>
        <v/>
      </c>
      <c r="R187" s="20"/>
      <c r="S187" s="20"/>
    </row>
    <row r="188">
      <c r="A188" s="5"/>
      <c r="B188" s="5"/>
      <c r="C188" s="11"/>
      <c r="D188" s="7" t="str">
        <f>IFERROR(__xludf.DUMMYFUNCTION("iferror(iferror(INDEX(IMPORTRANGE(""12vtnxaE_Q1s4tyr10kZQx7ZF_xG0lBFae4jQEUtgsMU"",""All!B2:B""),MATCH($C188,IMPORTRANGE(""12vtnxaE_Q1s4tyr10kZQx7ZF_xG0lBFae4jQEUtgsMU"",""All!A2:A""),0)),INDEX(IMPORTRANGE(""13KC70HngS4DDi8y9E5khtSpQEPG6owaQ9z4E-tR5mnY"","&amp;"""Non-Food!B2:B""),MATCH($C188,IMPORTRANGE(""13KC70HngS4DDi8y9E5khtSpQEPG6owaQ9z4E-tR5mnY"",""Non-Food!A2:A""),0))),"""")"),"")</f>
        <v/>
      </c>
      <c r="E188" s="15"/>
      <c r="F188" s="15"/>
      <c r="G188" s="22"/>
      <c r="H188" s="23" t="str">
        <f>IFERROR(__xludf.DUMMYFUNCTION("iferror(iferror(iferror(index(IMPORTRANGE(""1NK5L1mviMn0j3D3uo53ASkIZOFRlLnqaCTnwzOG2_Wg"",""Direct Link!B2:B""),MATCH($C188,IMPORTRANGE(""1NK5L1mviMn0j3D3uo53ASkIZOFRlLnqaCTnwzOG2_Wg"",""Direct Link!A2:A""),0)),XLOOKUP($C188,IMPORTRANGE(""1NK5L1mviMn0j3D"&amp;"3uo53ASkIZOFRlLnqaCTnwzOG2_Wg"",""Direct links Without Sizes!A2:A""),IMPORTRANGE(""1NK5L1mviMn0j3D3uo53ASkIZOFRlLnqaCTnwzOG2_Wg"",""Direct links Without Sizes!B2:B""))),XLOOKUP($C188,IMPORTRANGE(""1NK5L1mviMn0j3D3uo53ASkIZOFRlLnqaCTnwzOG2_Wg"",""Direct li"&amp;"nks Without Sizes!D2:D""),IMPORTRANGE(""1NK5L1mviMn0j3D3uo53ASkIZOFRlLnqaCTnwzOG2_Wg"",""Direct links Without Sizes!E2:E""))),"""")"),"")</f>
        <v/>
      </c>
      <c r="I188" s="5"/>
      <c r="J188" s="24" t="str">
        <f t="shared" si="1"/>
        <v/>
      </c>
      <c r="K188" s="25"/>
      <c r="L188" s="24" t="str">
        <f t="shared" si="2"/>
        <v/>
      </c>
      <c r="M188" s="4"/>
      <c r="N188" s="23"/>
      <c r="O188" s="23"/>
      <c r="P188" s="23"/>
      <c r="Q188" s="4" t="str">
        <f t="shared" si="4"/>
        <v/>
      </c>
      <c r="R188" s="20"/>
      <c r="S188" s="20"/>
    </row>
    <row r="189">
      <c r="A189" s="5"/>
      <c r="B189" s="5"/>
      <c r="C189" s="11"/>
      <c r="D189" s="7" t="str">
        <f>IFERROR(__xludf.DUMMYFUNCTION("iferror(iferror(INDEX(IMPORTRANGE(""12vtnxaE_Q1s4tyr10kZQx7ZF_xG0lBFae4jQEUtgsMU"",""All!B2:B""),MATCH($C189,IMPORTRANGE(""12vtnxaE_Q1s4tyr10kZQx7ZF_xG0lBFae4jQEUtgsMU"",""All!A2:A""),0)),INDEX(IMPORTRANGE(""13KC70HngS4DDi8y9E5khtSpQEPG6owaQ9z4E-tR5mnY"","&amp;"""Non-Food!B2:B""),MATCH($C189,IMPORTRANGE(""13KC70HngS4DDi8y9E5khtSpQEPG6owaQ9z4E-tR5mnY"",""Non-Food!A2:A""),0))),"""")"),"")</f>
        <v/>
      </c>
      <c r="E189" s="15"/>
      <c r="F189" s="15"/>
      <c r="G189" s="22"/>
      <c r="H189" s="23" t="str">
        <f>IFERROR(__xludf.DUMMYFUNCTION("iferror(iferror(iferror(index(IMPORTRANGE(""1NK5L1mviMn0j3D3uo53ASkIZOFRlLnqaCTnwzOG2_Wg"",""Direct Link!B2:B""),MATCH($C189,IMPORTRANGE(""1NK5L1mviMn0j3D3uo53ASkIZOFRlLnqaCTnwzOG2_Wg"",""Direct Link!A2:A""),0)),XLOOKUP($C189,IMPORTRANGE(""1NK5L1mviMn0j3D"&amp;"3uo53ASkIZOFRlLnqaCTnwzOG2_Wg"",""Direct links Without Sizes!A2:A""),IMPORTRANGE(""1NK5L1mviMn0j3D3uo53ASkIZOFRlLnqaCTnwzOG2_Wg"",""Direct links Without Sizes!B2:B""))),XLOOKUP($C189,IMPORTRANGE(""1NK5L1mviMn0j3D3uo53ASkIZOFRlLnqaCTnwzOG2_Wg"",""Direct li"&amp;"nks Without Sizes!D2:D""),IMPORTRANGE(""1NK5L1mviMn0j3D3uo53ASkIZOFRlLnqaCTnwzOG2_Wg"",""Direct links Without Sizes!E2:E""))),"""")"),"")</f>
        <v/>
      </c>
      <c r="I189" s="4"/>
      <c r="J189" s="24" t="str">
        <f t="shared" si="1"/>
        <v/>
      </c>
      <c r="K189" s="25"/>
      <c r="L189" s="24" t="str">
        <f t="shared" si="2"/>
        <v/>
      </c>
      <c r="M189" s="4"/>
      <c r="N189" s="23"/>
      <c r="O189" s="23"/>
      <c r="P189" s="23"/>
      <c r="Q189" s="4" t="str">
        <f t="shared" si="4"/>
        <v/>
      </c>
      <c r="R189" s="20"/>
      <c r="S189" s="20"/>
    </row>
    <row r="190">
      <c r="A190" s="5"/>
      <c r="B190" s="5"/>
      <c r="C190" s="11"/>
      <c r="D190" s="7" t="str">
        <f>IFERROR(__xludf.DUMMYFUNCTION("iferror(iferror(INDEX(IMPORTRANGE(""12vtnxaE_Q1s4tyr10kZQx7ZF_xG0lBFae4jQEUtgsMU"",""All!B2:B""),MATCH($C190,IMPORTRANGE(""12vtnxaE_Q1s4tyr10kZQx7ZF_xG0lBFae4jQEUtgsMU"",""All!A2:A""),0)),INDEX(IMPORTRANGE(""13KC70HngS4DDi8y9E5khtSpQEPG6owaQ9z4E-tR5mnY"","&amp;"""Non-Food!B2:B""),MATCH($C190,IMPORTRANGE(""13KC70HngS4DDi8y9E5khtSpQEPG6owaQ9z4E-tR5mnY"",""Non-Food!A2:A""),0))),"""")"),"")</f>
        <v/>
      </c>
      <c r="E190" s="15"/>
      <c r="F190" s="15"/>
      <c r="G190" s="22"/>
      <c r="H190" s="23" t="str">
        <f>IFERROR(__xludf.DUMMYFUNCTION("iferror(iferror(iferror(index(IMPORTRANGE(""1NK5L1mviMn0j3D3uo53ASkIZOFRlLnqaCTnwzOG2_Wg"",""Direct Link!B2:B""),MATCH($C190,IMPORTRANGE(""1NK5L1mviMn0j3D3uo53ASkIZOFRlLnqaCTnwzOG2_Wg"",""Direct Link!A2:A""),0)),XLOOKUP($C190,IMPORTRANGE(""1NK5L1mviMn0j3D"&amp;"3uo53ASkIZOFRlLnqaCTnwzOG2_Wg"",""Direct links Without Sizes!A2:A""),IMPORTRANGE(""1NK5L1mviMn0j3D3uo53ASkIZOFRlLnqaCTnwzOG2_Wg"",""Direct links Without Sizes!B2:B""))),XLOOKUP($C190,IMPORTRANGE(""1NK5L1mviMn0j3D3uo53ASkIZOFRlLnqaCTnwzOG2_Wg"",""Direct li"&amp;"nks Without Sizes!D2:D""),IMPORTRANGE(""1NK5L1mviMn0j3D3uo53ASkIZOFRlLnqaCTnwzOG2_Wg"",""Direct links Without Sizes!E2:E""))),"""")"),"")</f>
        <v/>
      </c>
      <c r="I190" s="4"/>
      <c r="J190" s="24" t="str">
        <f t="shared" si="1"/>
        <v/>
      </c>
      <c r="K190" s="25"/>
      <c r="L190" s="24" t="str">
        <f t="shared" si="2"/>
        <v/>
      </c>
      <c r="M190" s="4"/>
      <c r="N190" s="23"/>
      <c r="O190" s="23"/>
      <c r="P190" s="23"/>
      <c r="Q190" s="4" t="str">
        <f t="shared" si="4"/>
        <v/>
      </c>
      <c r="R190" s="20"/>
      <c r="S190" s="20"/>
    </row>
    <row r="191">
      <c r="A191" s="5"/>
      <c r="B191" s="5"/>
      <c r="C191" s="11"/>
      <c r="D191" s="7" t="str">
        <f>IFERROR(__xludf.DUMMYFUNCTION("iferror(iferror(INDEX(IMPORTRANGE(""12vtnxaE_Q1s4tyr10kZQx7ZF_xG0lBFae4jQEUtgsMU"",""All!B2:B""),MATCH($C191,IMPORTRANGE(""12vtnxaE_Q1s4tyr10kZQx7ZF_xG0lBFae4jQEUtgsMU"",""All!A2:A""),0)),INDEX(IMPORTRANGE(""13KC70HngS4DDi8y9E5khtSpQEPG6owaQ9z4E-tR5mnY"","&amp;"""Non-Food!B2:B""),MATCH($C191,IMPORTRANGE(""13KC70HngS4DDi8y9E5khtSpQEPG6owaQ9z4E-tR5mnY"",""Non-Food!A2:A""),0))),"""")"),"")</f>
        <v/>
      </c>
      <c r="E191" s="15"/>
      <c r="F191" s="15"/>
      <c r="G191" s="22"/>
      <c r="H191" s="23" t="str">
        <f>IFERROR(__xludf.DUMMYFUNCTION("iferror(iferror(iferror(index(IMPORTRANGE(""1NK5L1mviMn0j3D3uo53ASkIZOFRlLnqaCTnwzOG2_Wg"",""Direct Link!B2:B""),MATCH($C191,IMPORTRANGE(""1NK5L1mviMn0j3D3uo53ASkIZOFRlLnqaCTnwzOG2_Wg"",""Direct Link!A2:A""),0)),XLOOKUP($C191,IMPORTRANGE(""1NK5L1mviMn0j3D"&amp;"3uo53ASkIZOFRlLnqaCTnwzOG2_Wg"",""Direct links Without Sizes!A2:A""),IMPORTRANGE(""1NK5L1mviMn0j3D3uo53ASkIZOFRlLnqaCTnwzOG2_Wg"",""Direct links Without Sizes!B2:B""))),XLOOKUP($C191,IMPORTRANGE(""1NK5L1mviMn0j3D3uo53ASkIZOFRlLnqaCTnwzOG2_Wg"",""Direct li"&amp;"nks Without Sizes!D2:D""),IMPORTRANGE(""1NK5L1mviMn0j3D3uo53ASkIZOFRlLnqaCTnwzOG2_Wg"",""Direct links Without Sizes!E2:E""))),"""")"),"")</f>
        <v/>
      </c>
      <c r="I191" s="4"/>
      <c r="J191" s="24" t="str">
        <f t="shared" si="1"/>
        <v/>
      </c>
      <c r="K191" s="25"/>
      <c r="L191" s="24" t="str">
        <f t="shared" si="2"/>
        <v/>
      </c>
      <c r="M191" s="4"/>
      <c r="N191" s="23"/>
      <c r="O191" s="23"/>
      <c r="P191" s="23"/>
      <c r="Q191" s="4" t="str">
        <f t="shared" si="4"/>
        <v/>
      </c>
      <c r="R191" s="20"/>
      <c r="S191" s="20"/>
    </row>
    <row r="192">
      <c r="A192" s="5"/>
      <c r="B192" s="5"/>
      <c r="C192" s="11"/>
      <c r="D192" s="7" t="str">
        <f>IFERROR(__xludf.DUMMYFUNCTION("iferror(iferror(INDEX(IMPORTRANGE(""12vtnxaE_Q1s4tyr10kZQx7ZF_xG0lBFae4jQEUtgsMU"",""All!B2:B""),MATCH($C192,IMPORTRANGE(""12vtnxaE_Q1s4tyr10kZQx7ZF_xG0lBFae4jQEUtgsMU"",""All!A2:A""),0)),INDEX(IMPORTRANGE(""13KC70HngS4DDi8y9E5khtSpQEPG6owaQ9z4E-tR5mnY"","&amp;"""Non-Food!B2:B""),MATCH($C192,IMPORTRANGE(""13KC70HngS4DDi8y9E5khtSpQEPG6owaQ9z4E-tR5mnY"",""Non-Food!A2:A""),0))),"""")"),"")</f>
        <v/>
      </c>
      <c r="E192" s="15"/>
      <c r="F192" s="15"/>
      <c r="G192" s="22"/>
      <c r="H192" s="23" t="str">
        <f>IFERROR(__xludf.DUMMYFUNCTION("iferror(iferror(iferror(index(IMPORTRANGE(""1NK5L1mviMn0j3D3uo53ASkIZOFRlLnqaCTnwzOG2_Wg"",""Direct Link!B2:B""),MATCH($C192,IMPORTRANGE(""1NK5L1mviMn0j3D3uo53ASkIZOFRlLnqaCTnwzOG2_Wg"",""Direct Link!A2:A""),0)),XLOOKUP($C192,IMPORTRANGE(""1NK5L1mviMn0j3D"&amp;"3uo53ASkIZOFRlLnqaCTnwzOG2_Wg"",""Direct links Without Sizes!A2:A""),IMPORTRANGE(""1NK5L1mviMn0j3D3uo53ASkIZOFRlLnqaCTnwzOG2_Wg"",""Direct links Without Sizes!B2:B""))),XLOOKUP($C192,IMPORTRANGE(""1NK5L1mviMn0j3D3uo53ASkIZOFRlLnqaCTnwzOG2_Wg"",""Direct li"&amp;"nks Without Sizes!D2:D""),IMPORTRANGE(""1NK5L1mviMn0j3D3uo53ASkIZOFRlLnqaCTnwzOG2_Wg"",""Direct links Without Sizes!E2:E""))),"""")"),"")</f>
        <v/>
      </c>
      <c r="I192" s="4"/>
      <c r="J192" s="24" t="str">
        <f t="shared" si="1"/>
        <v/>
      </c>
      <c r="K192" s="25"/>
      <c r="L192" s="24" t="str">
        <f t="shared" si="2"/>
        <v/>
      </c>
      <c r="M192" s="4"/>
      <c r="N192" s="23"/>
      <c r="O192" s="23"/>
      <c r="P192" s="23"/>
      <c r="Q192" s="4" t="str">
        <f t="shared" si="4"/>
        <v/>
      </c>
      <c r="R192" s="20"/>
      <c r="S192" s="20"/>
    </row>
    <row r="193">
      <c r="A193" s="5"/>
      <c r="B193" s="5"/>
      <c r="C193" s="11"/>
      <c r="D193" s="7" t="str">
        <f>IFERROR(__xludf.DUMMYFUNCTION("iferror(iferror(INDEX(IMPORTRANGE(""12vtnxaE_Q1s4tyr10kZQx7ZF_xG0lBFae4jQEUtgsMU"",""All!B2:B""),MATCH($C193,IMPORTRANGE(""12vtnxaE_Q1s4tyr10kZQx7ZF_xG0lBFae4jQEUtgsMU"",""All!A2:A""),0)),INDEX(IMPORTRANGE(""13KC70HngS4DDi8y9E5khtSpQEPG6owaQ9z4E-tR5mnY"","&amp;"""Non-Food!B2:B""),MATCH($C193,IMPORTRANGE(""13KC70HngS4DDi8y9E5khtSpQEPG6owaQ9z4E-tR5mnY"",""Non-Food!A2:A""),0))),"""")"),"")</f>
        <v/>
      </c>
      <c r="E193" s="14"/>
      <c r="F193" s="29"/>
      <c r="G193" s="22"/>
      <c r="H193" s="23" t="str">
        <f>IFERROR(__xludf.DUMMYFUNCTION("iferror(iferror(iferror(index(IMPORTRANGE(""1NK5L1mviMn0j3D3uo53ASkIZOFRlLnqaCTnwzOG2_Wg"",""Direct Link!B2:B""),MATCH($C193,IMPORTRANGE(""1NK5L1mviMn0j3D3uo53ASkIZOFRlLnqaCTnwzOG2_Wg"",""Direct Link!A2:A""),0)),XLOOKUP($C193,IMPORTRANGE(""1NK5L1mviMn0j3D"&amp;"3uo53ASkIZOFRlLnqaCTnwzOG2_Wg"",""Direct links Without Sizes!A2:A""),IMPORTRANGE(""1NK5L1mviMn0j3D3uo53ASkIZOFRlLnqaCTnwzOG2_Wg"",""Direct links Without Sizes!B2:B""))),XLOOKUP($C193,IMPORTRANGE(""1NK5L1mviMn0j3D3uo53ASkIZOFRlLnqaCTnwzOG2_Wg"",""Direct li"&amp;"nks Without Sizes!D2:D""),IMPORTRANGE(""1NK5L1mviMn0j3D3uo53ASkIZOFRlLnqaCTnwzOG2_Wg"",""Direct links Without Sizes!E2:E""))),"""")"),"")</f>
        <v/>
      </c>
      <c r="I193" s="4"/>
      <c r="J193" s="24" t="str">
        <f t="shared" si="1"/>
        <v/>
      </c>
      <c r="K193" s="25"/>
      <c r="L193" s="24" t="str">
        <f t="shared" si="2"/>
        <v/>
      </c>
      <c r="M193" s="4"/>
      <c r="N193" s="23"/>
      <c r="O193" s="23"/>
      <c r="P193" s="23"/>
      <c r="Q193" s="4" t="str">
        <f t="shared" si="4"/>
        <v/>
      </c>
      <c r="R193" s="20"/>
      <c r="S193" s="20"/>
    </row>
    <row r="194">
      <c r="A194" s="5"/>
      <c r="B194" s="5"/>
      <c r="C194" s="11"/>
      <c r="D194" s="7" t="str">
        <f>IFERROR(__xludf.DUMMYFUNCTION("iferror(iferror(INDEX(IMPORTRANGE(""12vtnxaE_Q1s4tyr10kZQx7ZF_xG0lBFae4jQEUtgsMU"",""All!B2:B""),MATCH($C194,IMPORTRANGE(""12vtnxaE_Q1s4tyr10kZQx7ZF_xG0lBFae4jQEUtgsMU"",""All!A2:A""),0)),INDEX(IMPORTRANGE(""13KC70HngS4DDi8y9E5khtSpQEPG6owaQ9z4E-tR5mnY"","&amp;"""Non-Food!B2:B""),MATCH($C194,IMPORTRANGE(""13KC70HngS4DDi8y9E5khtSpQEPG6owaQ9z4E-tR5mnY"",""Non-Food!A2:A""),0))),"""")"),"")</f>
        <v/>
      </c>
      <c r="E194" s="14"/>
      <c r="F194" s="29"/>
      <c r="G194" s="22"/>
      <c r="H194" s="23" t="str">
        <f>IFERROR(__xludf.DUMMYFUNCTION("iferror(iferror(iferror(index(IMPORTRANGE(""1NK5L1mviMn0j3D3uo53ASkIZOFRlLnqaCTnwzOG2_Wg"",""Direct Link!B2:B""),MATCH($C194,IMPORTRANGE(""1NK5L1mviMn0j3D3uo53ASkIZOFRlLnqaCTnwzOG2_Wg"",""Direct Link!A2:A""),0)),XLOOKUP($C194,IMPORTRANGE(""1NK5L1mviMn0j3D"&amp;"3uo53ASkIZOFRlLnqaCTnwzOG2_Wg"",""Direct links Without Sizes!A2:A""),IMPORTRANGE(""1NK5L1mviMn0j3D3uo53ASkIZOFRlLnqaCTnwzOG2_Wg"",""Direct links Without Sizes!B2:B""))),XLOOKUP($C194,IMPORTRANGE(""1NK5L1mviMn0j3D3uo53ASkIZOFRlLnqaCTnwzOG2_Wg"",""Direct li"&amp;"nks Without Sizes!D2:D""),IMPORTRANGE(""1NK5L1mviMn0j3D3uo53ASkIZOFRlLnqaCTnwzOG2_Wg"",""Direct links Without Sizes!E2:E""))),"""")"),"")</f>
        <v/>
      </c>
      <c r="I194" s="4"/>
      <c r="J194" s="24" t="str">
        <f t="shared" si="1"/>
        <v/>
      </c>
      <c r="K194" s="25"/>
      <c r="L194" s="24" t="str">
        <f t="shared" si="2"/>
        <v/>
      </c>
      <c r="M194" s="4"/>
      <c r="N194" s="23"/>
      <c r="O194" s="23"/>
      <c r="P194" s="23"/>
      <c r="Q194" s="4" t="str">
        <f t="shared" si="4"/>
        <v/>
      </c>
      <c r="R194" s="20"/>
      <c r="S194" s="20"/>
    </row>
    <row r="195">
      <c r="A195" s="5"/>
      <c r="B195" s="5"/>
      <c r="C195" s="11"/>
      <c r="D195" s="7" t="str">
        <f>IFERROR(__xludf.DUMMYFUNCTION("iferror(iferror(INDEX(IMPORTRANGE(""12vtnxaE_Q1s4tyr10kZQx7ZF_xG0lBFae4jQEUtgsMU"",""All!B2:B""),MATCH($C195,IMPORTRANGE(""12vtnxaE_Q1s4tyr10kZQx7ZF_xG0lBFae4jQEUtgsMU"",""All!A2:A""),0)),INDEX(IMPORTRANGE(""13KC70HngS4DDi8y9E5khtSpQEPG6owaQ9z4E-tR5mnY"","&amp;"""Non-Food!B2:B""),MATCH($C195,IMPORTRANGE(""13KC70HngS4DDi8y9E5khtSpQEPG6owaQ9z4E-tR5mnY"",""Non-Food!A2:A""),0))),"""")"),"")</f>
        <v/>
      </c>
      <c r="E195" s="14"/>
      <c r="F195" s="29"/>
      <c r="G195" s="22"/>
      <c r="H195" s="23" t="str">
        <f>IFERROR(__xludf.DUMMYFUNCTION("iferror(iferror(iferror(index(IMPORTRANGE(""1NK5L1mviMn0j3D3uo53ASkIZOFRlLnqaCTnwzOG2_Wg"",""Direct Link!B2:B""),MATCH($C195,IMPORTRANGE(""1NK5L1mviMn0j3D3uo53ASkIZOFRlLnqaCTnwzOG2_Wg"",""Direct Link!A2:A""),0)),XLOOKUP($C195,IMPORTRANGE(""1NK5L1mviMn0j3D"&amp;"3uo53ASkIZOFRlLnqaCTnwzOG2_Wg"",""Direct links Without Sizes!A2:A""),IMPORTRANGE(""1NK5L1mviMn0j3D3uo53ASkIZOFRlLnqaCTnwzOG2_Wg"",""Direct links Without Sizes!B2:B""))),XLOOKUP($C195,IMPORTRANGE(""1NK5L1mviMn0j3D3uo53ASkIZOFRlLnqaCTnwzOG2_Wg"",""Direct li"&amp;"nks Without Sizes!D2:D""),IMPORTRANGE(""1NK5L1mviMn0j3D3uo53ASkIZOFRlLnqaCTnwzOG2_Wg"",""Direct links Without Sizes!E2:E""))),"""")"),"")</f>
        <v/>
      </c>
      <c r="I195" s="4"/>
      <c r="J195" s="24" t="str">
        <f t="shared" si="1"/>
        <v/>
      </c>
      <c r="K195" s="25"/>
      <c r="L195" s="24" t="str">
        <f t="shared" si="2"/>
        <v/>
      </c>
      <c r="M195" s="4"/>
      <c r="N195" s="23"/>
      <c r="O195" s="23"/>
      <c r="P195" s="23"/>
      <c r="Q195" s="4" t="str">
        <f t="shared" si="4"/>
        <v/>
      </c>
      <c r="R195" s="20"/>
      <c r="S195" s="20"/>
    </row>
    <row r="196">
      <c r="A196" s="5"/>
      <c r="B196" s="5"/>
      <c r="C196" s="11"/>
      <c r="D196" s="7" t="str">
        <f>IFERROR(__xludf.DUMMYFUNCTION("iferror(iferror(INDEX(IMPORTRANGE(""12vtnxaE_Q1s4tyr10kZQx7ZF_xG0lBFae4jQEUtgsMU"",""All!B2:B""),MATCH($C196,IMPORTRANGE(""12vtnxaE_Q1s4tyr10kZQx7ZF_xG0lBFae4jQEUtgsMU"",""All!A2:A""),0)),INDEX(IMPORTRANGE(""13KC70HngS4DDi8y9E5khtSpQEPG6owaQ9z4E-tR5mnY"","&amp;"""Non-Food!B2:B""),MATCH($C196,IMPORTRANGE(""13KC70HngS4DDi8y9E5khtSpQEPG6owaQ9z4E-tR5mnY"",""Non-Food!A2:A""),0))),"""")"),"")</f>
        <v/>
      </c>
      <c r="E196" s="14"/>
      <c r="F196" s="29"/>
      <c r="G196" s="22"/>
      <c r="H196" s="23" t="str">
        <f>IFERROR(__xludf.DUMMYFUNCTION("iferror(iferror(iferror(index(IMPORTRANGE(""1NK5L1mviMn0j3D3uo53ASkIZOFRlLnqaCTnwzOG2_Wg"",""Direct Link!B2:B""),MATCH($C196,IMPORTRANGE(""1NK5L1mviMn0j3D3uo53ASkIZOFRlLnqaCTnwzOG2_Wg"",""Direct Link!A2:A""),0)),XLOOKUP($C196,IMPORTRANGE(""1NK5L1mviMn0j3D"&amp;"3uo53ASkIZOFRlLnqaCTnwzOG2_Wg"",""Direct links Without Sizes!A2:A""),IMPORTRANGE(""1NK5L1mviMn0j3D3uo53ASkIZOFRlLnqaCTnwzOG2_Wg"",""Direct links Without Sizes!B2:B""))),XLOOKUP($C196,IMPORTRANGE(""1NK5L1mviMn0j3D3uo53ASkIZOFRlLnqaCTnwzOG2_Wg"",""Direct li"&amp;"nks Without Sizes!D2:D""),IMPORTRANGE(""1NK5L1mviMn0j3D3uo53ASkIZOFRlLnqaCTnwzOG2_Wg"",""Direct links Without Sizes!E2:E""))),"""")"),"")</f>
        <v/>
      </c>
      <c r="I196" s="4"/>
      <c r="J196" s="24" t="str">
        <f t="shared" si="1"/>
        <v/>
      </c>
      <c r="K196" s="25"/>
      <c r="L196" s="24" t="str">
        <f t="shared" si="2"/>
        <v/>
      </c>
      <c r="M196" s="4"/>
      <c r="N196" s="23"/>
      <c r="O196" s="23"/>
      <c r="P196" s="23"/>
      <c r="Q196" s="4" t="str">
        <f t="shared" si="4"/>
        <v/>
      </c>
      <c r="R196" s="20"/>
      <c r="S196" s="20"/>
    </row>
    <row r="197">
      <c r="A197" s="5"/>
      <c r="B197" s="5"/>
      <c r="C197" s="11"/>
      <c r="D197" s="7" t="str">
        <f>IFERROR(__xludf.DUMMYFUNCTION("iferror(iferror(INDEX(IMPORTRANGE(""12vtnxaE_Q1s4tyr10kZQx7ZF_xG0lBFae4jQEUtgsMU"",""All!B2:B""),MATCH($C197,IMPORTRANGE(""12vtnxaE_Q1s4tyr10kZQx7ZF_xG0lBFae4jQEUtgsMU"",""All!A2:A""),0)),INDEX(IMPORTRANGE(""13KC70HngS4DDi8y9E5khtSpQEPG6owaQ9z4E-tR5mnY"","&amp;"""Non-Food!B2:B""),MATCH($C197,IMPORTRANGE(""13KC70HngS4DDi8y9E5khtSpQEPG6owaQ9z4E-tR5mnY"",""Non-Food!A2:A""),0))),"""")"),"")</f>
        <v/>
      </c>
      <c r="E197" s="15"/>
      <c r="F197" s="15"/>
      <c r="G197" s="22"/>
      <c r="H197" s="23" t="str">
        <f>IFERROR(__xludf.DUMMYFUNCTION("iferror(iferror(iferror(index(IMPORTRANGE(""1NK5L1mviMn0j3D3uo53ASkIZOFRlLnqaCTnwzOG2_Wg"",""Direct Link!B2:B""),MATCH($C197,IMPORTRANGE(""1NK5L1mviMn0j3D3uo53ASkIZOFRlLnqaCTnwzOG2_Wg"",""Direct Link!A2:A""),0)),XLOOKUP($C197,IMPORTRANGE(""1NK5L1mviMn0j3D"&amp;"3uo53ASkIZOFRlLnqaCTnwzOG2_Wg"",""Direct links Without Sizes!A2:A""),IMPORTRANGE(""1NK5L1mviMn0j3D3uo53ASkIZOFRlLnqaCTnwzOG2_Wg"",""Direct links Without Sizes!B2:B""))),XLOOKUP($C197,IMPORTRANGE(""1NK5L1mviMn0j3D3uo53ASkIZOFRlLnqaCTnwzOG2_Wg"",""Direct li"&amp;"nks Without Sizes!D2:D""),IMPORTRANGE(""1NK5L1mviMn0j3D3uo53ASkIZOFRlLnqaCTnwzOG2_Wg"",""Direct links Without Sizes!E2:E""))),"""")"),"")</f>
        <v/>
      </c>
      <c r="I197" s="4"/>
      <c r="J197" s="24" t="str">
        <f t="shared" si="1"/>
        <v/>
      </c>
      <c r="K197" s="25"/>
      <c r="L197" s="24" t="str">
        <f t="shared" si="2"/>
        <v/>
      </c>
      <c r="M197" s="4"/>
      <c r="N197" s="23"/>
      <c r="O197" s="23"/>
      <c r="P197" s="23"/>
      <c r="Q197" s="4" t="str">
        <f t="shared" si="4"/>
        <v/>
      </c>
      <c r="R197" s="20"/>
      <c r="S197" s="20"/>
    </row>
    <row r="198">
      <c r="A198" s="5"/>
      <c r="B198" s="5"/>
      <c r="C198" s="11"/>
      <c r="D198" s="7" t="str">
        <f>IFERROR(__xludf.DUMMYFUNCTION("iferror(iferror(INDEX(IMPORTRANGE(""12vtnxaE_Q1s4tyr10kZQx7ZF_xG0lBFae4jQEUtgsMU"",""All!B2:B""),MATCH($C198,IMPORTRANGE(""12vtnxaE_Q1s4tyr10kZQx7ZF_xG0lBFae4jQEUtgsMU"",""All!A2:A""),0)),INDEX(IMPORTRANGE(""13KC70HngS4DDi8y9E5khtSpQEPG6owaQ9z4E-tR5mnY"","&amp;"""Non-Food!B2:B""),MATCH($C198,IMPORTRANGE(""13KC70HngS4DDi8y9E5khtSpQEPG6owaQ9z4E-tR5mnY"",""Non-Food!A2:A""),0))),"""")"),"")</f>
        <v/>
      </c>
      <c r="E198" s="15"/>
      <c r="F198" s="15"/>
      <c r="G198" s="22"/>
      <c r="H198" s="23" t="str">
        <f>IFERROR(__xludf.DUMMYFUNCTION("iferror(iferror(iferror(index(IMPORTRANGE(""1NK5L1mviMn0j3D3uo53ASkIZOFRlLnqaCTnwzOG2_Wg"",""Direct Link!B2:B""),MATCH($C198,IMPORTRANGE(""1NK5L1mviMn0j3D3uo53ASkIZOFRlLnqaCTnwzOG2_Wg"",""Direct Link!A2:A""),0)),XLOOKUP($C198,IMPORTRANGE(""1NK5L1mviMn0j3D"&amp;"3uo53ASkIZOFRlLnqaCTnwzOG2_Wg"",""Direct links Without Sizes!A2:A""),IMPORTRANGE(""1NK5L1mviMn0j3D3uo53ASkIZOFRlLnqaCTnwzOG2_Wg"",""Direct links Without Sizes!B2:B""))),XLOOKUP($C198,IMPORTRANGE(""1NK5L1mviMn0j3D3uo53ASkIZOFRlLnqaCTnwzOG2_Wg"",""Direct li"&amp;"nks Without Sizes!D2:D""),IMPORTRANGE(""1NK5L1mviMn0j3D3uo53ASkIZOFRlLnqaCTnwzOG2_Wg"",""Direct links Without Sizes!E2:E""))),"""")"),"")</f>
        <v/>
      </c>
      <c r="I198" s="4"/>
      <c r="J198" s="24" t="str">
        <f t="shared" si="1"/>
        <v/>
      </c>
      <c r="K198" s="25"/>
      <c r="L198" s="24" t="str">
        <f t="shared" si="2"/>
        <v/>
      </c>
      <c r="M198" s="4"/>
      <c r="N198" s="23"/>
      <c r="O198" s="23"/>
      <c r="P198" s="23"/>
      <c r="Q198" s="4" t="str">
        <f t="shared" si="4"/>
        <v/>
      </c>
      <c r="R198" s="20"/>
      <c r="S198" s="20"/>
    </row>
    <row r="199">
      <c r="A199" s="5"/>
      <c r="B199" s="5"/>
      <c r="C199" s="11"/>
      <c r="D199" s="7" t="str">
        <f>IFERROR(__xludf.DUMMYFUNCTION("iferror(iferror(INDEX(IMPORTRANGE(""12vtnxaE_Q1s4tyr10kZQx7ZF_xG0lBFae4jQEUtgsMU"",""All!B2:B""),MATCH($C199,IMPORTRANGE(""12vtnxaE_Q1s4tyr10kZQx7ZF_xG0lBFae4jQEUtgsMU"",""All!A2:A""),0)),INDEX(IMPORTRANGE(""13KC70HngS4DDi8y9E5khtSpQEPG6owaQ9z4E-tR5mnY"","&amp;"""Non-Food!B2:B""),MATCH($C199,IMPORTRANGE(""13KC70HngS4DDi8y9E5khtSpQEPG6owaQ9z4E-tR5mnY"",""Non-Food!A2:A""),0))),"""")"),"")</f>
        <v/>
      </c>
      <c r="E199" s="15"/>
      <c r="F199" s="15"/>
      <c r="G199" s="22"/>
      <c r="H199" s="23" t="str">
        <f>IFERROR(__xludf.DUMMYFUNCTION("iferror(iferror(iferror(index(IMPORTRANGE(""1NK5L1mviMn0j3D3uo53ASkIZOFRlLnqaCTnwzOG2_Wg"",""Direct Link!B2:B""),MATCH($C199,IMPORTRANGE(""1NK5L1mviMn0j3D3uo53ASkIZOFRlLnqaCTnwzOG2_Wg"",""Direct Link!A2:A""),0)),XLOOKUP($C199,IMPORTRANGE(""1NK5L1mviMn0j3D"&amp;"3uo53ASkIZOFRlLnqaCTnwzOG2_Wg"",""Direct links Without Sizes!A2:A""),IMPORTRANGE(""1NK5L1mviMn0j3D3uo53ASkIZOFRlLnqaCTnwzOG2_Wg"",""Direct links Without Sizes!B2:B""))),XLOOKUP($C199,IMPORTRANGE(""1NK5L1mviMn0j3D3uo53ASkIZOFRlLnqaCTnwzOG2_Wg"",""Direct li"&amp;"nks Without Sizes!D2:D""),IMPORTRANGE(""1NK5L1mviMn0j3D3uo53ASkIZOFRlLnqaCTnwzOG2_Wg"",""Direct links Without Sizes!E2:E""))),"""")"),"")</f>
        <v/>
      </c>
      <c r="I199" s="4"/>
      <c r="J199" s="24" t="str">
        <f t="shared" si="1"/>
        <v/>
      </c>
      <c r="K199" s="25"/>
      <c r="L199" s="24" t="str">
        <f t="shared" si="2"/>
        <v/>
      </c>
      <c r="M199" s="4"/>
      <c r="N199" s="23"/>
      <c r="O199" s="23"/>
      <c r="P199" s="23"/>
      <c r="Q199" s="4" t="str">
        <f t="shared" si="4"/>
        <v/>
      </c>
      <c r="R199" s="20"/>
      <c r="S199" s="20"/>
    </row>
    <row r="200">
      <c r="A200" s="5"/>
      <c r="B200" s="5"/>
      <c r="C200" s="11"/>
      <c r="D200" s="7" t="str">
        <f>IFERROR(__xludf.DUMMYFUNCTION("iferror(iferror(INDEX(IMPORTRANGE(""12vtnxaE_Q1s4tyr10kZQx7ZF_xG0lBFae4jQEUtgsMU"",""All!B2:B""),MATCH($C200,IMPORTRANGE(""12vtnxaE_Q1s4tyr10kZQx7ZF_xG0lBFae4jQEUtgsMU"",""All!A2:A""),0)),INDEX(IMPORTRANGE(""13KC70HngS4DDi8y9E5khtSpQEPG6owaQ9z4E-tR5mnY"","&amp;"""Non-Food!B2:B""),MATCH($C200,IMPORTRANGE(""13KC70HngS4DDi8y9E5khtSpQEPG6owaQ9z4E-tR5mnY"",""Non-Food!A2:A""),0))),"""")"),"")</f>
        <v/>
      </c>
      <c r="E200" s="15"/>
      <c r="F200" s="15"/>
      <c r="G200" s="22"/>
      <c r="H200" s="23" t="str">
        <f>IFERROR(__xludf.DUMMYFUNCTION("iferror(iferror(iferror(index(IMPORTRANGE(""1NK5L1mviMn0j3D3uo53ASkIZOFRlLnqaCTnwzOG2_Wg"",""Direct Link!B2:B""),MATCH($C200,IMPORTRANGE(""1NK5L1mviMn0j3D3uo53ASkIZOFRlLnqaCTnwzOG2_Wg"",""Direct Link!A2:A""),0)),XLOOKUP($C200,IMPORTRANGE(""1NK5L1mviMn0j3D"&amp;"3uo53ASkIZOFRlLnqaCTnwzOG2_Wg"",""Direct links Without Sizes!A2:A""),IMPORTRANGE(""1NK5L1mviMn0j3D3uo53ASkIZOFRlLnqaCTnwzOG2_Wg"",""Direct links Without Sizes!B2:B""))),XLOOKUP($C200,IMPORTRANGE(""1NK5L1mviMn0j3D3uo53ASkIZOFRlLnqaCTnwzOG2_Wg"",""Direct li"&amp;"nks Without Sizes!D2:D""),IMPORTRANGE(""1NK5L1mviMn0j3D3uo53ASkIZOFRlLnqaCTnwzOG2_Wg"",""Direct links Without Sizes!E2:E""))),"""")"),"")</f>
        <v/>
      </c>
      <c r="I200" s="4"/>
      <c r="J200" s="24" t="str">
        <f t="shared" si="1"/>
        <v/>
      </c>
      <c r="K200" s="25"/>
      <c r="L200" s="24" t="str">
        <f t="shared" si="2"/>
        <v/>
      </c>
      <c r="M200" s="4"/>
      <c r="N200" s="23"/>
      <c r="O200" s="23"/>
      <c r="P200" s="23"/>
      <c r="Q200" s="4" t="str">
        <f t="shared" si="4"/>
        <v/>
      </c>
      <c r="R200" s="20"/>
      <c r="S200" s="20"/>
    </row>
    <row r="201">
      <c r="A201" s="5"/>
      <c r="B201" s="5"/>
      <c r="C201" s="11"/>
      <c r="D201" s="7" t="str">
        <f>IFERROR(__xludf.DUMMYFUNCTION("iferror(iferror(INDEX(IMPORTRANGE(""12vtnxaE_Q1s4tyr10kZQx7ZF_xG0lBFae4jQEUtgsMU"",""All!B2:B""),MATCH($C201,IMPORTRANGE(""12vtnxaE_Q1s4tyr10kZQx7ZF_xG0lBFae4jQEUtgsMU"",""All!A2:A""),0)),INDEX(IMPORTRANGE(""13KC70HngS4DDi8y9E5khtSpQEPG6owaQ9z4E-tR5mnY"","&amp;"""Non-Food!B2:B""),MATCH($C201,IMPORTRANGE(""13KC70HngS4DDi8y9E5khtSpQEPG6owaQ9z4E-tR5mnY"",""Non-Food!A2:A""),0))),"""")"),"")</f>
        <v/>
      </c>
      <c r="E201" s="15"/>
      <c r="F201" s="15"/>
      <c r="G201" s="22"/>
      <c r="H201" s="23" t="str">
        <f>IFERROR(__xludf.DUMMYFUNCTION("iferror(iferror(iferror(index(IMPORTRANGE(""1NK5L1mviMn0j3D3uo53ASkIZOFRlLnqaCTnwzOG2_Wg"",""Direct Link!B2:B""),MATCH($C201,IMPORTRANGE(""1NK5L1mviMn0j3D3uo53ASkIZOFRlLnqaCTnwzOG2_Wg"",""Direct Link!A2:A""),0)),XLOOKUP($C201,IMPORTRANGE(""1NK5L1mviMn0j3D"&amp;"3uo53ASkIZOFRlLnqaCTnwzOG2_Wg"",""Direct links Without Sizes!A2:A""),IMPORTRANGE(""1NK5L1mviMn0j3D3uo53ASkIZOFRlLnqaCTnwzOG2_Wg"",""Direct links Without Sizes!B2:B""))),XLOOKUP($C201,IMPORTRANGE(""1NK5L1mviMn0j3D3uo53ASkIZOFRlLnqaCTnwzOG2_Wg"",""Direct li"&amp;"nks Without Sizes!D2:D""),IMPORTRANGE(""1NK5L1mviMn0j3D3uo53ASkIZOFRlLnqaCTnwzOG2_Wg"",""Direct links Without Sizes!E2:E""))),"""")"),"")</f>
        <v/>
      </c>
      <c r="I201" s="5"/>
      <c r="J201" s="24" t="str">
        <f t="shared" si="1"/>
        <v/>
      </c>
      <c r="K201" s="25"/>
      <c r="L201" s="24" t="str">
        <f t="shared" si="2"/>
        <v/>
      </c>
      <c r="M201" s="4"/>
      <c r="N201" s="23"/>
      <c r="O201" s="23"/>
      <c r="P201" s="23"/>
      <c r="Q201" s="4" t="str">
        <f t="shared" si="4"/>
        <v/>
      </c>
      <c r="R201" s="20"/>
      <c r="S201" s="20"/>
    </row>
    <row r="202">
      <c r="A202" s="5"/>
      <c r="B202" s="5"/>
      <c r="C202" s="11"/>
      <c r="D202" s="7" t="str">
        <f>IFERROR(__xludf.DUMMYFUNCTION("iferror(iferror(INDEX(IMPORTRANGE(""12vtnxaE_Q1s4tyr10kZQx7ZF_xG0lBFae4jQEUtgsMU"",""All!B2:B""),MATCH($C202,IMPORTRANGE(""12vtnxaE_Q1s4tyr10kZQx7ZF_xG0lBFae4jQEUtgsMU"",""All!A2:A""),0)),INDEX(IMPORTRANGE(""13KC70HngS4DDi8y9E5khtSpQEPG6owaQ9z4E-tR5mnY"","&amp;"""Non-Food!B2:B""),MATCH($C202,IMPORTRANGE(""13KC70HngS4DDi8y9E5khtSpQEPG6owaQ9z4E-tR5mnY"",""Non-Food!A2:A""),0))),"""")"),"")</f>
        <v/>
      </c>
      <c r="E202" s="15"/>
      <c r="F202" s="15"/>
      <c r="G202" s="22"/>
      <c r="H202" s="23" t="str">
        <f>IFERROR(__xludf.DUMMYFUNCTION("iferror(iferror(iferror(index(IMPORTRANGE(""1NK5L1mviMn0j3D3uo53ASkIZOFRlLnqaCTnwzOG2_Wg"",""Direct Link!B2:B""),MATCH($C202,IMPORTRANGE(""1NK5L1mviMn0j3D3uo53ASkIZOFRlLnqaCTnwzOG2_Wg"",""Direct Link!A2:A""),0)),XLOOKUP($C202,IMPORTRANGE(""1NK5L1mviMn0j3D"&amp;"3uo53ASkIZOFRlLnqaCTnwzOG2_Wg"",""Direct links Without Sizes!A2:A""),IMPORTRANGE(""1NK5L1mviMn0j3D3uo53ASkIZOFRlLnqaCTnwzOG2_Wg"",""Direct links Without Sizes!B2:B""))),XLOOKUP($C202,IMPORTRANGE(""1NK5L1mviMn0j3D3uo53ASkIZOFRlLnqaCTnwzOG2_Wg"",""Direct li"&amp;"nks Without Sizes!D2:D""),IMPORTRANGE(""1NK5L1mviMn0j3D3uo53ASkIZOFRlLnqaCTnwzOG2_Wg"",""Direct links Without Sizes!E2:E""))),"""")"),"")</f>
        <v/>
      </c>
      <c r="I202" s="4"/>
      <c r="J202" s="24" t="str">
        <f t="shared" si="1"/>
        <v/>
      </c>
      <c r="K202" s="25"/>
      <c r="L202" s="24" t="str">
        <f t="shared" si="2"/>
        <v/>
      </c>
      <c r="M202" s="4"/>
      <c r="N202" s="23"/>
      <c r="O202" s="23"/>
      <c r="P202" s="23"/>
      <c r="Q202" s="4" t="str">
        <f t="shared" si="4"/>
        <v/>
      </c>
      <c r="R202" s="20"/>
      <c r="S202" s="20"/>
    </row>
    <row r="203">
      <c r="A203" s="5"/>
      <c r="B203" s="5"/>
      <c r="C203" s="11"/>
      <c r="D203" s="7" t="str">
        <f>IFERROR(__xludf.DUMMYFUNCTION("iferror(iferror(INDEX(IMPORTRANGE(""12vtnxaE_Q1s4tyr10kZQx7ZF_xG0lBFae4jQEUtgsMU"",""All!B2:B""),MATCH($C203,IMPORTRANGE(""12vtnxaE_Q1s4tyr10kZQx7ZF_xG0lBFae4jQEUtgsMU"",""All!A2:A""),0)),INDEX(IMPORTRANGE(""13KC70HngS4DDi8y9E5khtSpQEPG6owaQ9z4E-tR5mnY"","&amp;"""Non-Food!B2:B""),MATCH($C203,IMPORTRANGE(""13KC70HngS4DDi8y9E5khtSpQEPG6owaQ9z4E-tR5mnY"",""Non-Food!A2:A""),0))),"""")"),"")</f>
        <v/>
      </c>
      <c r="E203" s="15"/>
      <c r="F203" s="15"/>
      <c r="G203" s="22"/>
      <c r="H203" s="23" t="str">
        <f>IFERROR(__xludf.DUMMYFUNCTION("iferror(iferror(iferror(index(IMPORTRANGE(""1NK5L1mviMn0j3D3uo53ASkIZOFRlLnqaCTnwzOG2_Wg"",""Direct Link!B2:B""),MATCH($C203,IMPORTRANGE(""1NK5L1mviMn0j3D3uo53ASkIZOFRlLnqaCTnwzOG2_Wg"",""Direct Link!A2:A""),0)),XLOOKUP($C203,IMPORTRANGE(""1NK5L1mviMn0j3D"&amp;"3uo53ASkIZOFRlLnqaCTnwzOG2_Wg"",""Direct links Without Sizes!A2:A""),IMPORTRANGE(""1NK5L1mviMn0j3D3uo53ASkIZOFRlLnqaCTnwzOG2_Wg"",""Direct links Without Sizes!B2:B""))),XLOOKUP($C203,IMPORTRANGE(""1NK5L1mviMn0j3D3uo53ASkIZOFRlLnqaCTnwzOG2_Wg"",""Direct li"&amp;"nks Without Sizes!D2:D""),IMPORTRANGE(""1NK5L1mviMn0j3D3uo53ASkIZOFRlLnqaCTnwzOG2_Wg"",""Direct links Without Sizes!E2:E""))),"""")"),"")</f>
        <v/>
      </c>
      <c r="I203" s="4"/>
      <c r="J203" s="24" t="str">
        <f t="shared" si="1"/>
        <v/>
      </c>
      <c r="K203" s="25"/>
      <c r="L203" s="24" t="str">
        <f t="shared" si="2"/>
        <v/>
      </c>
      <c r="M203" s="4"/>
      <c r="N203" s="23"/>
      <c r="O203" s="23"/>
      <c r="P203" s="23"/>
      <c r="Q203" s="4" t="str">
        <f t="shared" si="4"/>
        <v/>
      </c>
      <c r="R203" s="20"/>
      <c r="S203" s="20"/>
    </row>
    <row r="204">
      <c r="A204" s="5"/>
      <c r="B204" s="5"/>
      <c r="C204" s="11"/>
      <c r="D204" s="7" t="str">
        <f>IFERROR(__xludf.DUMMYFUNCTION("iferror(iferror(INDEX(IMPORTRANGE(""12vtnxaE_Q1s4tyr10kZQx7ZF_xG0lBFae4jQEUtgsMU"",""All!B2:B""),MATCH($C204,IMPORTRANGE(""12vtnxaE_Q1s4tyr10kZQx7ZF_xG0lBFae4jQEUtgsMU"",""All!A2:A""),0)),INDEX(IMPORTRANGE(""13KC70HngS4DDi8y9E5khtSpQEPG6owaQ9z4E-tR5mnY"","&amp;"""Non-Food!B2:B""),MATCH($C204,IMPORTRANGE(""13KC70HngS4DDi8y9E5khtSpQEPG6owaQ9z4E-tR5mnY"",""Non-Food!A2:A""),0))),"""")"),"")</f>
        <v/>
      </c>
      <c r="E204" s="15"/>
      <c r="F204" s="15"/>
      <c r="G204" s="22"/>
      <c r="H204" s="23" t="str">
        <f>IFERROR(__xludf.DUMMYFUNCTION("iferror(iferror(iferror(index(IMPORTRANGE(""1NK5L1mviMn0j3D3uo53ASkIZOFRlLnqaCTnwzOG2_Wg"",""Direct Link!B2:B""),MATCH($C204,IMPORTRANGE(""1NK5L1mviMn0j3D3uo53ASkIZOFRlLnqaCTnwzOG2_Wg"",""Direct Link!A2:A""),0)),XLOOKUP($C204,IMPORTRANGE(""1NK5L1mviMn0j3D"&amp;"3uo53ASkIZOFRlLnqaCTnwzOG2_Wg"",""Direct links Without Sizes!A2:A""),IMPORTRANGE(""1NK5L1mviMn0j3D3uo53ASkIZOFRlLnqaCTnwzOG2_Wg"",""Direct links Without Sizes!B2:B""))),XLOOKUP($C204,IMPORTRANGE(""1NK5L1mviMn0j3D3uo53ASkIZOFRlLnqaCTnwzOG2_Wg"",""Direct li"&amp;"nks Without Sizes!D2:D""),IMPORTRANGE(""1NK5L1mviMn0j3D3uo53ASkIZOFRlLnqaCTnwzOG2_Wg"",""Direct links Without Sizes!E2:E""))),"""")"),"")</f>
        <v/>
      </c>
      <c r="I204" s="4"/>
      <c r="J204" s="24" t="str">
        <f t="shared" si="1"/>
        <v/>
      </c>
      <c r="K204" s="25"/>
      <c r="L204" s="24" t="str">
        <f t="shared" si="2"/>
        <v/>
      </c>
      <c r="M204" s="4"/>
      <c r="N204" s="23"/>
      <c r="O204" s="23"/>
      <c r="P204" s="23"/>
      <c r="Q204" s="4" t="str">
        <f t="shared" si="4"/>
        <v/>
      </c>
      <c r="R204" s="20"/>
      <c r="S204" s="20"/>
    </row>
    <row r="205">
      <c r="A205" s="5"/>
      <c r="B205" s="5"/>
      <c r="C205" s="11"/>
      <c r="D205" s="7" t="str">
        <f>IFERROR(__xludf.DUMMYFUNCTION("iferror(iferror(INDEX(IMPORTRANGE(""12vtnxaE_Q1s4tyr10kZQx7ZF_xG0lBFae4jQEUtgsMU"",""All!B2:B""),MATCH($C205,IMPORTRANGE(""12vtnxaE_Q1s4tyr10kZQx7ZF_xG0lBFae4jQEUtgsMU"",""All!A2:A""),0)),INDEX(IMPORTRANGE(""13KC70HngS4DDi8y9E5khtSpQEPG6owaQ9z4E-tR5mnY"","&amp;"""Non-Food!B2:B""),MATCH($C205,IMPORTRANGE(""13KC70HngS4DDi8y9E5khtSpQEPG6owaQ9z4E-tR5mnY"",""Non-Food!A2:A""),0))),"""")"),"")</f>
        <v/>
      </c>
      <c r="E205" s="15"/>
      <c r="F205" s="15"/>
      <c r="G205" s="22"/>
      <c r="H205" s="23" t="str">
        <f>IFERROR(__xludf.DUMMYFUNCTION("iferror(iferror(iferror(index(IMPORTRANGE(""1NK5L1mviMn0j3D3uo53ASkIZOFRlLnqaCTnwzOG2_Wg"",""Direct Link!B2:B""),MATCH($C205,IMPORTRANGE(""1NK5L1mviMn0j3D3uo53ASkIZOFRlLnqaCTnwzOG2_Wg"",""Direct Link!A2:A""),0)),XLOOKUP($C205,IMPORTRANGE(""1NK5L1mviMn0j3D"&amp;"3uo53ASkIZOFRlLnqaCTnwzOG2_Wg"",""Direct links Without Sizes!A2:A""),IMPORTRANGE(""1NK5L1mviMn0j3D3uo53ASkIZOFRlLnqaCTnwzOG2_Wg"",""Direct links Without Sizes!B2:B""))),XLOOKUP($C205,IMPORTRANGE(""1NK5L1mviMn0j3D3uo53ASkIZOFRlLnqaCTnwzOG2_Wg"",""Direct li"&amp;"nks Without Sizes!D2:D""),IMPORTRANGE(""1NK5L1mviMn0j3D3uo53ASkIZOFRlLnqaCTnwzOG2_Wg"",""Direct links Without Sizes!E2:E""))),"""")"),"")</f>
        <v/>
      </c>
      <c r="I205" s="4"/>
      <c r="J205" s="24" t="str">
        <f t="shared" si="1"/>
        <v/>
      </c>
      <c r="K205" s="25"/>
      <c r="L205" s="24" t="str">
        <f t="shared" si="2"/>
        <v/>
      </c>
      <c r="M205" s="4"/>
      <c r="N205" s="23"/>
      <c r="O205" s="23"/>
      <c r="P205" s="23"/>
      <c r="Q205" s="4" t="str">
        <f t="shared" si="4"/>
        <v/>
      </c>
      <c r="R205" s="20"/>
      <c r="S205" s="20"/>
    </row>
    <row r="206">
      <c r="A206" s="5"/>
      <c r="B206" s="5"/>
      <c r="C206" s="11"/>
      <c r="D206" s="7" t="str">
        <f>IFERROR(__xludf.DUMMYFUNCTION("iferror(iferror(INDEX(IMPORTRANGE(""12vtnxaE_Q1s4tyr10kZQx7ZF_xG0lBFae4jQEUtgsMU"",""All!B2:B""),MATCH($C206,IMPORTRANGE(""12vtnxaE_Q1s4tyr10kZQx7ZF_xG0lBFae4jQEUtgsMU"",""All!A2:A""),0)),INDEX(IMPORTRANGE(""13KC70HngS4DDi8y9E5khtSpQEPG6owaQ9z4E-tR5mnY"","&amp;"""Non-Food!B2:B""),MATCH($C206,IMPORTRANGE(""13KC70HngS4DDi8y9E5khtSpQEPG6owaQ9z4E-tR5mnY"",""Non-Food!A2:A""),0))),"""")"),"")</f>
        <v/>
      </c>
      <c r="E206" s="15"/>
      <c r="F206" s="15"/>
      <c r="G206" s="22"/>
      <c r="H206" s="23" t="str">
        <f>IFERROR(__xludf.DUMMYFUNCTION("iferror(iferror(iferror(index(IMPORTRANGE(""1NK5L1mviMn0j3D3uo53ASkIZOFRlLnqaCTnwzOG2_Wg"",""Direct Link!B2:B""),MATCH($C206,IMPORTRANGE(""1NK5L1mviMn0j3D3uo53ASkIZOFRlLnqaCTnwzOG2_Wg"",""Direct Link!A2:A""),0)),XLOOKUP($C206,IMPORTRANGE(""1NK5L1mviMn0j3D"&amp;"3uo53ASkIZOFRlLnqaCTnwzOG2_Wg"",""Direct links Without Sizes!A2:A""),IMPORTRANGE(""1NK5L1mviMn0j3D3uo53ASkIZOFRlLnqaCTnwzOG2_Wg"",""Direct links Without Sizes!B2:B""))),XLOOKUP($C206,IMPORTRANGE(""1NK5L1mviMn0j3D3uo53ASkIZOFRlLnqaCTnwzOG2_Wg"",""Direct li"&amp;"nks Without Sizes!D2:D""),IMPORTRANGE(""1NK5L1mviMn0j3D3uo53ASkIZOFRlLnqaCTnwzOG2_Wg"",""Direct links Without Sizes!E2:E""))),"""")"),"")</f>
        <v/>
      </c>
      <c r="I206" s="4"/>
      <c r="J206" s="24" t="str">
        <f t="shared" si="1"/>
        <v/>
      </c>
      <c r="K206" s="25"/>
      <c r="L206" s="24" t="str">
        <f t="shared" si="2"/>
        <v/>
      </c>
      <c r="M206" s="4"/>
      <c r="N206" s="23"/>
      <c r="O206" s="23"/>
      <c r="P206" s="23"/>
      <c r="Q206" s="4" t="str">
        <f t="shared" si="4"/>
        <v/>
      </c>
      <c r="R206" s="20"/>
      <c r="S206" s="20"/>
    </row>
    <row r="207">
      <c r="A207" s="5"/>
      <c r="B207" s="5"/>
      <c r="C207" s="11"/>
      <c r="D207" s="7" t="str">
        <f>IFERROR(__xludf.DUMMYFUNCTION("iferror(iferror(INDEX(IMPORTRANGE(""12vtnxaE_Q1s4tyr10kZQx7ZF_xG0lBFae4jQEUtgsMU"",""All!B2:B""),MATCH($C207,IMPORTRANGE(""12vtnxaE_Q1s4tyr10kZQx7ZF_xG0lBFae4jQEUtgsMU"",""All!A2:A""),0)),INDEX(IMPORTRANGE(""13KC70HngS4DDi8y9E5khtSpQEPG6owaQ9z4E-tR5mnY"","&amp;"""Non-Food!B2:B""),MATCH($C207,IMPORTRANGE(""13KC70HngS4DDi8y9E5khtSpQEPG6owaQ9z4E-tR5mnY"",""Non-Food!A2:A""),0))),"""")"),"")</f>
        <v/>
      </c>
      <c r="E207" s="15"/>
      <c r="F207" s="15"/>
      <c r="G207" s="22"/>
      <c r="H207" s="23" t="str">
        <f>IFERROR(__xludf.DUMMYFUNCTION("iferror(iferror(iferror(index(IMPORTRANGE(""1NK5L1mviMn0j3D3uo53ASkIZOFRlLnqaCTnwzOG2_Wg"",""Direct Link!B2:B""),MATCH($C207,IMPORTRANGE(""1NK5L1mviMn0j3D3uo53ASkIZOFRlLnqaCTnwzOG2_Wg"",""Direct Link!A2:A""),0)),XLOOKUP($C207,IMPORTRANGE(""1NK5L1mviMn0j3D"&amp;"3uo53ASkIZOFRlLnqaCTnwzOG2_Wg"",""Direct links Without Sizes!A2:A""),IMPORTRANGE(""1NK5L1mviMn0j3D3uo53ASkIZOFRlLnqaCTnwzOG2_Wg"",""Direct links Without Sizes!B2:B""))),XLOOKUP($C207,IMPORTRANGE(""1NK5L1mviMn0j3D3uo53ASkIZOFRlLnqaCTnwzOG2_Wg"",""Direct li"&amp;"nks Without Sizes!D2:D""),IMPORTRANGE(""1NK5L1mviMn0j3D3uo53ASkIZOFRlLnqaCTnwzOG2_Wg"",""Direct links Without Sizes!E2:E""))),"""")"),"")</f>
        <v/>
      </c>
      <c r="I207" s="4"/>
      <c r="J207" s="24" t="str">
        <f t="shared" si="1"/>
        <v/>
      </c>
      <c r="K207" s="25"/>
      <c r="L207" s="24" t="str">
        <f t="shared" si="2"/>
        <v/>
      </c>
      <c r="M207" s="4"/>
      <c r="N207" s="23"/>
      <c r="O207" s="23"/>
      <c r="P207" s="23"/>
      <c r="Q207" s="4" t="str">
        <f t="shared" si="4"/>
        <v/>
      </c>
      <c r="R207" s="20"/>
      <c r="S207" s="20"/>
    </row>
    <row r="208">
      <c r="A208" s="5"/>
      <c r="B208" s="5"/>
      <c r="C208" s="11"/>
      <c r="D208" s="7" t="str">
        <f>IFERROR(__xludf.DUMMYFUNCTION("iferror(iferror(INDEX(IMPORTRANGE(""12vtnxaE_Q1s4tyr10kZQx7ZF_xG0lBFae4jQEUtgsMU"",""All!B2:B""),MATCH($C208,IMPORTRANGE(""12vtnxaE_Q1s4tyr10kZQx7ZF_xG0lBFae4jQEUtgsMU"",""All!A2:A""),0)),INDEX(IMPORTRANGE(""13KC70HngS4DDi8y9E5khtSpQEPG6owaQ9z4E-tR5mnY"","&amp;"""Non-Food!B2:B""),MATCH($C208,IMPORTRANGE(""13KC70HngS4DDi8y9E5khtSpQEPG6owaQ9z4E-tR5mnY"",""Non-Food!A2:A""),0))),"""")"),"")</f>
        <v/>
      </c>
      <c r="E208" s="15"/>
      <c r="F208" s="15"/>
      <c r="G208" s="22"/>
      <c r="H208" s="23" t="str">
        <f>IFERROR(__xludf.DUMMYFUNCTION("iferror(iferror(iferror(index(IMPORTRANGE(""1NK5L1mviMn0j3D3uo53ASkIZOFRlLnqaCTnwzOG2_Wg"",""Direct Link!B2:B""),MATCH($C208,IMPORTRANGE(""1NK5L1mviMn0j3D3uo53ASkIZOFRlLnqaCTnwzOG2_Wg"",""Direct Link!A2:A""),0)),XLOOKUP($C208,IMPORTRANGE(""1NK5L1mviMn0j3D"&amp;"3uo53ASkIZOFRlLnqaCTnwzOG2_Wg"",""Direct links Without Sizes!A2:A""),IMPORTRANGE(""1NK5L1mviMn0j3D3uo53ASkIZOFRlLnqaCTnwzOG2_Wg"",""Direct links Without Sizes!B2:B""))),XLOOKUP($C208,IMPORTRANGE(""1NK5L1mviMn0j3D3uo53ASkIZOFRlLnqaCTnwzOG2_Wg"",""Direct li"&amp;"nks Without Sizes!D2:D""),IMPORTRANGE(""1NK5L1mviMn0j3D3uo53ASkIZOFRlLnqaCTnwzOG2_Wg"",""Direct links Without Sizes!E2:E""))),"""")"),"")</f>
        <v/>
      </c>
      <c r="I208" s="4"/>
      <c r="J208" s="24" t="str">
        <f t="shared" si="1"/>
        <v/>
      </c>
      <c r="K208" s="25"/>
      <c r="L208" s="24" t="str">
        <f t="shared" si="2"/>
        <v/>
      </c>
      <c r="M208" s="4"/>
      <c r="N208" s="23"/>
      <c r="O208" s="23"/>
      <c r="P208" s="23"/>
      <c r="Q208" s="4" t="str">
        <f t="shared" si="4"/>
        <v/>
      </c>
      <c r="R208" s="20"/>
      <c r="S208" s="20"/>
    </row>
    <row r="209">
      <c r="A209" s="5"/>
      <c r="B209" s="5"/>
      <c r="C209" s="11"/>
      <c r="D209" s="7" t="str">
        <f>IFERROR(__xludf.DUMMYFUNCTION("iferror(iferror(INDEX(IMPORTRANGE(""12vtnxaE_Q1s4tyr10kZQx7ZF_xG0lBFae4jQEUtgsMU"",""All!B2:B""),MATCH($C209,IMPORTRANGE(""12vtnxaE_Q1s4tyr10kZQx7ZF_xG0lBFae4jQEUtgsMU"",""All!A2:A""),0)),INDEX(IMPORTRANGE(""13KC70HngS4DDi8y9E5khtSpQEPG6owaQ9z4E-tR5mnY"","&amp;"""Non-Food!B2:B""),MATCH($C209,IMPORTRANGE(""13KC70HngS4DDi8y9E5khtSpQEPG6owaQ9z4E-tR5mnY"",""Non-Food!A2:A""),0))),"""")"),"")</f>
        <v/>
      </c>
      <c r="E209" s="15"/>
      <c r="F209" s="15"/>
      <c r="G209" s="22"/>
      <c r="H209" s="23" t="str">
        <f>IFERROR(__xludf.DUMMYFUNCTION("iferror(iferror(iferror(index(IMPORTRANGE(""1NK5L1mviMn0j3D3uo53ASkIZOFRlLnqaCTnwzOG2_Wg"",""Direct Link!B2:B""),MATCH($C209,IMPORTRANGE(""1NK5L1mviMn0j3D3uo53ASkIZOFRlLnqaCTnwzOG2_Wg"",""Direct Link!A2:A""),0)),XLOOKUP($C209,IMPORTRANGE(""1NK5L1mviMn0j3D"&amp;"3uo53ASkIZOFRlLnqaCTnwzOG2_Wg"",""Direct links Without Sizes!A2:A""),IMPORTRANGE(""1NK5L1mviMn0j3D3uo53ASkIZOFRlLnqaCTnwzOG2_Wg"",""Direct links Without Sizes!B2:B""))),XLOOKUP($C209,IMPORTRANGE(""1NK5L1mviMn0j3D3uo53ASkIZOFRlLnqaCTnwzOG2_Wg"",""Direct li"&amp;"nks Without Sizes!D2:D""),IMPORTRANGE(""1NK5L1mviMn0j3D3uo53ASkIZOFRlLnqaCTnwzOG2_Wg"",""Direct links Without Sizes!E2:E""))),"""")"),"")</f>
        <v/>
      </c>
      <c r="I209" s="4"/>
      <c r="J209" s="24" t="str">
        <f t="shared" si="1"/>
        <v/>
      </c>
      <c r="K209" s="25"/>
      <c r="L209" s="24" t="str">
        <f t="shared" si="2"/>
        <v/>
      </c>
      <c r="M209" s="4"/>
      <c r="N209" s="23"/>
      <c r="O209" s="23"/>
      <c r="P209" s="23"/>
      <c r="Q209" s="4" t="str">
        <f t="shared" si="4"/>
        <v/>
      </c>
      <c r="R209" s="20"/>
      <c r="S209" s="20"/>
    </row>
    <row r="210">
      <c r="A210" s="5"/>
      <c r="B210" s="5"/>
      <c r="C210" s="11"/>
      <c r="D210" s="7" t="str">
        <f>IFERROR(__xludf.DUMMYFUNCTION("iferror(iferror(INDEX(IMPORTRANGE(""12vtnxaE_Q1s4tyr10kZQx7ZF_xG0lBFae4jQEUtgsMU"",""All!B2:B""),MATCH($C210,IMPORTRANGE(""12vtnxaE_Q1s4tyr10kZQx7ZF_xG0lBFae4jQEUtgsMU"",""All!A2:A""),0)),INDEX(IMPORTRANGE(""13KC70HngS4DDi8y9E5khtSpQEPG6owaQ9z4E-tR5mnY"","&amp;"""Non-Food!B2:B""),MATCH($C210,IMPORTRANGE(""13KC70HngS4DDi8y9E5khtSpQEPG6owaQ9z4E-tR5mnY"",""Non-Food!A2:A""),0))),"""")"),"")</f>
        <v/>
      </c>
      <c r="E210" s="15"/>
      <c r="F210" s="15"/>
      <c r="G210" s="22"/>
      <c r="H210" s="23" t="str">
        <f>IFERROR(__xludf.DUMMYFUNCTION("iferror(iferror(iferror(index(IMPORTRANGE(""1NK5L1mviMn0j3D3uo53ASkIZOFRlLnqaCTnwzOG2_Wg"",""Direct Link!B2:B""),MATCH($C210,IMPORTRANGE(""1NK5L1mviMn0j3D3uo53ASkIZOFRlLnqaCTnwzOG2_Wg"",""Direct Link!A2:A""),0)),XLOOKUP($C210,IMPORTRANGE(""1NK5L1mviMn0j3D"&amp;"3uo53ASkIZOFRlLnqaCTnwzOG2_Wg"",""Direct links Without Sizes!A2:A""),IMPORTRANGE(""1NK5L1mviMn0j3D3uo53ASkIZOFRlLnqaCTnwzOG2_Wg"",""Direct links Without Sizes!B2:B""))),XLOOKUP($C210,IMPORTRANGE(""1NK5L1mviMn0j3D3uo53ASkIZOFRlLnqaCTnwzOG2_Wg"",""Direct li"&amp;"nks Without Sizes!D2:D""),IMPORTRANGE(""1NK5L1mviMn0j3D3uo53ASkIZOFRlLnqaCTnwzOG2_Wg"",""Direct links Without Sizes!E2:E""))),"""")"),"")</f>
        <v/>
      </c>
      <c r="I210" s="4"/>
      <c r="J210" s="24" t="str">
        <f t="shared" si="1"/>
        <v/>
      </c>
      <c r="K210" s="25"/>
      <c r="L210" s="24" t="str">
        <f t="shared" si="2"/>
        <v/>
      </c>
      <c r="M210" s="4"/>
      <c r="N210" s="23"/>
      <c r="O210" s="23"/>
      <c r="P210" s="23"/>
      <c r="Q210" s="4" t="str">
        <f t="shared" si="4"/>
        <v/>
      </c>
      <c r="R210" s="20"/>
      <c r="S210" s="20"/>
    </row>
    <row r="211">
      <c r="A211" s="5"/>
      <c r="B211" s="5"/>
      <c r="C211" s="11"/>
      <c r="D211" s="7" t="str">
        <f>IFERROR(__xludf.DUMMYFUNCTION("iferror(iferror(INDEX(IMPORTRANGE(""12vtnxaE_Q1s4tyr10kZQx7ZF_xG0lBFae4jQEUtgsMU"",""All!B2:B""),MATCH($C211,IMPORTRANGE(""12vtnxaE_Q1s4tyr10kZQx7ZF_xG0lBFae4jQEUtgsMU"",""All!A2:A""),0)),INDEX(IMPORTRANGE(""13KC70HngS4DDi8y9E5khtSpQEPG6owaQ9z4E-tR5mnY"","&amp;"""Non-Food!B2:B""),MATCH($C211,IMPORTRANGE(""13KC70HngS4DDi8y9E5khtSpQEPG6owaQ9z4E-tR5mnY"",""Non-Food!A2:A""),0))),"""")"),"")</f>
        <v/>
      </c>
      <c r="E211" s="15"/>
      <c r="F211" s="15"/>
      <c r="G211" s="22"/>
      <c r="H211" s="23" t="str">
        <f>IFERROR(__xludf.DUMMYFUNCTION("iferror(iferror(iferror(index(IMPORTRANGE(""1NK5L1mviMn0j3D3uo53ASkIZOFRlLnqaCTnwzOG2_Wg"",""Direct Link!B2:B""),MATCH($C211,IMPORTRANGE(""1NK5L1mviMn0j3D3uo53ASkIZOFRlLnqaCTnwzOG2_Wg"",""Direct Link!A2:A""),0)),XLOOKUP($C211,IMPORTRANGE(""1NK5L1mviMn0j3D"&amp;"3uo53ASkIZOFRlLnqaCTnwzOG2_Wg"",""Direct links Without Sizes!A2:A""),IMPORTRANGE(""1NK5L1mviMn0j3D3uo53ASkIZOFRlLnqaCTnwzOG2_Wg"",""Direct links Without Sizes!B2:B""))),XLOOKUP($C211,IMPORTRANGE(""1NK5L1mviMn0j3D3uo53ASkIZOFRlLnqaCTnwzOG2_Wg"",""Direct li"&amp;"nks Without Sizes!D2:D""),IMPORTRANGE(""1NK5L1mviMn0j3D3uo53ASkIZOFRlLnqaCTnwzOG2_Wg"",""Direct links Without Sizes!E2:E""))),"""")"),"")</f>
        <v/>
      </c>
      <c r="I211" s="4"/>
      <c r="J211" s="24" t="str">
        <f t="shared" si="1"/>
        <v/>
      </c>
      <c r="K211" s="25"/>
      <c r="L211" s="24" t="str">
        <f t="shared" si="2"/>
        <v/>
      </c>
      <c r="M211" s="4"/>
      <c r="N211" s="23"/>
      <c r="O211" s="23"/>
      <c r="P211" s="23"/>
      <c r="Q211" s="4" t="str">
        <f t="shared" si="4"/>
        <v/>
      </c>
      <c r="R211" s="20"/>
      <c r="S211" s="20"/>
    </row>
    <row r="212">
      <c r="A212" s="5"/>
      <c r="B212" s="5"/>
      <c r="C212" s="11"/>
      <c r="D212" s="7" t="str">
        <f>IFERROR(__xludf.DUMMYFUNCTION("iferror(iferror(INDEX(IMPORTRANGE(""12vtnxaE_Q1s4tyr10kZQx7ZF_xG0lBFae4jQEUtgsMU"",""All!B2:B""),MATCH($C212,IMPORTRANGE(""12vtnxaE_Q1s4tyr10kZQx7ZF_xG0lBFae4jQEUtgsMU"",""All!A2:A""),0)),INDEX(IMPORTRANGE(""13KC70HngS4DDi8y9E5khtSpQEPG6owaQ9z4E-tR5mnY"","&amp;"""Non-Food!B2:B""),MATCH($C212,IMPORTRANGE(""13KC70HngS4DDi8y9E5khtSpQEPG6owaQ9z4E-tR5mnY"",""Non-Food!A2:A""),0))),"""")"),"")</f>
        <v/>
      </c>
      <c r="E212" s="15"/>
      <c r="F212" s="15"/>
      <c r="G212" s="22"/>
      <c r="H212" s="23" t="str">
        <f>IFERROR(__xludf.DUMMYFUNCTION("iferror(iferror(iferror(index(IMPORTRANGE(""1NK5L1mviMn0j3D3uo53ASkIZOFRlLnqaCTnwzOG2_Wg"",""Direct Link!B2:B""),MATCH($C212,IMPORTRANGE(""1NK5L1mviMn0j3D3uo53ASkIZOFRlLnqaCTnwzOG2_Wg"",""Direct Link!A2:A""),0)),XLOOKUP($C212,IMPORTRANGE(""1NK5L1mviMn0j3D"&amp;"3uo53ASkIZOFRlLnqaCTnwzOG2_Wg"",""Direct links Without Sizes!A2:A""),IMPORTRANGE(""1NK5L1mviMn0j3D3uo53ASkIZOFRlLnqaCTnwzOG2_Wg"",""Direct links Without Sizes!B2:B""))),XLOOKUP($C212,IMPORTRANGE(""1NK5L1mviMn0j3D3uo53ASkIZOFRlLnqaCTnwzOG2_Wg"",""Direct li"&amp;"nks Without Sizes!D2:D""),IMPORTRANGE(""1NK5L1mviMn0j3D3uo53ASkIZOFRlLnqaCTnwzOG2_Wg"",""Direct links Without Sizes!E2:E""))),"""")"),"")</f>
        <v/>
      </c>
      <c r="I212" s="4"/>
      <c r="J212" s="24" t="str">
        <f t="shared" si="1"/>
        <v/>
      </c>
      <c r="K212" s="25"/>
      <c r="L212" s="24" t="str">
        <f t="shared" si="2"/>
        <v/>
      </c>
      <c r="M212" s="4"/>
      <c r="N212" s="23"/>
      <c r="O212" s="23"/>
      <c r="P212" s="23"/>
      <c r="Q212" s="4" t="str">
        <f t="shared" si="4"/>
        <v/>
      </c>
      <c r="R212" s="20"/>
      <c r="S212" s="20"/>
    </row>
    <row r="213">
      <c r="A213" s="5"/>
      <c r="B213" s="5"/>
      <c r="C213" s="11"/>
      <c r="D213" s="7" t="str">
        <f>IFERROR(__xludf.DUMMYFUNCTION("iferror(iferror(INDEX(IMPORTRANGE(""12vtnxaE_Q1s4tyr10kZQx7ZF_xG0lBFae4jQEUtgsMU"",""All!B2:B""),MATCH($C213,IMPORTRANGE(""12vtnxaE_Q1s4tyr10kZQx7ZF_xG0lBFae4jQEUtgsMU"",""All!A2:A""),0)),INDEX(IMPORTRANGE(""13KC70HngS4DDi8y9E5khtSpQEPG6owaQ9z4E-tR5mnY"","&amp;"""Non-Food!B2:B""),MATCH($C213,IMPORTRANGE(""13KC70HngS4DDi8y9E5khtSpQEPG6owaQ9z4E-tR5mnY"",""Non-Food!A2:A""),0))),"""")"),"")</f>
        <v/>
      </c>
      <c r="E213" s="15"/>
      <c r="F213" s="15"/>
      <c r="G213" s="22"/>
      <c r="H213" s="23" t="str">
        <f>IFERROR(__xludf.DUMMYFUNCTION("iferror(iferror(iferror(index(IMPORTRANGE(""1NK5L1mviMn0j3D3uo53ASkIZOFRlLnqaCTnwzOG2_Wg"",""Direct Link!B2:B""),MATCH($C213,IMPORTRANGE(""1NK5L1mviMn0j3D3uo53ASkIZOFRlLnqaCTnwzOG2_Wg"",""Direct Link!A2:A""),0)),XLOOKUP($C213,IMPORTRANGE(""1NK5L1mviMn0j3D"&amp;"3uo53ASkIZOFRlLnqaCTnwzOG2_Wg"",""Direct links Without Sizes!A2:A""),IMPORTRANGE(""1NK5L1mviMn0j3D3uo53ASkIZOFRlLnqaCTnwzOG2_Wg"",""Direct links Without Sizes!B2:B""))),XLOOKUP($C213,IMPORTRANGE(""1NK5L1mviMn0j3D3uo53ASkIZOFRlLnqaCTnwzOG2_Wg"",""Direct li"&amp;"nks Without Sizes!D2:D""),IMPORTRANGE(""1NK5L1mviMn0j3D3uo53ASkIZOFRlLnqaCTnwzOG2_Wg"",""Direct links Without Sizes!E2:E""))),"""")"),"")</f>
        <v/>
      </c>
      <c r="I213" s="4"/>
      <c r="J213" s="24" t="str">
        <f t="shared" si="1"/>
        <v/>
      </c>
      <c r="K213" s="25"/>
      <c r="L213" s="24" t="str">
        <f t="shared" si="2"/>
        <v/>
      </c>
      <c r="M213" s="4"/>
      <c r="N213" s="23"/>
      <c r="O213" s="23"/>
      <c r="P213" s="23"/>
      <c r="Q213" s="4" t="str">
        <f t="shared" si="4"/>
        <v/>
      </c>
      <c r="R213" s="20"/>
      <c r="S213" s="20"/>
    </row>
    <row r="214">
      <c r="A214" s="5"/>
      <c r="B214" s="5"/>
      <c r="C214" s="11"/>
      <c r="D214" s="7" t="str">
        <f>IFERROR(__xludf.DUMMYFUNCTION("iferror(iferror(INDEX(IMPORTRANGE(""12vtnxaE_Q1s4tyr10kZQx7ZF_xG0lBFae4jQEUtgsMU"",""All!B2:B""),MATCH($C214,IMPORTRANGE(""12vtnxaE_Q1s4tyr10kZQx7ZF_xG0lBFae4jQEUtgsMU"",""All!A2:A""),0)),INDEX(IMPORTRANGE(""13KC70HngS4DDi8y9E5khtSpQEPG6owaQ9z4E-tR5mnY"","&amp;"""Non-Food!B2:B""),MATCH($C214,IMPORTRANGE(""13KC70HngS4DDi8y9E5khtSpQEPG6owaQ9z4E-tR5mnY"",""Non-Food!A2:A""),0))),"""")"),"")</f>
        <v/>
      </c>
      <c r="E214" s="15"/>
      <c r="F214" s="15"/>
      <c r="G214" s="22"/>
      <c r="H214" s="23" t="str">
        <f>IFERROR(__xludf.DUMMYFUNCTION("iferror(iferror(iferror(index(IMPORTRANGE(""1NK5L1mviMn0j3D3uo53ASkIZOFRlLnqaCTnwzOG2_Wg"",""Direct Link!B2:B""),MATCH($C214,IMPORTRANGE(""1NK5L1mviMn0j3D3uo53ASkIZOFRlLnqaCTnwzOG2_Wg"",""Direct Link!A2:A""),0)),XLOOKUP($C214,IMPORTRANGE(""1NK5L1mviMn0j3D"&amp;"3uo53ASkIZOFRlLnqaCTnwzOG2_Wg"",""Direct links Without Sizes!A2:A""),IMPORTRANGE(""1NK5L1mviMn0j3D3uo53ASkIZOFRlLnqaCTnwzOG2_Wg"",""Direct links Without Sizes!B2:B""))),XLOOKUP($C214,IMPORTRANGE(""1NK5L1mviMn0j3D3uo53ASkIZOFRlLnqaCTnwzOG2_Wg"",""Direct li"&amp;"nks Without Sizes!D2:D""),IMPORTRANGE(""1NK5L1mviMn0j3D3uo53ASkIZOFRlLnqaCTnwzOG2_Wg"",""Direct links Without Sizes!E2:E""))),"""")"),"")</f>
        <v/>
      </c>
      <c r="I214" s="4"/>
      <c r="J214" s="24" t="str">
        <f t="shared" si="1"/>
        <v/>
      </c>
      <c r="K214" s="25"/>
      <c r="L214" s="24" t="str">
        <f t="shared" si="2"/>
        <v/>
      </c>
      <c r="M214" s="4"/>
      <c r="N214" s="23"/>
      <c r="O214" s="23"/>
      <c r="P214" s="23"/>
      <c r="Q214" s="4" t="str">
        <f t="shared" si="4"/>
        <v/>
      </c>
      <c r="R214" s="20"/>
      <c r="S214" s="20"/>
    </row>
    <row r="215">
      <c r="A215" s="5"/>
      <c r="B215" s="5"/>
      <c r="C215" s="11"/>
      <c r="D215" s="7" t="str">
        <f>IFERROR(__xludf.DUMMYFUNCTION("iferror(iferror(INDEX(IMPORTRANGE(""12vtnxaE_Q1s4tyr10kZQx7ZF_xG0lBFae4jQEUtgsMU"",""All!B2:B""),MATCH($C215,IMPORTRANGE(""12vtnxaE_Q1s4tyr10kZQx7ZF_xG0lBFae4jQEUtgsMU"",""All!A2:A""),0)),INDEX(IMPORTRANGE(""13KC70HngS4DDi8y9E5khtSpQEPG6owaQ9z4E-tR5mnY"","&amp;"""Non-Food!B2:B""),MATCH($C215,IMPORTRANGE(""13KC70HngS4DDi8y9E5khtSpQEPG6owaQ9z4E-tR5mnY"",""Non-Food!A2:A""),0))),"""")"),"")</f>
        <v/>
      </c>
      <c r="E215" s="15"/>
      <c r="F215" s="15"/>
      <c r="G215" s="22"/>
      <c r="H215" s="23" t="str">
        <f>IFERROR(__xludf.DUMMYFUNCTION("iferror(iferror(iferror(index(IMPORTRANGE(""1NK5L1mviMn0j3D3uo53ASkIZOFRlLnqaCTnwzOG2_Wg"",""Direct Link!B2:B""),MATCH($C215,IMPORTRANGE(""1NK5L1mviMn0j3D3uo53ASkIZOFRlLnqaCTnwzOG2_Wg"",""Direct Link!A2:A""),0)),XLOOKUP($C215,IMPORTRANGE(""1NK5L1mviMn0j3D"&amp;"3uo53ASkIZOFRlLnqaCTnwzOG2_Wg"",""Direct links Without Sizes!A2:A""),IMPORTRANGE(""1NK5L1mviMn0j3D3uo53ASkIZOFRlLnqaCTnwzOG2_Wg"",""Direct links Without Sizes!B2:B""))),XLOOKUP($C215,IMPORTRANGE(""1NK5L1mviMn0j3D3uo53ASkIZOFRlLnqaCTnwzOG2_Wg"",""Direct li"&amp;"nks Without Sizes!D2:D""),IMPORTRANGE(""1NK5L1mviMn0j3D3uo53ASkIZOFRlLnqaCTnwzOG2_Wg"",""Direct links Without Sizes!E2:E""))),"""")"),"")</f>
        <v/>
      </c>
      <c r="I215" s="4"/>
      <c r="J215" s="24" t="str">
        <f t="shared" si="1"/>
        <v/>
      </c>
      <c r="K215" s="25"/>
      <c r="L215" s="24" t="str">
        <f t="shared" si="2"/>
        <v/>
      </c>
      <c r="M215" s="4"/>
      <c r="N215" s="23"/>
      <c r="O215" s="23"/>
      <c r="P215" s="23"/>
      <c r="Q215" s="4" t="str">
        <f t="shared" si="4"/>
        <v/>
      </c>
      <c r="R215" s="20"/>
      <c r="S215" s="20"/>
    </row>
    <row r="216">
      <c r="A216" s="5"/>
      <c r="B216" s="5"/>
      <c r="C216" s="11"/>
      <c r="D216" s="7" t="str">
        <f>IFERROR(__xludf.DUMMYFUNCTION("iferror(iferror(INDEX(IMPORTRANGE(""12vtnxaE_Q1s4tyr10kZQx7ZF_xG0lBFae4jQEUtgsMU"",""All!B2:B""),MATCH($C216,IMPORTRANGE(""12vtnxaE_Q1s4tyr10kZQx7ZF_xG0lBFae4jQEUtgsMU"",""All!A2:A""),0)),INDEX(IMPORTRANGE(""13KC70HngS4DDi8y9E5khtSpQEPG6owaQ9z4E-tR5mnY"","&amp;"""Non-Food!B2:B""),MATCH($C216,IMPORTRANGE(""13KC70HngS4DDi8y9E5khtSpQEPG6owaQ9z4E-tR5mnY"",""Non-Food!A2:A""),0))),"""")"),"")</f>
        <v/>
      </c>
      <c r="E216" s="15"/>
      <c r="F216" s="15"/>
      <c r="G216" s="22"/>
      <c r="H216" s="23" t="str">
        <f>IFERROR(__xludf.DUMMYFUNCTION("iferror(iferror(iferror(index(IMPORTRANGE(""1NK5L1mviMn0j3D3uo53ASkIZOFRlLnqaCTnwzOG2_Wg"",""Direct Link!B2:B""),MATCH($C216,IMPORTRANGE(""1NK5L1mviMn0j3D3uo53ASkIZOFRlLnqaCTnwzOG2_Wg"",""Direct Link!A2:A""),0)),XLOOKUP($C216,IMPORTRANGE(""1NK5L1mviMn0j3D"&amp;"3uo53ASkIZOFRlLnqaCTnwzOG2_Wg"",""Direct links Without Sizes!A2:A""),IMPORTRANGE(""1NK5L1mviMn0j3D3uo53ASkIZOFRlLnqaCTnwzOG2_Wg"",""Direct links Without Sizes!B2:B""))),XLOOKUP($C216,IMPORTRANGE(""1NK5L1mviMn0j3D3uo53ASkIZOFRlLnqaCTnwzOG2_Wg"",""Direct li"&amp;"nks Without Sizes!D2:D""),IMPORTRANGE(""1NK5L1mviMn0j3D3uo53ASkIZOFRlLnqaCTnwzOG2_Wg"",""Direct links Without Sizes!E2:E""))),"""")"),"")</f>
        <v/>
      </c>
      <c r="I216" s="4"/>
      <c r="J216" s="24" t="str">
        <f t="shared" si="1"/>
        <v/>
      </c>
      <c r="K216" s="25"/>
      <c r="L216" s="24" t="str">
        <f t="shared" si="2"/>
        <v/>
      </c>
      <c r="M216" s="4"/>
      <c r="N216" s="23"/>
      <c r="O216" s="23"/>
      <c r="P216" s="23"/>
      <c r="Q216" s="4" t="str">
        <f t="shared" si="4"/>
        <v/>
      </c>
      <c r="R216" s="20"/>
      <c r="S216" s="20"/>
    </row>
    <row r="217">
      <c r="A217" s="5"/>
      <c r="B217" s="5"/>
      <c r="C217" s="11"/>
      <c r="D217" s="7" t="str">
        <f>IFERROR(__xludf.DUMMYFUNCTION("iferror(iferror(INDEX(IMPORTRANGE(""12vtnxaE_Q1s4tyr10kZQx7ZF_xG0lBFae4jQEUtgsMU"",""All!B2:B""),MATCH($C217,IMPORTRANGE(""12vtnxaE_Q1s4tyr10kZQx7ZF_xG0lBFae4jQEUtgsMU"",""All!A2:A""),0)),INDEX(IMPORTRANGE(""13KC70HngS4DDi8y9E5khtSpQEPG6owaQ9z4E-tR5mnY"","&amp;"""Non-Food!B2:B""),MATCH($C217,IMPORTRANGE(""13KC70HngS4DDi8y9E5khtSpQEPG6owaQ9z4E-tR5mnY"",""Non-Food!A2:A""),0))),"""")"),"")</f>
        <v/>
      </c>
      <c r="E217" s="15"/>
      <c r="F217" s="15"/>
      <c r="G217" s="22"/>
      <c r="H217" s="23" t="str">
        <f>IFERROR(__xludf.DUMMYFUNCTION("iferror(iferror(iferror(index(IMPORTRANGE(""1NK5L1mviMn0j3D3uo53ASkIZOFRlLnqaCTnwzOG2_Wg"",""Direct Link!B2:B""),MATCH($C217,IMPORTRANGE(""1NK5L1mviMn0j3D3uo53ASkIZOFRlLnqaCTnwzOG2_Wg"",""Direct Link!A2:A""),0)),XLOOKUP($C217,IMPORTRANGE(""1NK5L1mviMn0j3D"&amp;"3uo53ASkIZOFRlLnqaCTnwzOG2_Wg"",""Direct links Without Sizes!A2:A""),IMPORTRANGE(""1NK5L1mviMn0j3D3uo53ASkIZOFRlLnqaCTnwzOG2_Wg"",""Direct links Without Sizes!B2:B""))),XLOOKUP($C217,IMPORTRANGE(""1NK5L1mviMn0j3D3uo53ASkIZOFRlLnqaCTnwzOG2_Wg"",""Direct li"&amp;"nks Without Sizes!D2:D""),IMPORTRANGE(""1NK5L1mviMn0j3D3uo53ASkIZOFRlLnqaCTnwzOG2_Wg"",""Direct links Without Sizes!E2:E""))),"""")"),"")</f>
        <v/>
      </c>
      <c r="I217" s="4"/>
      <c r="J217" s="24" t="str">
        <f t="shared" si="1"/>
        <v/>
      </c>
      <c r="K217" s="25"/>
      <c r="L217" s="24" t="str">
        <f t="shared" si="2"/>
        <v/>
      </c>
      <c r="M217" s="4"/>
      <c r="N217" s="23"/>
      <c r="O217" s="23"/>
      <c r="P217" s="23"/>
      <c r="Q217" s="4" t="str">
        <f t="shared" si="4"/>
        <v/>
      </c>
      <c r="R217" s="20"/>
      <c r="S217" s="20"/>
    </row>
    <row r="218">
      <c r="A218" s="5"/>
      <c r="B218" s="5"/>
      <c r="C218" s="11"/>
      <c r="D218" s="7" t="str">
        <f>IFERROR(__xludf.DUMMYFUNCTION("iferror(iferror(INDEX(IMPORTRANGE(""12vtnxaE_Q1s4tyr10kZQx7ZF_xG0lBFae4jQEUtgsMU"",""All!B2:B""),MATCH($C218,IMPORTRANGE(""12vtnxaE_Q1s4tyr10kZQx7ZF_xG0lBFae4jQEUtgsMU"",""All!A2:A""),0)),INDEX(IMPORTRANGE(""13KC70HngS4DDi8y9E5khtSpQEPG6owaQ9z4E-tR5mnY"","&amp;"""Non-Food!B2:B""),MATCH($C218,IMPORTRANGE(""13KC70HngS4DDi8y9E5khtSpQEPG6owaQ9z4E-tR5mnY"",""Non-Food!A2:A""),0))),"""")"),"")</f>
        <v/>
      </c>
      <c r="E218" s="15"/>
      <c r="F218" s="15"/>
      <c r="G218" s="22"/>
      <c r="H218" s="23" t="str">
        <f>IFERROR(__xludf.DUMMYFUNCTION("iferror(iferror(iferror(index(IMPORTRANGE(""1NK5L1mviMn0j3D3uo53ASkIZOFRlLnqaCTnwzOG2_Wg"",""Direct Link!B2:B""),MATCH($C218,IMPORTRANGE(""1NK5L1mviMn0j3D3uo53ASkIZOFRlLnqaCTnwzOG2_Wg"",""Direct Link!A2:A""),0)),XLOOKUP($C218,IMPORTRANGE(""1NK5L1mviMn0j3D"&amp;"3uo53ASkIZOFRlLnqaCTnwzOG2_Wg"",""Direct links Without Sizes!A2:A""),IMPORTRANGE(""1NK5L1mviMn0j3D3uo53ASkIZOFRlLnqaCTnwzOG2_Wg"",""Direct links Without Sizes!B2:B""))),XLOOKUP($C218,IMPORTRANGE(""1NK5L1mviMn0j3D3uo53ASkIZOFRlLnqaCTnwzOG2_Wg"",""Direct li"&amp;"nks Without Sizes!D2:D""),IMPORTRANGE(""1NK5L1mviMn0j3D3uo53ASkIZOFRlLnqaCTnwzOG2_Wg"",""Direct links Without Sizes!E2:E""))),"""")"),"")</f>
        <v/>
      </c>
      <c r="I218" s="4"/>
      <c r="J218" s="24" t="str">
        <f t="shared" si="1"/>
        <v/>
      </c>
      <c r="K218" s="25"/>
      <c r="L218" s="24" t="str">
        <f t="shared" si="2"/>
        <v/>
      </c>
      <c r="M218" s="4"/>
      <c r="N218" s="23"/>
      <c r="O218" s="23"/>
      <c r="P218" s="23"/>
      <c r="Q218" s="4" t="str">
        <f t="shared" si="4"/>
        <v/>
      </c>
      <c r="R218" s="20"/>
      <c r="S218" s="20"/>
    </row>
    <row r="219">
      <c r="A219" s="5"/>
      <c r="B219" s="5"/>
      <c r="C219" s="11"/>
      <c r="D219" s="7" t="str">
        <f>IFERROR(__xludf.DUMMYFUNCTION("iferror(iferror(INDEX(IMPORTRANGE(""12vtnxaE_Q1s4tyr10kZQx7ZF_xG0lBFae4jQEUtgsMU"",""All!B2:B""),MATCH($C219,IMPORTRANGE(""12vtnxaE_Q1s4tyr10kZQx7ZF_xG0lBFae4jQEUtgsMU"",""All!A2:A""),0)),INDEX(IMPORTRANGE(""13KC70HngS4DDi8y9E5khtSpQEPG6owaQ9z4E-tR5mnY"","&amp;"""Non-Food!B2:B""),MATCH($C219,IMPORTRANGE(""13KC70HngS4DDi8y9E5khtSpQEPG6owaQ9z4E-tR5mnY"",""Non-Food!A2:A""),0))),"""")"),"")</f>
        <v/>
      </c>
      <c r="E219" s="15"/>
      <c r="F219" s="15"/>
      <c r="G219" s="22"/>
      <c r="H219" s="23" t="str">
        <f>IFERROR(__xludf.DUMMYFUNCTION("iferror(iferror(iferror(index(IMPORTRANGE(""1NK5L1mviMn0j3D3uo53ASkIZOFRlLnqaCTnwzOG2_Wg"",""Direct Link!B2:B""),MATCH($C219,IMPORTRANGE(""1NK5L1mviMn0j3D3uo53ASkIZOFRlLnqaCTnwzOG2_Wg"",""Direct Link!A2:A""),0)),XLOOKUP($C219,IMPORTRANGE(""1NK5L1mviMn0j3D"&amp;"3uo53ASkIZOFRlLnqaCTnwzOG2_Wg"",""Direct links Without Sizes!A2:A""),IMPORTRANGE(""1NK5L1mviMn0j3D3uo53ASkIZOFRlLnqaCTnwzOG2_Wg"",""Direct links Without Sizes!B2:B""))),XLOOKUP($C219,IMPORTRANGE(""1NK5L1mviMn0j3D3uo53ASkIZOFRlLnqaCTnwzOG2_Wg"",""Direct li"&amp;"nks Without Sizes!D2:D""),IMPORTRANGE(""1NK5L1mviMn0j3D3uo53ASkIZOFRlLnqaCTnwzOG2_Wg"",""Direct links Without Sizes!E2:E""))),"""")"),"")</f>
        <v/>
      </c>
      <c r="I219" s="4"/>
      <c r="J219" s="24" t="str">
        <f t="shared" si="1"/>
        <v/>
      </c>
      <c r="K219" s="25"/>
      <c r="L219" s="24" t="str">
        <f t="shared" si="2"/>
        <v/>
      </c>
      <c r="M219" s="4"/>
      <c r="N219" s="23"/>
      <c r="O219" s="23"/>
      <c r="P219" s="23"/>
      <c r="Q219" s="4" t="str">
        <f t="shared" si="4"/>
        <v/>
      </c>
      <c r="R219" s="20"/>
      <c r="S219" s="20"/>
    </row>
    <row r="220">
      <c r="A220" s="5"/>
      <c r="B220" s="5"/>
      <c r="C220" s="11"/>
      <c r="D220" s="7" t="str">
        <f>IFERROR(__xludf.DUMMYFUNCTION("iferror(iferror(INDEX(IMPORTRANGE(""12vtnxaE_Q1s4tyr10kZQx7ZF_xG0lBFae4jQEUtgsMU"",""All!B2:B""),MATCH($C220,IMPORTRANGE(""12vtnxaE_Q1s4tyr10kZQx7ZF_xG0lBFae4jQEUtgsMU"",""All!A2:A""),0)),INDEX(IMPORTRANGE(""13KC70HngS4DDi8y9E5khtSpQEPG6owaQ9z4E-tR5mnY"","&amp;"""Non-Food!B2:B""),MATCH($C220,IMPORTRANGE(""13KC70HngS4DDi8y9E5khtSpQEPG6owaQ9z4E-tR5mnY"",""Non-Food!A2:A""),0))),"""")"),"")</f>
        <v/>
      </c>
      <c r="E220" s="15"/>
      <c r="F220" s="15"/>
      <c r="G220" s="22"/>
      <c r="H220" s="23" t="str">
        <f>IFERROR(__xludf.DUMMYFUNCTION("iferror(iferror(iferror(index(IMPORTRANGE(""1NK5L1mviMn0j3D3uo53ASkIZOFRlLnqaCTnwzOG2_Wg"",""Direct Link!B2:B""),MATCH($C220,IMPORTRANGE(""1NK5L1mviMn0j3D3uo53ASkIZOFRlLnqaCTnwzOG2_Wg"",""Direct Link!A2:A""),0)),XLOOKUP($C220,IMPORTRANGE(""1NK5L1mviMn0j3D"&amp;"3uo53ASkIZOFRlLnqaCTnwzOG2_Wg"",""Direct links Without Sizes!A2:A""),IMPORTRANGE(""1NK5L1mviMn0j3D3uo53ASkIZOFRlLnqaCTnwzOG2_Wg"",""Direct links Without Sizes!B2:B""))),XLOOKUP($C220,IMPORTRANGE(""1NK5L1mviMn0j3D3uo53ASkIZOFRlLnqaCTnwzOG2_Wg"",""Direct li"&amp;"nks Without Sizes!D2:D""),IMPORTRANGE(""1NK5L1mviMn0j3D3uo53ASkIZOFRlLnqaCTnwzOG2_Wg"",""Direct links Without Sizes!E2:E""))),"""")"),"")</f>
        <v/>
      </c>
      <c r="I220" s="4"/>
      <c r="J220" s="24" t="str">
        <f t="shared" si="1"/>
        <v/>
      </c>
      <c r="K220" s="25"/>
      <c r="L220" s="24" t="str">
        <f t="shared" si="2"/>
        <v/>
      </c>
      <c r="M220" s="4"/>
      <c r="N220" s="23"/>
      <c r="O220" s="23"/>
      <c r="P220" s="23"/>
      <c r="Q220" s="4" t="str">
        <f t="shared" si="4"/>
        <v/>
      </c>
      <c r="R220" s="20"/>
      <c r="S220" s="20"/>
    </row>
    <row r="221">
      <c r="A221" s="5"/>
      <c r="B221" s="5"/>
      <c r="C221" s="11"/>
      <c r="D221" s="7" t="str">
        <f>IFERROR(__xludf.DUMMYFUNCTION("iferror(iferror(INDEX(IMPORTRANGE(""12vtnxaE_Q1s4tyr10kZQx7ZF_xG0lBFae4jQEUtgsMU"",""All!B2:B""),MATCH($C221,IMPORTRANGE(""12vtnxaE_Q1s4tyr10kZQx7ZF_xG0lBFae4jQEUtgsMU"",""All!A2:A""),0)),INDEX(IMPORTRANGE(""13KC70HngS4DDi8y9E5khtSpQEPG6owaQ9z4E-tR5mnY"","&amp;"""Non-Food!B2:B""),MATCH($C221,IMPORTRANGE(""13KC70HngS4DDi8y9E5khtSpQEPG6owaQ9z4E-tR5mnY"",""Non-Food!A2:A""),0))),"""")"),"")</f>
        <v/>
      </c>
      <c r="E221" s="15"/>
      <c r="F221" s="15"/>
      <c r="G221" s="22"/>
      <c r="H221" s="23" t="str">
        <f>IFERROR(__xludf.DUMMYFUNCTION("iferror(iferror(iferror(index(IMPORTRANGE(""1NK5L1mviMn0j3D3uo53ASkIZOFRlLnqaCTnwzOG2_Wg"",""Direct Link!B2:B""),MATCH($C221,IMPORTRANGE(""1NK5L1mviMn0j3D3uo53ASkIZOFRlLnqaCTnwzOG2_Wg"",""Direct Link!A2:A""),0)),XLOOKUP($C221,IMPORTRANGE(""1NK5L1mviMn0j3D"&amp;"3uo53ASkIZOFRlLnqaCTnwzOG2_Wg"",""Direct links Without Sizes!A2:A""),IMPORTRANGE(""1NK5L1mviMn0j3D3uo53ASkIZOFRlLnqaCTnwzOG2_Wg"",""Direct links Without Sizes!B2:B""))),XLOOKUP($C221,IMPORTRANGE(""1NK5L1mviMn0j3D3uo53ASkIZOFRlLnqaCTnwzOG2_Wg"",""Direct li"&amp;"nks Without Sizes!D2:D""),IMPORTRANGE(""1NK5L1mviMn0j3D3uo53ASkIZOFRlLnqaCTnwzOG2_Wg"",""Direct links Without Sizes!E2:E""))),"""")"),"")</f>
        <v/>
      </c>
      <c r="I221" s="4"/>
      <c r="J221" s="24" t="str">
        <f t="shared" si="1"/>
        <v/>
      </c>
      <c r="K221" s="25"/>
      <c r="L221" s="24" t="str">
        <f t="shared" si="2"/>
        <v/>
      </c>
      <c r="M221" s="4"/>
      <c r="N221" s="23"/>
      <c r="O221" s="23"/>
      <c r="P221" s="23"/>
      <c r="Q221" s="4" t="str">
        <f t="shared" si="4"/>
        <v/>
      </c>
      <c r="R221" s="20"/>
      <c r="S221" s="20"/>
    </row>
    <row r="222">
      <c r="A222" s="5"/>
      <c r="B222" s="5"/>
      <c r="C222" s="11"/>
      <c r="D222" s="7" t="str">
        <f>IFERROR(__xludf.DUMMYFUNCTION("iferror(iferror(INDEX(IMPORTRANGE(""12vtnxaE_Q1s4tyr10kZQx7ZF_xG0lBFae4jQEUtgsMU"",""All!B2:B""),MATCH($C222,IMPORTRANGE(""12vtnxaE_Q1s4tyr10kZQx7ZF_xG0lBFae4jQEUtgsMU"",""All!A2:A""),0)),INDEX(IMPORTRANGE(""13KC70HngS4DDi8y9E5khtSpQEPG6owaQ9z4E-tR5mnY"","&amp;"""Non-Food!B2:B""),MATCH($C222,IMPORTRANGE(""13KC70HngS4DDi8y9E5khtSpQEPG6owaQ9z4E-tR5mnY"",""Non-Food!A2:A""),0))),"""")"),"")</f>
        <v/>
      </c>
      <c r="E222" s="15"/>
      <c r="F222" s="15"/>
      <c r="G222" s="22"/>
      <c r="H222" s="23" t="str">
        <f>IFERROR(__xludf.DUMMYFUNCTION("iferror(iferror(iferror(index(IMPORTRANGE(""1NK5L1mviMn0j3D3uo53ASkIZOFRlLnqaCTnwzOG2_Wg"",""Direct Link!B2:B""),MATCH($C222,IMPORTRANGE(""1NK5L1mviMn0j3D3uo53ASkIZOFRlLnqaCTnwzOG2_Wg"",""Direct Link!A2:A""),0)),XLOOKUP($C222,IMPORTRANGE(""1NK5L1mviMn0j3D"&amp;"3uo53ASkIZOFRlLnqaCTnwzOG2_Wg"",""Direct links Without Sizes!A2:A""),IMPORTRANGE(""1NK5L1mviMn0j3D3uo53ASkIZOFRlLnqaCTnwzOG2_Wg"",""Direct links Without Sizes!B2:B""))),XLOOKUP($C222,IMPORTRANGE(""1NK5L1mviMn0j3D3uo53ASkIZOFRlLnqaCTnwzOG2_Wg"",""Direct li"&amp;"nks Without Sizes!D2:D""),IMPORTRANGE(""1NK5L1mviMn0j3D3uo53ASkIZOFRlLnqaCTnwzOG2_Wg"",""Direct links Without Sizes!E2:E""))),"""")"),"")</f>
        <v/>
      </c>
      <c r="I222" s="4"/>
      <c r="J222" s="24" t="str">
        <f t="shared" si="1"/>
        <v/>
      </c>
      <c r="K222" s="25"/>
      <c r="L222" s="24" t="str">
        <f t="shared" si="2"/>
        <v/>
      </c>
      <c r="M222" s="4"/>
      <c r="N222" s="23"/>
      <c r="O222" s="23"/>
      <c r="P222" s="23"/>
      <c r="Q222" s="4" t="str">
        <f t="shared" si="4"/>
        <v/>
      </c>
      <c r="R222" s="20"/>
      <c r="S222" s="20"/>
    </row>
    <row r="223">
      <c r="A223" s="5"/>
      <c r="B223" s="5"/>
      <c r="C223" s="11"/>
      <c r="D223" s="7" t="str">
        <f>IFERROR(__xludf.DUMMYFUNCTION("iferror(iferror(INDEX(IMPORTRANGE(""12vtnxaE_Q1s4tyr10kZQx7ZF_xG0lBFae4jQEUtgsMU"",""All!B2:B""),MATCH($C223,IMPORTRANGE(""12vtnxaE_Q1s4tyr10kZQx7ZF_xG0lBFae4jQEUtgsMU"",""All!A2:A""),0)),INDEX(IMPORTRANGE(""13KC70HngS4DDi8y9E5khtSpQEPG6owaQ9z4E-tR5mnY"","&amp;"""Non-Food!B2:B""),MATCH($C223,IMPORTRANGE(""13KC70HngS4DDi8y9E5khtSpQEPG6owaQ9z4E-tR5mnY"",""Non-Food!A2:A""),0))),"""")"),"")</f>
        <v/>
      </c>
      <c r="E223" s="15"/>
      <c r="F223" s="15"/>
      <c r="G223" s="22"/>
      <c r="H223" s="23" t="str">
        <f>IFERROR(__xludf.DUMMYFUNCTION("iferror(iferror(iferror(index(IMPORTRANGE(""1NK5L1mviMn0j3D3uo53ASkIZOFRlLnqaCTnwzOG2_Wg"",""Direct Link!B2:B""),MATCH($C223,IMPORTRANGE(""1NK5L1mviMn0j3D3uo53ASkIZOFRlLnqaCTnwzOG2_Wg"",""Direct Link!A2:A""),0)),XLOOKUP($C223,IMPORTRANGE(""1NK5L1mviMn0j3D"&amp;"3uo53ASkIZOFRlLnqaCTnwzOG2_Wg"",""Direct links Without Sizes!A2:A""),IMPORTRANGE(""1NK5L1mviMn0j3D3uo53ASkIZOFRlLnqaCTnwzOG2_Wg"",""Direct links Without Sizes!B2:B""))),XLOOKUP($C223,IMPORTRANGE(""1NK5L1mviMn0j3D3uo53ASkIZOFRlLnqaCTnwzOG2_Wg"",""Direct li"&amp;"nks Without Sizes!D2:D""),IMPORTRANGE(""1NK5L1mviMn0j3D3uo53ASkIZOFRlLnqaCTnwzOG2_Wg"",""Direct links Without Sizes!E2:E""))),"""")"),"")</f>
        <v/>
      </c>
      <c r="I223" s="4"/>
      <c r="J223" s="24" t="str">
        <f t="shared" si="1"/>
        <v/>
      </c>
      <c r="K223" s="25"/>
      <c r="L223" s="24" t="str">
        <f t="shared" si="2"/>
        <v/>
      </c>
      <c r="M223" s="4"/>
      <c r="N223" s="23"/>
      <c r="O223" s="23"/>
      <c r="P223" s="23"/>
      <c r="Q223" s="4" t="str">
        <f t="shared" si="4"/>
        <v/>
      </c>
      <c r="R223" s="20"/>
      <c r="S223" s="20"/>
    </row>
    <row r="224">
      <c r="A224" s="5"/>
      <c r="B224" s="5"/>
      <c r="C224" s="11"/>
      <c r="D224" s="7" t="str">
        <f>IFERROR(__xludf.DUMMYFUNCTION("iferror(iferror(INDEX(IMPORTRANGE(""12vtnxaE_Q1s4tyr10kZQx7ZF_xG0lBFae4jQEUtgsMU"",""All!B2:B""),MATCH($C224,IMPORTRANGE(""12vtnxaE_Q1s4tyr10kZQx7ZF_xG0lBFae4jQEUtgsMU"",""All!A2:A""),0)),INDEX(IMPORTRANGE(""13KC70HngS4DDi8y9E5khtSpQEPG6owaQ9z4E-tR5mnY"","&amp;"""Non-Food!B2:B""),MATCH($C224,IMPORTRANGE(""13KC70HngS4DDi8y9E5khtSpQEPG6owaQ9z4E-tR5mnY"",""Non-Food!A2:A""),0))),"""")"),"")</f>
        <v/>
      </c>
      <c r="E224" s="15"/>
      <c r="F224" s="15"/>
      <c r="G224" s="22"/>
      <c r="H224" s="23" t="str">
        <f>IFERROR(__xludf.DUMMYFUNCTION("iferror(iferror(iferror(index(IMPORTRANGE(""1NK5L1mviMn0j3D3uo53ASkIZOFRlLnqaCTnwzOG2_Wg"",""Direct Link!B2:B""),MATCH($C224,IMPORTRANGE(""1NK5L1mviMn0j3D3uo53ASkIZOFRlLnqaCTnwzOG2_Wg"",""Direct Link!A2:A""),0)),XLOOKUP($C224,IMPORTRANGE(""1NK5L1mviMn0j3D"&amp;"3uo53ASkIZOFRlLnqaCTnwzOG2_Wg"",""Direct links Without Sizes!A2:A""),IMPORTRANGE(""1NK5L1mviMn0j3D3uo53ASkIZOFRlLnqaCTnwzOG2_Wg"",""Direct links Without Sizes!B2:B""))),XLOOKUP($C224,IMPORTRANGE(""1NK5L1mviMn0j3D3uo53ASkIZOFRlLnqaCTnwzOG2_Wg"",""Direct li"&amp;"nks Without Sizes!D2:D""),IMPORTRANGE(""1NK5L1mviMn0j3D3uo53ASkIZOFRlLnqaCTnwzOG2_Wg"",""Direct links Without Sizes!E2:E""))),"""")"),"")</f>
        <v/>
      </c>
      <c r="I224" s="4"/>
      <c r="J224" s="24" t="str">
        <f t="shared" si="1"/>
        <v/>
      </c>
      <c r="K224" s="25"/>
      <c r="L224" s="24" t="str">
        <f t="shared" si="2"/>
        <v/>
      </c>
      <c r="M224" s="4"/>
      <c r="N224" s="23"/>
      <c r="O224" s="23"/>
      <c r="P224" s="23"/>
      <c r="Q224" s="4" t="str">
        <f t="shared" si="4"/>
        <v/>
      </c>
      <c r="R224" s="20"/>
      <c r="S224" s="20"/>
    </row>
    <row r="225">
      <c r="A225" s="5"/>
      <c r="B225" s="5"/>
      <c r="C225" s="11"/>
      <c r="D225" s="7" t="str">
        <f>IFERROR(__xludf.DUMMYFUNCTION("iferror(iferror(INDEX(IMPORTRANGE(""12vtnxaE_Q1s4tyr10kZQx7ZF_xG0lBFae4jQEUtgsMU"",""All!B2:B""),MATCH($C225,IMPORTRANGE(""12vtnxaE_Q1s4tyr10kZQx7ZF_xG0lBFae4jQEUtgsMU"",""All!A2:A""),0)),INDEX(IMPORTRANGE(""13KC70HngS4DDi8y9E5khtSpQEPG6owaQ9z4E-tR5mnY"","&amp;"""Non-Food!B2:B""),MATCH($C225,IMPORTRANGE(""13KC70HngS4DDi8y9E5khtSpQEPG6owaQ9z4E-tR5mnY"",""Non-Food!A2:A""),0))),"""")"),"")</f>
        <v/>
      </c>
      <c r="E225" s="15"/>
      <c r="F225" s="15"/>
      <c r="G225" s="22"/>
      <c r="H225" s="23" t="str">
        <f>IFERROR(__xludf.DUMMYFUNCTION("iferror(iferror(iferror(index(IMPORTRANGE(""1NK5L1mviMn0j3D3uo53ASkIZOFRlLnqaCTnwzOG2_Wg"",""Direct Link!B2:B""),MATCH($C225,IMPORTRANGE(""1NK5L1mviMn0j3D3uo53ASkIZOFRlLnqaCTnwzOG2_Wg"",""Direct Link!A2:A""),0)),XLOOKUP($C225,IMPORTRANGE(""1NK5L1mviMn0j3D"&amp;"3uo53ASkIZOFRlLnqaCTnwzOG2_Wg"",""Direct links Without Sizes!A2:A""),IMPORTRANGE(""1NK5L1mviMn0j3D3uo53ASkIZOFRlLnqaCTnwzOG2_Wg"",""Direct links Without Sizes!B2:B""))),XLOOKUP($C225,IMPORTRANGE(""1NK5L1mviMn0j3D3uo53ASkIZOFRlLnqaCTnwzOG2_Wg"",""Direct li"&amp;"nks Without Sizes!D2:D""),IMPORTRANGE(""1NK5L1mviMn0j3D3uo53ASkIZOFRlLnqaCTnwzOG2_Wg"",""Direct links Without Sizes!E2:E""))),"""")"),"")</f>
        <v/>
      </c>
      <c r="I225" s="4"/>
      <c r="J225" s="24" t="str">
        <f t="shared" si="1"/>
        <v/>
      </c>
      <c r="K225" s="25"/>
      <c r="L225" s="24" t="str">
        <f t="shared" si="2"/>
        <v/>
      </c>
      <c r="M225" s="4"/>
      <c r="N225" s="23"/>
      <c r="O225" s="23"/>
      <c r="P225" s="23"/>
      <c r="Q225" s="4" t="str">
        <f t="shared" si="4"/>
        <v/>
      </c>
      <c r="R225" s="20"/>
      <c r="S225" s="20"/>
    </row>
    <row r="226">
      <c r="A226" s="5"/>
      <c r="B226" s="5"/>
      <c r="C226" s="11"/>
      <c r="D226" s="7" t="str">
        <f>IFERROR(__xludf.DUMMYFUNCTION("iferror(iferror(INDEX(IMPORTRANGE(""12vtnxaE_Q1s4tyr10kZQx7ZF_xG0lBFae4jQEUtgsMU"",""All!B2:B""),MATCH($C226,IMPORTRANGE(""12vtnxaE_Q1s4tyr10kZQx7ZF_xG0lBFae4jQEUtgsMU"",""All!A2:A""),0)),INDEX(IMPORTRANGE(""13KC70HngS4DDi8y9E5khtSpQEPG6owaQ9z4E-tR5mnY"","&amp;"""Non-Food!B2:B""),MATCH($C226,IMPORTRANGE(""13KC70HngS4DDi8y9E5khtSpQEPG6owaQ9z4E-tR5mnY"",""Non-Food!A2:A""),0))),"""")"),"")</f>
        <v/>
      </c>
      <c r="E226" s="15"/>
      <c r="F226" s="15"/>
      <c r="G226" s="22"/>
      <c r="H226" s="23" t="str">
        <f>IFERROR(__xludf.DUMMYFUNCTION("iferror(iferror(iferror(index(IMPORTRANGE(""1NK5L1mviMn0j3D3uo53ASkIZOFRlLnqaCTnwzOG2_Wg"",""Direct Link!B2:B""),MATCH($C226,IMPORTRANGE(""1NK5L1mviMn0j3D3uo53ASkIZOFRlLnqaCTnwzOG2_Wg"",""Direct Link!A2:A""),0)),XLOOKUP($C226,IMPORTRANGE(""1NK5L1mviMn0j3D"&amp;"3uo53ASkIZOFRlLnqaCTnwzOG2_Wg"",""Direct links Without Sizes!A2:A""),IMPORTRANGE(""1NK5L1mviMn0j3D3uo53ASkIZOFRlLnqaCTnwzOG2_Wg"",""Direct links Without Sizes!B2:B""))),XLOOKUP($C226,IMPORTRANGE(""1NK5L1mviMn0j3D3uo53ASkIZOFRlLnqaCTnwzOG2_Wg"",""Direct li"&amp;"nks Without Sizes!D2:D""),IMPORTRANGE(""1NK5L1mviMn0j3D3uo53ASkIZOFRlLnqaCTnwzOG2_Wg"",""Direct links Without Sizes!E2:E""))),"""")"),"")</f>
        <v/>
      </c>
      <c r="I226" s="4"/>
      <c r="J226" s="24" t="str">
        <f t="shared" si="1"/>
        <v/>
      </c>
      <c r="K226" s="25"/>
      <c r="L226" s="24" t="str">
        <f t="shared" si="2"/>
        <v/>
      </c>
      <c r="M226" s="4"/>
      <c r="N226" s="23"/>
      <c r="O226" s="23"/>
      <c r="P226" s="23"/>
      <c r="Q226" s="4" t="str">
        <f t="shared" si="4"/>
        <v/>
      </c>
      <c r="R226" s="20"/>
      <c r="S226" s="20"/>
    </row>
    <row r="227">
      <c r="A227" s="5"/>
      <c r="B227" s="5"/>
      <c r="C227" s="11"/>
      <c r="D227" s="7" t="str">
        <f>IFERROR(__xludf.DUMMYFUNCTION("iferror(iferror(INDEX(IMPORTRANGE(""12vtnxaE_Q1s4tyr10kZQx7ZF_xG0lBFae4jQEUtgsMU"",""All!B2:B""),MATCH($C227,IMPORTRANGE(""12vtnxaE_Q1s4tyr10kZQx7ZF_xG0lBFae4jQEUtgsMU"",""All!A2:A""),0)),INDEX(IMPORTRANGE(""13KC70HngS4DDi8y9E5khtSpQEPG6owaQ9z4E-tR5mnY"","&amp;"""Non-Food!B2:B""),MATCH($C227,IMPORTRANGE(""13KC70HngS4DDi8y9E5khtSpQEPG6owaQ9z4E-tR5mnY"",""Non-Food!A2:A""),0))),"""")"),"")</f>
        <v/>
      </c>
      <c r="E227" s="15"/>
      <c r="F227" s="15"/>
      <c r="G227" s="22"/>
      <c r="H227" s="23" t="str">
        <f>IFERROR(__xludf.DUMMYFUNCTION("iferror(iferror(iferror(index(IMPORTRANGE(""1NK5L1mviMn0j3D3uo53ASkIZOFRlLnqaCTnwzOG2_Wg"",""Direct Link!B2:B""),MATCH($C227,IMPORTRANGE(""1NK5L1mviMn0j3D3uo53ASkIZOFRlLnqaCTnwzOG2_Wg"",""Direct Link!A2:A""),0)),XLOOKUP($C227,IMPORTRANGE(""1NK5L1mviMn0j3D"&amp;"3uo53ASkIZOFRlLnqaCTnwzOG2_Wg"",""Direct links Without Sizes!A2:A""),IMPORTRANGE(""1NK5L1mviMn0j3D3uo53ASkIZOFRlLnqaCTnwzOG2_Wg"",""Direct links Without Sizes!B2:B""))),XLOOKUP($C227,IMPORTRANGE(""1NK5L1mviMn0j3D3uo53ASkIZOFRlLnqaCTnwzOG2_Wg"",""Direct li"&amp;"nks Without Sizes!D2:D""),IMPORTRANGE(""1NK5L1mviMn0j3D3uo53ASkIZOFRlLnqaCTnwzOG2_Wg"",""Direct links Without Sizes!E2:E""))),"""")"),"")</f>
        <v/>
      </c>
      <c r="I227" s="4"/>
      <c r="J227" s="24" t="str">
        <f t="shared" si="1"/>
        <v/>
      </c>
      <c r="K227" s="25"/>
      <c r="L227" s="24" t="str">
        <f t="shared" si="2"/>
        <v/>
      </c>
      <c r="M227" s="4"/>
      <c r="N227" s="23"/>
      <c r="O227" s="23"/>
      <c r="P227" s="23"/>
      <c r="Q227" s="4" t="str">
        <f t="shared" si="4"/>
        <v/>
      </c>
      <c r="R227" s="20"/>
      <c r="S227" s="20"/>
    </row>
    <row r="228">
      <c r="A228" s="5"/>
      <c r="B228" s="5"/>
      <c r="C228" s="11"/>
      <c r="D228" s="7" t="str">
        <f>IFERROR(__xludf.DUMMYFUNCTION("iferror(iferror(INDEX(IMPORTRANGE(""12vtnxaE_Q1s4tyr10kZQx7ZF_xG0lBFae4jQEUtgsMU"",""All!B2:B""),MATCH($C228,IMPORTRANGE(""12vtnxaE_Q1s4tyr10kZQx7ZF_xG0lBFae4jQEUtgsMU"",""All!A2:A""),0)),INDEX(IMPORTRANGE(""13KC70HngS4DDi8y9E5khtSpQEPG6owaQ9z4E-tR5mnY"","&amp;"""Non-Food!B2:B""),MATCH($C228,IMPORTRANGE(""13KC70HngS4DDi8y9E5khtSpQEPG6owaQ9z4E-tR5mnY"",""Non-Food!A2:A""),0))),"""")"),"")</f>
        <v/>
      </c>
      <c r="E228" s="15"/>
      <c r="F228" s="15"/>
      <c r="G228" s="22"/>
      <c r="H228" s="23" t="str">
        <f>IFERROR(__xludf.DUMMYFUNCTION("iferror(iferror(iferror(index(IMPORTRANGE(""1NK5L1mviMn0j3D3uo53ASkIZOFRlLnqaCTnwzOG2_Wg"",""Direct Link!B2:B""),MATCH($C228,IMPORTRANGE(""1NK5L1mviMn0j3D3uo53ASkIZOFRlLnqaCTnwzOG2_Wg"",""Direct Link!A2:A""),0)),XLOOKUP($C228,IMPORTRANGE(""1NK5L1mviMn0j3D"&amp;"3uo53ASkIZOFRlLnqaCTnwzOG2_Wg"",""Direct links Without Sizes!A2:A""),IMPORTRANGE(""1NK5L1mviMn0j3D3uo53ASkIZOFRlLnqaCTnwzOG2_Wg"",""Direct links Without Sizes!B2:B""))),XLOOKUP($C228,IMPORTRANGE(""1NK5L1mviMn0j3D3uo53ASkIZOFRlLnqaCTnwzOG2_Wg"",""Direct li"&amp;"nks Without Sizes!D2:D""),IMPORTRANGE(""1NK5L1mviMn0j3D3uo53ASkIZOFRlLnqaCTnwzOG2_Wg"",""Direct links Without Sizes!E2:E""))),"""")"),"")</f>
        <v/>
      </c>
      <c r="I228" s="4"/>
      <c r="J228" s="24" t="str">
        <f t="shared" si="1"/>
        <v/>
      </c>
      <c r="K228" s="25"/>
      <c r="L228" s="24" t="str">
        <f t="shared" si="2"/>
        <v/>
      </c>
      <c r="M228" s="4"/>
      <c r="N228" s="23"/>
      <c r="O228" s="23"/>
      <c r="P228" s="23"/>
      <c r="Q228" s="4" t="str">
        <f t="shared" si="4"/>
        <v/>
      </c>
      <c r="R228" s="20"/>
      <c r="S228" s="20"/>
    </row>
    <row r="229">
      <c r="A229" s="5"/>
      <c r="B229" s="5"/>
      <c r="C229" s="11"/>
      <c r="D229" s="7" t="str">
        <f>IFERROR(__xludf.DUMMYFUNCTION("iferror(iferror(INDEX(IMPORTRANGE(""12vtnxaE_Q1s4tyr10kZQx7ZF_xG0lBFae4jQEUtgsMU"",""All!B2:B""),MATCH($C229,IMPORTRANGE(""12vtnxaE_Q1s4tyr10kZQx7ZF_xG0lBFae4jQEUtgsMU"",""All!A2:A""),0)),INDEX(IMPORTRANGE(""13KC70HngS4DDi8y9E5khtSpQEPG6owaQ9z4E-tR5mnY"","&amp;"""Non-Food!B2:B""),MATCH($C229,IMPORTRANGE(""13KC70HngS4DDi8y9E5khtSpQEPG6owaQ9z4E-tR5mnY"",""Non-Food!A2:A""),0))),"""")"),"")</f>
        <v/>
      </c>
      <c r="E229" s="15"/>
      <c r="F229" s="15"/>
      <c r="G229" s="22"/>
      <c r="H229" s="23" t="str">
        <f>IFERROR(__xludf.DUMMYFUNCTION("iferror(iferror(iferror(index(IMPORTRANGE(""1NK5L1mviMn0j3D3uo53ASkIZOFRlLnqaCTnwzOG2_Wg"",""Direct Link!B2:B""),MATCH($C229,IMPORTRANGE(""1NK5L1mviMn0j3D3uo53ASkIZOFRlLnqaCTnwzOG2_Wg"",""Direct Link!A2:A""),0)),XLOOKUP($C229,IMPORTRANGE(""1NK5L1mviMn0j3D"&amp;"3uo53ASkIZOFRlLnqaCTnwzOG2_Wg"",""Direct links Without Sizes!A2:A""),IMPORTRANGE(""1NK5L1mviMn0j3D3uo53ASkIZOFRlLnqaCTnwzOG2_Wg"",""Direct links Without Sizes!B2:B""))),XLOOKUP($C229,IMPORTRANGE(""1NK5L1mviMn0j3D3uo53ASkIZOFRlLnqaCTnwzOG2_Wg"",""Direct li"&amp;"nks Without Sizes!D2:D""),IMPORTRANGE(""1NK5L1mviMn0j3D3uo53ASkIZOFRlLnqaCTnwzOG2_Wg"",""Direct links Without Sizes!E2:E""))),"""")"),"")</f>
        <v/>
      </c>
      <c r="I229" s="4"/>
      <c r="J229" s="24" t="str">
        <f t="shared" si="1"/>
        <v/>
      </c>
      <c r="K229" s="25"/>
      <c r="L229" s="24" t="str">
        <f t="shared" si="2"/>
        <v/>
      </c>
      <c r="M229" s="4"/>
      <c r="N229" s="23"/>
      <c r="O229" s="23"/>
      <c r="P229" s="23"/>
      <c r="Q229" s="4" t="str">
        <f t="shared" si="4"/>
        <v/>
      </c>
      <c r="R229" s="20"/>
      <c r="S229" s="20"/>
    </row>
    <row r="230">
      <c r="A230" s="5"/>
      <c r="B230" s="5"/>
      <c r="C230" s="11"/>
      <c r="D230" s="7" t="str">
        <f>IFERROR(__xludf.DUMMYFUNCTION("iferror(iferror(INDEX(IMPORTRANGE(""12vtnxaE_Q1s4tyr10kZQx7ZF_xG0lBFae4jQEUtgsMU"",""All!B2:B""),MATCH($C230,IMPORTRANGE(""12vtnxaE_Q1s4tyr10kZQx7ZF_xG0lBFae4jQEUtgsMU"",""All!A2:A""),0)),INDEX(IMPORTRANGE(""13KC70HngS4DDi8y9E5khtSpQEPG6owaQ9z4E-tR5mnY"","&amp;"""Non-Food!B2:B""),MATCH($C230,IMPORTRANGE(""13KC70HngS4DDi8y9E5khtSpQEPG6owaQ9z4E-tR5mnY"",""Non-Food!A2:A""),0))),"""")"),"")</f>
        <v/>
      </c>
      <c r="E230" s="15"/>
      <c r="F230" s="15"/>
      <c r="G230" s="22"/>
      <c r="H230" s="23" t="str">
        <f>IFERROR(__xludf.DUMMYFUNCTION("iferror(iferror(iferror(index(IMPORTRANGE(""1NK5L1mviMn0j3D3uo53ASkIZOFRlLnqaCTnwzOG2_Wg"",""Direct Link!B2:B""),MATCH($C230,IMPORTRANGE(""1NK5L1mviMn0j3D3uo53ASkIZOFRlLnqaCTnwzOG2_Wg"",""Direct Link!A2:A""),0)),XLOOKUP($C230,IMPORTRANGE(""1NK5L1mviMn0j3D"&amp;"3uo53ASkIZOFRlLnqaCTnwzOG2_Wg"",""Direct links Without Sizes!A2:A""),IMPORTRANGE(""1NK5L1mviMn0j3D3uo53ASkIZOFRlLnqaCTnwzOG2_Wg"",""Direct links Without Sizes!B2:B""))),XLOOKUP($C230,IMPORTRANGE(""1NK5L1mviMn0j3D3uo53ASkIZOFRlLnqaCTnwzOG2_Wg"",""Direct li"&amp;"nks Without Sizes!D2:D""),IMPORTRANGE(""1NK5L1mviMn0j3D3uo53ASkIZOFRlLnqaCTnwzOG2_Wg"",""Direct links Without Sizes!E2:E""))),"""")"),"")</f>
        <v/>
      </c>
      <c r="I230" s="4"/>
      <c r="J230" s="24" t="str">
        <f t="shared" si="1"/>
        <v/>
      </c>
      <c r="K230" s="25"/>
      <c r="L230" s="24" t="str">
        <f t="shared" si="2"/>
        <v/>
      </c>
      <c r="M230" s="4"/>
      <c r="N230" s="23"/>
      <c r="O230" s="23"/>
      <c r="P230" s="23"/>
      <c r="Q230" s="4" t="str">
        <f t="shared" si="4"/>
        <v/>
      </c>
      <c r="R230" s="20"/>
      <c r="S230" s="20"/>
    </row>
    <row r="231">
      <c r="A231" s="5"/>
      <c r="B231" s="5"/>
      <c r="C231" s="11"/>
      <c r="D231" s="7" t="str">
        <f>IFERROR(__xludf.DUMMYFUNCTION("iferror(iferror(INDEX(IMPORTRANGE(""12vtnxaE_Q1s4tyr10kZQx7ZF_xG0lBFae4jQEUtgsMU"",""All!B2:B""),MATCH($C231,IMPORTRANGE(""12vtnxaE_Q1s4tyr10kZQx7ZF_xG0lBFae4jQEUtgsMU"",""All!A2:A""),0)),INDEX(IMPORTRANGE(""13KC70HngS4DDi8y9E5khtSpQEPG6owaQ9z4E-tR5mnY"","&amp;"""Non-Food!B2:B""),MATCH($C231,IMPORTRANGE(""13KC70HngS4DDi8y9E5khtSpQEPG6owaQ9z4E-tR5mnY"",""Non-Food!A2:A""),0))),"""")"),"")</f>
        <v/>
      </c>
      <c r="E231" s="15"/>
      <c r="F231" s="15"/>
      <c r="G231" s="22"/>
      <c r="H231" s="23" t="str">
        <f>IFERROR(__xludf.DUMMYFUNCTION("iferror(iferror(iferror(index(IMPORTRANGE(""1NK5L1mviMn0j3D3uo53ASkIZOFRlLnqaCTnwzOG2_Wg"",""Direct Link!B2:B""),MATCH($C231,IMPORTRANGE(""1NK5L1mviMn0j3D3uo53ASkIZOFRlLnqaCTnwzOG2_Wg"",""Direct Link!A2:A""),0)),XLOOKUP($C231,IMPORTRANGE(""1NK5L1mviMn0j3D"&amp;"3uo53ASkIZOFRlLnqaCTnwzOG2_Wg"",""Direct links Without Sizes!A2:A""),IMPORTRANGE(""1NK5L1mviMn0j3D3uo53ASkIZOFRlLnqaCTnwzOG2_Wg"",""Direct links Without Sizes!B2:B""))),XLOOKUP($C231,IMPORTRANGE(""1NK5L1mviMn0j3D3uo53ASkIZOFRlLnqaCTnwzOG2_Wg"",""Direct li"&amp;"nks Without Sizes!D2:D""),IMPORTRANGE(""1NK5L1mviMn0j3D3uo53ASkIZOFRlLnqaCTnwzOG2_Wg"",""Direct links Without Sizes!E2:E""))),"""")"),"")</f>
        <v/>
      </c>
      <c r="I231" s="4"/>
      <c r="J231" s="24" t="str">
        <f t="shared" si="1"/>
        <v/>
      </c>
      <c r="K231" s="25"/>
      <c r="L231" s="24" t="str">
        <f t="shared" si="2"/>
        <v/>
      </c>
      <c r="M231" s="4"/>
      <c r="N231" s="23"/>
      <c r="O231" s="23"/>
      <c r="P231" s="23"/>
      <c r="Q231" s="4" t="str">
        <f t="shared" si="4"/>
        <v/>
      </c>
      <c r="R231" s="20"/>
      <c r="S231" s="20"/>
    </row>
    <row r="232">
      <c r="A232" s="5"/>
      <c r="B232" s="5"/>
      <c r="C232" s="11"/>
      <c r="D232" s="7" t="str">
        <f>IFERROR(__xludf.DUMMYFUNCTION("iferror(iferror(INDEX(IMPORTRANGE(""12vtnxaE_Q1s4tyr10kZQx7ZF_xG0lBFae4jQEUtgsMU"",""All!B2:B""),MATCH($C232,IMPORTRANGE(""12vtnxaE_Q1s4tyr10kZQx7ZF_xG0lBFae4jQEUtgsMU"",""All!A2:A""),0)),INDEX(IMPORTRANGE(""13KC70HngS4DDi8y9E5khtSpQEPG6owaQ9z4E-tR5mnY"","&amp;"""Non-Food!B2:B""),MATCH($C232,IMPORTRANGE(""13KC70HngS4DDi8y9E5khtSpQEPG6owaQ9z4E-tR5mnY"",""Non-Food!A2:A""),0))),"""")"),"")</f>
        <v/>
      </c>
      <c r="E232" s="15"/>
      <c r="F232" s="15"/>
      <c r="G232" s="22"/>
      <c r="H232" s="23" t="str">
        <f>IFERROR(__xludf.DUMMYFUNCTION("iferror(iferror(iferror(index(IMPORTRANGE(""1NK5L1mviMn0j3D3uo53ASkIZOFRlLnqaCTnwzOG2_Wg"",""Direct Link!B2:B""),MATCH($C232,IMPORTRANGE(""1NK5L1mviMn0j3D3uo53ASkIZOFRlLnqaCTnwzOG2_Wg"",""Direct Link!A2:A""),0)),XLOOKUP($C232,IMPORTRANGE(""1NK5L1mviMn0j3D"&amp;"3uo53ASkIZOFRlLnqaCTnwzOG2_Wg"",""Direct links Without Sizes!A2:A""),IMPORTRANGE(""1NK5L1mviMn0j3D3uo53ASkIZOFRlLnqaCTnwzOG2_Wg"",""Direct links Without Sizes!B2:B""))),XLOOKUP($C232,IMPORTRANGE(""1NK5L1mviMn0j3D3uo53ASkIZOFRlLnqaCTnwzOG2_Wg"",""Direct li"&amp;"nks Without Sizes!D2:D""),IMPORTRANGE(""1NK5L1mviMn0j3D3uo53ASkIZOFRlLnqaCTnwzOG2_Wg"",""Direct links Without Sizes!E2:E""))),"""")"),"")</f>
        <v/>
      </c>
      <c r="I232" s="4"/>
      <c r="J232" s="24" t="str">
        <f t="shared" si="1"/>
        <v/>
      </c>
      <c r="K232" s="25"/>
      <c r="L232" s="24" t="str">
        <f t="shared" si="2"/>
        <v/>
      </c>
      <c r="M232" s="4"/>
      <c r="N232" s="23"/>
      <c r="O232" s="23"/>
      <c r="P232" s="23"/>
      <c r="Q232" s="4" t="str">
        <f t="shared" si="4"/>
        <v/>
      </c>
      <c r="R232" s="20"/>
      <c r="S232" s="20"/>
    </row>
    <row r="233">
      <c r="A233" s="5"/>
      <c r="B233" s="5"/>
      <c r="C233" s="11"/>
      <c r="D233" s="7" t="str">
        <f>IFERROR(__xludf.DUMMYFUNCTION("iferror(iferror(INDEX(IMPORTRANGE(""12vtnxaE_Q1s4tyr10kZQx7ZF_xG0lBFae4jQEUtgsMU"",""All!B2:B""),MATCH($C233,IMPORTRANGE(""12vtnxaE_Q1s4tyr10kZQx7ZF_xG0lBFae4jQEUtgsMU"",""All!A2:A""),0)),INDEX(IMPORTRANGE(""13KC70HngS4DDi8y9E5khtSpQEPG6owaQ9z4E-tR5mnY"","&amp;"""Non-Food!B2:B""),MATCH($C233,IMPORTRANGE(""13KC70HngS4DDi8y9E5khtSpQEPG6owaQ9z4E-tR5mnY"",""Non-Food!A2:A""),0))),"""")"),"")</f>
        <v/>
      </c>
      <c r="E233" s="15"/>
      <c r="F233" s="15"/>
      <c r="G233" s="22"/>
      <c r="H233" s="23" t="str">
        <f>IFERROR(__xludf.DUMMYFUNCTION("iferror(iferror(iferror(index(IMPORTRANGE(""1NK5L1mviMn0j3D3uo53ASkIZOFRlLnqaCTnwzOG2_Wg"",""Direct Link!B2:B""),MATCH($C233,IMPORTRANGE(""1NK5L1mviMn0j3D3uo53ASkIZOFRlLnqaCTnwzOG2_Wg"",""Direct Link!A2:A""),0)),XLOOKUP($C233,IMPORTRANGE(""1NK5L1mviMn0j3D"&amp;"3uo53ASkIZOFRlLnqaCTnwzOG2_Wg"",""Direct links Without Sizes!A2:A""),IMPORTRANGE(""1NK5L1mviMn0j3D3uo53ASkIZOFRlLnqaCTnwzOG2_Wg"",""Direct links Without Sizes!B2:B""))),XLOOKUP($C233,IMPORTRANGE(""1NK5L1mviMn0j3D3uo53ASkIZOFRlLnqaCTnwzOG2_Wg"",""Direct li"&amp;"nks Without Sizes!D2:D""),IMPORTRANGE(""1NK5L1mviMn0j3D3uo53ASkIZOFRlLnqaCTnwzOG2_Wg"",""Direct links Without Sizes!E2:E""))),"""")"),"")</f>
        <v/>
      </c>
      <c r="I233" s="4"/>
      <c r="J233" s="24" t="str">
        <f t="shared" si="1"/>
        <v/>
      </c>
      <c r="K233" s="25"/>
      <c r="L233" s="24" t="str">
        <f t="shared" si="2"/>
        <v/>
      </c>
      <c r="M233" s="4"/>
      <c r="N233" s="23"/>
      <c r="O233" s="23"/>
      <c r="P233" s="23"/>
      <c r="Q233" s="4" t="str">
        <f t="shared" si="4"/>
        <v/>
      </c>
      <c r="R233" s="20"/>
      <c r="S233" s="20"/>
    </row>
    <row r="234">
      <c r="A234" s="5"/>
      <c r="B234" s="5"/>
      <c r="C234" s="11"/>
      <c r="D234" s="7" t="str">
        <f>IFERROR(__xludf.DUMMYFUNCTION("iferror(iferror(INDEX(IMPORTRANGE(""12vtnxaE_Q1s4tyr10kZQx7ZF_xG0lBFae4jQEUtgsMU"",""All!B2:B""),MATCH($C234,IMPORTRANGE(""12vtnxaE_Q1s4tyr10kZQx7ZF_xG0lBFae4jQEUtgsMU"",""All!A2:A""),0)),INDEX(IMPORTRANGE(""13KC70HngS4DDi8y9E5khtSpQEPG6owaQ9z4E-tR5mnY"","&amp;"""Non-Food!B2:B""),MATCH($C234,IMPORTRANGE(""13KC70HngS4DDi8y9E5khtSpQEPG6owaQ9z4E-tR5mnY"",""Non-Food!A2:A""),0))),"""")"),"")</f>
        <v/>
      </c>
      <c r="E234" s="15"/>
      <c r="F234" s="15"/>
      <c r="G234" s="22"/>
      <c r="H234" s="23" t="str">
        <f>IFERROR(__xludf.DUMMYFUNCTION("iferror(iferror(iferror(index(IMPORTRANGE(""1NK5L1mviMn0j3D3uo53ASkIZOFRlLnqaCTnwzOG2_Wg"",""Direct Link!B2:B""),MATCH($C234,IMPORTRANGE(""1NK5L1mviMn0j3D3uo53ASkIZOFRlLnqaCTnwzOG2_Wg"",""Direct Link!A2:A""),0)),XLOOKUP($C234,IMPORTRANGE(""1NK5L1mviMn0j3D"&amp;"3uo53ASkIZOFRlLnqaCTnwzOG2_Wg"",""Direct links Without Sizes!A2:A""),IMPORTRANGE(""1NK5L1mviMn0j3D3uo53ASkIZOFRlLnqaCTnwzOG2_Wg"",""Direct links Without Sizes!B2:B""))),XLOOKUP($C234,IMPORTRANGE(""1NK5L1mviMn0j3D3uo53ASkIZOFRlLnqaCTnwzOG2_Wg"",""Direct li"&amp;"nks Without Sizes!D2:D""),IMPORTRANGE(""1NK5L1mviMn0j3D3uo53ASkIZOFRlLnqaCTnwzOG2_Wg"",""Direct links Without Sizes!E2:E""))),"""")"),"")</f>
        <v/>
      </c>
      <c r="I234" s="4"/>
      <c r="J234" s="24" t="str">
        <f t="shared" si="1"/>
        <v/>
      </c>
      <c r="K234" s="25"/>
      <c r="L234" s="24" t="str">
        <f t="shared" si="2"/>
        <v/>
      </c>
      <c r="M234" s="4"/>
      <c r="N234" s="23"/>
      <c r="O234" s="23"/>
      <c r="P234" s="23"/>
      <c r="Q234" s="4" t="str">
        <f t="shared" si="4"/>
        <v/>
      </c>
      <c r="R234" s="20"/>
      <c r="S234" s="20"/>
    </row>
    <row r="235">
      <c r="A235" s="5"/>
      <c r="B235" s="5"/>
      <c r="C235" s="11"/>
      <c r="D235" s="7" t="str">
        <f>IFERROR(__xludf.DUMMYFUNCTION("iferror(iferror(INDEX(IMPORTRANGE(""12vtnxaE_Q1s4tyr10kZQx7ZF_xG0lBFae4jQEUtgsMU"",""All!B2:B""),MATCH($C235,IMPORTRANGE(""12vtnxaE_Q1s4tyr10kZQx7ZF_xG0lBFae4jQEUtgsMU"",""All!A2:A""),0)),INDEX(IMPORTRANGE(""13KC70HngS4DDi8y9E5khtSpQEPG6owaQ9z4E-tR5mnY"","&amp;"""Non-Food!B2:B""),MATCH($C235,IMPORTRANGE(""13KC70HngS4DDi8y9E5khtSpQEPG6owaQ9z4E-tR5mnY"",""Non-Food!A2:A""),0))),"""")"),"")</f>
        <v/>
      </c>
      <c r="E235" s="15"/>
      <c r="F235" s="15"/>
      <c r="G235" s="22"/>
      <c r="H235" s="23" t="str">
        <f>IFERROR(__xludf.DUMMYFUNCTION("iferror(iferror(iferror(index(IMPORTRANGE(""1NK5L1mviMn0j3D3uo53ASkIZOFRlLnqaCTnwzOG2_Wg"",""Direct Link!B2:B""),MATCH($C235,IMPORTRANGE(""1NK5L1mviMn0j3D3uo53ASkIZOFRlLnqaCTnwzOG2_Wg"",""Direct Link!A2:A""),0)),XLOOKUP($C235,IMPORTRANGE(""1NK5L1mviMn0j3D"&amp;"3uo53ASkIZOFRlLnqaCTnwzOG2_Wg"",""Direct links Without Sizes!A2:A""),IMPORTRANGE(""1NK5L1mviMn0j3D3uo53ASkIZOFRlLnqaCTnwzOG2_Wg"",""Direct links Without Sizes!B2:B""))),XLOOKUP($C235,IMPORTRANGE(""1NK5L1mviMn0j3D3uo53ASkIZOFRlLnqaCTnwzOG2_Wg"",""Direct li"&amp;"nks Without Sizes!D2:D""),IMPORTRANGE(""1NK5L1mviMn0j3D3uo53ASkIZOFRlLnqaCTnwzOG2_Wg"",""Direct links Without Sizes!E2:E""))),"""")"),"")</f>
        <v/>
      </c>
      <c r="I235" s="4"/>
      <c r="J235" s="24" t="str">
        <f t="shared" si="1"/>
        <v/>
      </c>
      <c r="K235" s="25"/>
      <c r="L235" s="24" t="str">
        <f t="shared" si="2"/>
        <v/>
      </c>
      <c r="M235" s="4"/>
      <c r="N235" s="23"/>
      <c r="O235" s="23"/>
      <c r="P235" s="23"/>
      <c r="Q235" s="4" t="str">
        <f t="shared" si="4"/>
        <v/>
      </c>
      <c r="R235" s="20"/>
      <c r="S235" s="20"/>
    </row>
    <row r="236">
      <c r="A236" s="5"/>
      <c r="B236" s="5"/>
      <c r="C236" s="11"/>
      <c r="D236" s="7" t="str">
        <f>IFERROR(__xludf.DUMMYFUNCTION("iferror(iferror(INDEX(IMPORTRANGE(""12vtnxaE_Q1s4tyr10kZQx7ZF_xG0lBFae4jQEUtgsMU"",""All!B2:B""),MATCH($C236,IMPORTRANGE(""12vtnxaE_Q1s4tyr10kZQx7ZF_xG0lBFae4jQEUtgsMU"",""All!A2:A""),0)),INDEX(IMPORTRANGE(""13KC70HngS4DDi8y9E5khtSpQEPG6owaQ9z4E-tR5mnY"","&amp;"""Non-Food!B2:B""),MATCH($C236,IMPORTRANGE(""13KC70HngS4DDi8y9E5khtSpQEPG6owaQ9z4E-tR5mnY"",""Non-Food!A2:A""),0))),"""")"),"")</f>
        <v/>
      </c>
      <c r="E236" s="15"/>
      <c r="F236" s="15"/>
      <c r="G236" s="22"/>
      <c r="H236" s="23" t="str">
        <f>IFERROR(__xludf.DUMMYFUNCTION("iferror(iferror(iferror(index(IMPORTRANGE(""1NK5L1mviMn0j3D3uo53ASkIZOFRlLnqaCTnwzOG2_Wg"",""Direct Link!B2:B""),MATCH($C236,IMPORTRANGE(""1NK5L1mviMn0j3D3uo53ASkIZOFRlLnqaCTnwzOG2_Wg"",""Direct Link!A2:A""),0)),XLOOKUP($C236,IMPORTRANGE(""1NK5L1mviMn0j3D"&amp;"3uo53ASkIZOFRlLnqaCTnwzOG2_Wg"",""Direct links Without Sizes!A2:A""),IMPORTRANGE(""1NK5L1mviMn0j3D3uo53ASkIZOFRlLnqaCTnwzOG2_Wg"",""Direct links Without Sizes!B2:B""))),XLOOKUP($C236,IMPORTRANGE(""1NK5L1mviMn0j3D3uo53ASkIZOFRlLnqaCTnwzOG2_Wg"",""Direct li"&amp;"nks Without Sizes!D2:D""),IMPORTRANGE(""1NK5L1mviMn0j3D3uo53ASkIZOFRlLnqaCTnwzOG2_Wg"",""Direct links Without Sizes!E2:E""))),"""")"),"")</f>
        <v/>
      </c>
      <c r="I236" s="4"/>
      <c r="J236" s="24" t="str">
        <f t="shared" si="1"/>
        <v/>
      </c>
      <c r="K236" s="25"/>
      <c r="L236" s="24" t="str">
        <f t="shared" si="2"/>
        <v/>
      </c>
      <c r="M236" s="4"/>
      <c r="N236" s="23"/>
      <c r="O236" s="23"/>
      <c r="P236" s="23"/>
      <c r="Q236" s="4" t="str">
        <f t="shared" si="4"/>
        <v/>
      </c>
      <c r="R236" s="20"/>
      <c r="S236" s="20"/>
    </row>
    <row r="237">
      <c r="A237" s="5"/>
      <c r="B237" s="5"/>
      <c r="C237" s="11"/>
      <c r="D237" s="7" t="str">
        <f>IFERROR(__xludf.DUMMYFUNCTION("iferror(iferror(INDEX(IMPORTRANGE(""12vtnxaE_Q1s4tyr10kZQx7ZF_xG0lBFae4jQEUtgsMU"",""All!B2:B""),MATCH($C237,IMPORTRANGE(""12vtnxaE_Q1s4tyr10kZQx7ZF_xG0lBFae4jQEUtgsMU"",""All!A2:A""),0)),INDEX(IMPORTRANGE(""13KC70HngS4DDi8y9E5khtSpQEPG6owaQ9z4E-tR5mnY"","&amp;"""Non-Food!B2:B""),MATCH($C237,IMPORTRANGE(""13KC70HngS4DDi8y9E5khtSpQEPG6owaQ9z4E-tR5mnY"",""Non-Food!A2:A""),0))),"""")"),"")</f>
        <v/>
      </c>
      <c r="E237" s="15"/>
      <c r="F237" s="15"/>
      <c r="G237" s="22"/>
      <c r="H237" s="23" t="str">
        <f>IFERROR(__xludf.DUMMYFUNCTION("iferror(iferror(iferror(index(IMPORTRANGE(""1NK5L1mviMn0j3D3uo53ASkIZOFRlLnqaCTnwzOG2_Wg"",""Direct Link!B2:B""),MATCH($C237,IMPORTRANGE(""1NK5L1mviMn0j3D3uo53ASkIZOFRlLnqaCTnwzOG2_Wg"",""Direct Link!A2:A""),0)),XLOOKUP($C237,IMPORTRANGE(""1NK5L1mviMn0j3D"&amp;"3uo53ASkIZOFRlLnqaCTnwzOG2_Wg"",""Direct links Without Sizes!A2:A""),IMPORTRANGE(""1NK5L1mviMn0j3D3uo53ASkIZOFRlLnqaCTnwzOG2_Wg"",""Direct links Without Sizes!B2:B""))),XLOOKUP($C237,IMPORTRANGE(""1NK5L1mviMn0j3D3uo53ASkIZOFRlLnqaCTnwzOG2_Wg"",""Direct li"&amp;"nks Without Sizes!D2:D""),IMPORTRANGE(""1NK5L1mviMn0j3D3uo53ASkIZOFRlLnqaCTnwzOG2_Wg"",""Direct links Without Sizes!E2:E""))),"""")"),"")</f>
        <v/>
      </c>
      <c r="I237" s="4"/>
      <c r="J237" s="24" t="str">
        <f t="shared" si="1"/>
        <v/>
      </c>
      <c r="K237" s="25"/>
      <c r="L237" s="24" t="str">
        <f t="shared" si="2"/>
        <v/>
      </c>
      <c r="M237" s="4"/>
      <c r="N237" s="23"/>
      <c r="O237" s="23"/>
      <c r="P237" s="23"/>
      <c r="Q237" s="4" t="str">
        <f t="shared" si="4"/>
        <v/>
      </c>
      <c r="R237" s="20"/>
      <c r="S237" s="20"/>
    </row>
    <row r="238">
      <c r="A238" s="5"/>
      <c r="B238" s="5"/>
      <c r="C238" s="11"/>
      <c r="D238" s="7" t="str">
        <f>IFERROR(__xludf.DUMMYFUNCTION("iferror(iferror(INDEX(IMPORTRANGE(""12vtnxaE_Q1s4tyr10kZQx7ZF_xG0lBFae4jQEUtgsMU"",""All!B2:B""),MATCH($C238,IMPORTRANGE(""12vtnxaE_Q1s4tyr10kZQx7ZF_xG0lBFae4jQEUtgsMU"",""All!A2:A""),0)),INDEX(IMPORTRANGE(""13KC70HngS4DDi8y9E5khtSpQEPG6owaQ9z4E-tR5mnY"","&amp;"""Non-Food!B2:B""),MATCH($C238,IMPORTRANGE(""13KC70HngS4DDi8y9E5khtSpQEPG6owaQ9z4E-tR5mnY"",""Non-Food!A2:A""),0))),"""")"),"")</f>
        <v/>
      </c>
      <c r="E238" s="15"/>
      <c r="F238" s="15"/>
      <c r="G238" s="22"/>
      <c r="H238" s="23" t="str">
        <f>IFERROR(__xludf.DUMMYFUNCTION("iferror(iferror(iferror(index(IMPORTRANGE(""1NK5L1mviMn0j3D3uo53ASkIZOFRlLnqaCTnwzOG2_Wg"",""Direct Link!B2:B""),MATCH($C238,IMPORTRANGE(""1NK5L1mviMn0j3D3uo53ASkIZOFRlLnqaCTnwzOG2_Wg"",""Direct Link!A2:A""),0)),XLOOKUP($C238,IMPORTRANGE(""1NK5L1mviMn0j3D"&amp;"3uo53ASkIZOFRlLnqaCTnwzOG2_Wg"",""Direct links Without Sizes!A2:A""),IMPORTRANGE(""1NK5L1mviMn0j3D3uo53ASkIZOFRlLnqaCTnwzOG2_Wg"",""Direct links Without Sizes!B2:B""))),XLOOKUP($C238,IMPORTRANGE(""1NK5L1mviMn0j3D3uo53ASkIZOFRlLnqaCTnwzOG2_Wg"",""Direct li"&amp;"nks Without Sizes!D2:D""),IMPORTRANGE(""1NK5L1mviMn0j3D3uo53ASkIZOFRlLnqaCTnwzOG2_Wg"",""Direct links Without Sizes!E2:E""))),"""")"),"")</f>
        <v/>
      </c>
      <c r="I238" s="4"/>
      <c r="J238" s="24" t="str">
        <f t="shared" si="1"/>
        <v/>
      </c>
      <c r="K238" s="25"/>
      <c r="L238" s="24" t="str">
        <f t="shared" si="2"/>
        <v/>
      </c>
      <c r="M238" s="4"/>
      <c r="N238" s="23"/>
      <c r="O238" s="23"/>
      <c r="P238" s="23"/>
      <c r="Q238" s="4" t="str">
        <f t="shared" si="4"/>
        <v/>
      </c>
      <c r="R238" s="20"/>
      <c r="S238" s="20"/>
    </row>
    <row r="239">
      <c r="A239" s="5"/>
      <c r="B239" s="5"/>
      <c r="C239" s="11"/>
      <c r="D239" s="7" t="str">
        <f>IFERROR(__xludf.DUMMYFUNCTION("iferror(iferror(INDEX(IMPORTRANGE(""12vtnxaE_Q1s4tyr10kZQx7ZF_xG0lBFae4jQEUtgsMU"",""All!B2:B""),MATCH($C239,IMPORTRANGE(""12vtnxaE_Q1s4tyr10kZQx7ZF_xG0lBFae4jQEUtgsMU"",""All!A2:A""),0)),INDEX(IMPORTRANGE(""13KC70HngS4DDi8y9E5khtSpQEPG6owaQ9z4E-tR5mnY"","&amp;"""Non-Food!B2:B""),MATCH($C239,IMPORTRANGE(""13KC70HngS4DDi8y9E5khtSpQEPG6owaQ9z4E-tR5mnY"",""Non-Food!A2:A""),0))),"""")"),"")</f>
        <v/>
      </c>
      <c r="E239" s="15"/>
      <c r="F239" s="15"/>
      <c r="G239" s="22"/>
      <c r="H239" s="23" t="str">
        <f>IFERROR(__xludf.DUMMYFUNCTION("iferror(iferror(iferror(index(IMPORTRANGE(""1NK5L1mviMn0j3D3uo53ASkIZOFRlLnqaCTnwzOG2_Wg"",""Direct Link!B2:B""),MATCH($C239,IMPORTRANGE(""1NK5L1mviMn0j3D3uo53ASkIZOFRlLnqaCTnwzOG2_Wg"",""Direct Link!A2:A""),0)),XLOOKUP($C239,IMPORTRANGE(""1NK5L1mviMn0j3D"&amp;"3uo53ASkIZOFRlLnqaCTnwzOG2_Wg"",""Direct links Without Sizes!A2:A""),IMPORTRANGE(""1NK5L1mviMn0j3D3uo53ASkIZOFRlLnqaCTnwzOG2_Wg"",""Direct links Without Sizes!B2:B""))),XLOOKUP($C239,IMPORTRANGE(""1NK5L1mviMn0j3D3uo53ASkIZOFRlLnqaCTnwzOG2_Wg"",""Direct li"&amp;"nks Without Sizes!D2:D""),IMPORTRANGE(""1NK5L1mviMn0j3D3uo53ASkIZOFRlLnqaCTnwzOG2_Wg"",""Direct links Without Sizes!E2:E""))),"""")"),"")</f>
        <v/>
      </c>
      <c r="I239" s="4"/>
      <c r="J239" s="24" t="str">
        <f t="shared" si="1"/>
        <v/>
      </c>
      <c r="K239" s="25"/>
      <c r="L239" s="24" t="str">
        <f t="shared" si="2"/>
        <v/>
      </c>
      <c r="M239" s="4"/>
      <c r="N239" s="23"/>
      <c r="O239" s="23"/>
      <c r="P239" s="23"/>
      <c r="Q239" s="4" t="str">
        <f t="shared" si="4"/>
        <v/>
      </c>
      <c r="R239" s="20"/>
      <c r="S239" s="20"/>
    </row>
    <row r="240">
      <c r="A240" s="5"/>
      <c r="B240" s="5"/>
      <c r="C240" s="11"/>
      <c r="D240" s="7" t="str">
        <f>IFERROR(__xludf.DUMMYFUNCTION("iferror(iferror(INDEX(IMPORTRANGE(""12vtnxaE_Q1s4tyr10kZQx7ZF_xG0lBFae4jQEUtgsMU"",""All!B2:B""),MATCH($C240,IMPORTRANGE(""12vtnxaE_Q1s4tyr10kZQx7ZF_xG0lBFae4jQEUtgsMU"",""All!A2:A""),0)),INDEX(IMPORTRANGE(""13KC70HngS4DDi8y9E5khtSpQEPG6owaQ9z4E-tR5mnY"","&amp;"""Non-Food!B2:B""),MATCH($C240,IMPORTRANGE(""13KC70HngS4DDi8y9E5khtSpQEPG6owaQ9z4E-tR5mnY"",""Non-Food!A2:A""),0))),"""")"),"")</f>
        <v/>
      </c>
      <c r="E240" s="15"/>
      <c r="F240" s="15"/>
      <c r="G240" s="22"/>
      <c r="H240" s="23" t="str">
        <f>IFERROR(__xludf.DUMMYFUNCTION("iferror(iferror(iferror(index(IMPORTRANGE(""1NK5L1mviMn0j3D3uo53ASkIZOFRlLnqaCTnwzOG2_Wg"",""Direct Link!B2:B""),MATCH($C240,IMPORTRANGE(""1NK5L1mviMn0j3D3uo53ASkIZOFRlLnqaCTnwzOG2_Wg"",""Direct Link!A2:A""),0)),XLOOKUP($C240,IMPORTRANGE(""1NK5L1mviMn0j3D"&amp;"3uo53ASkIZOFRlLnqaCTnwzOG2_Wg"",""Direct links Without Sizes!A2:A""),IMPORTRANGE(""1NK5L1mviMn0j3D3uo53ASkIZOFRlLnqaCTnwzOG2_Wg"",""Direct links Without Sizes!B2:B""))),XLOOKUP($C240,IMPORTRANGE(""1NK5L1mviMn0j3D3uo53ASkIZOFRlLnqaCTnwzOG2_Wg"",""Direct li"&amp;"nks Without Sizes!D2:D""),IMPORTRANGE(""1NK5L1mviMn0j3D3uo53ASkIZOFRlLnqaCTnwzOG2_Wg"",""Direct links Without Sizes!E2:E""))),"""")"),"")</f>
        <v/>
      </c>
      <c r="I240" s="4"/>
      <c r="J240" s="24" t="str">
        <f t="shared" si="1"/>
        <v/>
      </c>
      <c r="K240" s="25"/>
      <c r="L240" s="24" t="str">
        <f t="shared" si="2"/>
        <v/>
      </c>
      <c r="M240" s="4"/>
      <c r="N240" s="23"/>
      <c r="O240" s="23"/>
      <c r="P240" s="23"/>
      <c r="Q240" s="4" t="str">
        <f t="shared" si="4"/>
        <v/>
      </c>
      <c r="R240" s="20"/>
      <c r="S240" s="20"/>
    </row>
    <row r="241">
      <c r="A241" s="5"/>
      <c r="B241" s="5"/>
      <c r="C241" s="11"/>
      <c r="D241" s="7" t="str">
        <f>IFERROR(__xludf.DUMMYFUNCTION("iferror(iferror(INDEX(IMPORTRANGE(""12vtnxaE_Q1s4tyr10kZQx7ZF_xG0lBFae4jQEUtgsMU"",""All!B2:B""),MATCH($C241,IMPORTRANGE(""12vtnxaE_Q1s4tyr10kZQx7ZF_xG0lBFae4jQEUtgsMU"",""All!A2:A""),0)),INDEX(IMPORTRANGE(""13KC70HngS4DDi8y9E5khtSpQEPG6owaQ9z4E-tR5mnY"","&amp;"""Non-Food!B2:B""),MATCH($C241,IMPORTRANGE(""13KC70HngS4DDi8y9E5khtSpQEPG6owaQ9z4E-tR5mnY"",""Non-Food!A2:A""),0))),"""")"),"")</f>
        <v/>
      </c>
      <c r="E241" s="15"/>
      <c r="F241" s="15"/>
      <c r="G241" s="22"/>
      <c r="H241" s="23" t="str">
        <f>IFERROR(__xludf.DUMMYFUNCTION("iferror(iferror(iferror(index(IMPORTRANGE(""1NK5L1mviMn0j3D3uo53ASkIZOFRlLnqaCTnwzOG2_Wg"",""Direct Link!B2:B""),MATCH($C241,IMPORTRANGE(""1NK5L1mviMn0j3D3uo53ASkIZOFRlLnqaCTnwzOG2_Wg"",""Direct Link!A2:A""),0)),XLOOKUP($C241,IMPORTRANGE(""1NK5L1mviMn0j3D"&amp;"3uo53ASkIZOFRlLnqaCTnwzOG2_Wg"",""Direct links Without Sizes!A2:A""),IMPORTRANGE(""1NK5L1mviMn0j3D3uo53ASkIZOFRlLnqaCTnwzOG2_Wg"",""Direct links Without Sizes!B2:B""))),XLOOKUP($C241,IMPORTRANGE(""1NK5L1mviMn0j3D3uo53ASkIZOFRlLnqaCTnwzOG2_Wg"",""Direct li"&amp;"nks Without Sizes!D2:D""),IMPORTRANGE(""1NK5L1mviMn0j3D3uo53ASkIZOFRlLnqaCTnwzOG2_Wg"",""Direct links Without Sizes!E2:E""))),"""")"),"")</f>
        <v/>
      </c>
      <c r="I241" s="4"/>
      <c r="J241" s="24" t="str">
        <f t="shared" si="1"/>
        <v/>
      </c>
      <c r="K241" s="25"/>
      <c r="L241" s="24" t="str">
        <f t="shared" si="2"/>
        <v/>
      </c>
      <c r="M241" s="4"/>
      <c r="N241" s="23"/>
      <c r="O241" s="23"/>
      <c r="P241" s="23"/>
      <c r="Q241" s="4" t="str">
        <f t="shared" si="4"/>
        <v/>
      </c>
      <c r="R241" s="20"/>
      <c r="S241" s="20"/>
    </row>
    <row r="242">
      <c r="A242" s="5"/>
      <c r="B242" s="5"/>
      <c r="C242" s="11"/>
      <c r="D242" s="7" t="str">
        <f>IFERROR(__xludf.DUMMYFUNCTION("iferror(iferror(INDEX(IMPORTRANGE(""12vtnxaE_Q1s4tyr10kZQx7ZF_xG0lBFae4jQEUtgsMU"",""All!B2:B""),MATCH($C242,IMPORTRANGE(""12vtnxaE_Q1s4tyr10kZQx7ZF_xG0lBFae4jQEUtgsMU"",""All!A2:A""),0)),INDEX(IMPORTRANGE(""13KC70HngS4DDi8y9E5khtSpQEPG6owaQ9z4E-tR5mnY"","&amp;"""Non-Food!B2:B""),MATCH($C242,IMPORTRANGE(""13KC70HngS4DDi8y9E5khtSpQEPG6owaQ9z4E-tR5mnY"",""Non-Food!A2:A""),0))),"""")"),"")</f>
        <v/>
      </c>
      <c r="E242" s="15"/>
      <c r="F242" s="15"/>
      <c r="G242" s="22"/>
      <c r="H242" s="23" t="str">
        <f>IFERROR(__xludf.DUMMYFUNCTION("iferror(iferror(iferror(index(IMPORTRANGE(""1NK5L1mviMn0j3D3uo53ASkIZOFRlLnqaCTnwzOG2_Wg"",""Direct Link!B2:B""),MATCH($C242,IMPORTRANGE(""1NK5L1mviMn0j3D3uo53ASkIZOFRlLnqaCTnwzOG2_Wg"",""Direct Link!A2:A""),0)),XLOOKUP($C242,IMPORTRANGE(""1NK5L1mviMn0j3D"&amp;"3uo53ASkIZOFRlLnqaCTnwzOG2_Wg"",""Direct links Without Sizes!A2:A""),IMPORTRANGE(""1NK5L1mviMn0j3D3uo53ASkIZOFRlLnqaCTnwzOG2_Wg"",""Direct links Without Sizes!B2:B""))),XLOOKUP($C242,IMPORTRANGE(""1NK5L1mviMn0j3D3uo53ASkIZOFRlLnqaCTnwzOG2_Wg"",""Direct li"&amp;"nks Without Sizes!D2:D""),IMPORTRANGE(""1NK5L1mviMn0j3D3uo53ASkIZOFRlLnqaCTnwzOG2_Wg"",""Direct links Without Sizes!E2:E""))),"""")"),"")</f>
        <v/>
      </c>
      <c r="I242" s="4"/>
      <c r="J242" s="24" t="str">
        <f t="shared" si="1"/>
        <v/>
      </c>
      <c r="K242" s="25"/>
      <c r="L242" s="24" t="str">
        <f t="shared" si="2"/>
        <v/>
      </c>
      <c r="M242" s="4"/>
      <c r="N242" s="23"/>
      <c r="O242" s="23"/>
      <c r="P242" s="23"/>
      <c r="Q242" s="4" t="str">
        <f t="shared" si="4"/>
        <v/>
      </c>
      <c r="R242" s="20"/>
      <c r="S242" s="20"/>
    </row>
    <row r="243">
      <c r="A243" s="5"/>
      <c r="B243" s="5"/>
      <c r="C243" s="11"/>
      <c r="D243" s="7" t="str">
        <f>IFERROR(__xludf.DUMMYFUNCTION("iferror(iferror(INDEX(IMPORTRANGE(""12vtnxaE_Q1s4tyr10kZQx7ZF_xG0lBFae4jQEUtgsMU"",""All!B2:B""),MATCH($C243,IMPORTRANGE(""12vtnxaE_Q1s4tyr10kZQx7ZF_xG0lBFae4jQEUtgsMU"",""All!A2:A""),0)),INDEX(IMPORTRANGE(""13KC70HngS4DDi8y9E5khtSpQEPG6owaQ9z4E-tR5mnY"","&amp;"""Non-Food!B2:B""),MATCH($C243,IMPORTRANGE(""13KC70HngS4DDi8y9E5khtSpQEPG6owaQ9z4E-tR5mnY"",""Non-Food!A2:A""),0))),"""")"),"")</f>
        <v/>
      </c>
      <c r="E243" s="15"/>
      <c r="F243" s="15"/>
      <c r="G243" s="22"/>
      <c r="H243" s="23" t="str">
        <f>IFERROR(__xludf.DUMMYFUNCTION("iferror(iferror(iferror(index(IMPORTRANGE(""1NK5L1mviMn0j3D3uo53ASkIZOFRlLnqaCTnwzOG2_Wg"",""Direct Link!B2:B""),MATCH($C243,IMPORTRANGE(""1NK5L1mviMn0j3D3uo53ASkIZOFRlLnqaCTnwzOG2_Wg"",""Direct Link!A2:A""),0)),XLOOKUP($C243,IMPORTRANGE(""1NK5L1mviMn0j3D"&amp;"3uo53ASkIZOFRlLnqaCTnwzOG2_Wg"",""Direct links Without Sizes!A2:A""),IMPORTRANGE(""1NK5L1mviMn0j3D3uo53ASkIZOFRlLnqaCTnwzOG2_Wg"",""Direct links Without Sizes!B2:B""))),XLOOKUP($C243,IMPORTRANGE(""1NK5L1mviMn0j3D3uo53ASkIZOFRlLnqaCTnwzOG2_Wg"",""Direct li"&amp;"nks Without Sizes!D2:D""),IMPORTRANGE(""1NK5L1mviMn0j3D3uo53ASkIZOFRlLnqaCTnwzOG2_Wg"",""Direct links Without Sizes!E2:E""))),"""")"),"")</f>
        <v/>
      </c>
      <c r="I243" s="4"/>
      <c r="J243" s="24" t="str">
        <f t="shared" si="1"/>
        <v/>
      </c>
      <c r="K243" s="25"/>
      <c r="L243" s="24" t="str">
        <f t="shared" si="2"/>
        <v/>
      </c>
      <c r="M243" s="4"/>
      <c r="N243" s="23"/>
      <c r="O243" s="23"/>
      <c r="P243" s="23"/>
      <c r="Q243" s="4" t="str">
        <f t="shared" si="4"/>
        <v/>
      </c>
      <c r="R243" s="20"/>
      <c r="S243" s="20"/>
    </row>
    <row r="244">
      <c r="A244" s="5"/>
      <c r="B244" s="4"/>
      <c r="C244" s="11"/>
      <c r="D244" s="7" t="str">
        <f>IFERROR(__xludf.DUMMYFUNCTION("iferror(iferror(INDEX(IMPORTRANGE(""12vtnxaE_Q1s4tyr10kZQx7ZF_xG0lBFae4jQEUtgsMU"",""All!B2:B""),MATCH($C244,IMPORTRANGE(""12vtnxaE_Q1s4tyr10kZQx7ZF_xG0lBFae4jQEUtgsMU"",""All!A2:A""),0)),INDEX(IMPORTRANGE(""13KC70HngS4DDi8y9E5khtSpQEPG6owaQ9z4E-tR5mnY"","&amp;"""Non-Food!B2:B""),MATCH($C244,IMPORTRANGE(""13KC70HngS4DDi8y9E5khtSpQEPG6owaQ9z4E-tR5mnY"",""Non-Food!A2:A""),0))),"""")"),"")</f>
        <v/>
      </c>
      <c r="E244" s="15"/>
      <c r="F244" s="15"/>
      <c r="G244" s="36"/>
      <c r="H244" s="23" t="str">
        <f>IFERROR(__xludf.DUMMYFUNCTION("iferror(iferror(iferror(index(IMPORTRANGE(""1NK5L1mviMn0j3D3uo53ASkIZOFRlLnqaCTnwzOG2_Wg"",""Direct Link!B2:B""),MATCH($C244,IMPORTRANGE(""1NK5L1mviMn0j3D3uo53ASkIZOFRlLnqaCTnwzOG2_Wg"",""Direct Link!A2:A""),0)),XLOOKUP($C244,IMPORTRANGE(""1NK5L1mviMn0j3D"&amp;"3uo53ASkIZOFRlLnqaCTnwzOG2_Wg"",""Direct links Without Sizes!A2:A""),IMPORTRANGE(""1NK5L1mviMn0j3D3uo53ASkIZOFRlLnqaCTnwzOG2_Wg"",""Direct links Without Sizes!B2:B""))),XLOOKUP($C244,IMPORTRANGE(""1NK5L1mviMn0j3D3uo53ASkIZOFRlLnqaCTnwzOG2_Wg"",""Direct li"&amp;"nks Without Sizes!D2:D""),IMPORTRANGE(""1NK5L1mviMn0j3D3uo53ASkIZOFRlLnqaCTnwzOG2_Wg"",""Direct links Without Sizes!E2:E""))),"""")"),"")</f>
        <v/>
      </c>
      <c r="I244" s="4"/>
      <c r="J244" s="24" t="str">
        <f t="shared" si="1"/>
        <v/>
      </c>
      <c r="K244" s="25"/>
      <c r="L244" s="24" t="str">
        <f t="shared" si="2"/>
        <v/>
      </c>
      <c r="M244" s="4"/>
      <c r="N244" s="23"/>
      <c r="O244" s="23"/>
      <c r="P244" s="23"/>
      <c r="Q244" s="4" t="str">
        <f t="shared" si="4"/>
        <v/>
      </c>
      <c r="R244" s="20"/>
      <c r="S244" s="20"/>
    </row>
    <row r="245">
      <c r="A245" s="4"/>
      <c r="B245" s="4"/>
      <c r="C245" s="11"/>
      <c r="D245" s="7" t="str">
        <f>IFERROR(__xludf.DUMMYFUNCTION("iferror(iferror(INDEX(IMPORTRANGE(""12vtnxaE_Q1s4tyr10kZQx7ZF_xG0lBFae4jQEUtgsMU"",""All!B2:B""),MATCH($C245,IMPORTRANGE(""12vtnxaE_Q1s4tyr10kZQx7ZF_xG0lBFae4jQEUtgsMU"",""All!A2:A""),0)),INDEX(IMPORTRANGE(""13KC70HngS4DDi8y9E5khtSpQEPG6owaQ9z4E-tR5mnY"","&amp;"""Non-Food!B2:B""),MATCH($C245,IMPORTRANGE(""13KC70HngS4DDi8y9E5khtSpQEPG6owaQ9z4E-tR5mnY"",""Non-Food!A2:A""),0))),"""")"),"")</f>
        <v/>
      </c>
      <c r="E245" s="15"/>
      <c r="F245" s="15"/>
      <c r="G245" s="36"/>
      <c r="H245" s="23" t="str">
        <f>IFERROR(__xludf.DUMMYFUNCTION("iferror(iferror(iferror(index(IMPORTRANGE(""1NK5L1mviMn0j3D3uo53ASkIZOFRlLnqaCTnwzOG2_Wg"",""Direct Link!B2:B""),MATCH($C245,IMPORTRANGE(""1NK5L1mviMn0j3D3uo53ASkIZOFRlLnqaCTnwzOG2_Wg"",""Direct Link!A2:A""),0)),XLOOKUP($C245,IMPORTRANGE(""1NK5L1mviMn0j3D"&amp;"3uo53ASkIZOFRlLnqaCTnwzOG2_Wg"",""Direct links Without Sizes!A2:A""),IMPORTRANGE(""1NK5L1mviMn0j3D3uo53ASkIZOFRlLnqaCTnwzOG2_Wg"",""Direct links Without Sizes!B2:B""))),XLOOKUP($C245,IMPORTRANGE(""1NK5L1mviMn0j3D3uo53ASkIZOFRlLnqaCTnwzOG2_Wg"",""Direct li"&amp;"nks Without Sizes!D2:D""),IMPORTRANGE(""1NK5L1mviMn0j3D3uo53ASkIZOFRlLnqaCTnwzOG2_Wg"",""Direct links Without Sizes!E2:E""))),"""")"),"")</f>
        <v/>
      </c>
      <c r="I245" s="4"/>
      <c r="J245" s="24" t="str">
        <f t="shared" si="1"/>
        <v/>
      </c>
      <c r="K245" s="25"/>
      <c r="L245" s="24" t="str">
        <f t="shared" si="2"/>
        <v/>
      </c>
      <c r="M245" s="4"/>
      <c r="N245" s="23"/>
      <c r="O245" s="23"/>
      <c r="P245" s="23"/>
      <c r="Q245" s="4" t="str">
        <f t="shared" si="4"/>
        <v/>
      </c>
      <c r="R245" s="20"/>
      <c r="S245" s="20"/>
    </row>
    <row r="246">
      <c r="A246" s="4"/>
      <c r="B246" s="4"/>
      <c r="C246" s="11"/>
      <c r="D246" s="7" t="str">
        <f>IFERROR(__xludf.DUMMYFUNCTION("iferror(iferror(INDEX(IMPORTRANGE(""12vtnxaE_Q1s4tyr10kZQx7ZF_xG0lBFae4jQEUtgsMU"",""All!B2:B""),MATCH($C246,IMPORTRANGE(""12vtnxaE_Q1s4tyr10kZQx7ZF_xG0lBFae4jQEUtgsMU"",""All!A2:A""),0)),INDEX(IMPORTRANGE(""13KC70HngS4DDi8y9E5khtSpQEPG6owaQ9z4E-tR5mnY"","&amp;"""Non-Food!B2:B""),MATCH($C246,IMPORTRANGE(""13KC70HngS4DDi8y9E5khtSpQEPG6owaQ9z4E-tR5mnY"",""Non-Food!A2:A""),0))),"""")"),"")</f>
        <v/>
      </c>
      <c r="E246" s="15"/>
      <c r="F246" s="15"/>
      <c r="G246" s="36"/>
      <c r="H246" s="23" t="str">
        <f>IFERROR(__xludf.DUMMYFUNCTION("iferror(iferror(iferror(index(IMPORTRANGE(""1NK5L1mviMn0j3D3uo53ASkIZOFRlLnqaCTnwzOG2_Wg"",""Direct Link!B2:B""),MATCH($C246,IMPORTRANGE(""1NK5L1mviMn0j3D3uo53ASkIZOFRlLnqaCTnwzOG2_Wg"",""Direct Link!A2:A""),0)),XLOOKUP($C246,IMPORTRANGE(""1NK5L1mviMn0j3D"&amp;"3uo53ASkIZOFRlLnqaCTnwzOG2_Wg"",""Direct links Without Sizes!A2:A""),IMPORTRANGE(""1NK5L1mviMn0j3D3uo53ASkIZOFRlLnqaCTnwzOG2_Wg"",""Direct links Without Sizes!B2:B""))),XLOOKUP($C246,IMPORTRANGE(""1NK5L1mviMn0j3D3uo53ASkIZOFRlLnqaCTnwzOG2_Wg"",""Direct li"&amp;"nks Without Sizes!D2:D""),IMPORTRANGE(""1NK5L1mviMn0j3D3uo53ASkIZOFRlLnqaCTnwzOG2_Wg"",""Direct links Without Sizes!E2:E""))),"""")"),"")</f>
        <v/>
      </c>
      <c r="I246" s="4"/>
      <c r="J246" s="24" t="str">
        <f t="shared" si="1"/>
        <v/>
      </c>
      <c r="K246" s="25"/>
      <c r="L246" s="24" t="str">
        <f t="shared" si="2"/>
        <v/>
      </c>
      <c r="M246" s="4"/>
      <c r="N246" s="23"/>
      <c r="O246" s="23"/>
      <c r="P246" s="23"/>
      <c r="Q246" s="4" t="str">
        <f t="shared" si="4"/>
        <v/>
      </c>
      <c r="R246" s="20"/>
      <c r="S246" s="20"/>
    </row>
    <row r="247">
      <c r="A247" s="4"/>
      <c r="B247" s="4"/>
      <c r="C247" s="11"/>
      <c r="D247" s="7" t="str">
        <f>IFERROR(__xludf.DUMMYFUNCTION("iferror(iferror(INDEX(IMPORTRANGE(""12vtnxaE_Q1s4tyr10kZQx7ZF_xG0lBFae4jQEUtgsMU"",""All!B2:B""),MATCH($C247,IMPORTRANGE(""12vtnxaE_Q1s4tyr10kZQx7ZF_xG0lBFae4jQEUtgsMU"",""All!A2:A""),0)),INDEX(IMPORTRANGE(""13KC70HngS4DDi8y9E5khtSpQEPG6owaQ9z4E-tR5mnY"","&amp;"""Non-Food!B2:B""),MATCH($C247,IMPORTRANGE(""13KC70HngS4DDi8y9E5khtSpQEPG6owaQ9z4E-tR5mnY"",""Non-Food!A2:A""),0))),"""")"),"")</f>
        <v/>
      </c>
      <c r="E247" s="15"/>
      <c r="F247" s="15"/>
      <c r="G247" s="36"/>
      <c r="H247" s="23" t="str">
        <f>IFERROR(__xludf.DUMMYFUNCTION("iferror(iferror(iferror(index(IMPORTRANGE(""1NK5L1mviMn0j3D3uo53ASkIZOFRlLnqaCTnwzOG2_Wg"",""Direct Link!B2:B""),MATCH($C247,IMPORTRANGE(""1NK5L1mviMn0j3D3uo53ASkIZOFRlLnqaCTnwzOG2_Wg"",""Direct Link!A2:A""),0)),XLOOKUP($C247,IMPORTRANGE(""1NK5L1mviMn0j3D"&amp;"3uo53ASkIZOFRlLnqaCTnwzOG2_Wg"",""Direct links Without Sizes!A2:A""),IMPORTRANGE(""1NK5L1mviMn0j3D3uo53ASkIZOFRlLnqaCTnwzOG2_Wg"",""Direct links Without Sizes!B2:B""))),XLOOKUP($C247,IMPORTRANGE(""1NK5L1mviMn0j3D3uo53ASkIZOFRlLnqaCTnwzOG2_Wg"",""Direct li"&amp;"nks Without Sizes!D2:D""),IMPORTRANGE(""1NK5L1mviMn0j3D3uo53ASkIZOFRlLnqaCTnwzOG2_Wg"",""Direct links Without Sizes!E2:E""))),"""")"),"")</f>
        <v/>
      </c>
      <c r="I247" s="4"/>
      <c r="J247" s="24" t="str">
        <f t="shared" si="1"/>
        <v/>
      </c>
      <c r="K247" s="25"/>
      <c r="L247" s="24" t="str">
        <f t="shared" si="2"/>
        <v/>
      </c>
      <c r="M247" s="4"/>
      <c r="N247" s="23"/>
      <c r="O247" s="23"/>
      <c r="P247" s="23"/>
      <c r="Q247" s="4" t="str">
        <f t="shared" si="4"/>
        <v/>
      </c>
      <c r="R247" s="20"/>
      <c r="S247" s="20"/>
    </row>
    <row r="248">
      <c r="A248" s="4"/>
      <c r="B248" s="4"/>
      <c r="C248" s="11"/>
      <c r="D248" s="7" t="str">
        <f>IFERROR(__xludf.DUMMYFUNCTION("iferror(iferror(INDEX(IMPORTRANGE(""12vtnxaE_Q1s4tyr10kZQx7ZF_xG0lBFae4jQEUtgsMU"",""All!B2:B""),MATCH($C248,IMPORTRANGE(""12vtnxaE_Q1s4tyr10kZQx7ZF_xG0lBFae4jQEUtgsMU"",""All!A2:A""),0)),INDEX(IMPORTRANGE(""13KC70HngS4DDi8y9E5khtSpQEPG6owaQ9z4E-tR5mnY"","&amp;"""Non-Food!B2:B""),MATCH($C248,IMPORTRANGE(""13KC70HngS4DDi8y9E5khtSpQEPG6owaQ9z4E-tR5mnY"",""Non-Food!A2:A""),0))),"""")"),"")</f>
        <v/>
      </c>
      <c r="E248" s="15"/>
      <c r="F248" s="15"/>
      <c r="G248" s="36"/>
      <c r="H248" s="23" t="str">
        <f>IFERROR(__xludf.DUMMYFUNCTION("iferror(iferror(iferror(index(IMPORTRANGE(""1NK5L1mviMn0j3D3uo53ASkIZOFRlLnqaCTnwzOG2_Wg"",""Direct Link!B2:B""),MATCH($C248,IMPORTRANGE(""1NK5L1mviMn0j3D3uo53ASkIZOFRlLnqaCTnwzOG2_Wg"",""Direct Link!A2:A""),0)),XLOOKUP($C248,IMPORTRANGE(""1NK5L1mviMn0j3D"&amp;"3uo53ASkIZOFRlLnqaCTnwzOG2_Wg"",""Direct links Without Sizes!A2:A""),IMPORTRANGE(""1NK5L1mviMn0j3D3uo53ASkIZOFRlLnqaCTnwzOG2_Wg"",""Direct links Without Sizes!B2:B""))),XLOOKUP($C248,IMPORTRANGE(""1NK5L1mviMn0j3D3uo53ASkIZOFRlLnqaCTnwzOG2_Wg"",""Direct li"&amp;"nks Without Sizes!D2:D""),IMPORTRANGE(""1NK5L1mviMn0j3D3uo53ASkIZOFRlLnqaCTnwzOG2_Wg"",""Direct links Without Sizes!E2:E""))),"""")"),"")</f>
        <v/>
      </c>
      <c r="I248" s="4"/>
      <c r="J248" s="24" t="str">
        <f t="shared" si="1"/>
        <v/>
      </c>
      <c r="K248" s="25"/>
      <c r="L248" s="24" t="str">
        <f t="shared" si="2"/>
        <v/>
      </c>
      <c r="M248" s="4"/>
      <c r="N248" s="23"/>
      <c r="O248" s="23"/>
      <c r="P248" s="23"/>
      <c r="Q248" s="4" t="str">
        <f t="shared" si="4"/>
        <v/>
      </c>
      <c r="R248" s="20"/>
      <c r="S248" s="20"/>
    </row>
    <row r="249">
      <c r="A249" s="4"/>
      <c r="B249" s="4"/>
      <c r="C249" s="11"/>
      <c r="D249" s="7" t="str">
        <f>IFERROR(__xludf.DUMMYFUNCTION("iferror(iferror(INDEX(IMPORTRANGE(""12vtnxaE_Q1s4tyr10kZQx7ZF_xG0lBFae4jQEUtgsMU"",""All!B2:B""),MATCH($C249,IMPORTRANGE(""12vtnxaE_Q1s4tyr10kZQx7ZF_xG0lBFae4jQEUtgsMU"",""All!A2:A""),0)),INDEX(IMPORTRANGE(""13KC70HngS4DDi8y9E5khtSpQEPG6owaQ9z4E-tR5mnY"","&amp;"""Non-Food!B2:B""),MATCH($C249,IMPORTRANGE(""13KC70HngS4DDi8y9E5khtSpQEPG6owaQ9z4E-tR5mnY"",""Non-Food!A2:A""),0))),"""")"),"")</f>
        <v/>
      </c>
      <c r="E249" s="15"/>
      <c r="F249" s="15"/>
      <c r="G249" s="36"/>
      <c r="H249" s="23" t="str">
        <f>IFERROR(__xludf.DUMMYFUNCTION("iferror(iferror(iferror(index(IMPORTRANGE(""1NK5L1mviMn0j3D3uo53ASkIZOFRlLnqaCTnwzOG2_Wg"",""Direct Link!B2:B""),MATCH($C249,IMPORTRANGE(""1NK5L1mviMn0j3D3uo53ASkIZOFRlLnqaCTnwzOG2_Wg"",""Direct Link!A2:A""),0)),XLOOKUP($C249,IMPORTRANGE(""1NK5L1mviMn0j3D"&amp;"3uo53ASkIZOFRlLnqaCTnwzOG2_Wg"",""Direct links Without Sizes!A2:A""),IMPORTRANGE(""1NK5L1mviMn0j3D3uo53ASkIZOFRlLnqaCTnwzOG2_Wg"",""Direct links Without Sizes!B2:B""))),XLOOKUP($C249,IMPORTRANGE(""1NK5L1mviMn0j3D3uo53ASkIZOFRlLnqaCTnwzOG2_Wg"",""Direct li"&amp;"nks Without Sizes!D2:D""),IMPORTRANGE(""1NK5L1mviMn0j3D3uo53ASkIZOFRlLnqaCTnwzOG2_Wg"",""Direct links Without Sizes!E2:E""))),"""")"),"")</f>
        <v/>
      </c>
      <c r="I249" s="4"/>
      <c r="J249" s="24" t="str">
        <f t="shared" si="1"/>
        <v/>
      </c>
      <c r="K249" s="25"/>
      <c r="L249" s="24" t="str">
        <f t="shared" si="2"/>
        <v/>
      </c>
      <c r="M249" s="4"/>
      <c r="N249" s="23"/>
      <c r="O249" s="23"/>
      <c r="P249" s="23"/>
      <c r="Q249" s="4" t="str">
        <f t="shared" si="4"/>
        <v/>
      </c>
      <c r="R249" s="20"/>
      <c r="S249" s="20"/>
    </row>
    <row r="250">
      <c r="A250" s="4"/>
      <c r="B250" s="4"/>
      <c r="C250" s="11"/>
      <c r="D250" s="7" t="str">
        <f>IFERROR(__xludf.DUMMYFUNCTION("iferror(iferror(INDEX(IMPORTRANGE(""12vtnxaE_Q1s4tyr10kZQx7ZF_xG0lBFae4jQEUtgsMU"",""All!B2:B""),MATCH($C250,IMPORTRANGE(""12vtnxaE_Q1s4tyr10kZQx7ZF_xG0lBFae4jQEUtgsMU"",""All!A2:A""),0)),INDEX(IMPORTRANGE(""13KC70HngS4DDi8y9E5khtSpQEPG6owaQ9z4E-tR5mnY"","&amp;"""Non-Food!B2:B""),MATCH($C250,IMPORTRANGE(""13KC70HngS4DDi8y9E5khtSpQEPG6owaQ9z4E-tR5mnY"",""Non-Food!A2:A""),0))),"""")"),"")</f>
        <v/>
      </c>
      <c r="E250" s="15"/>
      <c r="F250" s="15"/>
      <c r="G250" s="36"/>
      <c r="H250" s="23" t="str">
        <f>IFERROR(__xludf.DUMMYFUNCTION("iferror(iferror(iferror(index(IMPORTRANGE(""1NK5L1mviMn0j3D3uo53ASkIZOFRlLnqaCTnwzOG2_Wg"",""Direct Link!B2:B""),MATCH($C250,IMPORTRANGE(""1NK5L1mviMn0j3D3uo53ASkIZOFRlLnqaCTnwzOG2_Wg"",""Direct Link!A2:A""),0)),XLOOKUP($C250,IMPORTRANGE(""1NK5L1mviMn0j3D"&amp;"3uo53ASkIZOFRlLnqaCTnwzOG2_Wg"",""Direct links Without Sizes!A2:A""),IMPORTRANGE(""1NK5L1mviMn0j3D3uo53ASkIZOFRlLnqaCTnwzOG2_Wg"",""Direct links Without Sizes!B2:B""))),XLOOKUP($C250,IMPORTRANGE(""1NK5L1mviMn0j3D3uo53ASkIZOFRlLnqaCTnwzOG2_Wg"",""Direct li"&amp;"nks Without Sizes!D2:D""),IMPORTRANGE(""1NK5L1mviMn0j3D3uo53ASkIZOFRlLnqaCTnwzOG2_Wg"",""Direct links Without Sizes!E2:E""))),"""")"),"")</f>
        <v/>
      </c>
      <c r="I250" s="4"/>
      <c r="J250" s="24" t="str">
        <f t="shared" si="1"/>
        <v/>
      </c>
      <c r="K250" s="25"/>
      <c r="L250" s="24" t="str">
        <f t="shared" si="2"/>
        <v/>
      </c>
      <c r="M250" s="4"/>
      <c r="N250" s="23"/>
      <c r="O250" s="23"/>
      <c r="P250" s="23"/>
      <c r="Q250" s="4" t="str">
        <f t="shared" si="4"/>
        <v/>
      </c>
      <c r="R250" s="20"/>
      <c r="S250" s="20"/>
    </row>
    <row r="251">
      <c r="A251" s="4"/>
      <c r="B251" s="4"/>
      <c r="C251" s="11"/>
      <c r="D251" s="7" t="str">
        <f>IFERROR(__xludf.DUMMYFUNCTION("iferror(iferror(INDEX(IMPORTRANGE(""12vtnxaE_Q1s4tyr10kZQx7ZF_xG0lBFae4jQEUtgsMU"",""All!B2:B""),MATCH($C251,IMPORTRANGE(""12vtnxaE_Q1s4tyr10kZQx7ZF_xG0lBFae4jQEUtgsMU"",""All!A2:A""),0)),INDEX(IMPORTRANGE(""13KC70HngS4DDi8y9E5khtSpQEPG6owaQ9z4E-tR5mnY"","&amp;"""Non-Food!B2:B""),MATCH($C251,IMPORTRANGE(""13KC70HngS4DDi8y9E5khtSpQEPG6owaQ9z4E-tR5mnY"",""Non-Food!A2:A""),0))),"""")"),"")</f>
        <v/>
      </c>
      <c r="E251" s="15"/>
      <c r="F251" s="15"/>
      <c r="G251" s="36"/>
      <c r="H251" s="23" t="str">
        <f>IFERROR(__xludf.DUMMYFUNCTION("iferror(iferror(iferror(index(IMPORTRANGE(""1NK5L1mviMn0j3D3uo53ASkIZOFRlLnqaCTnwzOG2_Wg"",""Direct Link!B2:B""),MATCH($C251,IMPORTRANGE(""1NK5L1mviMn0j3D3uo53ASkIZOFRlLnqaCTnwzOG2_Wg"",""Direct Link!A2:A""),0)),XLOOKUP($C251,IMPORTRANGE(""1NK5L1mviMn0j3D"&amp;"3uo53ASkIZOFRlLnqaCTnwzOG2_Wg"",""Direct links Without Sizes!A2:A""),IMPORTRANGE(""1NK5L1mviMn0j3D3uo53ASkIZOFRlLnqaCTnwzOG2_Wg"",""Direct links Without Sizes!B2:B""))),XLOOKUP($C251,IMPORTRANGE(""1NK5L1mviMn0j3D3uo53ASkIZOFRlLnqaCTnwzOG2_Wg"",""Direct li"&amp;"nks Without Sizes!D2:D""),IMPORTRANGE(""1NK5L1mviMn0j3D3uo53ASkIZOFRlLnqaCTnwzOG2_Wg"",""Direct links Without Sizes!E2:E""))),"""")"),"")</f>
        <v/>
      </c>
      <c r="I251" s="4"/>
      <c r="J251" s="24" t="str">
        <f t="shared" si="1"/>
        <v/>
      </c>
      <c r="K251" s="25"/>
      <c r="L251" s="24" t="str">
        <f t="shared" si="2"/>
        <v/>
      </c>
      <c r="M251" s="4"/>
      <c r="N251" s="23"/>
      <c r="O251" s="23"/>
      <c r="P251" s="23"/>
      <c r="Q251" s="4" t="str">
        <f t="shared" si="4"/>
        <v/>
      </c>
      <c r="R251" s="20"/>
      <c r="S251" s="20"/>
    </row>
    <row r="252">
      <c r="A252" s="4"/>
      <c r="B252" s="4"/>
      <c r="C252" s="11"/>
      <c r="D252" s="7" t="str">
        <f>IFERROR(__xludf.DUMMYFUNCTION("iferror(iferror(INDEX(IMPORTRANGE(""12vtnxaE_Q1s4tyr10kZQx7ZF_xG0lBFae4jQEUtgsMU"",""All!B2:B""),MATCH($C252,IMPORTRANGE(""12vtnxaE_Q1s4tyr10kZQx7ZF_xG0lBFae4jQEUtgsMU"",""All!A2:A""),0)),INDEX(IMPORTRANGE(""13KC70HngS4DDi8y9E5khtSpQEPG6owaQ9z4E-tR5mnY"","&amp;"""Non-Food!B2:B""),MATCH($C252,IMPORTRANGE(""13KC70HngS4DDi8y9E5khtSpQEPG6owaQ9z4E-tR5mnY"",""Non-Food!A2:A""),0))),"""")"),"")</f>
        <v/>
      </c>
      <c r="E252" s="15"/>
      <c r="F252" s="15"/>
      <c r="G252" s="36"/>
      <c r="H252" s="23" t="str">
        <f>IFERROR(__xludf.DUMMYFUNCTION("iferror(iferror(iferror(index(IMPORTRANGE(""1NK5L1mviMn0j3D3uo53ASkIZOFRlLnqaCTnwzOG2_Wg"",""Direct Link!B2:B""),MATCH($C252,IMPORTRANGE(""1NK5L1mviMn0j3D3uo53ASkIZOFRlLnqaCTnwzOG2_Wg"",""Direct Link!A2:A""),0)),XLOOKUP($C252,IMPORTRANGE(""1NK5L1mviMn0j3D"&amp;"3uo53ASkIZOFRlLnqaCTnwzOG2_Wg"",""Direct links Without Sizes!A2:A""),IMPORTRANGE(""1NK5L1mviMn0j3D3uo53ASkIZOFRlLnqaCTnwzOG2_Wg"",""Direct links Without Sizes!B2:B""))),XLOOKUP($C252,IMPORTRANGE(""1NK5L1mviMn0j3D3uo53ASkIZOFRlLnqaCTnwzOG2_Wg"",""Direct li"&amp;"nks Without Sizes!D2:D""),IMPORTRANGE(""1NK5L1mviMn0j3D3uo53ASkIZOFRlLnqaCTnwzOG2_Wg"",""Direct links Without Sizes!E2:E""))),"""")"),"")</f>
        <v/>
      </c>
      <c r="I252" s="4"/>
      <c r="J252" s="24" t="str">
        <f t="shared" si="1"/>
        <v/>
      </c>
      <c r="K252" s="25"/>
      <c r="L252" s="24" t="str">
        <f t="shared" si="2"/>
        <v/>
      </c>
      <c r="M252" s="4"/>
      <c r="N252" s="23"/>
      <c r="O252" s="23"/>
      <c r="P252" s="23"/>
      <c r="Q252" s="4" t="str">
        <f t="shared" si="4"/>
        <v/>
      </c>
      <c r="R252" s="20"/>
      <c r="S252" s="20"/>
    </row>
    <row r="253">
      <c r="A253" s="4"/>
      <c r="B253" s="4"/>
      <c r="C253" s="11"/>
      <c r="D253" s="7" t="str">
        <f>IFERROR(__xludf.DUMMYFUNCTION("iferror(iferror(INDEX(IMPORTRANGE(""12vtnxaE_Q1s4tyr10kZQx7ZF_xG0lBFae4jQEUtgsMU"",""All!B2:B""),MATCH($C253,IMPORTRANGE(""12vtnxaE_Q1s4tyr10kZQx7ZF_xG0lBFae4jQEUtgsMU"",""All!A2:A""),0)),INDEX(IMPORTRANGE(""13KC70HngS4DDi8y9E5khtSpQEPG6owaQ9z4E-tR5mnY"","&amp;"""Non-Food!B2:B""),MATCH($C253,IMPORTRANGE(""13KC70HngS4DDi8y9E5khtSpQEPG6owaQ9z4E-tR5mnY"",""Non-Food!A2:A""),0))),"""")"),"")</f>
        <v/>
      </c>
      <c r="E253" s="15"/>
      <c r="F253" s="15"/>
      <c r="G253" s="36"/>
      <c r="H253" s="23" t="str">
        <f>IFERROR(__xludf.DUMMYFUNCTION("iferror(iferror(iferror(index(IMPORTRANGE(""1NK5L1mviMn0j3D3uo53ASkIZOFRlLnqaCTnwzOG2_Wg"",""Direct Link!B2:B""),MATCH($C253,IMPORTRANGE(""1NK5L1mviMn0j3D3uo53ASkIZOFRlLnqaCTnwzOG2_Wg"",""Direct Link!A2:A""),0)),XLOOKUP($C253,IMPORTRANGE(""1NK5L1mviMn0j3D"&amp;"3uo53ASkIZOFRlLnqaCTnwzOG2_Wg"",""Direct links Without Sizes!A2:A""),IMPORTRANGE(""1NK5L1mviMn0j3D3uo53ASkIZOFRlLnqaCTnwzOG2_Wg"",""Direct links Without Sizes!B2:B""))),XLOOKUP($C253,IMPORTRANGE(""1NK5L1mviMn0j3D3uo53ASkIZOFRlLnqaCTnwzOG2_Wg"",""Direct li"&amp;"nks Without Sizes!D2:D""),IMPORTRANGE(""1NK5L1mviMn0j3D3uo53ASkIZOFRlLnqaCTnwzOG2_Wg"",""Direct links Without Sizes!E2:E""))),"""")"),"")</f>
        <v/>
      </c>
      <c r="I253" s="4"/>
      <c r="J253" s="24" t="str">
        <f t="shared" si="1"/>
        <v/>
      </c>
      <c r="K253" s="25"/>
      <c r="L253" s="24" t="str">
        <f t="shared" si="2"/>
        <v/>
      </c>
      <c r="M253" s="4"/>
      <c r="N253" s="23"/>
      <c r="O253" s="23"/>
      <c r="P253" s="23"/>
      <c r="Q253" s="4" t="str">
        <f t="shared" si="4"/>
        <v/>
      </c>
      <c r="R253" s="20"/>
      <c r="S253" s="20"/>
    </row>
    <row r="254">
      <c r="A254" s="4"/>
      <c r="B254" s="4"/>
      <c r="C254" s="11"/>
      <c r="D254" s="7" t="str">
        <f>IFERROR(__xludf.DUMMYFUNCTION("iferror(iferror(INDEX(IMPORTRANGE(""12vtnxaE_Q1s4tyr10kZQx7ZF_xG0lBFae4jQEUtgsMU"",""All!B2:B""),MATCH($C254,IMPORTRANGE(""12vtnxaE_Q1s4tyr10kZQx7ZF_xG0lBFae4jQEUtgsMU"",""All!A2:A""),0)),INDEX(IMPORTRANGE(""13KC70HngS4DDi8y9E5khtSpQEPG6owaQ9z4E-tR5mnY"","&amp;"""Non-Food!B2:B""),MATCH($C254,IMPORTRANGE(""13KC70HngS4DDi8y9E5khtSpQEPG6owaQ9z4E-tR5mnY"",""Non-Food!A2:A""),0))),"""")"),"")</f>
        <v/>
      </c>
      <c r="E254" s="15"/>
      <c r="F254" s="15"/>
      <c r="G254" s="36"/>
      <c r="H254" s="23" t="str">
        <f>IFERROR(__xludf.DUMMYFUNCTION("iferror(iferror(iferror(index(IMPORTRANGE(""1NK5L1mviMn0j3D3uo53ASkIZOFRlLnqaCTnwzOG2_Wg"",""Direct Link!B2:B""),MATCH($C254,IMPORTRANGE(""1NK5L1mviMn0j3D3uo53ASkIZOFRlLnqaCTnwzOG2_Wg"",""Direct Link!A2:A""),0)),XLOOKUP($C254,IMPORTRANGE(""1NK5L1mviMn0j3D"&amp;"3uo53ASkIZOFRlLnqaCTnwzOG2_Wg"",""Direct links Without Sizes!A2:A""),IMPORTRANGE(""1NK5L1mviMn0j3D3uo53ASkIZOFRlLnqaCTnwzOG2_Wg"",""Direct links Without Sizes!B2:B""))),XLOOKUP($C254,IMPORTRANGE(""1NK5L1mviMn0j3D3uo53ASkIZOFRlLnqaCTnwzOG2_Wg"",""Direct li"&amp;"nks Without Sizes!D2:D""),IMPORTRANGE(""1NK5L1mviMn0j3D3uo53ASkIZOFRlLnqaCTnwzOG2_Wg"",""Direct links Without Sizes!E2:E""))),"""")"),"")</f>
        <v/>
      </c>
      <c r="I254" s="4"/>
      <c r="J254" s="24" t="str">
        <f t="shared" si="1"/>
        <v/>
      </c>
      <c r="K254" s="25"/>
      <c r="L254" s="24" t="str">
        <f t="shared" si="2"/>
        <v/>
      </c>
      <c r="M254" s="4"/>
      <c r="N254" s="23"/>
      <c r="O254" s="23"/>
      <c r="P254" s="23"/>
      <c r="Q254" s="4" t="str">
        <f t="shared" si="4"/>
        <v/>
      </c>
      <c r="R254" s="20"/>
      <c r="S254" s="20"/>
    </row>
    <row r="255">
      <c r="A255" s="4"/>
      <c r="B255" s="4"/>
      <c r="C255" s="11"/>
      <c r="D255" s="7" t="str">
        <f>IFERROR(__xludf.DUMMYFUNCTION("iferror(iferror(INDEX(IMPORTRANGE(""12vtnxaE_Q1s4tyr10kZQx7ZF_xG0lBFae4jQEUtgsMU"",""All!B2:B""),MATCH($C255,IMPORTRANGE(""12vtnxaE_Q1s4tyr10kZQx7ZF_xG0lBFae4jQEUtgsMU"",""All!A2:A""),0)),INDEX(IMPORTRANGE(""13KC70HngS4DDi8y9E5khtSpQEPG6owaQ9z4E-tR5mnY"","&amp;"""Non-Food!B2:B""),MATCH($C255,IMPORTRANGE(""13KC70HngS4DDi8y9E5khtSpQEPG6owaQ9z4E-tR5mnY"",""Non-Food!A2:A""),0))),"""")"),"")</f>
        <v/>
      </c>
      <c r="E255" s="15"/>
      <c r="F255" s="15"/>
      <c r="G255" s="36"/>
      <c r="H255" s="23" t="str">
        <f>IFERROR(__xludf.DUMMYFUNCTION("iferror(iferror(iferror(index(IMPORTRANGE(""1NK5L1mviMn0j3D3uo53ASkIZOFRlLnqaCTnwzOG2_Wg"",""Direct Link!B2:B""),MATCH($C255,IMPORTRANGE(""1NK5L1mviMn0j3D3uo53ASkIZOFRlLnqaCTnwzOG2_Wg"",""Direct Link!A2:A""),0)),XLOOKUP($C255,IMPORTRANGE(""1NK5L1mviMn0j3D"&amp;"3uo53ASkIZOFRlLnqaCTnwzOG2_Wg"",""Direct links Without Sizes!A2:A""),IMPORTRANGE(""1NK5L1mviMn0j3D3uo53ASkIZOFRlLnqaCTnwzOG2_Wg"",""Direct links Without Sizes!B2:B""))),XLOOKUP($C255,IMPORTRANGE(""1NK5L1mviMn0j3D3uo53ASkIZOFRlLnqaCTnwzOG2_Wg"",""Direct li"&amp;"nks Without Sizes!D2:D""),IMPORTRANGE(""1NK5L1mviMn0j3D3uo53ASkIZOFRlLnqaCTnwzOG2_Wg"",""Direct links Without Sizes!E2:E""))),"""")"),"")</f>
        <v/>
      </c>
      <c r="I255" s="4"/>
      <c r="J255" s="24" t="str">
        <f t="shared" si="1"/>
        <v/>
      </c>
      <c r="K255" s="25"/>
      <c r="L255" s="24" t="str">
        <f t="shared" si="2"/>
        <v/>
      </c>
      <c r="M255" s="4"/>
      <c r="N255" s="23"/>
      <c r="O255" s="23"/>
      <c r="P255" s="23"/>
      <c r="Q255" s="4" t="str">
        <f t="shared" si="4"/>
        <v/>
      </c>
      <c r="R255" s="20"/>
      <c r="S255" s="20"/>
    </row>
    <row r="256">
      <c r="A256" s="4"/>
      <c r="B256" s="4"/>
      <c r="C256" s="11"/>
      <c r="D256" s="7" t="str">
        <f>IFERROR(__xludf.DUMMYFUNCTION("iferror(iferror(INDEX(IMPORTRANGE(""12vtnxaE_Q1s4tyr10kZQx7ZF_xG0lBFae4jQEUtgsMU"",""All!B2:B""),MATCH($C256,IMPORTRANGE(""12vtnxaE_Q1s4tyr10kZQx7ZF_xG0lBFae4jQEUtgsMU"",""All!A2:A""),0)),INDEX(IMPORTRANGE(""13KC70HngS4DDi8y9E5khtSpQEPG6owaQ9z4E-tR5mnY"","&amp;"""Non-Food!B2:B""),MATCH($C256,IMPORTRANGE(""13KC70HngS4DDi8y9E5khtSpQEPG6owaQ9z4E-tR5mnY"",""Non-Food!A2:A""),0))),"""")"),"")</f>
        <v/>
      </c>
      <c r="E256" s="15"/>
      <c r="F256" s="15"/>
      <c r="G256" s="36"/>
      <c r="H256" s="23" t="str">
        <f>IFERROR(__xludf.DUMMYFUNCTION("iferror(iferror(iferror(index(IMPORTRANGE(""1NK5L1mviMn0j3D3uo53ASkIZOFRlLnqaCTnwzOG2_Wg"",""Direct Link!B2:B""),MATCH($C256,IMPORTRANGE(""1NK5L1mviMn0j3D3uo53ASkIZOFRlLnqaCTnwzOG2_Wg"",""Direct Link!A2:A""),0)),XLOOKUP($C256,IMPORTRANGE(""1NK5L1mviMn0j3D"&amp;"3uo53ASkIZOFRlLnqaCTnwzOG2_Wg"",""Direct links Without Sizes!A2:A""),IMPORTRANGE(""1NK5L1mviMn0j3D3uo53ASkIZOFRlLnqaCTnwzOG2_Wg"",""Direct links Without Sizes!B2:B""))),XLOOKUP($C256,IMPORTRANGE(""1NK5L1mviMn0j3D3uo53ASkIZOFRlLnqaCTnwzOG2_Wg"",""Direct li"&amp;"nks Without Sizes!D2:D""),IMPORTRANGE(""1NK5L1mviMn0j3D3uo53ASkIZOFRlLnqaCTnwzOG2_Wg"",""Direct links Without Sizes!E2:E""))),"""")"),"")</f>
        <v/>
      </c>
      <c r="I256" s="4"/>
      <c r="J256" s="24" t="str">
        <f t="shared" si="1"/>
        <v/>
      </c>
      <c r="K256" s="25"/>
      <c r="L256" s="24" t="str">
        <f t="shared" si="2"/>
        <v/>
      </c>
      <c r="M256" s="4"/>
      <c r="N256" s="23"/>
      <c r="O256" s="23"/>
      <c r="P256" s="23"/>
      <c r="Q256" s="4" t="str">
        <f t="shared" si="4"/>
        <v/>
      </c>
      <c r="R256" s="20"/>
      <c r="S256" s="20"/>
    </row>
    <row r="257">
      <c r="A257" s="4"/>
      <c r="B257" s="4"/>
      <c r="C257" s="11"/>
      <c r="D257" s="7" t="str">
        <f>IFERROR(__xludf.DUMMYFUNCTION("iferror(iferror(INDEX(IMPORTRANGE(""12vtnxaE_Q1s4tyr10kZQx7ZF_xG0lBFae4jQEUtgsMU"",""All!B2:B""),MATCH($C257,IMPORTRANGE(""12vtnxaE_Q1s4tyr10kZQx7ZF_xG0lBFae4jQEUtgsMU"",""All!A2:A""),0)),INDEX(IMPORTRANGE(""13KC70HngS4DDi8y9E5khtSpQEPG6owaQ9z4E-tR5mnY"","&amp;"""Non-Food!B2:B""),MATCH($C257,IMPORTRANGE(""13KC70HngS4DDi8y9E5khtSpQEPG6owaQ9z4E-tR5mnY"",""Non-Food!A2:A""),0))),"""")"),"")</f>
        <v/>
      </c>
      <c r="E257" s="15"/>
      <c r="F257" s="15"/>
      <c r="G257" s="36"/>
      <c r="H257" s="23" t="str">
        <f>IFERROR(__xludf.DUMMYFUNCTION("iferror(iferror(iferror(index(IMPORTRANGE(""1NK5L1mviMn0j3D3uo53ASkIZOFRlLnqaCTnwzOG2_Wg"",""Direct Link!B2:B""),MATCH($C257,IMPORTRANGE(""1NK5L1mviMn0j3D3uo53ASkIZOFRlLnqaCTnwzOG2_Wg"",""Direct Link!A2:A""),0)),XLOOKUP($C257,IMPORTRANGE(""1NK5L1mviMn0j3D"&amp;"3uo53ASkIZOFRlLnqaCTnwzOG2_Wg"",""Direct links Without Sizes!A2:A""),IMPORTRANGE(""1NK5L1mviMn0j3D3uo53ASkIZOFRlLnqaCTnwzOG2_Wg"",""Direct links Without Sizes!B2:B""))),XLOOKUP($C257,IMPORTRANGE(""1NK5L1mviMn0j3D3uo53ASkIZOFRlLnqaCTnwzOG2_Wg"",""Direct li"&amp;"nks Without Sizes!D2:D""),IMPORTRANGE(""1NK5L1mviMn0j3D3uo53ASkIZOFRlLnqaCTnwzOG2_Wg"",""Direct links Without Sizes!E2:E""))),"""")"),"")</f>
        <v/>
      </c>
      <c r="I257" s="4"/>
      <c r="J257" s="24" t="str">
        <f t="shared" si="1"/>
        <v/>
      </c>
      <c r="K257" s="25"/>
      <c r="L257" s="24" t="str">
        <f t="shared" si="2"/>
        <v/>
      </c>
      <c r="M257" s="4"/>
      <c r="N257" s="23"/>
      <c r="O257" s="23"/>
      <c r="P257" s="23"/>
      <c r="Q257" s="4" t="str">
        <f t="shared" si="4"/>
        <v/>
      </c>
      <c r="R257" s="20"/>
      <c r="S257" s="20"/>
    </row>
    <row r="258">
      <c r="A258" s="4"/>
      <c r="B258" s="4"/>
      <c r="C258" s="11"/>
      <c r="D258" s="7" t="str">
        <f>IFERROR(__xludf.DUMMYFUNCTION("iferror(iferror(INDEX(IMPORTRANGE(""12vtnxaE_Q1s4tyr10kZQx7ZF_xG0lBFae4jQEUtgsMU"",""All!B2:B""),MATCH($C258,IMPORTRANGE(""12vtnxaE_Q1s4tyr10kZQx7ZF_xG0lBFae4jQEUtgsMU"",""All!A2:A""),0)),INDEX(IMPORTRANGE(""13KC70HngS4DDi8y9E5khtSpQEPG6owaQ9z4E-tR5mnY"","&amp;"""Non-Food!B2:B""),MATCH($C258,IMPORTRANGE(""13KC70HngS4DDi8y9E5khtSpQEPG6owaQ9z4E-tR5mnY"",""Non-Food!A2:A""),0))),"""")"),"")</f>
        <v/>
      </c>
      <c r="E258" s="15"/>
      <c r="F258" s="15"/>
      <c r="G258" s="36"/>
      <c r="H258" s="23" t="str">
        <f>IFERROR(__xludf.DUMMYFUNCTION("iferror(iferror(iferror(index(IMPORTRANGE(""1NK5L1mviMn0j3D3uo53ASkIZOFRlLnqaCTnwzOG2_Wg"",""Direct Link!B2:B""),MATCH($C258,IMPORTRANGE(""1NK5L1mviMn0j3D3uo53ASkIZOFRlLnqaCTnwzOG2_Wg"",""Direct Link!A2:A""),0)),XLOOKUP($C258,IMPORTRANGE(""1NK5L1mviMn0j3D"&amp;"3uo53ASkIZOFRlLnqaCTnwzOG2_Wg"",""Direct links Without Sizes!A2:A""),IMPORTRANGE(""1NK5L1mviMn0j3D3uo53ASkIZOFRlLnqaCTnwzOG2_Wg"",""Direct links Without Sizes!B2:B""))),XLOOKUP($C258,IMPORTRANGE(""1NK5L1mviMn0j3D3uo53ASkIZOFRlLnqaCTnwzOG2_Wg"",""Direct li"&amp;"nks Without Sizes!D2:D""),IMPORTRANGE(""1NK5L1mviMn0j3D3uo53ASkIZOFRlLnqaCTnwzOG2_Wg"",""Direct links Without Sizes!E2:E""))),"""")"),"")</f>
        <v/>
      </c>
      <c r="I258" s="4"/>
      <c r="J258" s="24" t="str">
        <f t="shared" si="1"/>
        <v/>
      </c>
      <c r="K258" s="25"/>
      <c r="L258" s="24" t="str">
        <f t="shared" si="2"/>
        <v/>
      </c>
      <c r="M258" s="4"/>
      <c r="N258" s="23"/>
      <c r="O258" s="23"/>
      <c r="P258" s="23"/>
      <c r="Q258" s="4" t="str">
        <f t="shared" si="4"/>
        <v/>
      </c>
      <c r="R258" s="20"/>
      <c r="S258" s="20"/>
    </row>
    <row r="259">
      <c r="A259" s="4"/>
      <c r="B259" s="4"/>
      <c r="C259" s="11"/>
      <c r="D259" s="7" t="str">
        <f>IFERROR(__xludf.DUMMYFUNCTION("iferror(iferror(INDEX(IMPORTRANGE(""12vtnxaE_Q1s4tyr10kZQx7ZF_xG0lBFae4jQEUtgsMU"",""All!B2:B""),MATCH($C259,IMPORTRANGE(""12vtnxaE_Q1s4tyr10kZQx7ZF_xG0lBFae4jQEUtgsMU"",""All!A2:A""),0)),INDEX(IMPORTRANGE(""13KC70HngS4DDi8y9E5khtSpQEPG6owaQ9z4E-tR5mnY"","&amp;"""Non-Food!B2:B""),MATCH($C259,IMPORTRANGE(""13KC70HngS4DDi8y9E5khtSpQEPG6owaQ9z4E-tR5mnY"",""Non-Food!A2:A""),0))),"""")"),"")</f>
        <v/>
      </c>
      <c r="E259" s="15"/>
      <c r="F259" s="15"/>
      <c r="G259" s="36"/>
      <c r="H259" s="23" t="str">
        <f>IFERROR(__xludf.DUMMYFUNCTION("iferror(iferror(iferror(index(IMPORTRANGE(""1NK5L1mviMn0j3D3uo53ASkIZOFRlLnqaCTnwzOG2_Wg"",""Direct Link!B2:B""),MATCH($C259,IMPORTRANGE(""1NK5L1mviMn0j3D3uo53ASkIZOFRlLnqaCTnwzOG2_Wg"",""Direct Link!A2:A""),0)),XLOOKUP($C259,IMPORTRANGE(""1NK5L1mviMn0j3D"&amp;"3uo53ASkIZOFRlLnqaCTnwzOG2_Wg"",""Direct links Without Sizes!A2:A""),IMPORTRANGE(""1NK5L1mviMn0j3D3uo53ASkIZOFRlLnqaCTnwzOG2_Wg"",""Direct links Without Sizes!B2:B""))),XLOOKUP($C259,IMPORTRANGE(""1NK5L1mviMn0j3D3uo53ASkIZOFRlLnqaCTnwzOG2_Wg"",""Direct li"&amp;"nks Without Sizes!D2:D""),IMPORTRANGE(""1NK5L1mviMn0j3D3uo53ASkIZOFRlLnqaCTnwzOG2_Wg"",""Direct links Without Sizes!E2:E""))),"""")"),"")</f>
        <v/>
      </c>
      <c r="I259" s="4"/>
      <c r="J259" s="24" t="str">
        <f t="shared" si="1"/>
        <v/>
      </c>
      <c r="K259" s="25"/>
      <c r="L259" s="24" t="str">
        <f t="shared" si="2"/>
        <v/>
      </c>
      <c r="M259" s="4"/>
      <c r="N259" s="23"/>
      <c r="O259" s="23"/>
      <c r="P259" s="23"/>
      <c r="Q259" s="4" t="str">
        <f t="shared" si="4"/>
        <v/>
      </c>
      <c r="R259" s="20"/>
      <c r="S259" s="20"/>
    </row>
    <row r="260">
      <c r="A260" s="4"/>
      <c r="B260" s="4"/>
      <c r="C260" s="11"/>
      <c r="D260" s="7" t="str">
        <f>IFERROR(__xludf.DUMMYFUNCTION("iferror(iferror(INDEX(IMPORTRANGE(""12vtnxaE_Q1s4tyr10kZQx7ZF_xG0lBFae4jQEUtgsMU"",""All!B2:B""),MATCH($C260,IMPORTRANGE(""12vtnxaE_Q1s4tyr10kZQx7ZF_xG0lBFae4jQEUtgsMU"",""All!A2:A""),0)),INDEX(IMPORTRANGE(""13KC70HngS4DDi8y9E5khtSpQEPG6owaQ9z4E-tR5mnY"","&amp;"""Non-Food!B2:B""),MATCH($C260,IMPORTRANGE(""13KC70HngS4DDi8y9E5khtSpQEPG6owaQ9z4E-tR5mnY"",""Non-Food!A2:A""),0))),"""")"),"")</f>
        <v/>
      </c>
      <c r="E260" s="15"/>
      <c r="F260" s="15"/>
      <c r="G260" s="36"/>
      <c r="H260" s="23" t="str">
        <f>IFERROR(__xludf.DUMMYFUNCTION("iferror(iferror(iferror(index(IMPORTRANGE(""1NK5L1mviMn0j3D3uo53ASkIZOFRlLnqaCTnwzOG2_Wg"",""Direct Link!B2:B""),MATCH($C260,IMPORTRANGE(""1NK5L1mviMn0j3D3uo53ASkIZOFRlLnqaCTnwzOG2_Wg"",""Direct Link!A2:A""),0)),XLOOKUP($C260,IMPORTRANGE(""1NK5L1mviMn0j3D"&amp;"3uo53ASkIZOFRlLnqaCTnwzOG2_Wg"",""Direct links Without Sizes!A2:A""),IMPORTRANGE(""1NK5L1mviMn0j3D3uo53ASkIZOFRlLnqaCTnwzOG2_Wg"",""Direct links Without Sizes!B2:B""))),XLOOKUP($C260,IMPORTRANGE(""1NK5L1mviMn0j3D3uo53ASkIZOFRlLnqaCTnwzOG2_Wg"",""Direct li"&amp;"nks Without Sizes!D2:D""),IMPORTRANGE(""1NK5L1mviMn0j3D3uo53ASkIZOFRlLnqaCTnwzOG2_Wg"",""Direct links Without Sizes!E2:E""))),"""")"),"")</f>
        <v/>
      </c>
      <c r="I260" s="4"/>
      <c r="J260" s="24" t="str">
        <f t="shared" si="1"/>
        <v/>
      </c>
      <c r="K260" s="25"/>
      <c r="L260" s="24" t="str">
        <f t="shared" si="2"/>
        <v/>
      </c>
      <c r="M260" s="4"/>
      <c r="N260" s="23"/>
      <c r="O260" s="23"/>
      <c r="P260" s="23"/>
      <c r="Q260" s="4" t="str">
        <f t="shared" si="4"/>
        <v/>
      </c>
      <c r="R260" s="20"/>
      <c r="S260" s="20"/>
    </row>
    <row r="261">
      <c r="A261" s="4"/>
      <c r="B261" s="4"/>
      <c r="C261" s="11"/>
      <c r="D261" s="7" t="str">
        <f>IFERROR(__xludf.DUMMYFUNCTION("iferror(iferror(INDEX(IMPORTRANGE(""12vtnxaE_Q1s4tyr10kZQx7ZF_xG0lBFae4jQEUtgsMU"",""All!B2:B""),MATCH($C261,IMPORTRANGE(""12vtnxaE_Q1s4tyr10kZQx7ZF_xG0lBFae4jQEUtgsMU"",""All!A2:A""),0)),INDEX(IMPORTRANGE(""13KC70HngS4DDi8y9E5khtSpQEPG6owaQ9z4E-tR5mnY"","&amp;"""Non-Food!B2:B""),MATCH($C261,IMPORTRANGE(""13KC70HngS4DDi8y9E5khtSpQEPG6owaQ9z4E-tR5mnY"",""Non-Food!A2:A""),0))),"""")"),"")</f>
        <v/>
      </c>
      <c r="E261" s="15"/>
      <c r="F261" s="15"/>
      <c r="G261" s="36"/>
      <c r="H261" s="23" t="str">
        <f>IFERROR(__xludf.DUMMYFUNCTION("iferror(iferror(iferror(index(IMPORTRANGE(""1NK5L1mviMn0j3D3uo53ASkIZOFRlLnqaCTnwzOG2_Wg"",""Direct Link!B2:B""),MATCH($C261,IMPORTRANGE(""1NK5L1mviMn0j3D3uo53ASkIZOFRlLnqaCTnwzOG2_Wg"",""Direct Link!A2:A""),0)),XLOOKUP($C261,IMPORTRANGE(""1NK5L1mviMn0j3D"&amp;"3uo53ASkIZOFRlLnqaCTnwzOG2_Wg"",""Direct links Without Sizes!A2:A""),IMPORTRANGE(""1NK5L1mviMn0j3D3uo53ASkIZOFRlLnqaCTnwzOG2_Wg"",""Direct links Without Sizes!B2:B""))),XLOOKUP($C261,IMPORTRANGE(""1NK5L1mviMn0j3D3uo53ASkIZOFRlLnqaCTnwzOG2_Wg"",""Direct li"&amp;"nks Without Sizes!D2:D""),IMPORTRANGE(""1NK5L1mviMn0j3D3uo53ASkIZOFRlLnqaCTnwzOG2_Wg"",""Direct links Without Sizes!E2:E""))),"""")"),"")</f>
        <v/>
      </c>
      <c r="I261" s="4"/>
      <c r="J261" s="24" t="str">
        <f t="shared" si="1"/>
        <v/>
      </c>
      <c r="K261" s="25"/>
      <c r="L261" s="24" t="str">
        <f t="shared" si="2"/>
        <v/>
      </c>
      <c r="M261" s="4"/>
      <c r="N261" s="23"/>
      <c r="O261" s="23"/>
      <c r="P261" s="23"/>
      <c r="Q261" s="4" t="str">
        <f t="shared" si="4"/>
        <v/>
      </c>
      <c r="R261" s="20"/>
      <c r="S261" s="20"/>
    </row>
    <row r="262">
      <c r="A262" s="4"/>
      <c r="B262" s="4"/>
      <c r="C262" s="11"/>
      <c r="D262" s="7" t="str">
        <f>IFERROR(__xludf.DUMMYFUNCTION("iferror(iferror(INDEX(IMPORTRANGE(""12vtnxaE_Q1s4tyr10kZQx7ZF_xG0lBFae4jQEUtgsMU"",""All!B2:B""),MATCH($C262,IMPORTRANGE(""12vtnxaE_Q1s4tyr10kZQx7ZF_xG0lBFae4jQEUtgsMU"",""All!A2:A""),0)),INDEX(IMPORTRANGE(""13KC70HngS4DDi8y9E5khtSpQEPG6owaQ9z4E-tR5mnY"","&amp;"""Non-Food!B2:B""),MATCH($C262,IMPORTRANGE(""13KC70HngS4DDi8y9E5khtSpQEPG6owaQ9z4E-tR5mnY"",""Non-Food!A2:A""),0))),"""")"),"")</f>
        <v/>
      </c>
      <c r="E262" s="15"/>
      <c r="F262" s="15"/>
      <c r="G262" s="36"/>
      <c r="H262" s="23" t="str">
        <f>IFERROR(__xludf.DUMMYFUNCTION("iferror(iferror(iferror(index(IMPORTRANGE(""1NK5L1mviMn0j3D3uo53ASkIZOFRlLnqaCTnwzOG2_Wg"",""Direct Link!B2:B""),MATCH($C262,IMPORTRANGE(""1NK5L1mviMn0j3D3uo53ASkIZOFRlLnqaCTnwzOG2_Wg"",""Direct Link!A2:A""),0)),XLOOKUP($C262,IMPORTRANGE(""1NK5L1mviMn0j3D"&amp;"3uo53ASkIZOFRlLnqaCTnwzOG2_Wg"",""Direct links Without Sizes!A2:A""),IMPORTRANGE(""1NK5L1mviMn0j3D3uo53ASkIZOFRlLnqaCTnwzOG2_Wg"",""Direct links Without Sizes!B2:B""))),XLOOKUP($C262,IMPORTRANGE(""1NK5L1mviMn0j3D3uo53ASkIZOFRlLnqaCTnwzOG2_Wg"",""Direct li"&amp;"nks Without Sizes!D2:D""),IMPORTRANGE(""1NK5L1mviMn0j3D3uo53ASkIZOFRlLnqaCTnwzOG2_Wg"",""Direct links Without Sizes!E2:E""))),"""")"),"")</f>
        <v/>
      </c>
      <c r="I262" s="4"/>
      <c r="J262" s="24" t="str">
        <f t="shared" si="1"/>
        <v/>
      </c>
      <c r="K262" s="25"/>
      <c r="L262" s="24" t="str">
        <f t="shared" si="2"/>
        <v/>
      </c>
      <c r="M262" s="4"/>
      <c r="N262" s="23"/>
      <c r="O262" s="23"/>
      <c r="P262" s="23"/>
      <c r="Q262" s="4" t="str">
        <f t="shared" si="4"/>
        <v/>
      </c>
      <c r="R262" s="20"/>
      <c r="S262" s="20"/>
    </row>
    <row r="263">
      <c r="A263" s="4"/>
      <c r="B263" s="4"/>
      <c r="C263" s="11"/>
      <c r="D263" s="7" t="str">
        <f>IFERROR(__xludf.DUMMYFUNCTION("iferror(iferror(INDEX(IMPORTRANGE(""12vtnxaE_Q1s4tyr10kZQx7ZF_xG0lBFae4jQEUtgsMU"",""All!B2:B""),MATCH($C263,IMPORTRANGE(""12vtnxaE_Q1s4tyr10kZQx7ZF_xG0lBFae4jQEUtgsMU"",""All!A2:A""),0)),INDEX(IMPORTRANGE(""13KC70HngS4DDi8y9E5khtSpQEPG6owaQ9z4E-tR5mnY"","&amp;"""Non-Food!B2:B""),MATCH($C263,IMPORTRANGE(""13KC70HngS4DDi8y9E5khtSpQEPG6owaQ9z4E-tR5mnY"",""Non-Food!A2:A""),0))),"""")"),"")</f>
        <v/>
      </c>
      <c r="E263" s="15"/>
      <c r="F263" s="15"/>
      <c r="G263" s="36"/>
      <c r="H263" s="23" t="str">
        <f>IFERROR(__xludf.DUMMYFUNCTION("iferror(iferror(iferror(index(IMPORTRANGE(""1NK5L1mviMn0j3D3uo53ASkIZOFRlLnqaCTnwzOG2_Wg"",""Direct Link!B2:B""),MATCH($C263,IMPORTRANGE(""1NK5L1mviMn0j3D3uo53ASkIZOFRlLnqaCTnwzOG2_Wg"",""Direct Link!A2:A""),0)),XLOOKUP($C263,IMPORTRANGE(""1NK5L1mviMn0j3D"&amp;"3uo53ASkIZOFRlLnqaCTnwzOG2_Wg"",""Direct links Without Sizes!A2:A""),IMPORTRANGE(""1NK5L1mviMn0j3D3uo53ASkIZOFRlLnqaCTnwzOG2_Wg"",""Direct links Without Sizes!B2:B""))),XLOOKUP($C263,IMPORTRANGE(""1NK5L1mviMn0j3D3uo53ASkIZOFRlLnqaCTnwzOG2_Wg"",""Direct li"&amp;"nks Without Sizes!D2:D""),IMPORTRANGE(""1NK5L1mviMn0j3D3uo53ASkIZOFRlLnqaCTnwzOG2_Wg"",""Direct links Without Sizes!E2:E""))),"""")"),"")</f>
        <v/>
      </c>
      <c r="I263" s="4"/>
      <c r="J263" s="24" t="str">
        <f t="shared" si="1"/>
        <v/>
      </c>
      <c r="K263" s="25"/>
      <c r="L263" s="24" t="str">
        <f t="shared" si="2"/>
        <v/>
      </c>
      <c r="M263" s="4"/>
      <c r="N263" s="23"/>
      <c r="O263" s="23"/>
      <c r="P263" s="23"/>
      <c r="Q263" s="4" t="str">
        <f t="shared" si="4"/>
        <v/>
      </c>
      <c r="R263" s="20"/>
      <c r="S263" s="20"/>
    </row>
    <row r="264">
      <c r="A264" s="4"/>
      <c r="B264" s="4"/>
      <c r="C264" s="11"/>
      <c r="D264" s="7" t="str">
        <f>IFERROR(__xludf.DUMMYFUNCTION("iferror(iferror(INDEX(IMPORTRANGE(""12vtnxaE_Q1s4tyr10kZQx7ZF_xG0lBFae4jQEUtgsMU"",""All!B2:B""),MATCH($C264,IMPORTRANGE(""12vtnxaE_Q1s4tyr10kZQx7ZF_xG0lBFae4jQEUtgsMU"",""All!A2:A""),0)),INDEX(IMPORTRANGE(""13KC70HngS4DDi8y9E5khtSpQEPG6owaQ9z4E-tR5mnY"","&amp;"""Non-Food!B2:B""),MATCH($C264,IMPORTRANGE(""13KC70HngS4DDi8y9E5khtSpQEPG6owaQ9z4E-tR5mnY"",""Non-Food!A2:A""),0))),"""")"),"")</f>
        <v/>
      </c>
      <c r="E264" s="15"/>
      <c r="F264" s="15"/>
      <c r="G264" s="36"/>
      <c r="H264" s="23" t="str">
        <f>IFERROR(__xludf.DUMMYFUNCTION("iferror(iferror(iferror(index(IMPORTRANGE(""1NK5L1mviMn0j3D3uo53ASkIZOFRlLnqaCTnwzOG2_Wg"",""Direct Link!B2:B""),MATCH($C264,IMPORTRANGE(""1NK5L1mviMn0j3D3uo53ASkIZOFRlLnqaCTnwzOG2_Wg"",""Direct Link!A2:A""),0)),XLOOKUP($C264,IMPORTRANGE(""1NK5L1mviMn0j3D"&amp;"3uo53ASkIZOFRlLnqaCTnwzOG2_Wg"",""Direct links Without Sizes!A2:A""),IMPORTRANGE(""1NK5L1mviMn0j3D3uo53ASkIZOFRlLnqaCTnwzOG2_Wg"",""Direct links Without Sizes!B2:B""))),XLOOKUP($C264,IMPORTRANGE(""1NK5L1mviMn0j3D3uo53ASkIZOFRlLnqaCTnwzOG2_Wg"",""Direct li"&amp;"nks Without Sizes!D2:D""),IMPORTRANGE(""1NK5L1mviMn0j3D3uo53ASkIZOFRlLnqaCTnwzOG2_Wg"",""Direct links Without Sizes!E2:E""))),"""")"),"")</f>
        <v/>
      </c>
      <c r="I264" s="4"/>
      <c r="J264" s="24" t="str">
        <f t="shared" si="1"/>
        <v/>
      </c>
      <c r="K264" s="25"/>
      <c r="L264" s="24" t="str">
        <f t="shared" si="2"/>
        <v/>
      </c>
      <c r="M264" s="4"/>
      <c r="N264" s="23"/>
      <c r="O264" s="23"/>
      <c r="P264" s="23"/>
      <c r="Q264" s="4" t="str">
        <f t="shared" si="4"/>
        <v/>
      </c>
      <c r="R264" s="20"/>
      <c r="S264" s="20"/>
    </row>
    <row r="265">
      <c r="A265" s="4"/>
      <c r="B265" s="4"/>
      <c r="C265" s="11"/>
      <c r="D265" s="7" t="str">
        <f>IFERROR(__xludf.DUMMYFUNCTION("iferror(iferror(INDEX(IMPORTRANGE(""12vtnxaE_Q1s4tyr10kZQx7ZF_xG0lBFae4jQEUtgsMU"",""All!B2:B""),MATCH($C265,IMPORTRANGE(""12vtnxaE_Q1s4tyr10kZQx7ZF_xG0lBFae4jQEUtgsMU"",""All!A2:A""),0)),INDEX(IMPORTRANGE(""13KC70HngS4DDi8y9E5khtSpQEPG6owaQ9z4E-tR5mnY"","&amp;"""Non-Food!B2:B""),MATCH($C265,IMPORTRANGE(""13KC70HngS4DDi8y9E5khtSpQEPG6owaQ9z4E-tR5mnY"",""Non-Food!A2:A""),0))),"""")"),"")</f>
        <v/>
      </c>
      <c r="E265" s="15"/>
      <c r="F265" s="15"/>
      <c r="G265" s="36"/>
      <c r="H265" s="23" t="str">
        <f>IFERROR(__xludf.DUMMYFUNCTION("iferror(iferror(iferror(index(IMPORTRANGE(""1NK5L1mviMn0j3D3uo53ASkIZOFRlLnqaCTnwzOG2_Wg"",""Direct Link!B2:B""),MATCH($C265,IMPORTRANGE(""1NK5L1mviMn0j3D3uo53ASkIZOFRlLnqaCTnwzOG2_Wg"",""Direct Link!A2:A""),0)),XLOOKUP($C265,IMPORTRANGE(""1NK5L1mviMn0j3D"&amp;"3uo53ASkIZOFRlLnqaCTnwzOG2_Wg"",""Direct links Without Sizes!A2:A""),IMPORTRANGE(""1NK5L1mviMn0j3D3uo53ASkIZOFRlLnqaCTnwzOG2_Wg"",""Direct links Without Sizes!B2:B""))),XLOOKUP($C265,IMPORTRANGE(""1NK5L1mviMn0j3D3uo53ASkIZOFRlLnqaCTnwzOG2_Wg"",""Direct li"&amp;"nks Without Sizes!D2:D""),IMPORTRANGE(""1NK5L1mviMn0j3D3uo53ASkIZOFRlLnqaCTnwzOG2_Wg"",""Direct links Without Sizes!E2:E""))),"""")"),"")</f>
        <v/>
      </c>
      <c r="I265" s="4"/>
      <c r="J265" s="24" t="str">
        <f t="shared" si="1"/>
        <v/>
      </c>
      <c r="K265" s="25"/>
      <c r="L265" s="24" t="str">
        <f t="shared" si="2"/>
        <v/>
      </c>
      <c r="M265" s="4"/>
      <c r="N265" s="23"/>
      <c r="O265" s="23"/>
      <c r="P265" s="23"/>
      <c r="Q265" s="4" t="str">
        <f t="shared" si="4"/>
        <v/>
      </c>
      <c r="R265" s="20"/>
      <c r="S265" s="20"/>
    </row>
    <row r="266">
      <c r="A266" s="4"/>
      <c r="B266" s="4"/>
      <c r="C266" s="11"/>
      <c r="D266" s="7" t="str">
        <f>IFERROR(__xludf.DUMMYFUNCTION("iferror(iferror(INDEX(IMPORTRANGE(""12vtnxaE_Q1s4tyr10kZQx7ZF_xG0lBFae4jQEUtgsMU"",""All!B2:B""),MATCH($C266,IMPORTRANGE(""12vtnxaE_Q1s4tyr10kZQx7ZF_xG0lBFae4jQEUtgsMU"",""All!A2:A""),0)),INDEX(IMPORTRANGE(""13KC70HngS4DDi8y9E5khtSpQEPG6owaQ9z4E-tR5mnY"","&amp;"""Non-Food!B2:B""),MATCH($C266,IMPORTRANGE(""13KC70HngS4DDi8y9E5khtSpQEPG6owaQ9z4E-tR5mnY"",""Non-Food!A2:A""),0))),"""")"),"")</f>
        <v/>
      </c>
      <c r="E266" s="15"/>
      <c r="F266" s="15"/>
      <c r="G266" s="36"/>
      <c r="H266" s="23" t="str">
        <f>IFERROR(__xludf.DUMMYFUNCTION("iferror(iferror(iferror(index(IMPORTRANGE(""1NK5L1mviMn0j3D3uo53ASkIZOFRlLnqaCTnwzOG2_Wg"",""Direct Link!B2:B""),MATCH($C266,IMPORTRANGE(""1NK5L1mviMn0j3D3uo53ASkIZOFRlLnqaCTnwzOG2_Wg"",""Direct Link!A2:A""),0)),XLOOKUP($C266,IMPORTRANGE(""1NK5L1mviMn0j3D"&amp;"3uo53ASkIZOFRlLnqaCTnwzOG2_Wg"",""Direct links Without Sizes!A2:A""),IMPORTRANGE(""1NK5L1mviMn0j3D3uo53ASkIZOFRlLnqaCTnwzOG2_Wg"",""Direct links Without Sizes!B2:B""))),XLOOKUP($C266,IMPORTRANGE(""1NK5L1mviMn0j3D3uo53ASkIZOFRlLnqaCTnwzOG2_Wg"",""Direct li"&amp;"nks Without Sizes!D2:D""),IMPORTRANGE(""1NK5L1mviMn0j3D3uo53ASkIZOFRlLnqaCTnwzOG2_Wg"",""Direct links Without Sizes!E2:E""))),"""")"),"")</f>
        <v/>
      </c>
      <c r="I266" s="4"/>
      <c r="J266" s="24" t="str">
        <f t="shared" si="1"/>
        <v/>
      </c>
      <c r="K266" s="25"/>
      <c r="L266" s="24" t="str">
        <f t="shared" si="2"/>
        <v/>
      </c>
      <c r="M266" s="4"/>
      <c r="N266" s="23"/>
      <c r="O266" s="23"/>
      <c r="P266" s="23"/>
      <c r="Q266" s="4" t="str">
        <f t="shared" si="4"/>
        <v/>
      </c>
      <c r="R266" s="20"/>
      <c r="S266" s="20"/>
    </row>
    <row r="267">
      <c r="A267" s="4"/>
      <c r="B267" s="4"/>
      <c r="C267" s="11"/>
      <c r="D267" s="7" t="str">
        <f>IFERROR(__xludf.DUMMYFUNCTION("iferror(iferror(INDEX(IMPORTRANGE(""12vtnxaE_Q1s4tyr10kZQx7ZF_xG0lBFae4jQEUtgsMU"",""All!B2:B""),MATCH($C267,IMPORTRANGE(""12vtnxaE_Q1s4tyr10kZQx7ZF_xG0lBFae4jQEUtgsMU"",""All!A2:A""),0)),INDEX(IMPORTRANGE(""13KC70HngS4DDi8y9E5khtSpQEPG6owaQ9z4E-tR5mnY"","&amp;"""Non-Food!B2:B""),MATCH($C267,IMPORTRANGE(""13KC70HngS4DDi8y9E5khtSpQEPG6owaQ9z4E-tR5mnY"",""Non-Food!A2:A""),0))),"""")"),"")</f>
        <v/>
      </c>
      <c r="E267" s="15"/>
      <c r="F267" s="15"/>
      <c r="G267" s="36"/>
      <c r="H267" s="23" t="str">
        <f>IFERROR(__xludf.DUMMYFUNCTION("iferror(iferror(iferror(index(IMPORTRANGE(""1NK5L1mviMn0j3D3uo53ASkIZOFRlLnqaCTnwzOG2_Wg"",""Direct Link!B2:B""),MATCH($C267,IMPORTRANGE(""1NK5L1mviMn0j3D3uo53ASkIZOFRlLnqaCTnwzOG2_Wg"",""Direct Link!A2:A""),0)),XLOOKUP($C267,IMPORTRANGE(""1NK5L1mviMn0j3D"&amp;"3uo53ASkIZOFRlLnqaCTnwzOG2_Wg"",""Direct links Without Sizes!A2:A""),IMPORTRANGE(""1NK5L1mviMn0j3D3uo53ASkIZOFRlLnqaCTnwzOG2_Wg"",""Direct links Without Sizes!B2:B""))),XLOOKUP($C267,IMPORTRANGE(""1NK5L1mviMn0j3D3uo53ASkIZOFRlLnqaCTnwzOG2_Wg"",""Direct li"&amp;"nks Without Sizes!D2:D""),IMPORTRANGE(""1NK5L1mviMn0j3D3uo53ASkIZOFRlLnqaCTnwzOG2_Wg"",""Direct links Without Sizes!E2:E""))),"""")"),"")</f>
        <v/>
      </c>
      <c r="I267" s="4"/>
      <c r="J267" s="24" t="str">
        <f t="shared" si="1"/>
        <v/>
      </c>
      <c r="K267" s="25"/>
      <c r="L267" s="24" t="str">
        <f t="shared" si="2"/>
        <v/>
      </c>
      <c r="M267" s="4"/>
      <c r="N267" s="23"/>
      <c r="O267" s="23"/>
      <c r="P267" s="23"/>
      <c r="Q267" s="4" t="str">
        <f t="shared" si="4"/>
        <v/>
      </c>
      <c r="R267" s="20"/>
      <c r="S267" s="20"/>
    </row>
    <row r="268">
      <c r="A268" s="4"/>
      <c r="B268" s="4"/>
      <c r="C268" s="11"/>
      <c r="D268" s="7" t="str">
        <f>IFERROR(__xludf.DUMMYFUNCTION("iferror(iferror(INDEX(IMPORTRANGE(""12vtnxaE_Q1s4tyr10kZQx7ZF_xG0lBFae4jQEUtgsMU"",""All!B2:B""),MATCH($C268,IMPORTRANGE(""12vtnxaE_Q1s4tyr10kZQx7ZF_xG0lBFae4jQEUtgsMU"",""All!A2:A""),0)),INDEX(IMPORTRANGE(""13KC70HngS4DDi8y9E5khtSpQEPG6owaQ9z4E-tR5mnY"","&amp;"""Non-Food!B2:B""),MATCH($C268,IMPORTRANGE(""13KC70HngS4DDi8y9E5khtSpQEPG6owaQ9z4E-tR5mnY"",""Non-Food!A2:A""),0))),"""")"),"")</f>
        <v/>
      </c>
      <c r="E268" s="15"/>
      <c r="F268" s="15"/>
      <c r="G268" s="36"/>
      <c r="H268" s="23" t="str">
        <f>IFERROR(__xludf.DUMMYFUNCTION("iferror(iferror(iferror(index(IMPORTRANGE(""1NK5L1mviMn0j3D3uo53ASkIZOFRlLnqaCTnwzOG2_Wg"",""Direct Link!B2:B""),MATCH($C268,IMPORTRANGE(""1NK5L1mviMn0j3D3uo53ASkIZOFRlLnqaCTnwzOG2_Wg"",""Direct Link!A2:A""),0)),XLOOKUP($C268,IMPORTRANGE(""1NK5L1mviMn0j3D"&amp;"3uo53ASkIZOFRlLnqaCTnwzOG2_Wg"",""Direct links Without Sizes!A2:A""),IMPORTRANGE(""1NK5L1mviMn0j3D3uo53ASkIZOFRlLnqaCTnwzOG2_Wg"",""Direct links Without Sizes!B2:B""))),XLOOKUP($C268,IMPORTRANGE(""1NK5L1mviMn0j3D3uo53ASkIZOFRlLnqaCTnwzOG2_Wg"",""Direct li"&amp;"nks Without Sizes!D2:D""),IMPORTRANGE(""1NK5L1mviMn0j3D3uo53ASkIZOFRlLnqaCTnwzOG2_Wg"",""Direct links Without Sizes!E2:E""))),"""")"),"")</f>
        <v/>
      </c>
      <c r="I268" s="4"/>
      <c r="J268" s="24" t="str">
        <f t="shared" si="1"/>
        <v/>
      </c>
      <c r="K268" s="25"/>
      <c r="L268" s="24" t="str">
        <f t="shared" si="2"/>
        <v/>
      </c>
      <c r="M268" s="4"/>
      <c r="N268" s="23"/>
      <c r="O268" s="23"/>
      <c r="P268" s="23"/>
      <c r="Q268" s="4" t="str">
        <f t="shared" si="4"/>
        <v/>
      </c>
      <c r="R268" s="20"/>
      <c r="S268" s="20"/>
    </row>
    <row r="269">
      <c r="A269" s="4"/>
      <c r="B269" s="4"/>
      <c r="C269" s="11"/>
      <c r="D269" s="7" t="str">
        <f>IFERROR(__xludf.DUMMYFUNCTION("iferror(iferror(INDEX(IMPORTRANGE(""12vtnxaE_Q1s4tyr10kZQx7ZF_xG0lBFae4jQEUtgsMU"",""All!B2:B""),MATCH($C269,IMPORTRANGE(""12vtnxaE_Q1s4tyr10kZQx7ZF_xG0lBFae4jQEUtgsMU"",""All!A2:A""),0)),INDEX(IMPORTRANGE(""13KC70HngS4DDi8y9E5khtSpQEPG6owaQ9z4E-tR5mnY"","&amp;"""Non-Food!B2:B""),MATCH($C269,IMPORTRANGE(""13KC70HngS4DDi8y9E5khtSpQEPG6owaQ9z4E-tR5mnY"",""Non-Food!A2:A""),0))),"""")"),"")</f>
        <v/>
      </c>
      <c r="E269" s="15"/>
      <c r="F269" s="15"/>
      <c r="G269" s="36"/>
      <c r="H269" s="23" t="str">
        <f>IFERROR(__xludf.DUMMYFUNCTION("iferror(iferror(iferror(index(IMPORTRANGE(""1NK5L1mviMn0j3D3uo53ASkIZOFRlLnqaCTnwzOG2_Wg"",""Direct Link!B2:B""),MATCH($C269,IMPORTRANGE(""1NK5L1mviMn0j3D3uo53ASkIZOFRlLnqaCTnwzOG2_Wg"",""Direct Link!A2:A""),0)),XLOOKUP($C269,IMPORTRANGE(""1NK5L1mviMn0j3D"&amp;"3uo53ASkIZOFRlLnqaCTnwzOG2_Wg"",""Direct links Without Sizes!A2:A""),IMPORTRANGE(""1NK5L1mviMn0j3D3uo53ASkIZOFRlLnqaCTnwzOG2_Wg"",""Direct links Without Sizes!B2:B""))),XLOOKUP($C269,IMPORTRANGE(""1NK5L1mviMn0j3D3uo53ASkIZOFRlLnqaCTnwzOG2_Wg"",""Direct li"&amp;"nks Without Sizes!D2:D""),IMPORTRANGE(""1NK5L1mviMn0j3D3uo53ASkIZOFRlLnqaCTnwzOG2_Wg"",""Direct links Without Sizes!E2:E""))),"""")"),"")</f>
        <v/>
      </c>
      <c r="I269" s="4"/>
      <c r="J269" s="24" t="str">
        <f t="shared" si="1"/>
        <v/>
      </c>
      <c r="K269" s="25"/>
      <c r="L269" s="24" t="str">
        <f t="shared" si="2"/>
        <v/>
      </c>
      <c r="M269" s="4"/>
      <c r="N269" s="23"/>
      <c r="O269" s="23"/>
      <c r="P269" s="23"/>
      <c r="Q269" s="4" t="str">
        <f t="shared" si="4"/>
        <v/>
      </c>
      <c r="R269" s="20"/>
      <c r="S269" s="20"/>
    </row>
    <row r="270">
      <c r="A270" s="4"/>
      <c r="B270" s="4"/>
      <c r="C270" s="11"/>
      <c r="D270" s="7" t="str">
        <f>IFERROR(__xludf.DUMMYFUNCTION("iferror(iferror(INDEX(IMPORTRANGE(""12vtnxaE_Q1s4tyr10kZQx7ZF_xG0lBFae4jQEUtgsMU"",""All!B2:B""),MATCH($C270,IMPORTRANGE(""12vtnxaE_Q1s4tyr10kZQx7ZF_xG0lBFae4jQEUtgsMU"",""All!A2:A""),0)),INDEX(IMPORTRANGE(""13KC70HngS4DDi8y9E5khtSpQEPG6owaQ9z4E-tR5mnY"","&amp;"""Non-Food!B2:B""),MATCH($C270,IMPORTRANGE(""13KC70HngS4DDi8y9E5khtSpQEPG6owaQ9z4E-tR5mnY"",""Non-Food!A2:A""),0))),"""")"),"")</f>
        <v/>
      </c>
      <c r="E270" s="15"/>
      <c r="F270" s="15"/>
      <c r="G270" s="36"/>
      <c r="H270" s="23" t="str">
        <f>IFERROR(__xludf.DUMMYFUNCTION("iferror(iferror(iferror(index(IMPORTRANGE(""1NK5L1mviMn0j3D3uo53ASkIZOFRlLnqaCTnwzOG2_Wg"",""Direct Link!B2:B""),MATCH($C270,IMPORTRANGE(""1NK5L1mviMn0j3D3uo53ASkIZOFRlLnqaCTnwzOG2_Wg"",""Direct Link!A2:A""),0)),XLOOKUP($C270,IMPORTRANGE(""1NK5L1mviMn0j3D"&amp;"3uo53ASkIZOFRlLnqaCTnwzOG2_Wg"",""Direct links Without Sizes!A2:A""),IMPORTRANGE(""1NK5L1mviMn0j3D3uo53ASkIZOFRlLnqaCTnwzOG2_Wg"",""Direct links Without Sizes!B2:B""))),XLOOKUP($C270,IMPORTRANGE(""1NK5L1mviMn0j3D3uo53ASkIZOFRlLnqaCTnwzOG2_Wg"",""Direct li"&amp;"nks Without Sizes!D2:D""),IMPORTRANGE(""1NK5L1mviMn0j3D3uo53ASkIZOFRlLnqaCTnwzOG2_Wg"",""Direct links Without Sizes!E2:E""))),"""")"),"")</f>
        <v/>
      </c>
      <c r="I270" s="4"/>
      <c r="J270" s="24" t="str">
        <f t="shared" si="1"/>
        <v/>
      </c>
      <c r="K270" s="25"/>
      <c r="L270" s="24" t="str">
        <f t="shared" si="2"/>
        <v/>
      </c>
      <c r="M270" s="4"/>
      <c r="N270" s="23"/>
      <c r="O270" s="23"/>
      <c r="P270" s="23"/>
      <c r="Q270" s="4" t="str">
        <f t="shared" si="4"/>
        <v/>
      </c>
      <c r="R270" s="20"/>
      <c r="S270" s="20"/>
    </row>
    <row r="271">
      <c r="A271" s="4"/>
      <c r="B271" s="4"/>
      <c r="C271" s="11"/>
      <c r="D271" s="7" t="str">
        <f>IFERROR(__xludf.DUMMYFUNCTION("iferror(iferror(INDEX(IMPORTRANGE(""12vtnxaE_Q1s4tyr10kZQx7ZF_xG0lBFae4jQEUtgsMU"",""All!B2:B""),MATCH($C271,IMPORTRANGE(""12vtnxaE_Q1s4tyr10kZQx7ZF_xG0lBFae4jQEUtgsMU"",""All!A2:A""),0)),INDEX(IMPORTRANGE(""13KC70HngS4DDi8y9E5khtSpQEPG6owaQ9z4E-tR5mnY"","&amp;"""Non-Food!B2:B""),MATCH($C271,IMPORTRANGE(""13KC70HngS4DDi8y9E5khtSpQEPG6owaQ9z4E-tR5mnY"",""Non-Food!A2:A""),0))),"""")"),"")</f>
        <v/>
      </c>
      <c r="E271" s="15"/>
      <c r="F271" s="15"/>
      <c r="G271" s="36"/>
      <c r="H271" s="23" t="str">
        <f>IFERROR(__xludf.DUMMYFUNCTION("iferror(iferror(iferror(index(IMPORTRANGE(""1NK5L1mviMn0j3D3uo53ASkIZOFRlLnqaCTnwzOG2_Wg"",""Direct Link!B2:B""),MATCH($C271,IMPORTRANGE(""1NK5L1mviMn0j3D3uo53ASkIZOFRlLnqaCTnwzOG2_Wg"",""Direct Link!A2:A""),0)),XLOOKUP($C271,IMPORTRANGE(""1NK5L1mviMn0j3D"&amp;"3uo53ASkIZOFRlLnqaCTnwzOG2_Wg"",""Direct links Without Sizes!A2:A""),IMPORTRANGE(""1NK5L1mviMn0j3D3uo53ASkIZOFRlLnqaCTnwzOG2_Wg"",""Direct links Without Sizes!B2:B""))),XLOOKUP($C271,IMPORTRANGE(""1NK5L1mviMn0j3D3uo53ASkIZOFRlLnqaCTnwzOG2_Wg"",""Direct li"&amp;"nks Without Sizes!D2:D""),IMPORTRANGE(""1NK5L1mviMn0j3D3uo53ASkIZOFRlLnqaCTnwzOG2_Wg"",""Direct links Without Sizes!E2:E""))),"""")"),"")</f>
        <v/>
      </c>
      <c r="I271" s="4"/>
      <c r="J271" s="24" t="str">
        <f t="shared" si="1"/>
        <v/>
      </c>
      <c r="K271" s="25"/>
      <c r="L271" s="24" t="str">
        <f t="shared" si="2"/>
        <v/>
      </c>
      <c r="M271" s="4"/>
      <c r="N271" s="23"/>
      <c r="O271" s="23"/>
      <c r="P271" s="23"/>
      <c r="Q271" s="4" t="str">
        <f t="shared" si="4"/>
        <v/>
      </c>
      <c r="R271" s="20"/>
      <c r="S271" s="20"/>
    </row>
    <row r="272">
      <c r="A272" s="4"/>
      <c r="B272" s="4"/>
      <c r="C272" s="11"/>
      <c r="D272" s="7" t="str">
        <f>IFERROR(__xludf.DUMMYFUNCTION("iferror(iferror(INDEX(IMPORTRANGE(""12vtnxaE_Q1s4tyr10kZQx7ZF_xG0lBFae4jQEUtgsMU"",""All!B2:B""),MATCH($C272,IMPORTRANGE(""12vtnxaE_Q1s4tyr10kZQx7ZF_xG0lBFae4jQEUtgsMU"",""All!A2:A""),0)),INDEX(IMPORTRANGE(""13KC70HngS4DDi8y9E5khtSpQEPG6owaQ9z4E-tR5mnY"","&amp;"""Non-Food!B2:B""),MATCH($C272,IMPORTRANGE(""13KC70HngS4DDi8y9E5khtSpQEPG6owaQ9z4E-tR5mnY"",""Non-Food!A2:A""),0))),"""")"),"")</f>
        <v/>
      </c>
      <c r="E272" s="15"/>
      <c r="F272" s="15"/>
      <c r="G272" s="36"/>
      <c r="H272" s="23" t="str">
        <f>IFERROR(__xludf.DUMMYFUNCTION("iferror(iferror(iferror(index(IMPORTRANGE(""1NK5L1mviMn0j3D3uo53ASkIZOFRlLnqaCTnwzOG2_Wg"",""Direct Link!B2:B""),MATCH($C272,IMPORTRANGE(""1NK5L1mviMn0j3D3uo53ASkIZOFRlLnqaCTnwzOG2_Wg"",""Direct Link!A2:A""),0)),XLOOKUP($C272,IMPORTRANGE(""1NK5L1mviMn0j3D"&amp;"3uo53ASkIZOFRlLnqaCTnwzOG2_Wg"",""Direct links Without Sizes!A2:A""),IMPORTRANGE(""1NK5L1mviMn0j3D3uo53ASkIZOFRlLnqaCTnwzOG2_Wg"",""Direct links Without Sizes!B2:B""))),XLOOKUP($C272,IMPORTRANGE(""1NK5L1mviMn0j3D3uo53ASkIZOFRlLnqaCTnwzOG2_Wg"",""Direct li"&amp;"nks Without Sizes!D2:D""),IMPORTRANGE(""1NK5L1mviMn0j3D3uo53ASkIZOFRlLnqaCTnwzOG2_Wg"",""Direct links Without Sizes!E2:E""))),"""")"),"")</f>
        <v/>
      </c>
      <c r="I272" s="4"/>
      <c r="J272" s="24" t="str">
        <f t="shared" si="1"/>
        <v/>
      </c>
      <c r="K272" s="25"/>
      <c r="L272" s="24" t="str">
        <f t="shared" si="2"/>
        <v/>
      </c>
      <c r="M272" s="4"/>
      <c r="N272" s="23"/>
      <c r="O272" s="23"/>
      <c r="P272" s="23"/>
      <c r="Q272" s="4" t="str">
        <f t="shared" si="4"/>
        <v/>
      </c>
      <c r="R272" s="20"/>
      <c r="S272" s="20"/>
    </row>
    <row r="273">
      <c r="A273" s="4"/>
      <c r="B273" s="4"/>
      <c r="C273" s="11"/>
      <c r="D273" s="7" t="str">
        <f>IFERROR(__xludf.DUMMYFUNCTION("iferror(iferror(INDEX(IMPORTRANGE(""12vtnxaE_Q1s4tyr10kZQx7ZF_xG0lBFae4jQEUtgsMU"",""All!B2:B""),MATCH($C273,IMPORTRANGE(""12vtnxaE_Q1s4tyr10kZQx7ZF_xG0lBFae4jQEUtgsMU"",""All!A2:A""),0)),INDEX(IMPORTRANGE(""13KC70HngS4DDi8y9E5khtSpQEPG6owaQ9z4E-tR5mnY"","&amp;"""Non-Food!B2:B""),MATCH($C273,IMPORTRANGE(""13KC70HngS4DDi8y9E5khtSpQEPG6owaQ9z4E-tR5mnY"",""Non-Food!A2:A""),0))),"""")"),"")</f>
        <v/>
      </c>
      <c r="E273" s="15"/>
      <c r="F273" s="15"/>
      <c r="G273" s="36"/>
      <c r="H273" s="23" t="str">
        <f>IFERROR(__xludf.DUMMYFUNCTION("iferror(iferror(iferror(index(IMPORTRANGE(""1NK5L1mviMn0j3D3uo53ASkIZOFRlLnqaCTnwzOG2_Wg"",""Direct Link!B2:B""),MATCH($C273,IMPORTRANGE(""1NK5L1mviMn0j3D3uo53ASkIZOFRlLnqaCTnwzOG2_Wg"",""Direct Link!A2:A""),0)),XLOOKUP($C273,IMPORTRANGE(""1NK5L1mviMn0j3D"&amp;"3uo53ASkIZOFRlLnqaCTnwzOG2_Wg"",""Direct links Without Sizes!A2:A""),IMPORTRANGE(""1NK5L1mviMn0j3D3uo53ASkIZOFRlLnqaCTnwzOG2_Wg"",""Direct links Without Sizes!B2:B""))),XLOOKUP($C273,IMPORTRANGE(""1NK5L1mviMn0j3D3uo53ASkIZOFRlLnqaCTnwzOG2_Wg"",""Direct li"&amp;"nks Without Sizes!D2:D""),IMPORTRANGE(""1NK5L1mviMn0j3D3uo53ASkIZOFRlLnqaCTnwzOG2_Wg"",""Direct links Without Sizes!E2:E""))),"""")"),"")</f>
        <v/>
      </c>
      <c r="I273" s="4"/>
      <c r="J273" s="24" t="str">
        <f t="shared" si="1"/>
        <v/>
      </c>
      <c r="K273" s="25"/>
      <c r="L273" s="24" t="str">
        <f t="shared" si="2"/>
        <v/>
      </c>
      <c r="M273" s="4"/>
      <c r="N273" s="23"/>
      <c r="O273" s="23"/>
      <c r="P273" s="23"/>
      <c r="Q273" s="4" t="str">
        <f t="shared" si="4"/>
        <v/>
      </c>
      <c r="R273" s="20"/>
      <c r="S273" s="20"/>
    </row>
    <row r="274">
      <c r="A274" s="4"/>
      <c r="B274" s="4"/>
      <c r="C274" s="11"/>
      <c r="D274" s="7" t="str">
        <f>IFERROR(__xludf.DUMMYFUNCTION("iferror(iferror(INDEX(IMPORTRANGE(""12vtnxaE_Q1s4tyr10kZQx7ZF_xG0lBFae4jQEUtgsMU"",""All!B2:B""),MATCH($C274,IMPORTRANGE(""12vtnxaE_Q1s4tyr10kZQx7ZF_xG0lBFae4jQEUtgsMU"",""All!A2:A""),0)),INDEX(IMPORTRANGE(""13KC70HngS4DDi8y9E5khtSpQEPG6owaQ9z4E-tR5mnY"","&amp;"""Non-Food!B2:B""),MATCH($C274,IMPORTRANGE(""13KC70HngS4DDi8y9E5khtSpQEPG6owaQ9z4E-tR5mnY"",""Non-Food!A2:A""),0))),"""")"),"")</f>
        <v/>
      </c>
      <c r="E274" s="15"/>
      <c r="F274" s="15"/>
      <c r="G274" s="36"/>
      <c r="H274" s="23" t="str">
        <f>IFERROR(__xludf.DUMMYFUNCTION("iferror(iferror(iferror(index(IMPORTRANGE(""1NK5L1mviMn0j3D3uo53ASkIZOFRlLnqaCTnwzOG2_Wg"",""Direct Link!B2:B""),MATCH($C274,IMPORTRANGE(""1NK5L1mviMn0j3D3uo53ASkIZOFRlLnqaCTnwzOG2_Wg"",""Direct Link!A2:A""),0)),XLOOKUP($C274,IMPORTRANGE(""1NK5L1mviMn0j3D"&amp;"3uo53ASkIZOFRlLnqaCTnwzOG2_Wg"",""Direct links Without Sizes!A2:A""),IMPORTRANGE(""1NK5L1mviMn0j3D3uo53ASkIZOFRlLnqaCTnwzOG2_Wg"",""Direct links Without Sizes!B2:B""))),XLOOKUP($C274,IMPORTRANGE(""1NK5L1mviMn0j3D3uo53ASkIZOFRlLnqaCTnwzOG2_Wg"",""Direct li"&amp;"nks Without Sizes!D2:D""),IMPORTRANGE(""1NK5L1mviMn0j3D3uo53ASkIZOFRlLnqaCTnwzOG2_Wg"",""Direct links Without Sizes!E2:E""))),"""")"),"")</f>
        <v/>
      </c>
      <c r="I274" s="4"/>
      <c r="J274" s="24" t="str">
        <f t="shared" si="1"/>
        <v/>
      </c>
      <c r="K274" s="25"/>
      <c r="L274" s="24" t="str">
        <f t="shared" si="2"/>
        <v/>
      </c>
      <c r="M274" s="4"/>
      <c r="N274" s="23"/>
      <c r="O274" s="23"/>
      <c r="P274" s="23"/>
      <c r="Q274" s="4" t="str">
        <f t="shared" si="4"/>
        <v/>
      </c>
      <c r="R274" s="20"/>
      <c r="S274" s="20"/>
    </row>
    <row r="275">
      <c r="A275" s="4"/>
      <c r="B275" s="4"/>
      <c r="C275" s="11"/>
      <c r="D275" s="7" t="str">
        <f>IFERROR(__xludf.DUMMYFUNCTION("iferror(iferror(INDEX(IMPORTRANGE(""12vtnxaE_Q1s4tyr10kZQx7ZF_xG0lBFae4jQEUtgsMU"",""All!B2:B""),MATCH($C275,IMPORTRANGE(""12vtnxaE_Q1s4tyr10kZQx7ZF_xG0lBFae4jQEUtgsMU"",""All!A2:A""),0)),INDEX(IMPORTRANGE(""13KC70HngS4DDi8y9E5khtSpQEPG6owaQ9z4E-tR5mnY"","&amp;"""Non-Food!B2:B""),MATCH($C275,IMPORTRANGE(""13KC70HngS4DDi8y9E5khtSpQEPG6owaQ9z4E-tR5mnY"",""Non-Food!A2:A""),0))),"""")"),"")</f>
        <v/>
      </c>
      <c r="E275" s="15"/>
      <c r="F275" s="15"/>
      <c r="G275" s="36"/>
      <c r="H275" s="23" t="str">
        <f>IFERROR(__xludf.DUMMYFUNCTION("iferror(iferror(iferror(index(IMPORTRANGE(""1NK5L1mviMn0j3D3uo53ASkIZOFRlLnqaCTnwzOG2_Wg"",""Direct Link!B2:B""),MATCH($C275,IMPORTRANGE(""1NK5L1mviMn0j3D3uo53ASkIZOFRlLnqaCTnwzOG2_Wg"",""Direct Link!A2:A""),0)),XLOOKUP($C275,IMPORTRANGE(""1NK5L1mviMn0j3D"&amp;"3uo53ASkIZOFRlLnqaCTnwzOG2_Wg"",""Direct links Without Sizes!A2:A""),IMPORTRANGE(""1NK5L1mviMn0j3D3uo53ASkIZOFRlLnqaCTnwzOG2_Wg"",""Direct links Without Sizes!B2:B""))),XLOOKUP($C275,IMPORTRANGE(""1NK5L1mviMn0j3D3uo53ASkIZOFRlLnqaCTnwzOG2_Wg"",""Direct li"&amp;"nks Without Sizes!D2:D""),IMPORTRANGE(""1NK5L1mviMn0j3D3uo53ASkIZOFRlLnqaCTnwzOG2_Wg"",""Direct links Without Sizes!E2:E""))),"""")"),"")</f>
        <v/>
      </c>
      <c r="I275" s="4"/>
      <c r="J275" s="24" t="str">
        <f t="shared" si="1"/>
        <v/>
      </c>
      <c r="K275" s="25"/>
      <c r="L275" s="24" t="str">
        <f t="shared" si="2"/>
        <v/>
      </c>
      <c r="M275" s="4"/>
      <c r="N275" s="23"/>
      <c r="O275" s="23"/>
      <c r="P275" s="23"/>
      <c r="Q275" s="4" t="str">
        <f t="shared" si="4"/>
        <v/>
      </c>
      <c r="R275" s="20"/>
      <c r="S275" s="20"/>
    </row>
    <row r="276">
      <c r="A276" s="4"/>
      <c r="B276" s="4"/>
      <c r="C276" s="11"/>
      <c r="D276" s="7" t="str">
        <f>IFERROR(__xludf.DUMMYFUNCTION("iferror(iferror(INDEX(IMPORTRANGE(""12vtnxaE_Q1s4tyr10kZQx7ZF_xG0lBFae4jQEUtgsMU"",""All!B2:B""),MATCH($C276,IMPORTRANGE(""12vtnxaE_Q1s4tyr10kZQx7ZF_xG0lBFae4jQEUtgsMU"",""All!A2:A""),0)),INDEX(IMPORTRANGE(""13KC70HngS4DDi8y9E5khtSpQEPG6owaQ9z4E-tR5mnY"","&amp;"""Non-Food!B2:B""),MATCH($C276,IMPORTRANGE(""13KC70HngS4DDi8y9E5khtSpQEPG6owaQ9z4E-tR5mnY"",""Non-Food!A2:A""),0))),"""")"),"")</f>
        <v/>
      </c>
      <c r="E276" s="15"/>
      <c r="F276" s="15"/>
      <c r="G276" s="36"/>
      <c r="H276" s="23" t="str">
        <f>IFERROR(__xludf.DUMMYFUNCTION("iferror(iferror(iferror(index(IMPORTRANGE(""1NK5L1mviMn0j3D3uo53ASkIZOFRlLnqaCTnwzOG2_Wg"",""Direct Link!B2:B""),MATCH($C276,IMPORTRANGE(""1NK5L1mviMn0j3D3uo53ASkIZOFRlLnqaCTnwzOG2_Wg"",""Direct Link!A2:A""),0)),XLOOKUP($C276,IMPORTRANGE(""1NK5L1mviMn0j3D"&amp;"3uo53ASkIZOFRlLnqaCTnwzOG2_Wg"",""Direct links Without Sizes!A2:A""),IMPORTRANGE(""1NK5L1mviMn0j3D3uo53ASkIZOFRlLnqaCTnwzOG2_Wg"",""Direct links Without Sizes!B2:B""))),XLOOKUP($C276,IMPORTRANGE(""1NK5L1mviMn0j3D3uo53ASkIZOFRlLnqaCTnwzOG2_Wg"",""Direct li"&amp;"nks Without Sizes!D2:D""),IMPORTRANGE(""1NK5L1mviMn0j3D3uo53ASkIZOFRlLnqaCTnwzOG2_Wg"",""Direct links Without Sizes!E2:E""))),"""")"),"")</f>
        <v/>
      </c>
      <c r="I276" s="4"/>
      <c r="J276" s="24" t="str">
        <f t="shared" si="1"/>
        <v/>
      </c>
      <c r="K276" s="25"/>
      <c r="L276" s="24" t="str">
        <f t="shared" si="2"/>
        <v/>
      </c>
      <c r="M276" s="4"/>
      <c r="N276" s="23"/>
      <c r="O276" s="23"/>
      <c r="P276" s="23"/>
      <c r="Q276" s="4" t="str">
        <f t="shared" si="4"/>
        <v/>
      </c>
      <c r="R276" s="20"/>
      <c r="S276" s="20"/>
    </row>
    <row r="277">
      <c r="A277" s="4"/>
      <c r="B277" s="4"/>
      <c r="C277" s="11"/>
      <c r="D277" s="7" t="str">
        <f>IFERROR(__xludf.DUMMYFUNCTION("iferror(iferror(INDEX(IMPORTRANGE(""12vtnxaE_Q1s4tyr10kZQx7ZF_xG0lBFae4jQEUtgsMU"",""All!B2:B""),MATCH($C277,IMPORTRANGE(""12vtnxaE_Q1s4tyr10kZQx7ZF_xG0lBFae4jQEUtgsMU"",""All!A2:A""),0)),INDEX(IMPORTRANGE(""13KC70HngS4DDi8y9E5khtSpQEPG6owaQ9z4E-tR5mnY"","&amp;"""Non-Food!B2:B""),MATCH($C277,IMPORTRANGE(""13KC70HngS4DDi8y9E5khtSpQEPG6owaQ9z4E-tR5mnY"",""Non-Food!A2:A""),0))),"""")"),"")</f>
        <v/>
      </c>
      <c r="E277" s="15"/>
      <c r="F277" s="15"/>
      <c r="G277" s="36"/>
      <c r="H277" s="23" t="str">
        <f>IFERROR(__xludf.DUMMYFUNCTION("iferror(iferror(iferror(index(IMPORTRANGE(""1NK5L1mviMn0j3D3uo53ASkIZOFRlLnqaCTnwzOG2_Wg"",""Direct Link!B2:B""),MATCH($C277,IMPORTRANGE(""1NK5L1mviMn0j3D3uo53ASkIZOFRlLnqaCTnwzOG2_Wg"",""Direct Link!A2:A""),0)),XLOOKUP($C277,IMPORTRANGE(""1NK5L1mviMn0j3D"&amp;"3uo53ASkIZOFRlLnqaCTnwzOG2_Wg"",""Direct links Without Sizes!A2:A""),IMPORTRANGE(""1NK5L1mviMn0j3D3uo53ASkIZOFRlLnqaCTnwzOG2_Wg"",""Direct links Without Sizes!B2:B""))),XLOOKUP($C277,IMPORTRANGE(""1NK5L1mviMn0j3D3uo53ASkIZOFRlLnqaCTnwzOG2_Wg"",""Direct li"&amp;"nks Without Sizes!D2:D""),IMPORTRANGE(""1NK5L1mviMn0j3D3uo53ASkIZOFRlLnqaCTnwzOG2_Wg"",""Direct links Without Sizes!E2:E""))),"""")"),"")</f>
        <v/>
      </c>
      <c r="I277" s="4"/>
      <c r="J277" s="24" t="str">
        <f t="shared" si="1"/>
        <v/>
      </c>
      <c r="K277" s="25"/>
      <c r="L277" s="24" t="str">
        <f t="shared" si="2"/>
        <v/>
      </c>
      <c r="M277" s="4"/>
      <c r="N277" s="23"/>
      <c r="O277" s="23"/>
      <c r="P277" s="23"/>
      <c r="Q277" s="4" t="str">
        <f t="shared" si="4"/>
        <v/>
      </c>
      <c r="R277" s="20"/>
      <c r="S277" s="20"/>
    </row>
    <row r="278">
      <c r="A278" s="4"/>
      <c r="B278" s="4"/>
      <c r="C278" s="11"/>
      <c r="D278" s="7" t="str">
        <f>IFERROR(__xludf.DUMMYFUNCTION("iferror(iferror(INDEX(IMPORTRANGE(""12vtnxaE_Q1s4tyr10kZQx7ZF_xG0lBFae4jQEUtgsMU"",""All!B2:B""),MATCH($C278,IMPORTRANGE(""12vtnxaE_Q1s4tyr10kZQx7ZF_xG0lBFae4jQEUtgsMU"",""All!A2:A""),0)),INDEX(IMPORTRANGE(""13KC70HngS4DDi8y9E5khtSpQEPG6owaQ9z4E-tR5mnY"","&amp;"""Non-Food!B2:B""),MATCH($C278,IMPORTRANGE(""13KC70HngS4DDi8y9E5khtSpQEPG6owaQ9z4E-tR5mnY"",""Non-Food!A2:A""),0))),"""")"),"")</f>
        <v/>
      </c>
      <c r="E278" s="15"/>
      <c r="F278" s="15"/>
      <c r="G278" s="36"/>
      <c r="H278" s="23" t="str">
        <f>IFERROR(__xludf.DUMMYFUNCTION("iferror(iferror(iferror(index(IMPORTRANGE(""1NK5L1mviMn0j3D3uo53ASkIZOFRlLnqaCTnwzOG2_Wg"",""Direct Link!B2:B""),MATCH($C278,IMPORTRANGE(""1NK5L1mviMn0j3D3uo53ASkIZOFRlLnqaCTnwzOG2_Wg"",""Direct Link!A2:A""),0)),XLOOKUP($C278,IMPORTRANGE(""1NK5L1mviMn0j3D"&amp;"3uo53ASkIZOFRlLnqaCTnwzOG2_Wg"",""Direct links Without Sizes!A2:A""),IMPORTRANGE(""1NK5L1mviMn0j3D3uo53ASkIZOFRlLnqaCTnwzOG2_Wg"",""Direct links Without Sizes!B2:B""))),XLOOKUP($C278,IMPORTRANGE(""1NK5L1mviMn0j3D3uo53ASkIZOFRlLnqaCTnwzOG2_Wg"",""Direct li"&amp;"nks Without Sizes!D2:D""),IMPORTRANGE(""1NK5L1mviMn0j3D3uo53ASkIZOFRlLnqaCTnwzOG2_Wg"",""Direct links Without Sizes!E2:E""))),"""")"),"")</f>
        <v/>
      </c>
      <c r="I278" s="4"/>
      <c r="J278" s="24" t="str">
        <f t="shared" si="1"/>
        <v/>
      </c>
      <c r="K278" s="25"/>
      <c r="L278" s="24" t="str">
        <f t="shared" si="2"/>
        <v/>
      </c>
      <c r="M278" s="4"/>
      <c r="N278" s="23"/>
      <c r="O278" s="23"/>
      <c r="P278" s="23"/>
      <c r="Q278" s="4" t="str">
        <f t="shared" si="4"/>
        <v/>
      </c>
      <c r="R278" s="20"/>
      <c r="S278" s="20"/>
    </row>
    <row r="279">
      <c r="A279" s="4"/>
      <c r="B279" s="4"/>
      <c r="C279" s="11"/>
      <c r="D279" s="7" t="str">
        <f>IFERROR(__xludf.DUMMYFUNCTION("iferror(iferror(INDEX(IMPORTRANGE(""12vtnxaE_Q1s4tyr10kZQx7ZF_xG0lBFae4jQEUtgsMU"",""All!B2:B""),MATCH($C279,IMPORTRANGE(""12vtnxaE_Q1s4tyr10kZQx7ZF_xG0lBFae4jQEUtgsMU"",""All!A2:A""),0)),INDEX(IMPORTRANGE(""13KC70HngS4DDi8y9E5khtSpQEPG6owaQ9z4E-tR5mnY"","&amp;"""Non-Food!B2:B""),MATCH($C279,IMPORTRANGE(""13KC70HngS4DDi8y9E5khtSpQEPG6owaQ9z4E-tR5mnY"",""Non-Food!A2:A""),0))),"""")"),"")</f>
        <v/>
      </c>
      <c r="E279" s="15"/>
      <c r="F279" s="15"/>
      <c r="G279" s="36"/>
      <c r="H279" s="23" t="str">
        <f>IFERROR(__xludf.DUMMYFUNCTION("iferror(iferror(iferror(index(IMPORTRANGE(""1NK5L1mviMn0j3D3uo53ASkIZOFRlLnqaCTnwzOG2_Wg"",""Direct Link!B2:B""),MATCH($C279,IMPORTRANGE(""1NK5L1mviMn0j3D3uo53ASkIZOFRlLnqaCTnwzOG2_Wg"",""Direct Link!A2:A""),0)),XLOOKUP($C279,IMPORTRANGE(""1NK5L1mviMn0j3D"&amp;"3uo53ASkIZOFRlLnqaCTnwzOG2_Wg"",""Direct links Without Sizes!A2:A""),IMPORTRANGE(""1NK5L1mviMn0j3D3uo53ASkIZOFRlLnqaCTnwzOG2_Wg"",""Direct links Without Sizes!B2:B""))),XLOOKUP($C279,IMPORTRANGE(""1NK5L1mviMn0j3D3uo53ASkIZOFRlLnqaCTnwzOG2_Wg"",""Direct li"&amp;"nks Without Sizes!D2:D""),IMPORTRANGE(""1NK5L1mviMn0j3D3uo53ASkIZOFRlLnqaCTnwzOG2_Wg"",""Direct links Without Sizes!E2:E""))),"""")"),"")</f>
        <v/>
      </c>
      <c r="I279" s="4"/>
      <c r="J279" s="24" t="str">
        <f t="shared" si="1"/>
        <v/>
      </c>
      <c r="K279" s="25"/>
      <c r="L279" s="24" t="str">
        <f t="shared" si="2"/>
        <v/>
      </c>
      <c r="M279" s="4"/>
      <c r="N279" s="23"/>
      <c r="O279" s="23"/>
      <c r="P279" s="23"/>
      <c r="Q279" s="4" t="str">
        <f t="shared" si="4"/>
        <v/>
      </c>
      <c r="R279" s="20"/>
      <c r="S279" s="20"/>
    </row>
    <row r="280">
      <c r="A280" s="4"/>
      <c r="B280" s="4"/>
      <c r="C280" s="11"/>
      <c r="D280" s="7" t="str">
        <f>IFERROR(__xludf.DUMMYFUNCTION("iferror(iferror(INDEX(IMPORTRANGE(""12vtnxaE_Q1s4tyr10kZQx7ZF_xG0lBFae4jQEUtgsMU"",""All!B2:B""),MATCH($C280,IMPORTRANGE(""12vtnxaE_Q1s4tyr10kZQx7ZF_xG0lBFae4jQEUtgsMU"",""All!A2:A""),0)),INDEX(IMPORTRANGE(""13KC70HngS4DDi8y9E5khtSpQEPG6owaQ9z4E-tR5mnY"","&amp;"""Non-Food!B2:B""),MATCH($C280,IMPORTRANGE(""13KC70HngS4DDi8y9E5khtSpQEPG6owaQ9z4E-tR5mnY"",""Non-Food!A2:A""),0))),"""")"),"")</f>
        <v/>
      </c>
      <c r="E280" s="15"/>
      <c r="F280" s="15"/>
      <c r="G280" s="36"/>
      <c r="H280" s="23" t="str">
        <f>IFERROR(__xludf.DUMMYFUNCTION("iferror(iferror(iferror(index(IMPORTRANGE(""1NK5L1mviMn0j3D3uo53ASkIZOFRlLnqaCTnwzOG2_Wg"",""Direct Link!B2:B""),MATCH($C280,IMPORTRANGE(""1NK5L1mviMn0j3D3uo53ASkIZOFRlLnqaCTnwzOG2_Wg"",""Direct Link!A2:A""),0)),XLOOKUP($C280,IMPORTRANGE(""1NK5L1mviMn0j3D"&amp;"3uo53ASkIZOFRlLnqaCTnwzOG2_Wg"",""Direct links Without Sizes!A2:A""),IMPORTRANGE(""1NK5L1mviMn0j3D3uo53ASkIZOFRlLnqaCTnwzOG2_Wg"",""Direct links Without Sizes!B2:B""))),XLOOKUP($C280,IMPORTRANGE(""1NK5L1mviMn0j3D3uo53ASkIZOFRlLnqaCTnwzOG2_Wg"",""Direct li"&amp;"nks Without Sizes!D2:D""),IMPORTRANGE(""1NK5L1mviMn0j3D3uo53ASkIZOFRlLnqaCTnwzOG2_Wg"",""Direct links Without Sizes!E2:E""))),"""")"),"")</f>
        <v/>
      </c>
      <c r="I280" s="4"/>
      <c r="J280" s="24" t="str">
        <f t="shared" si="1"/>
        <v/>
      </c>
      <c r="K280" s="25"/>
      <c r="L280" s="24" t="str">
        <f t="shared" si="2"/>
        <v/>
      </c>
      <c r="M280" s="4"/>
      <c r="N280" s="23"/>
      <c r="O280" s="23"/>
      <c r="P280" s="23"/>
      <c r="Q280" s="4" t="str">
        <f t="shared" si="4"/>
        <v/>
      </c>
      <c r="R280" s="20"/>
      <c r="S280" s="20"/>
    </row>
    <row r="281">
      <c r="A281" s="4"/>
      <c r="B281" s="4"/>
      <c r="C281" s="11"/>
      <c r="D281" s="7" t="str">
        <f>IFERROR(__xludf.DUMMYFUNCTION("iferror(iferror(INDEX(IMPORTRANGE(""12vtnxaE_Q1s4tyr10kZQx7ZF_xG0lBFae4jQEUtgsMU"",""All!B2:B""),MATCH($C281,IMPORTRANGE(""12vtnxaE_Q1s4tyr10kZQx7ZF_xG0lBFae4jQEUtgsMU"",""All!A2:A""),0)),INDEX(IMPORTRANGE(""13KC70HngS4DDi8y9E5khtSpQEPG6owaQ9z4E-tR5mnY"","&amp;"""Non-Food!B2:B""),MATCH($C281,IMPORTRANGE(""13KC70HngS4DDi8y9E5khtSpQEPG6owaQ9z4E-tR5mnY"",""Non-Food!A2:A""),0))),"""")"),"")</f>
        <v/>
      </c>
      <c r="E281" s="15"/>
      <c r="F281" s="15"/>
      <c r="G281" s="36"/>
      <c r="H281" s="23" t="str">
        <f>IFERROR(__xludf.DUMMYFUNCTION("iferror(iferror(iferror(index(IMPORTRANGE(""1NK5L1mviMn0j3D3uo53ASkIZOFRlLnqaCTnwzOG2_Wg"",""Direct Link!B2:B""),MATCH($C281,IMPORTRANGE(""1NK5L1mviMn0j3D3uo53ASkIZOFRlLnqaCTnwzOG2_Wg"",""Direct Link!A2:A""),0)),XLOOKUP($C281,IMPORTRANGE(""1NK5L1mviMn0j3D"&amp;"3uo53ASkIZOFRlLnqaCTnwzOG2_Wg"",""Direct links Without Sizes!A2:A""),IMPORTRANGE(""1NK5L1mviMn0j3D3uo53ASkIZOFRlLnqaCTnwzOG2_Wg"",""Direct links Without Sizes!B2:B""))),XLOOKUP($C281,IMPORTRANGE(""1NK5L1mviMn0j3D3uo53ASkIZOFRlLnqaCTnwzOG2_Wg"",""Direct li"&amp;"nks Without Sizes!D2:D""),IMPORTRANGE(""1NK5L1mviMn0j3D3uo53ASkIZOFRlLnqaCTnwzOG2_Wg"",""Direct links Without Sizes!E2:E""))),"""")"),"")</f>
        <v/>
      </c>
      <c r="I281" s="4"/>
      <c r="J281" s="24" t="str">
        <f t="shared" si="1"/>
        <v/>
      </c>
      <c r="K281" s="25"/>
      <c r="L281" s="24" t="str">
        <f t="shared" si="2"/>
        <v/>
      </c>
      <c r="M281" s="4"/>
      <c r="N281" s="23"/>
      <c r="O281" s="23"/>
      <c r="P281" s="23"/>
      <c r="Q281" s="4" t="str">
        <f t="shared" si="4"/>
        <v/>
      </c>
      <c r="R281" s="20"/>
      <c r="S281" s="20"/>
    </row>
    <row r="282">
      <c r="A282" s="4"/>
      <c r="B282" s="4"/>
      <c r="C282" s="11"/>
      <c r="D282" s="7" t="str">
        <f>IFERROR(__xludf.DUMMYFUNCTION("iferror(iferror(INDEX(IMPORTRANGE(""12vtnxaE_Q1s4tyr10kZQx7ZF_xG0lBFae4jQEUtgsMU"",""All!B2:B""),MATCH($C282,IMPORTRANGE(""12vtnxaE_Q1s4tyr10kZQx7ZF_xG0lBFae4jQEUtgsMU"",""All!A2:A""),0)),INDEX(IMPORTRANGE(""13KC70HngS4DDi8y9E5khtSpQEPG6owaQ9z4E-tR5mnY"","&amp;"""Non-Food!B2:B""),MATCH($C282,IMPORTRANGE(""13KC70HngS4DDi8y9E5khtSpQEPG6owaQ9z4E-tR5mnY"",""Non-Food!A2:A""),0))),"""")"),"")</f>
        <v/>
      </c>
      <c r="E282" s="15"/>
      <c r="F282" s="15"/>
      <c r="G282" s="36"/>
      <c r="H282" s="23" t="str">
        <f>IFERROR(__xludf.DUMMYFUNCTION("iferror(iferror(iferror(index(IMPORTRANGE(""1NK5L1mviMn0j3D3uo53ASkIZOFRlLnqaCTnwzOG2_Wg"",""Direct Link!B2:B""),MATCH($C282,IMPORTRANGE(""1NK5L1mviMn0j3D3uo53ASkIZOFRlLnqaCTnwzOG2_Wg"",""Direct Link!A2:A""),0)),XLOOKUP($C282,IMPORTRANGE(""1NK5L1mviMn0j3D"&amp;"3uo53ASkIZOFRlLnqaCTnwzOG2_Wg"",""Direct links Without Sizes!A2:A""),IMPORTRANGE(""1NK5L1mviMn0j3D3uo53ASkIZOFRlLnqaCTnwzOG2_Wg"",""Direct links Without Sizes!B2:B""))),XLOOKUP($C282,IMPORTRANGE(""1NK5L1mviMn0j3D3uo53ASkIZOFRlLnqaCTnwzOG2_Wg"",""Direct li"&amp;"nks Without Sizes!D2:D""),IMPORTRANGE(""1NK5L1mviMn0j3D3uo53ASkIZOFRlLnqaCTnwzOG2_Wg"",""Direct links Without Sizes!E2:E""))),"""")"),"")</f>
        <v/>
      </c>
      <c r="I282" s="4"/>
      <c r="J282" s="24" t="str">
        <f t="shared" si="1"/>
        <v/>
      </c>
      <c r="K282" s="25"/>
      <c r="L282" s="24" t="str">
        <f t="shared" si="2"/>
        <v/>
      </c>
      <c r="M282" s="4"/>
      <c r="N282" s="23"/>
      <c r="O282" s="23"/>
      <c r="P282" s="23"/>
      <c r="Q282" s="4" t="str">
        <f t="shared" si="4"/>
        <v/>
      </c>
      <c r="R282" s="20"/>
      <c r="S282" s="20"/>
    </row>
    <row r="283">
      <c r="A283" s="4"/>
      <c r="B283" s="4"/>
      <c r="C283" s="11"/>
      <c r="D283" s="7" t="str">
        <f>IFERROR(__xludf.DUMMYFUNCTION("iferror(iferror(INDEX(IMPORTRANGE(""12vtnxaE_Q1s4tyr10kZQx7ZF_xG0lBFae4jQEUtgsMU"",""All!B2:B""),MATCH($C283,IMPORTRANGE(""12vtnxaE_Q1s4tyr10kZQx7ZF_xG0lBFae4jQEUtgsMU"",""All!A2:A""),0)),INDEX(IMPORTRANGE(""13KC70HngS4DDi8y9E5khtSpQEPG6owaQ9z4E-tR5mnY"","&amp;"""Non-Food!B2:B""),MATCH($C283,IMPORTRANGE(""13KC70HngS4DDi8y9E5khtSpQEPG6owaQ9z4E-tR5mnY"",""Non-Food!A2:A""),0))),"""")"),"")</f>
        <v/>
      </c>
      <c r="E283" s="15"/>
      <c r="F283" s="15"/>
      <c r="G283" s="36"/>
      <c r="H283" s="23" t="str">
        <f>IFERROR(__xludf.DUMMYFUNCTION("iferror(iferror(iferror(index(IMPORTRANGE(""1NK5L1mviMn0j3D3uo53ASkIZOFRlLnqaCTnwzOG2_Wg"",""Direct Link!B2:B""),MATCH($C283,IMPORTRANGE(""1NK5L1mviMn0j3D3uo53ASkIZOFRlLnqaCTnwzOG2_Wg"",""Direct Link!A2:A""),0)),XLOOKUP($C283,IMPORTRANGE(""1NK5L1mviMn0j3D"&amp;"3uo53ASkIZOFRlLnqaCTnwzOG2_Wg"",""Direct links Without Sizes!A2:A""),IMPORTRANGE(""1NK5L1mviMn0j3D3uo53ASkIZOFRlLnqaCTnwzOG2_Wg"",""Direct links Without Sizes!B2:B""))),XLOOKUP($C283,IMPORTRANGE(""1NK5L1mviMn0j3D3uo53ASkIZOFRlLnqaCTnwzOG2_Wg"",""Direct li"&amp;"nks Without Sizes!D2:D""),IMPORTRANGE(""1NK5L1mviMn0j3D3uo53ASkIZOFRlLnqaCTnwzOG2_Wg"",""Direct links Without Sizes!E2:E""))),"""")"),"")</f>
        <v/>
      </c>
      <c r="I283" s="4"/>
      <c r="J283" s="24" t="str">
        <f t="shared" si="1"/>
        <v/>
      </c>
      <c r="K283" s="25"/>
      <c r="L283" s="24" t="str">
        <f t="shared" si="2"/>
        <v/>
      </c>
      <c r="M283" s="4"/>
      <c r="N283" s="23"/>
      <c r="O283" s="23"/>
      <c r="P283" s="23"/>
      <c r="Q283" s="4" t="str">
        <f t="shared" si="4"/>
        <v/>
      </c>
      <c r="R283" s="20"/>
      <c r="S283" s="20"/>
    </row>
    <row r="284">
      <c r="A284" s="4"/>
      <c r="B284" s="4"/>
      <c r="C284" s="11"/>
      <c r="D284" s="7" t="str">
        <f>IFERROR(__xludf.DUMMYFUNCTION("iferror(iferror(INDEX(IMPORTRANGE(""12vtnxaE_Q1s4tyr10kZQx7ZF_xG0lBFae4jQEUtgsMU"",""All!B2:B""),MATCH($C284,IMPORTRANGE(""12vtnxaE_Q1s4tyr10kZQx7ZF_xG0lBFae4jQEUtgsMU"",""All!A2:A""),0)),INDEX(IMPORTRANGE(""13KC70HngS4DDi8y9E5khtSpQEPG6owaQ9z4E-tR5mnY"","&amp;"""Non-Food!B2:B""),MATCH($C284,IMPORTRANGE(""13KC70HngS4DDi8y9E5khtSpQEPG6owaQ9z4E-tR5mnY"",""Non-Food!A2:A""),0))),"""")"),"")</f>
        <v/>
      </c>
      <c r="E284" s="15"/>
      <c r="F284" s="15"/>
      <c r="G284" s="36"/>
      <c r="H284" s="23" t="str">
        <f>IFERROR(__xludf.DUMMYFUNCTION("iferror(iferror(iferror(index(IMPORTRANGE(""1NK5L1mviMn0j3D3uo53ASkIZOFRlLnqaCTnwzOG2_Wg"",""Direct Link!B2:B""),MATCH($C284,IMPORTRANGE(""1NK5L1mviMn0j3D3uo53ASkIZOFRlLnqaCTnwzOG2_Wg"",""Direct Link!A2:A""),0)),XLOOKUP($C284,IMPORTRANGE(""1NK5L1mviMn0j3D"&amp;"3uo53ASkIZOFRlLnqaCTnwzOG2_Wg"",""Direct links Without Sizes!A2:A""),IMPORTRANGE(""1NK5L1mviMn0j3D3uo53ASkIZOFRlLnqaCTnwzOG2_Wg"",""Direct links Without Sizes!B2:B""))),XLOOKUP($C284,IMPORTRANGE(""1NK5L1mviMn0j3D3uo53ASkIZOFRlLnqaCTnwzOG2_Wg"",""Direct li"&amp;"nks Without Sizes!D2:D""),IMPORTRANGE(""1NK5L1mviMn0j3D3uo53ASkIZOFRlLnqaCTnwzOG2_Wg"",""Direct links Without Sizes!E2:E""))),"""")"),"")</f>
        <v/>
      </c>
      <c r="I284" s="4"/>
      <c r="J284" s="24" t="str">
        <f t="shared" si="1"/>
        <v/>
      </c>
      <c r="K284" s="25"/>
      <c r="L284" s="24" t="str">
        <f t="shared" si="2"/>
        <v/>
      </c>
      <c r="M284" s="4"/>
      <c r="N284" s="23"/>
      <c r="O284" s="23"/>
      <c r="P284" s="23"/>
      <c r="Q284" s="4" t="str">
        <f t="shared" si="4"/>
        <v/>
      </c>
      <c r="R284" s="20"/>
      <c r="S284" s="20"/>
    </row>
    <row r="285">
      <c r="A285" s="4"/>
      <c r="B285" s="4"/>
      <c r="C285" s="11"/>
      <c r="D285" s="7" t="str">
        <f>IFERROR(__xludf.DUMMYFUNCTION("iferror(iferror(INDEX(IMPORTRANGE(""12vtnxaE_Q1s4tyr10kZQx7ZF_xG0lBFae4jQEUtgsMU"",""All!B2:B""),MATCH($C285,IMPORTRANGE(""12vtnxaE_Q1s4tyr10kZQx7ZF_xG0lBFae4jQEUtgsMU"",""All!A2:A""),0)),INDEX(IMPORTRANGE(""13KC70HngS4DDi8y9E5khtSpQEPG6owaQ9z4E-tR5mnY"","&amp;"""Non-Food!B2:B""),MATCH($C285,IMPORTRANGE(""13KC70HngS4DDi8y9E5khtSpQEPG6owaQ9z4E-tR5mnY"",""Non-Food!A2:A""),0))),"""")"),"")</f>
        <v/>
      </c>
      <c r="E285" s="15"/>
      <c r="F285" s="15"/>
      <c r="G285" s="36"/>
      <c r="H285" s="23" t="str">
        <f>IFERROR(__xludf.DUMMYFUNCTION("iferror(iferror(iferror(index(IMPORTRANGE(""1NK5L1mviMn0j3D3uo53ASkIZOFRlLnqaCTnwzOG2_Wg"",""Direct Link!B2:B""),MATCH($C285,IMPORTRANGE(""1NK5L1mviMn0j3D3uo53ASkIZOFRlLnqaCTnwzOG2_Wg"",""Direct Link!A2:A""),0)),XLOOKUP($C285,IMPORTRANGE(""1NK5L1mviMn0j3D"&amp;"3uo53ASkIZOFRlLnqaCTnwzOG2_Wg"",""Direct links Without Sizes!A2:A""),IMPORTRANGE(""1NK5L1mviMn0j3D3uo53ASkIZOFRlLnqaCTnwzOG2_Wg"",""Direct links Without Sizes!B2:B""))),XLOOKUP($C285,IMPORTRANGE(""1NK5L1mviMn0j3D3uo53ASkIZOFRlLnqaCTnwzOG2_Wg"",""Direct li"&amp;"nks Without Sizes!D2:D""),IMPORTRANGE(""1NK5L1mviMn0j3D3uo53ASkIZOFRlLnqaCTnwzOG2_Wg"",""Direct links Without Sizes!E2:E""))),"""")"),"")</f>
        <v/>
      </c>
      <c r="I285" s="4"/>
      <c r="J285" s="24" t="str">
        <f t="shared" si="1"/>
        <v/>
      </c>
      <c r="K285" s="25"/>
      <c r="L285" s="24" t="str">
        <f t="shared" si="2"/>
        <v/>
      </c>
      <c r="M285" s="4"/>
      <c r="N285" s="23"/>
      <c r="O285" s="23"/>
      <c r="P285" s="23"/>
      <c r="Q285" s="4" t="str">
        <f t="shared" si="4"/>
        <v/>
      </c>
      <c r="R285" s="20"/>
      <c r="S285" s="20"/>
    </row>
    <row r="286">
      <c r="A286" s="4"/>
      <c r="B286" s="4"/>
      <c r="C286" s="11"/>
      <c r="D286" s="7" t="str">
        <f>IFERROR(__xludf.DUMMYFUNCTION("iferror(iferror(INDEX(IMPORTRANGE(""12vtnxaE_Q1s4tyr10kZQx7ZF_xG0lBFae4jQEUtgsMU"",""All!B2:B""),MATCH($C286,IMPORTRANGE(""12vtnxaE_Q1s4tyr10kZQx7ZF_xG0lBFae4jQEUtgsMU"",""All!A2:A""),0)),INDEX(IMPORTRANGE(""13KC70HngS4DDi8y9E5khtSpQEPG6owaQ9z4E-tR5mnY"","&amp;"""Non-Food!B2:B""),MATCH($C286,IMPORTRANGE(""13KC70HngS4DDi8y9E5khtSpQEPG6owaQ9z4E-tR5mnY"",""Non-Food!A2:A""),0))),"""")"),"")</f>
        <v/>
      </c>
      <c r="E286" s="15"/>
      <c r="F286" s="15"/>
      <c r="G286" s="36"/>
      <c r="H286" s="23" t="str">
        <f>IFERROR(__xludf.DUMMYFUNCTION("iferror(iferror(iferror(index(IMPORTRANGE(""1NK5L1mviMn0j3D3uo53ASkIZOFRlLnqaCTnwzOG2_Wg"",""Direct Link!B2:B""),MATCH($C286,IMPORTRANGE(""1NK5L1mviMn0j3D3uo53ASkIZOFRlLnqaCTnwzOG2_Wg"",""Direct Link!A2:A""),0)),XLOOKUP($C286,IMPORTRANGE(""1NK5L1mviMn0j3D"&amp;"3uo53ASkIZOFRlLnqaCTnwzOG2_Wg"",""Direct links Without Sizes!A2:A""),IMPORTRANGE(""1NK5L1mviMn0j3D3uo53ASkIZOFRlLnqaCTnwzOG2_Wg"",""Direct links Without Sizes!B2:B""))),XLOOKUP($C286,IMPORTRANGE(""1NK5L1mviMn0j3D3uo53ASkIZOFRlLnqaCTnwzOG2_Wg"",""Direct li"&amp;"nks Without Sizes!D2:D""),IMPORTRANGE(""1NK5L1mviMn0j3D3uo53ASkIZOFRlLnqaCTnwzOG2_Wg"",""Direct links Without Sizes!E2:E""))),"""")"),"")</f>
        <v/>
      </c>
      <c r="I286" s="4"/>
      <c r="J286" s="24" t="str">
        <f t="shared" si="1"/>
        <v/>
      </c>
      <c r="K286" s="25"/>
      <c r="L286" s="24" t="str">
        <f t="shared" si="2"/>
        <v/>
      </c>
      <c r="M286" s="4"/>
      <c r="N286" s="23"/>
      <c r="O286" s="23"/>
      <c r="P286" s="23"/>
      <c r="Q286" s="4" t="str">
        <f t="shared" si="4"/>
        <v/>
      </c>
      <c r="R286" s="20"/>
      <c r="S286" s="20"/>
    </row>
    <row r="287">
      <c r="A287" s="4"/>
      <c r="B287" s="4"/>
      <c r="C287" s="11"/>
      <c r="D287" s="7" t="str">
        <f>IFERROR(__xludf.DUMMYFUNCTION("iferror(iferror(INDEX(IMPORTRANGE(""12vtnxaE_Q1s4tyr10kZQx7ZF_xG0lBFae4jQEUtgsMU"",""All!B2:B""),MATCH($C287,IMPORTRANGE(""12vtnxaE_Q1s4tyr10kZQx7ZF_xG0lBFae4jQEUtgsMU"",""All!A2:A""),0)),INDEX(IMPORTRANGE(""13KC70HngS4DDi8y9E5khtSpQEPG6owaQ9z4E-tR5mnY"","&amp;"""Non-Food!B2:B""),MATCH($C287,IMPORTRANGE(""13KC70HngS4DDi8y9E5khtSpQEPG6owaQ9z4E-tR5mnY"",""Non-Food!A2:A""),0))),"""")"),"")</f>
        <v/>
      </c>
      <c r="E287" s="15"/>
      <c r="F287" s="15"/>
      <c r="G287" s="36"/>
      <c r="H287" s="23" t="str">
        <f>IFERROR(__xludf.DUMMYFUNCTION("iferror(iferror(iferror(index(IMPORTRANGE(""1NK5L1mviMn0j3D3uo53ASkIZOFRlLnqaCTnwzOG2_Wg"",""Direct Link!B2:B""),MATCH($C287,IMPORTRANGE(""1NK5L1mviMn0j3D3uo53ASkIZOFRlLnqaCTnwzOG2_Wg"",""Direct Link!A2:A""),0)),XLOOKUP($C287,IMPORTRANGE(""1NK5L1mviMn0j3D"&amp;"3uo53ASkIZOFRlLnqaCTnwzOG2_Wg"",""Direct links Without Sizes!A2:A""),IMPORTRANGE(""1NK5L1mviMn0j3D3uo53ASkIZOFRlLnqaCTnwzOG2_Wg"",""Direct links Without Sizes!B2:B""))),XLOOKUP($C287,IMPORTRANGE(""1NK5L1mviMn0j3D3uo53ASkIZOFRlLnqaCTnwzOG2_Wg"",""Direct li"&amp;"nks Without Sizes!D2:D""),IMPORTRANGE(""1NK5L1mviMn0j3D3uo53ASkIZOFRlLnqaCTnwzOG2_Wg"",""Direct links Without Sizes!E2:E""))),"""")"),"")</f>
        <v/>
      </c>
      <c r="I287" s="4"/>
      <c r="J287" s="24" t="str">
        <f t="shared" si="1"/>
        <v/>
      </c>
      <c r="K287" s="25"/>
      <c r="L287" s="24" t="str">
        <f t="shared" si="2"/>
        <v/>
      </c>
      <c r="M287" s="4"/>
      <c r="N287" s="23"/>
      <c r="O287" s="23"/>
      <c r="P287" s="23"/>
      <c r="Q287" s="4" t="str">
        <f t="shared" si="4"/>
        <v/>
      </c>
      <c r="R287" s="20"/>
      <c r="S287" s="20"/>
    </row>
    <row r="288">
      <c r="A288" s="4"/>
      <c r="B288" s="4"/>
      <c r="C288" s="11"/>
      <c r="D288" s="7" t="str">
        <f>IFERROR(__xludf.DUMMYFUNCTION("iferror(iferror(INDEX(IMPORTRANGE(""12vtnxaE_Q1s4tyr10kZQx7ZF_xG0lBFae4jQEUtgsMU"",""All!B2:B""),MATCH($C288,IMPORTRANGE(""12vtnxaE_Q1s4tyr10kZQx7ZF_xG0lBFae4jQEUtgsMU"",""All!A2:A""),0)),INDEX(IMPORTRANGE(""13KC70HngS4DDi8y9E5khtSpQEPG6owaQ9z4E-tR5mnY"","&amp;"""Non-Food!B2:B""),MATCH($C288,IMPORTRANGE(""13KC70HngS4DDi8y9E5khtSpQEPG6owaQ9z4E-tR5mnY"",""Non-Food!A2:A""),0))),"""")"),"")</f>
        <v/>
      </c>
      <c r="E288" s="15"/>
      <c r="F288" s="15"/>
      <c r="G288" s="36"/>
      <c r="H288" s="23" t="str">
        <f>IFERROR(__xludf.DUMMYFUNCTION("iferror(iferror(iferror(index(IMPORTRANGE(""1NK5L1mviMn0j3D3uo53ASkIZOFRlLnqaCTnwzOG2_Wg"",""Direct Link!B2:B""),MATCH($C288,IMPORTRANGE(""1NK5L1mviMn0j3D3uo53ASkIZOFRlLnqaCTnwzOG2_Wg"",""Direct Link!A2:A""),0)),XLOOKUP($C288,IMPORTRANGE(""1NK5L1mviMn0j3D"&amp;"3uo53ASkIZOFRlLnqaCTnwzOG2_Wg"",""Direct links Without Sizes!A2:A""),IMPORTRANGE(""1NK5L1mviMn0j3D3uo53ASkIZOFRlLnqaCTnwzOG2_Wg"",""Direct links Without Sizes!B2:B""))),XLOOKUP($C288,IMPORTRANGE(""1NK5L1mviMn0j3D3uo53ASkIZOFRlLnqaCTnwzOG2_Wg"",""Direct li"&amp;"nks Without Sizes!D2:D""),IMPORTRANGE(""1NK5L1mviMn0j3D3uo53ASkIZOFRlLnqaCTnwzOG2_Wg"",""Direct links Without Sizes!E2:E""))),"""")"),"")</f>
        <v/>
      </c>
      <c r="I288" s="4"/>
      <c r="J288" s="24" t="str">
        <f t="shared" si="1"/>
        <v/>
      </c>
      <c r="K288" s="25"/>
      <c r="L288" s="24" t="str">
        <f t="shared" si="2"/>
        <v/>
      </c>
      <c r="M288" s="4"/>
      <c r="N288" s="23"/>
      <c r="O288" s="23"/>
      <c r="P288" s="23"/>
      <c r="Q288" s="4" t="str">
        <f t="shared" si="4"/>
        <v/>
      </c>
      <c r="R288" s="20"/>
      <c r="S288" s="20"/>
    </row>
    <row r="289">
      <c r="A289" s="4"/>
      <c r="B289" s="4"/>
      <c r="C289" s="11"/>
      <c r="D289" s="7" t="str">
        <f>IFERROR(__xludf.DUMMYFUNCTION("iferror(iferror(INDEX(IMPORTRANGE(""12vtnxaE_Q1s4tyr10kZQx7ZF_xG0lBFae4jQEUtgsMU"",""All!B2:B""),MATCH($C289,IMPORTRANGE(""12vtnxaE_Q1s4tyr10kZQx7ZF_xG0lBFae4jQEUtgsMU"",""All!A2:A""),0)),INDEX(IMPORTRANGE(""13KC70HngS4DDi8y9E5khtSpQEPG6owaQ9z4E-tR5mnY"","&amp;"""Non-Food!B2:B""),MATCH($C289,IMPORTRANGE(""13KC70HngS4DDi8y9E5khtSpQEPG6owaQ9z4E-tR5mnY"",""Non-Food!A2:A""),0))),"""")"),"")</f>
        <v/>
      </c>
      <c r="E289" s="15"/>
      <c r="F289" s="15"/>
      <c r="G289" s="36"/>
      <c r="H289" s="23" t="str">
        <f>IFERROR(__xludf.DUMMYFUNCTION("iferror(iferror(iferror(index(IMPORTRANGE(""1NK5L1mviMn0j3D3uo53ASkIZOFRlLnqaCTnwzOG2_Wg"",""Direct Link!B2:B""),MATCH($C289,IMPORTRANGE(""1NK5L1mviMn0j3D3uo53ASkIZOFRlLnqaCTnwzOG2_Wg"",""Direct Link!A2:A""),0)),XLOOKUP($C289,IMPORTRANGE(""1NK5L1mviMn0j3D"&amp;"3uo53ASkIZOFRlLnqaCTnwzOG2_Wg"",""Direct links Without Sizes!A2:A""),IMPORTRANGE(""1NK5L1mviMn0j3D3uo53ASkIZOFRlLnqaCTnwzOG2_Wg"",""Direct links Without Sizes!B2:B""))),XLOOKUP($C289,IMPORTRANGE(""1NK5L1mviMn0j3D3uo53ASkIZOFRlLnqaCTnwzOG2_Wg"",""Direct li"&amp;"nks Without Sizes!D2:D""),IMPORTRANGE(""1NK5L1mviMn0j3D3uo53ASkIZOFRlLnqaCTnwzOG2_Wg"",""Direct links Without Sizes!E2:E""))),"""")"),"")</f>
        <v/>
      </c>
      <c r="I289" s="4"/>
      <c r="J289" s="24" t="str">
        <f t="shared" si="1"/>
        <v/>
      </c>
      <c r="K289" s="25"/>
      <c r="L289" s="24" t="str">
        <f t="shared" si="2"/>
        <v/>
      </c>
      <c r="M289" s="4"/>
      <c r="N289" s="23"/>
      <c r="O289" s="23"/>
      <c r="P289" s="23"/>
      <c r="Q289" s="4" t="str">
        <f t="shared" si="4"/>
        <v/>
      </c>
      <c r="R289" s="20"/>
      <c r="S289" s="20"/>
    </row>
    <row r="290">
      <c r="A290" s="4"/>
      <c r="B290" s="4"/>
      <c r="C290" s="11"/>
      <c r="D290" s="7" t="str">
        <f>IFERROR(__xludf.DUMMYFUNCTION("iferror(iferror(INDEX(IMPORTRANGE(""12vtnxaE_Q1s4tyr10kZQx7ZF_xG0lBFae4jQEUtgsMU"",""All!B2:B""),MATCH($C290,IMPORTRANGE(""12vtnxaE_Q1s4tyr10kZQx7ZF_xG0lBFae4jQEUtgsMU"",""All!A2:A""),0)),INDEX(IMPORTRANGE(""13KC70HngS4DDi8y9E5khtSpQEPG6owaQ9z4E-tR5mnY"","&amp;"""Non-Food!B2:B""),MATCH($C290,IMPORTRANGE(""13KC70HngS4DDi8y9E5khtSpQEPG6owaQ9z4E-tR5mnY"",""Non-Food!A2:A""),0))),"""")"),"")</f>
        <v/>
      </c>
      <c r="E290" s="15"/>
      <c r="F290" s="15"/>
      <c r="G290" s="36"/>
      <c r="H290" s="23" t="str">
        <f>IFERROR(__xludf.DUMMYFUNCTION("iferror(iferror(iferror(index(IMPORTRANGE(""1NK5L1mviMn0j3D3uo53ASkIZOFRlLnqaCTnwzOG2_Wg"",""Direct Link!B2:B""),MATCH($C290,IMPORTRANGE(""1NK5L1mviMn0j3D3uo53ASkIZOFRlLnqaCTnwzOG2_Wg"",""Direct Link!A2:A""),0)),XLOOKUP($C290,IMPORTRANGE(""1NK5L1mviMn0j3D"&amp;"3uo53ASkIZOFRlLnqaCTnwzOG2_Wg"",""Direct links Without Sizes!A2:A""),IMPORTRANGE(""1NK5L1mviMn0j3D3uo53ASkIZOFRlLnqaCTnwzOG2_Wg"",""Direct links Without Sizes!B2:B""))),XLOOKUP($C290,IMPORTRANGE(""1NK5L1mviMn0j3D3uo53ASkIZOFRlLnqaCTnwzOG2_Wg"",""Direct li"&amp;"nks Without Sizes!D2:D""),IMPORTRANGE(""1NK5L1mviMn0j3D3uo53ASkIZOFRlLnqaCTnwzOG2_Wg"",""Direct links Without Sizes!E2:E""))),"""")"),"")</f>
        <v/>
      </c>
      <c r="I290" s="4"/>
      <c r="J290" s="24" t="str">
        <f t="shared" si="1"/>
        <v/>
      </c>
      <c r="K290" s="25"/>
      <c r="L290" s="24" t="str">
        <f t="shared" si="2"/>
        <v/>
      </c>
      <c r="M290" s="4"/>
      <c r="N290" s="23"/>
      <c r="O290" s="23"/>
      <c r="P290" s="23"/>
      <c r="Q290" s="4" t="str">
        <f t="shared" si="4"/>
        <v/>
      </c>
      <c r="R290" s="20"/>
      <c r="S290" s="20"/>
    </row>
    <row r="291">
      <c r="A291" s="4"/>
      <c r="B291" s="4"/>
      <c r="C291" s="11"/>
      <c r="D291" s="7" t="str">
        <f>IFERROR(__xludf.DUMMYFUNCTION("iferror(iferror(INDEX(IMPORTRANGE(""12vtnxaE_Q1s4tyr10kZQx7ZF_xG0lBFae4jQEUtgsMU"",""All!B2:B""),MATCH($C291,IMPORTRANGE(""12vtnxaE_Q1s4tyr10kZQx7ZF_xG0lBFae4jQEUtgsMU"",""All!A2:A""),0)),INDEX(IMPORTRANGE(""13KC70HngS4DDi8y9E5khtSpQEPG6owaQ9z4E-tR5mnY"","&amp;"""Non-Food!B2:B""),MATCH($C291,IMPORTRANGE(""13KC70HngS4DDi8y9E5khtSpQEPG6owaQ9z4E-tR5mnY"",""Non-Food!A2:A""),0))),"""")"),"")</f>
        <v/>
      </c>
      <c r="E291" s="15"/>
      <c r="F291" s="15"/>
      <c r="G291" s="36"/>
      <c r="H291" s="23" t="str">
        <f>IFERROR(__xludf.DUMMYFUNCTION("iferror(iferror(iferror(index(IMPORTRANGE(""1NK5L1mviMn0j3D3uo53ASkIZOFRlLnqaCTnwzOG2_Wg"",""Direct Link!B2:B""),MATCH($C291,IMPORTRANGE(""1NK5L1mviMn0j3D3uo53ASkIZOFRlLnqaCTnwzOG2_Wg"",""Direct Link!A2:A""),0)),XLOOKUP($C291,IMPORTRANGE(""1NK5L1mviMn0j3D"&amp;"3uo53ASkIZOFRlLnqaCTnwzOG2_Wg"",""Direct links Without Sizes!A2:A""),IMPORTRANGE(""1NK5L1mviMn0j3D3uo53ASkIZOFRlLnqaCTnwzOG2_Wg"",""Direct links Without Sizes!B2:B""))),XLOOKUP($C291,IMPORTRANGE(""1NK5L1mviMn0j3D3uo53ASkIZOFRlLnqaCTnwzOG2_Wg"",""Direct li"&amp;"nks Without Sizes!D2:D""),IMPORTRANGE(""1NK5L1mviMn0j3D3uo53ASkIZOFRlLnqaCTnwzOG2_Wg"",""Direct links Without Sizes!E2:E""))),"""")"),"")</f>
        <v/>
      </c>
      <c r="I291" s="4"/>
      <c r="J291" s="24" t="str">
        <f t="shared" si="1"/>
        <v/>
      </c>
      <c r="K291" s="25"/>
      <c r="L291" s="24" t="str">
        <f t="shared" si="2"/>
        <v/>
      </c>
      <c r="M291" s="4"/>
      <c r="N291" s="23"/>
      <c r="O291" s="23"/>
      <c r="P291" s="23"/>
      <c r="Q291" s="4" t="str">
        <f t="shared" si="4"/>
        <v/>
      </c>
      <c r="R291" s="20"/>
      <c r="S291" s="20"/>
    </row>
    <row r="292">
      <c r="A292" s="4"/>
      <c r="B292" s="4"/>
      <c r="C292" s="11"/>
      <c r="D292" s="7" t="str">
        <f>IFERROR(__xludf.DUMMYFUNCTION("iferror(iferror(INDEX(IMPORTRANGE(""12vtnxaE_Q1s4tyr10kZQx7ZF_xG0lBFae4jQEUtgsMU"",""All!B2:B""),MATCH($C292,IMPORTRANGE(""12vtnxaE_Q1s4tyr10kZQx7ZF_xG0lBFae4jQEUtgsMU"",""All!A2:A""),0)),INDEX(IMPORTRANGE(""13KC70HngS4DDi8y9E5khtSpQEPG6owaQ9z4E-tR5mnY"","&amp;"""Non-Food!B2:B""),MATCH($C292,IMPORTRANGE(""13KC70HngS4DDi8y9E5khtSpQEPG6owaQ9z4E-tR5mnY"",""Non-Food!A2:A""),0))),"""")"),"")</f>
        <v/>
      </c>
      <c r="E292" s="15"/>
      <c r="F292" s="15"/>
      <c r="G292" s="36"/>
      <c r="H292" s="23" t="str">
        <f>IFERROR(__xludf.DUMMYFUNCTION("iferror(iferror(iferror(index(IMPORTRANGE(""1NK5L1mviMn0j3D3uo53ASkIZOFRlLnqaCTnwzOG2_Wg"",""Direct Link!B2:B""),MATCH($C292,IMPORTRANGE(""1NK5L1mviMn0j3D3uo53ASkIZOFRlLnqaCTnwzOG2_Wg"",""Direct Link!A2:A""),0)),XLOOKUP($C292,IMPORTRANGE(""1NK5L1mviMn0j3D"&amp;"3uo53ASkIZOFRlLnqaCTnwzOG2_Wg"",""Direct links Without Sizes!A2:A""),IMPORTRANGE(""1NK5L1mviMn0j3D3uo53ASkIZOFRlLnqaCTnwzOG2_Wg"",""Direct links Without Sizes!B2:B""))),XLOOKUP($C292,IMPORTRANGE(""1NK5L1mviMn0j3D3uo53ASkIZOFRlLnqaCTnwzOG2_Wg"",""Direct li"&amp;"nks Without Sizes!D2:D""),IMPORTRANGE(""1NK5L1mviMn0j3D3uo53ASkIZOFRlLnqaCTnwzOG2_Wg"",""Direct links Without Sizes!E2:E""))),"""")"),"")</f>
        <v/>
      </c>
      <c r="I292" s="4"/>
      <c r="J292" s="24" t="str">
        <f t="shared" si="1"/>
        <v/>
      </c>
      <c r="K292" s="25"/>
      <c r="L292" s="24" t="str">
        <f t="shared" si="2"/>
        <v/>
      </c>
      <c r="M292" s="4"/>
      <c r="N292" s="23"/>
      <c r="O292" s="23"/>
      <c r="P292" s="23"/>
      <c r="Q292" s="4" t="str">
        <f t="shared" si="4"/>
        <v/>
      </c>
      <c r="R292" s="20"/>
      <c r="S292" s="20"/>
    </row>
    <row r="293">
      <c r="A293" s="4"/>
      <c r="B293" s="4"/>
      <c r="C293" s="11"/>
      <c r="D293" s="7" t="str">
        <f>IFERROR(__xludf.DUMMYFUNCTION("iferror(iferror(INDEX(IMPORTRANGE(""12vtnxaE_Q1s4tyr10kZQx7ZF_xG0lBFae4jQEUtgsMU"",""All!B2:B""),MATCH($C293,IMPORTRANGE(""12vtnxaE_Q1s4tyr10kZQx7ZF_xG0lBFae4jQEUtgsMU"",""All!A2:A""),0)),INDEX(IMPORTRANGE(""13KC70HngS4DDi8y9E5khtSpQEPG6owaQ9z4E-tR5mnY"","&amp;"""Non-Food!B2:B""),MATCH($C293,IMPORTRANGE(""13KC70HngS4DDi8y9E5khtSpQEPG6owaQ9z4E-tR5mnY"",""Non-Food!A2:A""),0))),"""")"),"")</f>
        <v/>
      </c>
      <c r="E293" s="15"/>
      <c r="F293" s="15"/>
      <c r="G293" s="36"/>
      <c r="H293" s="23" t="str">
        <f>IFERROR(__xludf.DUMMYFUNCTION("iferror(iferror(iferror(index(IMPORTRANGE(""1NK5L1mviMn0j3D3uo53ASkIZOFRlLnqaCTnwzOG2_Wg"",""Direct Link!B2:B""),MATCH($C293,IMPORTRANGE(""1NK5L1mviMn0j3D3uo53ASkIZOFRlLnqaCTnwzOG2_Wg"",""Direct Link!A2:A""),0)),XLOOKUP($C293,IMPORTRANGE(""1NK5L1mviMn0j3D"&amp;"3uo53ASkIZOFRlLnqaCTnwzOG2_Wg"",""Direct links Without Sizes!A2:A""),IMPORTRANGE(""1NK5L1mviMn0j3D3uo53ASkIZOFRlLnqaCTnwzOG2_Wg"",""Direct links Without Sizes!B2:B""))),XLOOKUP($C293,IMPORTRANGE(""1NK5L1mviMn0j3D3uo53ASkIZOFRlLnqaCTnwzOG2_Wg"",""Direct li"&amp;"nks Without Sizes!D2:D""),IMPORTRANGE(""1NK5L1mviMn0j3D3uo53ASkIZOFRlLnqaCTnwzOG2_Wg"",""Direct links Without Sizes!E2:E""))),"""")"),"")</f>
        <v/>
      </c>
      <c r="I293" s="4"/>
      <c r="J293" s="24" t="str">
        <f t="shared" si="1"/>
        <v/>
      </c>
      <c r="K293" s="25"/>
      <c r="L293" s="24" t="str">
        <f t="shared" si="2"/>
        <v/>
      </c>
      <c r="M293" s="4"/>
      <c r="N293" s="23"/>
      <c r="O293" s="23"/>
      <c r="P293" s="23"/>
      <c r="Q293" s="4" t="str">
        <f t="shared" si="4"/>
        <v/>
      </c>
      <c r="R293" s="20"/>
      <c r="S293" s="20"/>
    </row>
    <row r="294">
      <c r="A294" s="4"/>
      <c r="B294" s="4"/>
      <c r="C294" s="11"/>
      <c r="D294" s="7" t="str">
        <f>IFERROR(__xludf.DUMMYFUNCTION("iferror(iferror(INDEX(IMPORTRANGE(""12vtnxaE_Q1s4tyr10kZQx7ZF_xG0lBFae4jQEUtgsMU"",""All!B2:B""),MATCH($C294,IMPORTRANGE(""12vtnxaE_Q1s4tyr10kZQx7ZF_xG0lBFae4jQEUtgsMU"",""All!A2:A""),0)),INDEX(IMPORTRANGE(""13KC70HngS4DDi8y9E5khtSpQEPG6owaQ9z4E-tR5mnY"","&amp;"""Non-Food!B2:B""),MATCH($C294,IMPORTRANGE(""13KC70HngS4DDi8y9E5khtSpQEPG6owaQ9z4E-tR5mnY"",""Non-Food!A2:A""),0))),"""")"),"")</f>
        <v/>
      </c>
      <c r="E294" s="15"/>
      <c r="F294" s="15"/>
      <c r="G294" s="36"/>
      <c r="H294" s="23" t="str">
        <f>IFERROR(__xludf.DUMMYFUNCTION("iferror(iferror(iferror(index(IMPORTRANGE(""1NK5L1mviMn0j3D3uo53ASkIZOFRlLnqaCTnwzOG2_Wg"",""Direct Link!B2:B""),MATCH($C294,IMPORTRANGE(""1NK5L1mviMn0j3D3uo53ASkIZOFRlLnqaCTnwzOG2_Wg"",""Direct Link!A2:A""),0)),XLOOKUP($C294,IMPORTRANGE(""1NK5L1mviMn0j3D"&amp;"3uo53ASkIZOFRlLnqaCTnwzOG2_Wg"",""Direct links Without Sizes!A2:A""),IMPORTRANGE(""1NK5L1mviMn0j3D3uo53ASkIZOFRlLnqaCTnwzOG2_Wg"",""Direct links Without Sizes!B2:B""))),XLOOKUP($C294,IMPORTRANGE(""1NK5L1mviMn0j3D3uo53ASkIZOFRlLnqaCTnwzOG2_Wg"",""Direct li"&amp;"nks Without Sizes!D2:D""),IMPORTRANGE(""1NK5L1mviMn0j3D3uo53ASkIZOFRlLnqaCTnwzOG2_Wg"",""Direct links Without Sizes!E2:E""))),"""")"),"")</f>
        <v/>
      </c>
      <c r="I294" s="4"/>
      <c r="J294" s="24" t="str">
        <f t="shared" si="1"/>
        <v/>
      </c>
      <c r="K294" s="25"/>
      <c r="L294" s="24" t="str">
        <f t="shared" si="2"/>
        <v/>
      </c>
      <c r="M294" s="4"/>
      <c r="N294" s="23"/>
      <c r="O294" s="23"/>
      <c r="P294" s="23"/>
      <c r="Q294" s="4" t="str">
        <f t="shared" si="4"/>
        <v/>
      </c>
      <c r="R294" s="20"/>
      <c r="S294" s="20"/>
    </row>
    <row r="295">
      <c r="A295" s="4"/>
      <c r="B295" s="4"/>
      <c r="C295" s="11"/>
      <c r="D295" s="7" t="str">
        <f>IFERROR(__xludf.DUMMYFUNCTION("iferror(iferror(INDEX(IMPORTRANGE(""12vtnxaE_Q1s4tyr10kZQx7ZF_xG0lBFae4jQEUtgsMU"",""All!B2:B""),MATCH($C295,IMPORTRANGE(""12vtnxaE_Q1s4tyr10kZQx7ZF_xG0lBFae4jQEUtgsMU"",""All!A2:A""),0)),INDEX(IMPORTRANGE(""13KC70HngS4DDi8y9E5khtSpQEPG6owaQ9z4E-tR5mnY"","&amp;"""Non-Food!B2:B""),MATCH($C295,IMPORTRANGE(""13KC70HngS4DDi8y9E5khtSpQEPG6owaQ9z4E-tR5mnY"",""Non-Food!A2:A""),0))),"""")"),"")</f>
        <v/>
      </c>
      <c r="E295" s="15"/>
      <c r="F295" s="15"/>
      <c r="G295" s="36"/>
      <c r="H295" s="23" t="str">
        <f>IFERROR(__xludf.DUMMYFUNCTION("iferror(iferror(iferror(index(IMPORTRANGE(""1NK5L1mviMn0j3D3uo53ASkIZOFRlLnqaCTnwzOG2_Wg"",""Direct Link!B2:B""),MATCH($C295,IMPORTRANGE(""1NK5L1mviMn0j3D3uo53ASkIZOFRlLnqaCTnwzOG2_Wg"",""Direct Link!A2:A""),0)),XLOOKUP($C295,IMPORTRANGE(""1NK5L1mviMn0j3D"&amp;"3uo53ASkIZOFRlLnqaCTnwzOG2_Wg"",""Direct links Without Sizes!A2:A""),IMPORTRANGE(""1NK5L1mviMn0j3D3uo53ASkIZOFRlLnqaCTnwzOG2_Wg"",""Direct links Without Sizes!B2:B""))),XLOOKUP($C295,IMPORTRANGE(""1NK5L1mviMn0j3D3uo53ASkIZOFRlLnqaCTnwzOG2_Wg"",""Direct li"&amp;"nks Without Sizes!D2:D""),IMPORTRANGE(""1NK5L1mviMn0j3D3uo53ASkIZOFRlLnqaCTnwzOG2_Wg"",""Direct links Without Sizes!E2:E""))),"""")"),"")</f>
        <v/>
      </c>
      <c r="I295" s="4"/>
      <c r="J295" s="24" t="str">
        <f t="shared" si="1"/>
        <v/>
      </c>
      <c r="K295" s="25"/>
      <c r="L295" s="24" t="str">
        <f t="shared" si="2"/>
        <v/>
      </c>
      <c r="M295" s="4"/>
      <c r="N295" s="23"/>
      <c r="O295" s="23"/>
      <c r="P295" s="23"/>
      <c r="Q295" s="4" t="str">
        <f t="shared" si="4"/>
        <v/>
      </c>
      <c r="R295" s="20"/>
      <c r="S295" s="20"/>
    </row>
    <row r="296">
      <c r="A296" s="4"/>
      <c r="B296" s="4"/>
      <c r="C296" s="11"/>
      <c r="D296" s="7" t="str">
        <f>IFERROR(__xludf.DUMMYFUNCTION("iferror(iferror(INDEX(IMPORTRANGE(""12vtnxaE_Q1s4tyr10kZQx7ZF_xG0lBFae4jQEUtgsMU"",""All!B2:B""),MATCH($C296,IMPORTRANGE(""12vtnxaE_Q1s4tyr10kZQx7ZF_xG0lBFae4jQEUtgsMU"",""All!A2:A""),0)),INDEX(IMPORTRANGE(""13KC70HngS4DDi8y9E5khtSpQEPG6owaQ9z4E-tR5mnY"","&amp;"""Non-Food!B2:B""),MATCH($C296,IMPORTRANGE(""13KC70HngS4DDi8y9E5khtSpQEPG6owaQ9z4E-tR5mnY"",""Non-Food!A2:A""),0))),"""")"),"")</f>
        <v/>
      </c>
      <c r="E296" s="15"/>
      <c r="F296" s="15"/>
      <c r="G296" s="36"/>
      <c r="H296" s="23" t="str">
        <f>IFERROR(__xludf.DUMMYFUNCTION("iferror(iferror(iferror(index(IMPORTRANGE(""1NK5L1mviMn0j3D3uo53ASkIZOFRlLnqaCTnwzOG2_Wg"",""Direct Link!B2:B""),MATCH($C296,IMPORTRANGE(""1NK5L1mviMn0j3D3uo53ASkIZOFRlLnqaCTnwzOG2_Wg"",""Direct Link!A2:A""),0)),XLOOKUP($C296,IMPORTRANGE(""1NK5L1mviMn0j3D"&amp;"3uo53ASkIZOFRlLnqaCTnwzOG2_Wg"",""Direct links Without Sizes!A2:A""),IMPORTRANGE(""1NK5L1mviMn0j3D3uo53ASkIZOFRlLnqaCTnwzOG2_Wg"",""Direct links Without Sizes!B2:B""))),XLOOKUP($C296,IMPORTRANGE(""1NK5L1mviMn0j3D3uo53ASkIZOFRlLnqaCTnwzOG2_Wg"",""Direct li"&amp;"nks Without Sizes!D2:D""),IMPORTRANGE(""1NK5L1mviMn0j3D3uo53ASkIZOFRlLnqaCTnwzOG2_Wg"",""Direct links Without Sizes!E2:E""))),"""")"),"")</f>
        <v/>
      </c>
      <c r="I296" s="4"/>
      <c r="J296" s="24" t="str">
        <f t="shared" si="1"/>
        <v/>
      </c>
      <c r="K296" s="25"/>
      <c r="L296" s="24" t="str">
        <f t="shared" si="2"/>
        <v/>
      </c>
      <c r="M296" s="4"/>
      <c r="N296" s="23"/>
      <c r="O296" s="23"/>
      <c r="P296" s="23"/>
      <c r="Q296" s="4" t="str">
        <f t="shared" si="4"/>
        <v/>
      </c>
      <c r="R296" s="20"/>
      <c r="S296" s="20"/>
    </row>
    <row r="297">
      <c r="A297" s="4"/>
      <c r="B297" s="4"/>
      <c r="C297" s="11"/>
      <c r="D297" s="7" t="str">
        <f>IFERROR(__xludf.DUMMYFUNCTION("iferror(iferror(INDEX(IMPORTRANGE(""12vtnxaE_Q1s4tyr10kZQx7ZF_xG0lBFae4jQEUtgsMU"",""All!B2:B""),MATCH($C297,IMPORTRANGE(""12vtnxaE_Q1s4tyr10kZQx7ZF_xG0lBFae4jQEUtgsMU"",""All!A2:A""),0)),INDEX(IMPORTRANGE(""13KC70HngS4DDi8y9E5khtSpQEPG6owaQ9z4E-tR5mnY"","&amp;"""Non-Food!B2:B""),MATCH($C297,IMPORTRANGE(""13KC70HngS4DDi8y9E5khtSpQEPG6owaQ9z4E-tR5mnY"",""Non-Food!A2:A""),0))),"""")"),"")</f>
        <v/>
      </c>
      <c r="E297" s="15"/>
      <c r="F297" s="15"/>
      <c r="G297" s="36"/>
      <c r="H297" s="23" t="str">
        <f>IFERROR(__xludf.DUMMYFUNCTION("iferror(iferror(iferror(index(IMPORTRANGE(""1NK5L1mviMn0j3D3uo53ASkIZOFRlLnqaCTnwzOG2_Wg"",""Direct Link!B2:B""),MATCH($C297,IMPORTRANGE(""1NK5L1mviMn0j3D3uo53ASkIZOFRlLnqaCTnwzOG2_Wg"",""Direct Link!A2:A""),0)),XLOOKUP($C297,IMPORTRANGE(""1NK5L1mviMn0j3D"&amp;"3uo53ASkIZOFRlLnqaCTnwzOG2_Wg"",""Direct links Without Sizes!A2:A""),IMPORTRANGE(""1NK5L1mviMn0j3D3uo53ASkIZOFRlLnqaCTnwzOG2_Wg"",""Direct links Without Sizes!B2:B""))),XLOOKUP($C297,IMPORTRANGE(""1NK5L1mviMn0j3D3uo53ASkIZOFRlLnqaCTnwzOG2_Wg"",""Direct li"&amp;"nks Without Sizes!D2:D""),IMPORTRANGE(""1NK5L1mviMn0j3D3uo53ASkIZOFRlLnqaCTnwzOG2_Wg"",""Direct links Without Sizes!E2:E""))),"""")"),"")</f>
        <v/>
      </c>
      <c r="I297" s="4"/>
      <c r="J297" s="24" t="str">
        <f t="shared" si="1"/>
        <v/>
      </c>
      <c r="K297" s="25"/>
      <c r="L297" s="24" t="str">
        <f t="shared" si="2"/>
        <v/>
      </c>
      <c r="M297" s="4"/>
      <c r="N297" s="23"/>
      <c r="O297" s="23"/>
      <c r="P297" s="23"/>
      <c r="Q297" s="4" t="str">
        <f t="shared" si="4"/>
        <v/>
      </c>
      <c r="R297" s="20"/>
      <c r="S297" s="20"/>
    </row>
    <row r="298">
      <c r="A298" s="4"/>
      <c r="B298" s="4"/>
      <c r="C298" s="11"/>
      <c r="D298" s="7" t="str">
        <f>IFERROR(__xludf.DUMMYFUNCTION("iferror(iferror(INDEX(IMPORTRANGE(""12vtnxaE_Q1s4tyr10kZQx7ZF_xG0lBFae4jQEUtgsMU"",""All!B2:B""),MATCH($C298,IMPORTRANGE(""12vtnxaE_Q1s4tyr10kZQx7ZF_xG0lBFae4jQEUtgsMU"",""All!A2:A""),0)),INDEX(IMPORTRANGE(""13KC70HngS4DDi8y9E5khtSpQEPG6owaQ9z4E-tR5mnY"","&amp;"""Non-Food!B2:B""),MATCH($C298,IMPORTRANGE(""13KC70HngS4DDi8y9E5khtSpQEPG6owaQ9z4E-tR5mnY"",""Non-Food!A2:A""),0))),"""")"),"")</f>
        <v/>
      </c>
      <c r="E298" s="15"/>
      <c r="F298" s="15"/>
      <c r="G298" s="36"/>
      <c r="H298" s="23" t="str">
        <f>IFERROR(__xludf.DUMMYFUNCTION("iferror(iferror(iferror(index(IMPORTRANGE(""1NK5L1mviMn0j3D3uo53ASkIZOFRlLnqaCTnwzOG2_Wg"",""Direct Link!B2:B""),MATCH($C298,IMPORTRANGE(""1NK5L1mviMn0j3D3uo53ASkIZOFRlLnqaCTnwzOG2_Wg"",""Direct Link!A2:A""),0)),XLOOKUP($C298,IMPORTRANGE(""1NK5L1mviMn0j3D"&amp;"3uo53ASkIZOFRlLnqaCTnwzOG2_Wg"",""Direct links Without Sizes!A2:A""),IMPORTRANGE(""1NK5L1mviMn0j3D3uo53ASkIZOFRlLnqaCTnwzOG2_Wg"",""Direct links Without Sizes!B2:B""))),XLOOKUP($C298,IMPORTRANGE(""1NK5L1mviMn0j3D3uo53ASkIZOFRlLnqaCTnwzOG2_Wg"",""Direct li"&amp;"nks Without Sizes!D2:D""),IMPORTRANGE(""1NK5L1mviMn0j3D3uo53ASkIZOFRlLnqaCTnwzOG2_Wg"",""Direct links Without Sizes!E2:E""))),"""")"),"")</f>
        <v/>
      </c>
      <c r="I298" s="4"/>
      <c r="J298" s="24" t="str">
        <f t="shared" si="1"/>
        <v/>
      </c>
      <c r="K298" s="25"/>
      <c r="L298" s="24" t="str">
        <f t="shared" si="2"/>
        <v/>
      </c>
      <c r="M298" s="4"/>
      <c r="N298" s="23"/>
      <c r="O298" s="23"/>
      <c r="P298" s="23"/>
      <c r="Q298" s="4" t="str">
        <f t="shared" si="4"/>
        <v/>
      </c>
      <c r="R298" s="20"/>
      <c r="S298" s="20"/>
    </row>
    <row r="299">
      <c r="A299" s="4"/>
      <c r="B299" s="4"/>
      <c r="C299" s="11"/>
      <c r="D299" s="7" t="str">
        <f>IFERROR(__xludf.DUMMYFUNCTION("iferror(iferror(INDEX(IMPORTRANGE(""12vtnxaE_Q1s4tyr10kZQx7ZF_xG0lBFae4jQEUtgsMU"",""All!B2:B""),MATCH($C299,IMPORTRANGE(""12vtnxaE_Q1s4tyr10kZQx7ZF_xG0lBFae4jQEUtgsMU"",""All!A2:A""),0)),INDEX(IMPORTRANGE(""13KC70HngS4DDi8y9E5khtSpQEPG6owaQ9z4E-tR5mnY"","&amp;"""Non-Food!B2:B""),MATCH($C299,IMPORTRANGE(""13KC70HngS4DDi8y9E5khtSpQEPG6owaQ9z4E-tR5mnY"",""Non-Food!A2:A""),0))),"""")"),"")</f>
        <v/>
      </c>
      <c r="E299" s="15"/>
      <c r="F299" s="15"/>
      <c r="G299" s="36"/>
      <c r="H299" s="23" t="str">
        <f>IFERROR(__xludf.DUMMYFUNCTION("iferror(iferror(iferror(index(IMPORTRANGE(""1NK5L1mviMn0j3D3uo53ASkIZOFRlLnqaCTnwzOG2_Wg"",""Direct Link!B2:B""),MATCH($C299,IMPORTRANGE(""1NK5L1mviMn0j3D3uo53ASkIZOFRlLnqaCTnwzOG2_Wg"",""Direct Link!A2:A""),0)),XLOOKUP($C299,IMPORTRANGE(""1NK5L1mviMn0j3D"&amp;"3uo53ASkIZOFRlLnqaCTnwzOG2_Wg"",""Direct links Without Sizes!A2:A""),IMPORTRANGE(""1NK5L1mviMn0j3D3uo53ASkIZOFRlLnqaCTnwzOG2_Wg"",""Direct links Without Sizes!B2:B""))),XLOOKUP($C299,IMPORTRANGE(""1NK5L1mviMn0j3D3uo53ASkIZOFRlLnqaCTnwzOG2_Wg"",""Direct li"&amp;"nks Without Sizes!D2:D""),IMPORTRANGE(""1NK5L1mviMn0j3D3uo53ASkIZOFRlLnqaCTnwzOG2_Wg"",""Direct links Without Sizes!E2:E""))),"""")"),"")</f>
        <v/>
      </c>
      <c r="I299" s="4"/>
      <c r="J299" s="24" t="str">
        <f t="shared" si="1"/>
        <v/>
      </c>
      <c r="K299" s="25"/>
      <c r="L299" s="24" t="str">
        <f t="shared" si="2"/>
        <v/>
      </c>
      <c r="M299" s="4"/>
      <c r="N299" s="23"/>
      <c r="O299" s="23"/>
      <c r="P299" s="23"/>
      <c r="Q299" s="4" t="str">
        <f t="shared" si="4"/>
        <v/>
      </c>
      <c r="R299" s="20"/>
      <c r="S299" s="20"/>
    </row>
    <row r="300">
      <c r="A300" s="4"/>
      <c r="B300" s="4"/>
      <c r="C300" s="11"/>
      <c r="D300" s="7" t="str">
        <f>IFERROR(__xludf.DUMMYFUNCTION("iferror(iferror(INDEX(IMPORTRANGE(""12vtnxaE_Q1s4tyr10kZQx7ZF_xG0lBFae4jQEUtgsMU"",""All!B2:B""),MATCH($C300,IMPORTRANGE(""12vtnxaE_Q1s4tyr10kZQx7ZF_xG0lBFae4jQEUtgsMU"",""All!A2:A""),0)),INDEX(IMPORTRANGE(""13KC70HngS4DDi8y9E5khtSpQEPG6owaQ9z4E-tR5mnY"","&amp;"""Non-Food!B2:B""),MATCH($C300,IMPORTRANGE(""13KC70HngS4DDi8y9E5khtSpQEPG6owaQ9z4E-tR5mnY"",""Non-Food!A2:A""),0))),"""")"),"")</f>
        <v/>
      </c>
      <c r="E300" s="15"/>
      <c r="F300" s="15"/>
      <c r="G300" s="36"/>
      <c r="H300" s="23" t="str">
        <f>IFERROR(__xludf.DUMMYFUNCTION("iferror(iferror(iferror(index(IMPORTRANGE(""1NK5L1mviMn0j3D3uo53ASkIZOFRlLnqaCTnwzOG2_Wg"",""Direct Link!B2:B""),MATCH($C300,IMPORTRANGE(""1NK5L1mviMn0j3D3uo53ASkIZOFRlLnqaCTnwzOG2_Wg"",""Direct Link!A2:A""),0)),XLOOKUP($C300,IMPORTRANGE(""1NK5L1mviMn0j3D"&amp;"3uo53ASkIZOFRlLnqaCTnwzOG2_Wg"",""Direct links Without Sizes!A2:A""),IMPORTRANGE(""1NK5L1mviMn0j3D3uo53ASkIZOFRlLnqaCTnwzOG2_Wg"",""Direct links Without Sizes!B2:B""))),XLOOKUP($C300,IMPORTRANGE(""1NK5L1mviMn0j3D3uo53ASkIZOFRlLnqaCTnwzOG2_Wg"",""Direct li"&amp;"nks Without Sizes!D2:D""),IMPORTRANGE(""1NK5L1mviMn0j3D3uo53ASkIZOFRlLnqaCTnwzOG2_Wg"",""Direct links Without Sizes!E2:E""))),"""")"),"")</f>
        <v/>
      </c>
      <c r="I300" s="4"/>
      <c r="J300" s="24" t="str">
        <f t="shared" si="1"/>
        <v/>
      </c>
      <c r="K300" s="25"/>
      <c r="L300" s="24" t="str">
        <f t="shared" si="2"/>
        <v/>
      </c>
      <c r="M300" s="4"/>
      <c r="N300" s="23"/>
      <c r="O300" s="23"/>
      <c r="P300" s="23"/>
      <c r="Q300" s="4" t="str">
        <f t="shared" si="4"/>
        <v/>
      </c>
      <c r="R300" s="20"/>
      <c r="S300" s="20"/>
    </row>
    <row r="301">
      <c r="A301" s="4"/>
      <c r="B301" s="4"/>
      <c r="C301" s="11"/>
      <c r="D301" s="7" t="str">
        <f>IFERROR(__xludf.DUMMYFUNCTION("iferror(iferror(INDEX(IMPORTRANGE(""12vtnxaE_Q1s4tyr10kZQx7ZF_xG0lBFae4jQEUtgsMU"",""All!B2:B""),MATCH($C301,IMPORTRANGE(""12vtnxaE_Q1s4tyr10kZQx7ZF_xG0lBFae4jQEUtgsMU"",""All!A2:A""),0)),INDEX(IMPORTRANGE(""13KC70HngS4DDi8y9E5khtSpQEPG6owaQ9z4E-tR5mnY"","&amp;"""Non-Food!B2:B""),MATCH($C301,IMPORTRANGE(""13KC70HngS4DDi8y9E5khtSpQEPG6owaQ9z4E-tR5mnY"",""Non-Food!A2:A""),0))),"""")"),"")</f>
        <v/>
      </c>
      <c r="E301" s="15"/>
      <c r="F301" s="15"/>
      <c r="G301" s="36"/>
      <c r="H301" s="23" t="str">
        <f>IFERROR(__xludf.DUMMYFUNCTION("iferror(iferror(iferror(index(IMPORTRANGE(""1NK5L1mviMn0j3D3uo53ASkIZOFRlLnqaCTnwzOG2_Wg"",""Direct Link!B2:B""),MATCH($C301,IMPORTRANGE(""1NK5L1mviMn0j3D3uo53ASkIZOFRlLnqaCTnwzOG2_Wg"",""Direct Link!A2:A""),0)),XLOOKUP($C301,IMPORTRANGE(""1NK5L1mviMn0j3D"&amp;"3uo53ASkIZOFRlLnqaCTnwzOG2_Wg"",""Direct links Without Sizes!A2:A""),IMPORTRANGE(""1NK5L1mviMn0j3D3uo53ASkIZOFRlLnqaCTnwzOG2_Wg"",""Direct links Without Sizes!B2:B""))),XLOOKUP($C301,IMPORTRANGE(""1NK5L1mviMn0j3D3uo53ASkIZOFRlLnqaCTnwzOG2_Wg"",""Direct li"&amp;"nks Without Sizes!D2:D""),IMPORTRANGE(""1NK5L1mviMn0j3D3uo53ASkIZOFRlLnqaCTnwzOG2_Wg"",""Direct links Without Sizes!E2:E""))),"""")"),"")</f>
        <v/>
      </c>
      <c r="I301" s="4"/>
      <c r="J301" s="24" t="str">
        <f t="shared" si="1"/>
        <v/>
      </c>
      <c r="K301" s="25"/>
      <c r="L301" s="24" t="str">
        <f t="shared" si="2"/>
        <v/>
      </c>
      <c r="M301" s="4"/>
      <c r="N301" s="23"/>
      <c r="O301" s="23"/>
      <c r="P301" s="23"/>
      <c r="Q301" s="4" t="str">
        <f t="shared" si="4"/>
        <v/>
      </c>
      <c r="R301" s="20"/>
      <c r="S301" s="20"/>
    </row>
    <row r="302">
      <c r="A302" s="4"/>
      <c r="B302" s="4"/>
      <c r="C302" s="11"/>
      <c r="D302" s="7" t="str">
        <f>IFERROR(__xludf.DUMMYFUNCTION("iferror(iferror(INDEX(IMPORTRANGE(""12vtnxaE_Q1s4tyr10kZQx7ZF_xG0lBFae4jQEUtgsMU"",""All!B2:B""),MATCH($C302,IMPORTRANGE(""12vtnxaE_Q1s4tyr10kZQx7ZF_xG0lBFae4jQEUtgsMU"",""All!A2:A""),0)),INDEX(IMPORTRANGE(""13KC70HngS4DDi8y9E5khtSpQEPG6owaQ9z4E-tR5mnY"","&amp;"""Non-Food!B2:B""),MATCH($C302,IMPORTRANGE(""13KC70HngS4DDi8y9E5khtSpQEPG6owaQ9z4E-tR5mnY"",""Non-Food!A2:A""),0))),"""")"),"")</f>
        <v/>
      </c>
      <c r="E302" s="15"/>
      <c r="F302" s="15"/>
      <c r="G302" s="36"/>
      <c r="H302" s="23" t="str">
        <f>IFERROR(__xludf.DUMMYFUNCTION("iferror(iferror(iferror(index(IMPORTRANGE(""1NK5L1mviMn0j3D3uo53ASkIZOFRlLnqaCTnwzOG2_Wg"",""Direct Link!B2:B""),MATCH($C302,IMPORTRANGE(""1NK5L1mviMn0j3D3uo53ASkIZOFRlLnqaCTnwzOG2_Wg"",""Direct Link!A2:A""),0)),XLOOKUP($C302,IMPORTRANGE(""1NK5L1mviMn0j3D"&amp;"3uo53ASkIZOFRlLnqaCTnwzOG2_Wg"",""Direct links Without Sizes!A2:A""),IMPORTRANGE(""1NK5L1mviMn0j3D3uo53ASkIZOFRlLnqaCTnwzOG2_Wg"",""Direct links Without Sizes!B2:B""))),XLOOKUP($C302,IMPORTRANGE(""1NK5L1mviMn0j3D3uo53ASkIZOFRlLnqaCTnwzOG2_Wg"",""Direct li"&amp;"nks Without Sizes!D2:D""),IMPORTRANGE(""1NK5L1mviMn0j3D3uo53ASkIZOFRlLnqaCTnwzOG2_Wg"",""Direct links Without Sizes!E2:E""))),"""")"),"")</f>
        <v/>
      </c>
      <c r="I302" s="4"/>
      <c r="J302" s="24" t="str">
        <f t="shared" si="1"/>
        <v/>
      </c>
      <c r="K302" s="25"/>
      <c r="L302" s="24" t="str">
        <f t="shared" si="2"/>
        <v/>
      </c>
      <c r="M302" s="4"/>
      <c r="N302" s="23"/>
      <c r="O302" s="23"/>
      <c r="P302" s="23"/>
      <c r="Q302" s="4" t="str">
        <f t="shared" si="4"/>
        <v/>
      </c>
      <c r="R302" s="20"/>
      <c r="S302" s="20"/>
    </row>
    <row r="303">
      <c r="A303" s="4"/>
      <c r="B303" s="4"/>
      <c r="C303" s="11"/>
      <c r="D303" s="7" t="str">
        <f>IFERROR(__xludf.DUMMYFUNCTION("iferror(iferror(INDEX(IMPORTRANGE(""12vtnxaE_Q1s4tyr10kZQx7ZF_xG0lBFae4jQEUtgsMU"",""All!B2:B""),MATCH($C303,IMPORTRANGE(""12vtnxaE_Q1s4tyr10kZQx7ZF_xG0lBFae4jQEUtgsMU"",""All!A2:A""),0)),INDEX(IMPORTRANGE(""13KC70HngS4DDi8y9E5khtSpQEPG6owaQ9z4E-tR5mnY"","&amp;"""Non-Food!B2:B""),MATCH($C303,IMPORTRANGE(""13KC70HngS4DDi8y9E5khtSpQEPG6owaQ9z4E-tR5mnY"",""Non-Food!A2:A""),0))),"""")"),"")</f>
        <v/>
      </c>
      <c r="E303" s="15"/>
      <c r="F303" s="15"/>
      <c r="G303" s="36"/>
      <c r="H303" s="23" t="str">
        <f>IFERROR(__xludf.DUMMYFUNCTION("iferror(iferror(iferror(index(IMPORTRANGE(""1NK5L1mviMn0j3D3uo53ASkIZOFRlLnqaCTnwzOG2_Wg"",""Direct Link!B2:B""),MATCH($C303,IMPORTRANGE(""1NK5L1mviMn0j3D3uo53ASkIZOFRlLnqaCTnwzOG2_Wg"",""Direct Link!A2:A""),0)),XLOOKUP($C303,IMPORTRANGE(""1NK5L1mviMn0j3D"&amp;"3uo53ASkIZOFRlLnqaCTnwzOG2_Wg"",""Direct links Without Sizes!A2:A""),IMPORTRANGE(""1NK5L1mviMn0j3D3uo53ASkIZOFRlLnqaCTnwzOG2_Wg"",""Direct links Without Sizes!B2:B""))),XLOOKUP($C303,IMPORTRANGE(""1NK5L1mviMn0j3D3uo53ASkIZOFRlLnqaCTnwzOG2_Wg"",""Direct li"&amp;"nks Without Sizes!D2:D""),IMPORTRANGE(""1NK5L1mviMn0j3D3uo53ASkIZOFRlLnqaCTnwzOG2_Wg"",""Direct links Without Sizes!E2:E""))),"""")"),"")</f>
        <v/>
      </c>
      <c r="I303" s="4"/>
      <c r="J303" s="24" t="str">
        <f t="shared" si="1"/>
        <v/>
      </c>
      <c r="K303" s="25"/>
      <c r="L303" s="24" t="str">
        <f t="shared" si="2"/>
        <v/>
      </c>
      <c r="M303" s="4"/>
      <c r="N303" s="23"/>
      <c r="O303" s="23"/>
      <c r="P303" s="23"/>
      <c r="Q303" s="4" t="str">
        <f t="shared" si="4"/>
        <v/>
      </c>
      <c r="R303" s="20"/>
      <c r="S303" s="20"/>
    </row>
    <row r="304">
      <c r="A304" s="4"/>
      <c r="B304" s="4"/>
      <c r="C304" s="11"/>
      <c r="D304" s="7" t="str">
        <f>IFERROR(__xludf.DUMMYFUNCTION("iferror(iferror(INDEX(IMPORTRANGE(""12vtnxaE_Q1s4tyr10kZQx7ZF_xG0lBFae4jQEUtgsMU"",""All!B2:B""),MATCH($C304,IMPORTRANGE(""12vtnxaE_Q1s4tyr10kZQx7ZF_xG0lBFae4jQEUtgsMU"",""All!A2:A""),0)),INDEX(IMPORTRANGE(""13KC70HngS4DDi8y9E5khtSpQEPG6owaQ9z4E-tR5mnY"","&amp;"""Non-Food!B2:B""),MATCH($C304,IMPORTRANGE(""13KC70HngS4DDi8y9E5khtSpQEPG6owaQ9z4E-tR5mnY"",""Non-Food!A2:A""),0))),"""")"),"")</f>
        <v/>
      </c>
      <c r="E304" s="15"/>
      <c r="F304" s="15"/>
      <c r="G304" s="36"/>
      <c r="H304" s="23" t="str">
        <f>IFERROR(__xludf.DUMMYFUNCTION("iferror(iferror(iferror(index(IMPORTRANGE(""1NK5L1mviMn0j3D3uo53ASkIZOFRlLnqaCTnwzOG2_Wg"",""Direct Link!B2:B""),MATCH($C304,IMPORTRANGE(""1NK5L1mviMn0j3D3uo53ASkIZOFRlLnqaCTnwzOG2_Wg"",""Direct Link!A2:A""),0)),XLOOKUP($C304,IMPORTRANGE(""1NK5L1mviMn0j3D"&amp;"3uo53ASkIZOFRlLnqaCTnwzOG2_Wg"",""Direct links Without Sizes!A2:A""),IMPORTRANGE(""1NK5L1mviMn0j3D3uo53ASkIZOFRlLnqaCTnwzOG2_Wg"",""Direct links Without Sizes!B2:B""))),XLOOKUP($C304,IMPORTRANGE(""1NK5L1mviMn0j3D3uo53ASkIZOFRlLnqaCTnwzOG2_Wg"",""Direct li"&amp;"nks Without Sizes!D2:D""),IMPORTRANGE(""1NK5L1mviMn0j3D3uo53ASkIZOFRlLnqaCTnwzOG2_Wg"",""Direct links Without Sizes!E2:E""))),"""")"),"")</f>
        <v/>
      </c>
      <c r="I304" s="4"/>
      <c r="J304" s="24" t="str">
        <f t="shared" si="1"/>
        <v/>
      </c>
      <c r="K304" s="25"/>
      <c r="L304" s="24" t="str">
        <f t="shared" si="2"/>
        <v/>
      </c>
      <c r="M304" s="4"/>
      <c r="N304" s="23"/>
      <c r="O304" s="23"/>
      <c r="P304" s="23"/>
      <c r="Q304" s="4" t="str">
        <f t="shared" si="4"/>
        <v/>
      </c>
      <c r="R304" s="20"/>
      <c r="S304" s="20"/>
    </row>
    <row r="305">
      <c r="A305" s="4"/>
      <c r="B305" s="4"/>
      <c r="C305" s="11"/>
      <c r="D305" s="7" t="str">
        <f>IFERROR(__xludf.DUMMYFUNCTION("iferror(iferror(INDEX(IMPORTRANGE(""12vtnxaE_Q1s4tyr10kZQx7ZF_xG0lBFae4jQEUtgsMU"",""All!B2:B""),MATCH($C305,IMPORTRANGE(""12vtnxaE_Q1s4tyr10kZQx7ZF_xG0lBFae4jQEUtgsMU"",""All!A2:A""),0)),INDEX(IMPORTRANGE(""13KC70HngS4DDi8y9E5khtSpQEPG6owaQ9z4E-tR5mnY"","&amp;"""Non-Food!B2:B""),MATCH($C305,IMPORTRANGE(""13KC70HngS4DDi8y9E5khtSpQEPG6owaQ9z4E-tR5mnY"",""Non-Food!A2:A""),0))),"""")"),"")</f>
        <v/>
      </c>
      <c r="E305" s="15"/>
      <c r="F305" s="15"/>
      <c r="G305" s="36"/>
      <c r="H305" s="23" t="str">
        <f>IFERROR(__xludf.DUMMYFUNCTION("iferror(iferror(iferror(index(IMPORTRANGE(""1NK5L1mviMn0j3D3uo53ASkIZOFRlLnqaCTnwzOG2_Wg"",""Direct Link!B2:B""),MATCH($C305,IMPORTRANGE(""1NK5L1mviMn0j3D3uo53ASkIZOFRlLnqaCTnwzOG2_Wg"",""Direct Link!A2:A""),0)),XLOOKUP($C305,IMPORTRANGE(""1NK5L1mviMn0j3D"&amp;"3uo53ASkIZOFRlLnqaCTnwzOG2_Wg"",""Direct links Without Sizes!A2:A""),IMPORTRANGE(""1NK5L1mviMn0j3D3uo53ASkIZOFRlLnqaCTnwzOG2_Wg"",""Direct links Without Sizes!B2:B""))),XLOOKUP($C305,IMPORTRANGE(""1NK5L1mviMn0j3D3uo53ASkIZOFRlLnqaCTnwzOG2_Wg"",""Direct li"&amp;"nks Without Sizes!D2:D""),IMPORTRANGE(""1NK5L1mviMn0j3D3uo53ASkIZOFRlLnqaCTnwzOG2_Wg"",""Direct links Without Sizes!E2:E""))),"""")"),"")</f>
        <v/>
      </c>
      <c r="I305" s="4"/>
      <c r="J305" s="24" t="str">
        <f t="shared" si="1"/>
        <v/>
      </c>
      <c r="K305" s="25"/>
      <c r="L305" s="24" t="str">
        <f t="shared" si="2"/>
        <v/>
      </c>
      <c r="M305" s="4"/>
      <c r="N305" s="23"/>
      <c r="O305" s="23"/>
      <c r="P305" s="23"/>
      <c r="Q305" s="4" t="str">
        <f t="shared" si="4"/>
        <v/>
      </c>
      <c r="R305" s="20"/>
      <c r="S305" s="20"/>
    </row>
    <row r="306">
      <c r="A306" s="4"/>
      <c r="B306" s="4"/>
      <c r="C306" s="11"/>
      <c r="D306" s="7" t="str">
        <f>IFERROR(__xludf.DUMMYFUNCTION("iferror(iferror(INDEX(IMPORTRANGE(""12vtnxaE_Q1s4tyr10kZQx7ZF_xG0lBFae4jQEUtgsMU"",""All!B2:B""),MATCH($C306,IMPORTRANGE(""12vtnxaE_Q1s4tyr10kZQx7ZF_xG0lBFae4jQEUtgsMU"",""All!A2:A""),0)),INDEX(IMPORTRANGE(""13KC70HngS4DDi8y9E5khtSpQEPG6owaQ9z4E-tR5mnY"","&amp;"""Non-Food!B2:B""),MATCH($C306,IMPORTRANGE(""13KC70HngS4DDi8y9E5khtSpQEPG6owaQ9z4E-tR5mnY"",""Non-Food!A2:A""),0))),"""")"),"")</f>
        <v/>
      </c>
      <c r="E306" s="15"/>
      <c r="F306" s="15"/>
      <c r="G306" s="36"/>
      <c r="H306" s="23" t="str">
        <f>IFERROR(__xludf.DUMMYFUNCTION("iferror(iferror(iferror(index(IMPORTRANGE(""1NK5L1mviMn0j3D3uo53ASkIZOFRlLnqaCTnwzOG2_Wg"",""Direct Link!B2:B""),MATCH($C306,IMPORTRANGE(""1NK5L1mviMn0j3D3uo53ASkIZOFRlLnqaCTnwzOG2_Wg"",""Direct Link!A2:A""),0)),XLOOKUP($C306,IMPORTRANGE(""1NK5L1mviMn0j3D"&amp;"3uo53ASkIZOFRlLnqaCTnwzOG2_Wg"",""Direct links Without Sizes!A2:A""),IMPORTRANGE(""1NK5L1mviMn0j3D3uo53ASkIZOFRlLnqaCTnwzOG2_Wg"",""Direct links Without Sizes!B2:B""))),XLOOKUP($C306,IMPORTRANGE(""1NK5L1mviMn0j3D3uo53ASkIZOFRlLnqaCTnwzOG2_Wg"",""Direct li"&amp;"nks Without Sizes!D2:D""),IMPORTRANGE(""1NK5L1mviMn0j3D3uo53ASkIZOFRlLnqaCTnwzOG2_Wg"",""Direct links Without Sizes!E2:E""))),"""")"),"")</f>
        <v/>
      </c>
      <c r="I306" s="4"/>
      <c r="J306" s="24" t="str">
        <f t="shared" si="1"/>
        <v/>
      </c>
      <c r="K306" s="25"/>
      <c r="L306" s="24" t="str">
        <f t="shared" si="2"/>
        <v/>
      </c>
      <c r="M306" s="4"/>
      <c r="N306" s="23"/>
      <c r="O306" s="23"/>
      <c r="P306" s="23"/>
      <c r="Q306" s="4" t="str">
        <f t="shared" si="4"/>
        <v/>
      </c>
      <c r="R306" s="20"/>
      <c r="S306" s="20"/>
    </row>
    <row r="307">
      <c r="A307" s="4"/>
      <c r="B307" s="4"/>
      <c r="C307" s="11"/>
      <c r="D307" s="7" t="str">
        <f>IFERROR(__xludf.DUMMYFUNCTION("iferror(iferror(INDEX(IMPORTRANGE(""12vtnxaE_Q1s4tyr10kZQx7ZF_xG0lBFae4jQEUtgsMU"",""All!B2:B""),MATCH($C307,IMPORTRANGE(""12vtnxaE_Q1s4tyr10kZQx7ZF_xG0lBFae4jQEUtgsMU"",""All!A2:A""),0)),INDEX(IMPORTRANGE(""13KC70HngS4DDi8y9E5khtSpQEPG6owaQ9z4E-tR5mnY"","&amp;"""Non-Food!B2:B""),MATCH($C307,IMPORTRANGE(""13KC70HngS4DDi8y9E5khtSpQEPG6owaQ9z4E-tR5mnY"",""Non-Food!A2:A""),0))),"""")"),"")</f>
        <v/>
      </c>
      <c r="E307" s="15"/>
      <c r="F307" s="15"/>
      <c r="G307" s="36"/>
      <c r="H307" s="23" t="str">
        <f>IFERROR(__xludf.DUMMYFUNCTION("iferror(iferror(iferror(index(IMPORTRANGE(""1NK5L1mviMn0j3D3uo53ASkIZOFRlLnqaCTnwzOG2_Wg"",""Direct Link!B2:B""),MATCH($C307,IMPORTRANGE(""1NK5L1mviMn0j3D3uo53ASkIZOFRlLnqaCTnwzOG2_Wg"",""Direct Link!A2:A""),0)),XLOOKUP($C307,IMPORTRANGE(""1NK5L1mviMn0j3D"&amp;"3uo53ASkIZOFRlLnqaCTnwzOG2_Wg"",""Direct links Without Sizes!A2:A""),IMPORTRANGE(""1NK5L1mviMn0j3D3uo53ASkIZOFRlLnqaCTnwzOG2_Wg"",""Direct links Without Sizes!B2:B""))),XLOOKUP($C307,IMPORTRANGE(""1NK5L1mviMn0j3D3uo53ASkIZOFRlLnqaCTnwzOG2_Wg"",""Direct li"&amp;"nks Without Sizes!D2:D""),IMPORTRANGE(""1NK5L1mviMn0j3D3uo53ASkIZOFRlLnqaCTnwzOG2_Wg"",""Direct links Without Sizes!E2:E""))),"""")"),"")</f>
        <v/>
      </c>
      <c r="I307" s="4"/>
      <c r="J307" s="24" t="str">
        <f t="shared" si="1"/>
        <v/>
      </c>
      <c r="K307" s="25"/>
      <c r="L307" s="24" t="str">
        <f t="shared" si="2"/>
        <v/>
      </c>
      <c r="M307" s="4"/>
      <c r="N307" s="23"/>
      <c r="O307" s="23"/>
      <c r="P307" s="23"/>
      <c r="Q307" s="4" t="str">
        <f t="shared" si="4"/>
        <v/>
      </c>
      <c r="R307" s="20"/>
      <c r="S307" s="20"/>
    </row>
    <row r="308">
      <c r="A308" s="4"/>
      <c r="B308" s="4"/>
      <c r="C308" s="11"/>
      <c r="D308" s="7" t="str">
        <f>IFERROR(__xludf.DUMMYFUNCTION("iferror(iferror(INDEX(IMPORTRANGE(""12vtnxaE_Q1s4tyr10kZQx7ZF_xG0lBFae4jQEUtgsMU"",""All!B2:B""),MATCH($C308,IMPORTRANGE(""12vtnxaE_Q1s4tyr10kZQx7ZF_xG0lBFae4jQEUtgsMU"",""All!A2:A""),0)),INDEX(IMPORTRANGE(""13KC70HngS4DDi8y9E5khtSpQEPG6owaQ9z4E-tR5mnY"","&amp;"""Non-Food!B2:B""),MATCH($C308,IMPORTRANGE(""13KC70HngS4DDi8y9E5khtSpQEPG6owaQ9z4E-tR5mnY"",""Non-Food!A2:A""),0))),"""")"),"")</f>
        <v/>
      </c>
      <c r="E308" s="15"/>
      <c r="F308" s="15"/>
      <c r="G308" s="36"/>
      <c r="H308" s="23" t="str">
        <f>IFERROR(__xludf.DUMMYFUNCTION("iferror(iferror(iferror(index(IMPORTRANGE(""1NK5L1mviMn0j3D3uo53ASkIZOFRlLnqaCTnwzOG2_Wg"",""Direct Link!B2:B""),MATCH($C308,IMPORTRANGE(""1NK5L1mviMn0j3D3uo53ASkIZOFRlLnqaCTnwzOG2_Wg"",""Direct Link!A2:A""),0)),XLOOKUP($C308,IMPORTRANGE(""1NK5L1mviMn0j3D"&amp;"3uo53ASkIZOFRlLnqaCTnwzOG2_Wg"",""Direct links Without Sizes!A2:A""),IMPORTRANGE(""1NK5L1mviMn0j3D3uo53ASkIZOFRlLnqaCTnwzOG2_Wg"",""Direct links Without Sizes!B2:B""))),XLOOKUP($C308,IMPORTRANGE(""1NK5L1mviMn0j3D3uo53ASkIZOFRlLnqaCTnwzOG2_Wg"",""Direct li"&amp;"nks Without Sizes!D2:D""),IMPORTRANGE(""1NK5L1mviMn0j3D3uo53ASkIZOFRlLnqaCTnwzOG2_Wg"",""Direct links Without Sizes!E2:E""))),"""")"),"")</f>
        <v/>
      </c>
      <c r="I308" s="4"/>
      <c r="J308" s="24" t="str">
        <f t="shared" si="1"/>
        <v/>
      </c>
      <c r="K308" s="25"/>
      <c r="L308" s="24" t="str">
        <f t="shared" si="2"/>
        <v/>
      </c>
      <c r="M308" s="4"/>
      <c r="N308" s="23"/>
      <c r="O308" s="23"/>
      <c r="P308" s="23"/>
      <c r="Q308" s="4" t="str">
        <f t="shared" si="4"/>
        <v/>
      </c>
      <c r="R308" s="20"/>
      <c r="S308" s="20"/>
    </row>
    <row r="309">
      <c r="A309" s="4"/>
      <c r="B309" s="4"/>
      <c r="C309" s="11"/>
      <c r="D309" s="7" t="str">
        <f>IFERROR(__xludf.DUMMYFUNCTION("iferror(iferror(INDEX(IMPORTRANGE(""12vtnxaE_Q1s4tyr10kZQx7ZF_xG0lBFae4jQEUtgsMU"",""All!B2:B""),MATCH($C309,IMPORTRANGE(""12vtnxaE_Q1s4tyr10kZQx7ZF_xG0lBFae4jQEUtgsMU"",""All!A2:A""),0)),INDEX(IMPORTRANGE(""13KC70HngS4DDi8y9E5khtSpQEPG6owaQ9z4E-tR5mnY"","&amp;"""Non-Food!B2:B""),MATCH($C309,IMPORTRANGE(""13KC70HngS4DDi8y9E5khtSpQEPG6owaQ9z4E-tR5mnY"",""Non-Food!A2:A""),0))),"""")"),"")</f>
        <v/>
      </c>
      <c r="E309" s="15"/>
      <c r="F309" s="15"/>
      <c r="G309" s="36"/>
      <c r="H309" s="23" t="str">
        <f>IFERROR(__xludf.DUMMYFUNCTION("iferror(iferror(iferror(index(IMPORTRANGE(""1NK5L1mviMn0j3D3uo53ASkIZOFRlLnqaCTnwzOG2_Wg"",""Direct Link!B2:B""),MATCH($C309,IMPORTRANGE(""1NK5L1mviMn0j3D3uo53ASkIZOFRlLnqaCTnwzOG2_Wg"",""Direct Link!A2:A""),0)),XLOOKUP($C309,IMPORTRANGE(""1NK5L1mviMn0j3D"&amp;"3uo53ASkIZOFRlLnqaCTnwzOG2_Wg"",""Direct links Without Sizes!A2:A""),IMPORTRANGE(""1NK5L1mviMn0j3D3uo53ASkIZOFRlLnqaCTnwzOG2_Wg"",""Direct links Without Sizes!B2:B""))),XLOOKUP($C309,IMPORTRANGE(""1NK5L1mviMn0j3D3uo53ASkIZOFRlLnqaCTnwzOG2_Wg"",""Direct li"&amp;"nks Without Sizes!D2:D""),IMPORTRANGE(""1NK5L1mviMn0j3D3uo53ASkIZOFRlLnqaCTnwzOG2_Wg"",""Direct links Without Sizes!E2:E""))),"""")"),"")</f>
        <v/>
      </c>
      <c r="I309" s="4"/>
      <c r="J309" s="24" t="str">
        <f t="shared" si="1"/>
        <v/>
      </c>
      <c r="K309" s="25"/>
      <c r="L309" s="24" t="str">
        <f t="shared" si="2"/>
        <v/>
      </c>
      <c r="M309" s="4"/>
      <c r="N309" s="23"/>
      <c r="O309" s="23"/>
      <c r="P309" s="23"/>
      <c r="Q309" s="4" t="str">
        <f t="shared" si="4"/>
        <v/>
      </c>
      <c r="R309" s="20"/>
      <c r="S309" s="20"/>
    </row>
    <row r="310">
      <c r="A310" s="4"/>
      <c r="B310" s="4"/>
      <c r="C310" s="11"/>
      <c r="D310" s="7" t="str">
        <f>IFERROR(__xludf.DUMMYFUNCTION("iferror(iferror(INDEX(IMPORTRANGE(""12vtnxaE_Q1s4tyr10kZQx7ZF_xG0lBFae4jQEUtgsMU"",""All!B2:B""),MATCH($C310,IMPORTRANGE(""12vtnxaE_Q1s4tyr10kZQx7ZF_xG0lBFae4jQEUtgsMU"",""All!A2:A""),0)),INDEX(IMPORTRANGE(""13KC70HngS4DDi8y9E5khtSpQEPG6owaQ9z4E-tR5mnY"","&amp;"""Non-Food!B2:B""),MATCH($C310,IMPORTRANGE(""13KC70HngS4DDi8y9E5khtSpQEPG6owaQ9z4E-tR5mnY"",""Non-Food!A2:A""),0))),"""")"),"")</f>
        <v/>
      </c>
      <c r="E310" s="15"/>
      <c r="F310" s="15"/>
      <c r="G310" s="36"/>
      <c r="H310" s="23" t="str">
        <f>IFERROR(__xludf.DUMMYFUNCTION("iferror(iferror(iferror(index(IMPORTRANGE(""1NK5L1mviMn0j3D3uo53ASkIZOFRlLnqaCTnwzOG2_Wg"",""Direct Link!B2:B""),MATCH($C310,IMPORTRANGE(""1NK5L1mviMn0j3D3uo53ASkIZOFRlLnqaCTnwzOG2_Wg"",""Direct Link!A2:A""),0)),XLOOKUP($C310,IMPORTRANGE(""1NK5L1mviMn0j3D"&amp;"3uo53ASkIZOFRlLnqaCTnwzOG2_Wg"",""Direct links Without Sizes!A2:A""),IMPORTRANGE(""1NK5L1mviMn0j3D3uo53ASkIZOFRlLnqaCTnwzOG2_Wg"",""Direct links Without Sizes!B2:B""))),XLOOKUP($C310,IMPORTRANGE(""1NK5L1mviMn0j3D3uo53ASkIZOFRlLnqaCTnwzOG2_Wg"",""Direct li"&amp;"nks Without Sizes!D2:D""),IMPORTRANGE(""1NK5L1mviMn0j3D3uo53ASkIZOFRlLnqaCTnwzOG2_Wg"",""Direct links Without Sizes!E2:E""))),"""")"),"")</f>
        <v/>
      </c>
      <c r="I310" s="4"/>
      <c r="J310" s="24" t="str">
        <f t="shared" si="1"/>
        <v/>
      </c>
      <c r="K310" s="25"/>
      <c r="L310" s="24" t="str">
        <f t="shared" si="2"/>
        <v/>
      </c>
      <c r="M310" s="4"/>
      <c r="N310" s="23"/>
      <c r="O310" s="23"/>
      <c r="P310" s="23"/>
      <c r="Q310" s="4" t="str">
        <f t="shared" si="4"/>
        <v/>
      </c>
      <c r="R310" s="20"/>
      <c r="S310" s="20"/>
    </row>
    <row r="311">
      <c r="A311" s="4"/>
      <c r="B311" s="4"/>
      <c r="C311" s="11"/>
      <c r="D311" s="7" t="str">
        <f>IFERROR(__xludf.DUMMYFUNCTION("iferror(iferror(INDEX(IMPORTRANGE(""12vtnxaE_Q1s4tyr10kZQx7ZF_xG0lBFae4jQEUtgsMU"",""All!B2:B""),MATCH($C311,IMPORTRANGE(""12vtnxaE_Q1s4tyr10kZQx7ZF_xG0lBFae4jQEUtgsMU"",""All!A2:A""),0)),INDEX(IMPORTRANGE(""13KC70HngS4DDi8y9E5khtSpQEPG6owaQ9z4E-tR5mnY"","&amp;"""Non-Food!B2:B""),MATCH($C311,IMPORTRANGE(""13KC70HngS4DDi8y9E5khtSpQEPG6owaQ9z4E-tR5mnY"",""Non-Food!A2:A""),0))),"""")"),"")</f>
        <v/>
      </c>
      <c r="E311" s="15"/>
      <c r="F311" s="15"/>
      <c r="G311" s="36"/>
      <c r="H311" s="23" t="str">
        <f>IFERROR(__xludf.DUMMYFUNCTION("iferror(iferror(iferror(index(IMPORTRANGE(""1NK5L1mviMn0j3D3uo53ASkIZOFRlLnqaCTnwzOG2_Wg"",""Direct Link!B2:B""),MATCH($C311,IMPORTRANGE(""1NK5L1mviMn0j3D3uo53ASkIZOFRlLnqaCTnwzOG2_Wg"",""Direct Link!A2:A""),0)),XLOOKUP($C311,IMPORTRANGE(""1NK5L1mviMn0j3D"&amp;"3uo53ASkIZOFRlLnqaCTnwzOG2_Wg"",""Direct links Without Sizes!A2:A""),IMPORTRANGE(""1NK5L1mviMn0j3D3uo53ASkIZOFRlLnqaCTnwzOG2_Wg"",""Direct links Without Sizes!B2:B""))),XLOOKUP($C311,IMPORTRANGE(""1NK5L1mviMn0j3D3uo53ASkIZOFRlLnqaCTnwzOG2_Wg"",""Direct li"&amp;"nks Without Sizes!D2:D""),IMPORTRANGE(""1NK5L1mviMn0j3D3uo53ASkIZOFRlLnqaCTnwzOG2_Wg"",""Direct links Without Sizes!E2:E""))),"""")"),"")</f>
        <v/>
      </c>
      <c r="I311" s="4"/>
      <c r="J311" s="24" t="str">
        <f t="shared" si="1"/>
        <v/>
      </c>
      <c r="K311" s="25"/>
      <c r="L311" s="24" t="str">
        <f t="shared" si="2"/>
        <v/>
      </c>
      <c r="M311" s="4"/>
      <c r="N311" s="23"/>
      <c r="O311" s="23"/>
      <c r="P311" s="23"/>
      <c r="Q311" s="4" t="str">
        <f t="shared" si="4"/>
        <v/>
      </c>
      <c r="R311" s="20"/>
      <c r="S311" s="20"/>
    </row>
    <row r="312">
      <c r="A312" s="4"/>
      <c r="B312" s="4"/>
      <c r="C312" s="11"/>
      <c r="D312" s="7" t="str">
        <f>IFERROR(__xludf.DUMMYFUNCTION("iferror(iferror(INDEX(IMPORTRANGE(""12vtnxaE_Q1s4tyr10kZQx7ZF_xG0lBFae4jQEUtgsMU"",""All!B2:B""),MATCH($C312,IMPORTRANGE(""12vtnxaE_Q1s4tyr10kZQx7ZF_xG0lBFae4jQEUtgsMU"",""All!A2:A""),0)),INDEX(IMPORTRANGE(""13KC70HngS4DDi8y9E5khtSpQEPG6owaQ9z4E-tR5mnY"","&amp;"""Non-Food!B2:B""),MATCH($C312,IMPORTRANGE(""13KC70HngS4DDi8y9E5khtSpQEPG6owaQ9z4E-tR5mnY"",""Non-Food!A2:A""),0))),"""")"),"")</f>
        <v/>
      </c>
      <c r="E312" s="15"/>
      <c r="F312" s="15"/>
      <c r="G312" s="36"/>
      <c r="H312" s="23" t="str">
        <f>IFERROR(__xludf.DUMMYFUNCTION("iferror(iferror(iferror(index(IMPORTRANGE(""1NK5L1mviMn0j3D3uo53ASkIZOFRlLnqaCTnwzOG2_Wg"",""Direct Link!B2:B""),MATCH($C312,IMPORTRANGE(""1NK5L1mviMn0j3D3uo53ASkIZOFRlLnqaCTnwzOG2_Wg"",""Direct Link!A2:A""),0)),XLOOKUP($C312,IMPORTRANGE(""1NK5L1mviMn0j3D"&amp;"3uo53ASkIZOFRlLnqaCTnwzOG2_Wg"",""Direct links Without Sizes!A2:A""),IMPORTRANGE(""1NK5L1mviMn0j3D3uo53ASkIZOFRlLnqaCTnwzOG2_Wg"",""Direct links Without Sizes!B2:B""))),XLOOKUP($C312,IMPORTRANGE(""1NK5L1mviMn0j3D3uo53ASkIZOFRlLnqaCTnwzOG2_Wg"",""Direct li"&amp;"nks Without Sizes!D2:D""),IMPORTRANGE(""1NK5L1mviMn0j3D3uo53ASkIZOFRlLnqaCTnwzOG2_Wg"",""Direct links Without Sizes!E2:E""))),"""")"),"")</f>
        <v/>
      </c>
      <c r="I312" s="4"/>
      <c r="J312" s="24" t="str">
        <f t="shared" si="1"/>
        <v/>
      </c>
      <c r="K312" s="25"/>
      <c r="L312" s="24" t="str">
        <f t="shared" si="2"/>
        <v/>
      </c>
      <c r="M312" s="4"/>
      <c r="N312" s="23"/>
      <c r="O312" s="23"/>
      <c r="P312" s="23"/>
      <c r="Q312" s="4" t="str">
        <f t="shared" si="4"/>
        <v/>
      </c>
      <c r="R312" s="20"/>
      <c r="S312" s="20"/>
    </row>
    <row r="313">
      <c r="A313" s="4"/>
      <c r="B313" s="4"/>
      <c r="C313" s="11"/>
      <c r="D313" s="7" t="str">
        <f>IFERROR(__xludf.DUMMYFUNCTION("iferror(iferror(INDEX(IMPORTRANGE(""12vtnxaE_Q1s4tyr10kZQx7ZF_xG0lBFae4jQEUtgsMU"",""All!B2:B""),MATCH($C313,IMPORTRANGE(""12vtnxaE_Q1s4tyr10kZQx7ZF_xG0lBFae4jQEUtgsMU"",""All!A2:A""),0)),INDEX(IMPORTRANGE(""13KC70HngS4DDi8y9E5khtSpQEPG6owaQ9z4E-tR5mnY"","&amp;"""Non-Food!B2:B""),MATCH($C313,IMPORTRANGE(""13KC70HngS4DDi8y9E5khtSpQEPG6owaQ9z4E-tR5mnY"",""Non-Food!A2:A""),0))),"""")"),"")</f>
        <v/>
      </c>
      <c r="E313" s="15"/>
      <c r="F313" s="15"/>
      <c r="G313" s="36"/>
      <c r="H313" s="23" t="str">
        <f>IFERROR(__xludf.DUMMYFUNCTION("iferror(iferror(iferror(index(IMPORTRANGE(""1NK5L1mviMn0j3D3uo53ASkIZOFRlLnqaCTnwzOG2_Wg"",""Direct Link!B2:B""),MATCH($C313,IMPORTRANGE(""1NK5L1mviMn0j3D3uo53ASkIZOFRlLnqaCTnwzOG2_Wg"",""Direct Link!A2:A""),0)),XLOOKUP($C313,IMPORTRANGE(""1NK5L1mviMn0j3D"&amp;"3uo53ASkIZOFRlLnqaCTnwzOG2_Wg"",""Direct links Without Sizes!A2:A""),IMPORTRANGE(""1NK5L1mviMn0j3D3uo53ASkIZOFRlLnqaCTnwzOG2_Wg"",""Direct links Without Sizes!B2:B""))),XLOOKUP($C313,IMPORTRANGE(""1NK5L1mviMn0j3D3uo53ASkIZOFRlLnqaCTnwzOG2_Wg"",""Direct li"&amp;"nks Without Sizes!D2:D""),IMPORTRANGE(""1NK5L1mviMn0j3D3uo53ASkIZOFRlLnqaCTnwzOG2_Wg"",""Direct links Without Sizes!E2:E""))),"""")"),"")</f>
        <v/>
      </c>
      <c r="I313" s="4"/>
      <c r="J313" s="24" t="str">
        <f t="shared" si="1"/>
        <v/>
      </c>
      <c r="K313" s="25"/>
      <c r="L313" s="24" t="str">
        <f t="shared" si="2"/>
        <v/>
      </c>
      <c r="M313" s="4"/>
      <c r="N313" s="23"/>
      <c r="O313" s="23"/>
      <c r="P313" s="23"/>
      <c r="Q313" s="4" t="str">
        <f t="shared" si="4"/>
        <v/>
      </c>
      <c r="R313" s="20"/>
      <c r="S313" s="20"/>
    </row>
    <row r="314">
      <c r="A314" s="4"/>
      <c r="B314" s="4"/>
      <c r="C314" s="11"/>
      <c r="D314" s="7" t="str">
        <f>IFERROR(__xludf.DUMMYFUNCTION("iferror(iferror(INDEX(IMPORTRANGE(""12vtnxaE_Q1s4tyr10kZQx7ZF_xG0lBFae4jQEUtgsMU"",""All!B2:B""),MATCH($C314,IMPORTRANGE(""12vtnxaE_Q1s4tyr10kZQx7ZF_xG0lBFae4jQEUtgsMU"",""All!A2:A""),0)),INDEX(IMPORTRANGE(""13KC70HngS4DDi8y9E5khtSpQEPG6owaQ9z4E-tR5mnY"","&amp;"""Non-Food!B2:B""),MATCH($C314,IMPORTRANGE(""13KC70HngS4DDi8y9E5khtSpQEPG6owaQ9z4E-tR5mnY"",""Non-Food!A2:A""),0))),"""")"),"")</f>
        <v/>
      </c>
      <c r="E314" s="15"/>
      <c r="F314" s="15"/>
      <c r="G314" s="36"/>
      <c r="H314" s="23" t="str">
        <f>IFERROR(__xludf.DUMMYFUNCTION("iferror(iferror(iferror(index(IMPORTRANGE(""1NK5L1mviMn0j3D3uo53ASkIZOFRlLnqaCTnwzOG2_Wg"",""Direct Link!B2:B""),MATCH($C314,IMPORTRANGE(""1NK5L1mviMn0j3D3uo53ASkIZOFRlLnqaCTnwzOG2_Wg"",""Direct Link!A2:A""),0)),XLOOKUP($C314,IMPORTRANGE(""1NK5L1mviMn0j3D"&amp;"3uo53ASkIZOFRlLnqaCTnwzOG2_Wg"",""Direct links Without Sizes!A2:A""),IMPORTRANGE(""1NK5L1mviMn0j3D3uo53ASkIZOFRlLnqaCTnwzOG2_Wg"",""Direct links Without Sizes!B2:B""))),XLOOKUP($C314,IMPORTRANGE(""1NK5L1mviMn0j3D3uo53ASkIZOFRlLnqaCTnwzOG2_Wg"",""Direct li"&amp;"nks Without Sizes!D2:D""),IMPORTRANGE(""1NK5L1mviMn0j3D3uo53ASkIZOFRlLnqaCTnwzOG2_Wg"",""Direct links Without Sizes!E2:E""))),"""")"),"")</f>
        <v/>
      </c>
      <c r="I314" s="4"/>
      <c r="J314" s="24" t="str">
        <f t="shared" si="1"/>
        <v/>
      </c>
      <c r="K314" s="25"/>
      <c r="L314" s="24" t="str">
        <f t="shared" si="2"/>
        <v/>
      </c>
      <c r="M314" s="4"/>
      <c r="N314" s="23"/>
      <c r="O314" s="23"/>
      <c r="P314" s="23"/>
      <c r="Q314" s="4" t="str">
        <f t="shared" si="4"/>
        <v/>
      </c>
      <c r="R314" s="20"/>
      <c r="S314" s="20"/>
    </row>
    <row r="315">
      <c r="A315" s="4"/>
      <c r="B315" s="4"/>
      <c r="C315" s="11"/>
      <c r="D315" s="7" t="str">
        <f>IFERROR(__xludf.DUMMYFUNCTION("iferror(iferror(INDEX(IMPORTRANGE(""12vtnxaE_Q1s4tyr10kZQx7ZF_xG0lBFae4jQEUtgsMU"",""All!B2:B""),MATCH($C315,IMPORTRANGE(""12vtnxaE_Q1s4tyr10kZQx7ZF_xG0lBFae4jQEUtgsMU"",""All!A2:A""),0)),INDEX(IMPORTRANGE(""13KC70HngS4DDi8y9E5khtSpQEPG6owaQ9z4E-tR5mnY"","&amp;"""Non-Food!B2:B""),MATCH($C315,IMPORTRANGE(""13KC70HngS4DDi8y9E5khtSpQEPG6owaQ9z4E-tR5mnY"",""Non-Food!A2:A""),0))),"""")"),"")</f>
        <v/>
      </c>
      <c r="E315" s="15"/>
      <c r="F315" s="15"/>
      <c r="G315" s="36"/>
      <c r="H315" s="23" t="str">
        <f>IFERROR(__xludf.DUMMYFUNCTION("iferror(iferror(iferror(index(IMPORTRANGE(""1NK5L1mviMn0j3D3uo53ASkIZOFRlLnqaCTnwzOG2_Wg"",""Direct Link!B2:B""),MATCH($C315,IMPORTRANGE(""1NK5L1mviMn0j3D3uo53ASkIZOFRlLnqaCTnwzOG2_Wg"",""Direct Link!A2:A""),0)),XLOOKUP($C315,IMPORTRANGE(""1NK5L1mviMn0j3D"&amp;"3uo53ASkIZOFRlLnqaCTnwzOG2_Wg"",""Direct links Without Sizes!A2:A""),IMPORTRANGE(""1NK5L1mviMn0j3D3uo53ASkIZOFRlLnqaCTnwzOG2_Wg"",""Direct links Without Sizes!B2:B""))),XLOOKUP($C315,IMPORTRANGE(""1NK5L1mviMn0j3D3uo53ASkIZOFRlLnqaCTnwzOG2_Wg"",""Direct li"&amp;"nks Without Sizes!D2:D""),IMPORTRANGE(""1NK5L1mviMn0j3D3uo53ASkIZOFRlLnqaCTnwzOG2_Wg"",""Direct links Without Sizes!E2:E""))),"""")"),"")</f>
        <v/>
      </c>
      <c r="I315" s="4"/>
      <c r="J315" s="24" t="str">
        <f t="shared" si="1"/>
        <v/>
      </c>
      <c r="K315" s="25"/>
      <c r="L315" s="24" t="str">
        <f t="shared" si="2"/>
        <v/>
      </c>
      <c r="M315" s="4"/>
      <c r="N315" s="23"/>
      <c r="O315" s="23"/>
      <c r="P315" s="23"/>
      <c r="Q315" s="4" t="str">
        <f t="shared" si="4"/>
        <v/>
      </c>
      <c r="R315" s="20"/>
      <c r="S315" s="20"/>
    </row>
    <row r="316">
      <c r="A316" s="4"/>
      <c r="B316" s="4"/>
      <c r="C316" s="11"/>
      <c r="D316" s="7" t="str">
        <f>IFERROR(__xludf.DUMMYFUNCTION("iferror(iferror(INDEX(IMPORTRANGE(""12vtnxaE_Q1s4tyr10kZQx7ZF_xG0lBFae4jQEUtgsMU"",""All!B2:B""),MATCH($C316,IMPORTRANGE(""12vtnxaE_Q1s4tyr10kZQx7ZF_xG0lBFae4jQEUtgsMU"",""All!A2:A""),0)),INDEX(IMPORTRANGE(""13KC70HngS4DDi8y9E5khtSpQEPG6owaQ9z4E-tR5mnY"","&amp;"""Non-Food!B2:B""),MATCH($C316,IMPORTRANGE(""13KC70HngS4DDi8y9E5khtSpQEPG6owaQ9z4E-tR5mnY"",""Non-Food!A2:A""),0))),"""")"),"")</f>
        <v/>
      </c>
      <c r="E316" s="15"/>
      <c r="F316" s="15"/>
      <c r="G316" s="36"/>
      <c r="H316" s="23" t="str">
        <f>IFERROR(__xludf.DUMMYFUNCTION("iferror(iferror(iferror(index(IMPORTRANGE(""1NK5L1mviMn0j3D3uo53ASkIZOFRlLnqaCTnwzOG2_Wg"",""Direct Link!B2:B""),MATCH($C316,IMPORTRANGE(""1NK5L1mviMn0j3D3uo53ASkIZOFRlLnqaCTnwzOG2_Wg"",""Direct Link!A2:A""),0)),XLOOKUP($C316,IMPORTRANGE(""1NK5L1mviMn0j3D"&amp;"3uo53ASkIZOFRlLnqaCTnwzOG2_Wg"",""Direct links Without Sizes!A2:A""),IMPORTRANGE(""1NK5L1mviMn0j3D3uo53ASkIZOFRlLnqaCTnwzOG2_Wg"",""Direct links Without Sizes!B2:B""))),XLOOKUP($C316,IMPORTRANGE(""1NK5L1mviMn0j3D3uo53ASkIZOFRlLnqaCTnwzOG2_Wg"",""Direct li"&amp;"nks Without Sizes!D2:D""),IMPORTRANGE(""1NK5L1mviMn0j3D3uo53ASkIZOFRlLnqaCTnwzOG2_Wg"",""Direct links Without Sizes!E2:E""))),"""")"),"")</f>
        <v/>
      </c>
      <c r="I316" s="4"/>
      <c r="J316" s="24" t="str">
        <f t="shared" si="1"/>
        <v/>
      </c>
      <c r="K316" s="25"/>
      <c r="L316" s="24" t="str">
        <f t="shared" si="2"/>
        <v/>
      </c>
      <c r="M316" s="4"/>
      <c r="N316" s="23"/>
      <c r="O316" s="23"/>
      <c r="P316" s="23"/>
      <c r="Q316" s="4" t="str">
        <f t="shared" si="4"/>
        <v/>
      </c>
      <c r="R316" s="20"/>
      <c r="S316" s="20"/>
    </row>
    <row r="317">
      <c r="A317" s="4"/>
      <c r="B317" s="4"/>
      <c r="C317" s="11"/>
      <c r="D317" s="7" t="str">
        <f>IFERROR(__xludf.DUMMYFUNCTION("iferror(iferror(INDEX(IMPORTRANGE(""12vtnxaE_Q1s4tyr10kZQx7ZF_xG0lBFae4jQEUtgsMU"",""All!B2:B""),MATCH($C317,IMPORTRANGE(""12vtnxaE_Q1s4tyr10kZQx7ZF_xG0lBFae4jQEUtgsMU"",""All!A2:A""),0)),INDEX(IMPORTRANGE(""13KC70HngS4DDi8y9E5khtSpQEPG6owaQ9z4E-tR5mnY"","&amp;"""Non-Food!B2:B""),MATCH($C317,IMPORTRANGE(""13KC70HngS4DDi8y9E5khtSpQEPG6owaQ9z4E-tR5mnY"",""Non-Food!A2:A""),0))),"""")"),"")</f>
        <v/>
      </c>
      <c r="E317" s="15"/>
      <c r="F317" s="15"/>
      <c r="G317" s="36"/>
      <c r="H317" s="23" t="str">
        <f>IFERROR(__xludf.DUMMYFUNCTION("iferror(iferror(iferror(index(IMPORTRANGE(""1NK5L1mviMn0j3D3uo53ASkIZOFRlLnqaCTnwzOG2_Wg"",""Direct Link!B2:B""),MATCH($C317,IMPORTRANGE(""1NK5L1mviMn0j3D3uo53ASkIZOFRlLnqaCTnwzOG2_Wg"",""Direct Link!A2:A""),0)),XLOOKUP($C317,IMPORTRANGE(""1NK5L1mviMn0j3D"&amp;"3uo53ASkIZOFRlLnqaCTnwzOG2_Wg"",""Direct links Without Sizes!A2:A""),IMPORTRANGE(""1NK5L1mviMn0j3D3uo53ASkIZOFRlLnqaCTnwzOG2_Wg"",""Direct links Without Sizes!B2:B""))),XLOOKUP($C317,IMPORTRANGE(""1NK5L1mviMn0j3D3uo53ASkIZOFRlLnqaCTnwzOG2_Wg"",""Direct li"&amp;"nks Without Sizes!D2:D""),IMPORTRANGE(""1NK5L1mviMn0j3D3uo53ASkIZOFRlLnqaCTnwzOG2_Wg"",""Direct links Without Sizes!E2:E""))),"""")"),"")</f>
        <v/>
      </c>
      <c r="I317" s="4"/>
      <c r="J317" s="24" t="str">
        <f t="shared" si="1"/>
        <v/>
      </c>
      <c r="K317" s="25"/>
      <c r="L317" s="24" t="str">
        <f t="shared" si="2"/>
        <v/>
      </c>
      <c r="M317" s="4"/>
      <c r="N317" s="23"/>
      <c r="O317" s="23"/>
      <c r="P317" s="23"/>
      <c r="Q317" s="4" t="str">
        <f t="shared" si="4"/>
        <v/>
      </c>
      <c r="R317" s="20"/>
      <c r="S317" s="20"/>
    </row>
    <row r="318">
      <c r="A318" s="4"/>
      <c r="B318" s="4"/>
      <c r="C318" s="11"/>
      <c r="D318" s="7" t="str">
        <f>IFERROR(__xludf.DUMMYFUNCTION("iferror(iferror(INDEX(IMPORTRANGE(""12vtnxaE_Q1s4tyr10kZQx7ZF_xG0lBFae4jQEUtgsMU"",""All!B2:B""),MATCH($C318,IMPORTRANGE(""12vtnxaE_Q1s4tyr10kZQx7ZF_xG0lBFae4jQEUtgsMU"",""All!A2:A""),0)),INDEX(IMPORTRANGE(""13KC70HngS4DDi8y9E5khtSpQEPG6owaQ9z4E-tR5mnY"","&amp;"""Non-Food!B2:B""),MATCH($C318,IMPORTRANGE(""13KC70HngS4DDi8y9E5khtSpQEPG6owaQ9z4E-tR5mnY"",""Non-Food!A2:A""),0))),"""")"),"")</f>
        <v/>
      </c>
      <c r="E318" s="15"/>
      <c r="F318" s="15"/>
      <c r="G318" s="36"/>
      <c r="H318" s="23" t="str">
        <f>IFERROR(__xludf.DUMMYFUNCTION("iferror(iferror(iferror(index(IMPORTRANGE(""1NK5L1mviMn0j3D3uo53ASkIZOFRlLnqaCTnwzOG2_Wg"",""Direct Link!B2:B""),MATCH($C318,IMPORTRANGE(""1NK5L1mviMn0j3D3uo53ASkIZOFRlLnqaCTnwzOG2_Wg"",""Direct Link!A2:A""),0)),XLOOKUP($C318,IMPORTRANGE(""1NK5L1mviMn0j3D"&amp;"3uo53ASkIZOFRlLnqaCTnwzOG2_Wg"",""Direct links Without Sizes!A2:A""),IMPORTRANGE(""1NK5L1mviMn0j3D3uo53ASkIZOFRlLnqaCTnwzOG2_Wg"",""Direct links Without Sizes!B2:B""))),XLOOKUP($C318,IMPORTRANGE(""1NK5L1mviMn0j3D3uo53ASkIZOFRlLnqaCTnwzOG2_Wg"",""Direct li"&amp;"nks Without Sizes!D2:D""),IMPORTRANGE(""1NK5L1mviMn0j3D3uo53ASkIZOFRlLnqaCTnwzOG2_Wg"",""Direct links Without Sizes!E2:E""))),"""")"),"")</f>
        <v/>
      </c>
      <c r="I318" s="4"/>
      <c r="J318" s="24" t="str">
        <f t="shared" si="1"/>
        <v/>
      </c>
      <c r="K318" s="25"/>
      <c r="L318" s="24" t="str">
        <f t="shared" si="2"/>
        <v/>
      </c>
      <c r="M318" s="4"/>
      <c r="N318" s="23"/>
      <c r="O318" s="23"/>
      <c r="P318" s="23"/>
      <c r="Q318" s="4" t="str">
        <f t="shared" si="4"/>
        <v/>
      </c>
      <c r="R318" s="20"/>
      <c r="S318" s="20"/>
    </row>
    <row r="319">
      <c r="A319" s="4"/>
      <c r="B319" s="4"/>
      <c r="C319" s="11"/>
      <c r="D319" s="7" t="str">
        <f>IFERROR(__xludf.DUMMYFUNCTION("iferror(iferror(INDEX(IMPORTRANGE(""12vtnxaE_Q1s4tyr10kZQx7ZF_xG0lBFae4jQEUtgsMU"",""All!B2:B""),MATCH($C319,IMPORTRANGE(""12vtnxaE_Q1s4tyr10kZQx7ZF_xG0lBFae4jQEUtgsMU"",""All!A2:A""),0)),INDEX(IMPORTRANGE(""13KC70HngS4DDi8y9E5khtSpQEPG6owaQ9z4E-tR5mnY"","&amp;"""Non-Food!B2:B""),MATCH($C319,IMPORTRANGE(""13KC70HngS4DDi8y9E5khtSpQEPG6owaQ9z4E-tR5mnY"",""Non-Food!A2:A""),0))),"""")"),"")</f>
        <v/>
      </c>
      <c r="E319" s="15"/>
      <c r="F319" s="15"/>
      <c r="G319" s="36"/>
      <c r="H319" s="23" t="str">
        <f>IFERROR(__xludf.DUMMYFUNCTION("iferror(iferror(iferror(index(IMPORTRANGE(""1NK5L1mviMn0j3D3uo53ASkIZOFRlLnqaCTnwzOG2_Wg"",""Direct Link!B2:B""),MATCH($C319,IMPORTRANGE(""1NK5L1mviMn0j3D3uo53ASkIZOFRlLnqaCTnwzOG2_Wg"",""Direct Link!A2:A""),0)),XLOOKUP($C319,IMPORTRANGE(""1NK5L1mviMn0j3D"&amp;"3uo53ASkIZOFRlLnqaCTnwzOG2_Wg"",""Direct links Without Sizes!A2:A""),IMPORTRANGE(""1NK5L1mviMn0j3D3uo53ASkIZOFRlLnqaCTnwzOG2_Wg"",""Direct links Without Sizes!B2:B""))),XLOOKUP($C319,IMPORTRANGE(""1NK5L1mviMn0j3D3uo53ASkIZOFRlLnqaCTnwzOG2_Wg"",""Direct li"&amp;"nks Without Sizes!D2:D""),IMPORTRANGE(""1NK5L1mviMn0j3D3uo53ASkIZOFRlLnqaCTnwzOG2_Wg"",""Direct links Without Sizes!E2:E""))),"""")"),"")</f>
        <v/>
      </c>
      <c r="I319" s="4"/>
      <c r="J319" s="24" t="str">
        <f t="shared" si="1"/>
        <v/>
      </c>
      <c r="K319" s="25"/>
      <c r="L319" s="24" t="str">
        <f t="shared" si="2"/>
        <v/>
      </c>
      <c r="M319" s="4"/>
      <c r="N319" s="23"/>
      <c r="O319" s="23"/>
      <c r="P319" s="23"/>
      <c r="Q319" s="4" t="str">
        <f t="shared" si="4"/>
        <v/>
      </c>
      <c r="R319" s="20"/>
      <c r="S319" s="20"/>
    </row>
    <row r="320">
      <c r="A320" s="4"/>
      <c r="B320" s="4"/>
      <c r="C320" s="37"/>
      <c r="D320" s="7" t="str">
        <f>IFERROR(__xludf.DUMMYFUNCTION("iferror(iferror(INDEX(IMPORTRANGE(""12vtnxaE_Q1s4tyr10kZQx7ZF_xG0lBFae4jQEUtgsMU"",""All!B2:B""),MATCH($C320,IMPORTRANGE(""12vtnxaE_Q1s4tyr10kZQx7ZF_xG0lBFae4jQEUtgsMU"",""All!A2:A""),0)),INDEX(IMPORTRANGE(""13KC70HngS4DDi8y9E5khtSpQEPG6owaQ9z4E-tR5mnY"","&amp;"""Non-Food!B2:B""),MATCH($C320,IMPORTRANGE(""13KC70HngS4DDi8y9E5khtSpQEPG6owaQ9z4E-tR5mnY"",""Non-Food!A2:A""),0))),"""")"),"")</f>
        <v/>
      </c>
      <c r="E320" s="15"/>
      <c r="F320" s="15"/>
      <c r="G320" s="36"/>
      <c r="H320" s="23" t="str">
        <f>IFERROR(__xludf.DUMMYFUNCTION("iferror(iferror(iferror(index(IMPORTRANGE(""1NK5L1mviMn0j3D3uo53ASkIZOFRlLnqaCTnwzOG2_Wg"",""Direct Link!B2:B""),MATCH($C320,IMPORTRANGE(""1NK5L1mviMn0j3D3uo53ASkIZOFRlLnqaCTnwzOG2_Wg"",""Direct Link!A2:A""),0)),XLOOKUP($C320,IMPORTRANGE(""1NK5L1mviMn0j3D"&amp;"3uo53ASkIZOFRlLnqaCTnwzOG2_Wg"",""Direct links Without Sizes!A2:A""),IMPORTRANGE(""1NK5L1mviMn0j3D3uo53ASkIZOFRlLnqaCTnwzOG2_Wg"",""Direct links Without Sizes!B2:B""))),XLOOKUP($C320,IMPORTRANGE(""1NK5L1mviMn0j3D3uo53ASkIZOFRlLnqaCTnwzOG2_Wg"",""Direct li"&amp;"nks Without Sizes!D2:D""),IMPORTRANGE(""1NK5L1mviMn0j3D3uo53ASkIZOFRlLnqaCTnwzOG2_Wg"",""Direct links Without Sizes!E2:E""))),"""")"),"")</f>
        <v/>
      </c>
      <c r="I320" s="4"/>
      <c r="J320" s="24" t="str">
        <f t="shared" si="1"/>
        <v/>
      </c>
      <c r="K320" s="25"/>
      <c r="L320" s="24" t="str">
        <f t="shared" si="2"/>
        <v/>
      </c>
      <c r="M320" s="4"/>
      <c r="N320" s="23"/>
      <c r="O320" s="23"/>
      <c r="P320" s="23"/>
      <c r="Q320" s="4" t="str">
        <f t="shared" si="4"/>
        <v/>
      </c>
      <c r="R320" s="20"/>
      <c r="S320" s="20"/>
    </row>
    <row r="321">
      <c r="A321" s="4"/>
      <c r="B321" s="4"/>
      <c r="C321" s="37"/>
      <c r="D321" s="7" t="str">
        <f>IFERROR(__xludf.DUMMYFUNCTION("iferror(iferror(INDEX(IMPORTRANGE(""12vtnxaE_Q1s4tyr10kZQx7ZF_xG0lBFae4jQEUtgsMU"",""All!B2:B""),MATCH($C321,IMPORTRANGE(""12vtnxaE_Q1s4tyr10kZQx7ZF_xG0lBFae4jQEUtgsMU"",""All!A2:A""),0)),INDEX(IMPORTRANGE(""13KC70HngS4DDi8y9E5khtSpQEPG6owaQ9z4E-tR5mnY"","&amp;"""Non-Food!B2:B""),MATCH($C321,IMPORTRANGE(""13KC70HngS4DDi8y9E5khtSpQEPG6owaQ9z4E-tR5mnY"",""Non-Food!A2:A""),0))),"""")"),"")</f>
        <v/>
      </c>
      <c r="E321" s="15"/>
      <c r="F321" s="15"/>
      <c r="G321" s="36"/>
      <c r="H321" s="23" t="str">
        <f>IFERROR(__xludf.DUMMYFUNCTION("iferror(iferror(iferror(index(IMPORTRANGE(""1NK5L1mviMn0j3D3uo53ASkIZOFRlLnqaCTnwzOG2_Wg"",""Direct Link!B2:B""),MATCH($C321,IMPORTRANGE(""1NK5L1mviMn0j3D3uo53ASkIZOFRlLnqaCTnwzOG2_Wg"",""Direct Link!A2:A""),0)),XLOOKUP($C321,IMPORTRANGE(""1NK5L1mviMn0j3D"&amp;"3uo53ASkIZOFRlLnqaCTnwzOG2_Wg"",""Direct links Without Sizes!A2:A""),IMPORTRANGE(""1NK5L1mviMn0j3D3uo53ASkIZOFRlLnqaCTnwzOG2_Wg"",""Direct links Without Sizes!B2:B""))),XLOOKUP($C321,IMPORTRANGE(""1NK5L1mviMn0j3D3uo53ASkIZOFRlLnqaCTnwzOG2_Wg"",""Direct li"&amp;"nks Without Sizes!D2:D""),IMPORTRANGE(""1NK5L1mviMn0j3D3uo53ASkIZOFRlLnqaCTnwzOG2_Wg"",""Direct links Without Sizes!E2:E""))),"""")"),"")</f>
        <v/>
      </c>
      <c r="I321" s="4"/>
      <c r="J321" s="24" t="str">
        <f t="shared" si="1"/>
        <v/>
      </c>
      <c r="K321" s="25"/>
      <c r="L321" s="24" t="str">
        <f t="shared" si="2"/>
        <v/>
      </c>
      <c r="M321" s="4"/>
      <c r="N321" s="23"/>
      <c r="O321" s="23"/>
      <c r="P321" s="23"/>
      <c r="Q321" s="4" t="str">
        <f t="shared" si="4"/>
        <v/>
      </c>
      <c r="R321" s="20"/>
      <c r="S321" s="20"/>
    </row>
    <row r="322">
      <c r="A322" s="4"/>
      <c r="B322" s="4"/>
      <c r="C322" s="37"/>
      <c r="D322" s="7" t="str">
        <f>IFERROR(__xludf.DUMMYFUNCTION("iferror(iferror(INDEX(IMPORTRANGE(""12vtnxaE_Q1s4tyr10kZQx7ZF_xG0lBFae4jQEUtgsMU"",""All!B2:B""),MATCH($C322,IMPORTRANGE(""12vtnxaE_Q1s4tyr10kZQx7ZF_xG0lBFae4jQEUtgsMU"",""All!A2:A""),0)),INDEX(IMPORTRANGE(""13KC70HngS4DDi8y9E5khtSpQEPG6owaQ9z4E-tR5mnY"","&amp;"""Non-Food!B2:B""),MATCH($C322,IMPORTRANGE(""13KC70HngS4DDi8y9E5khtSpQEPG6owaQ9z4E-tR5mnY"",""Non-Food!A2:A""),0))),"""")"),"")</f>
        <v/>
      </c>
      <c r="E322" s="15"/>
      <c r="F322" s="15"/>
      <c r="G322" s="36"/>
      <c r="H322" s="23" t="str">
        <f>IFERROR(__xludf.DUMMYFUNCTION("iferror(iferror(iferror(index(IMPORTRANGE(""1NK5L1mviMn0j3D3uo53ASkIZOFRlLnqaCTnwzOG2_Wg"",""Direct Link!B2:B""),MATCH($C322,IMPORTRANGE(""1NK5L1mviMn0j3D3uo53ASkIZOFRlLnqaCTnwzOG2_Wg"",""Direct Link!A2:A""),0)),XLOOKUP($C322,IMPORTRANGE(""1NK5L1mviMn0j3D"&amp;"3uo53ASkIZOFRlLnqaCTnwzOG2_Wg"",""Direct links Without Sizes!A2:A""),IMPORTRANGE(""1NK5L1mviMn0j3D3uo53ASkIZOFRlLnqaCTnwzOG2_Wg"",""Direct links Without Sizes!B2:B""))),XLOOKUP($C322,IMPORTRANGE(""1NK5L1mviMn0j3D3uo53ASkIZOFRlLnqaCTnwzOG2_Wg"",""Direct li"&amp;"nks Without Sizes!D2:D""),IMPORTRANGE(""1NK5L1mviMn0j3D3uo53ASkIZOFRlLnqaCTnwzOG2_Wg"",""Direct links Without Sizes!E2:E""))),"""")"),"")</f>
        <v/>
      </c>
      <c r="I322" s="4"/>
      <c r="J322" s="24" t="str">
        <f t="shared" si="1"/>
        <v/>
      </c>
      <c r="K322" s="25"/>
      <c r="L322" s="24" t="str">
        <f t="shared" si="2"/>
        <v/>
      </c>
      <c r="M322" s="4"/>
      <c r="N322" s="23"/>
      <c r="O322" s="23"/>
      <c r="P322" s="23"/>
      <c r="Q322" s="4" t="str">
        <f t="shared" si="4"/>
        <v/>
      </c>
      <c r="R322" s="20"/>
      <c r="S322" s="20"/>
    </row>
    <row r="323">
      <c r="A323" s="4"/>
      <c r="B323" s="4"/>
      <c r="C323" s="37"/>
      <c r="D323" s="7" t="str">
        <f>IFERROR(__xludf.DUMMYFUNCTION("iferror(iferror(INDEX(IMPORTRANGE(""12vtnxaE_Q1s4tyr10kZQx7ZF_xG0lBFae4jQEUtgsMU"",""All!B2:B""),MATCH($C323,IMPORTRANGE(""12vtnxaE_Q1s4tyr10kZQx7ZF_xG0lBFae4jQEUtgsMU"",""All!A2:A""),0)),INDEX(IMPORTRANGE(""13KC70HngS4DDi8y9E5khtSpQEPG6owaQ9z4E-tR5mnY"","&amp;"""Non-Food!B2:B""),MATCH($C323,IMPORTRANGE(""13KC70HngS4DDi8y9E5khtSpQEPG6owaQ9z4E-tR5mnY"",""Non-Food!A2:A""),0))),"""")"),"")</f>
        <v/>
      </c>
      <c r="E323" s="15"/>
      <c r="F323" s="15"/>
      <c r="G323" s="36"/>
      <c r="H323" s="23" t="str">
        <f>IFERROR(__xludf.DUMMYFUNCTION("iferror(iferror(iferror(index(IMPORTRANGE(""1NK5L1mviMn0j3D3uo53ASkIZOFRlLnqaCTnwzOG2_Wg"",""Direct Link!B2:B""),MATCH($C323,IMPORTRANGE(""1NK5L1mviMn0j3D3uo53ASkIZOFRlLnqaCTnwzOG2_Wg"",""Direct Link!A2:A""),0)),XLOOKUP($C323,IMPORTRANGE(""1NK5L1mviMn0j3D"&amp;"3uo53ASkIZOFRlLnqaCTnwzOG2_Wg"",""Direct links Without Sizes!A2:A""),IMPORTRANGE(""1NK5L1mviMn0j3D3uo53ASkIZOFRlLnqaCTnwzOG2_Wg"",""Direct links Without Sizes!B2:B""))),XLOOKUP($C323,IMPORTRANGE(""1NK5L1mviMn0j3D3uo53ASkIZOFRlLnqaCTnwzOG2_Wg"",""Direct li"&amp;"nks Without Sizes!D2:D""),IMPORTRANGE(""1NK5L1mviMn0j3D3uo53ASkIZOFRlLnqaCTnwzOG2_Wg"",""Direct links Without Sizes!E2:E""))),"""")"),"")</f>
        <v/>
      </c>
      <c r="I323" s="4"/>
      <c r="J323" s="24" t="str">
        <f t="shared" si="1"/>
        <v/>
      </c>
      <c r="K323" s="25"/>
      <c r="L323" s="24" t="str">
        <f t="shared" si="2"/>
        <v/>
      </c>
      <c r="M323" s="4"/>
      <c r="N323" s="23"/>
      <c r="O323" s="23"/>
      <c r="P323" s="23"/>
      <c r="Q323" s="4" t="str">
        <f t="shared" si="4"/>
        <v/>
      </c>
      <c r="R323" s="20"/>
      <c r="S323" s="20"/>
    </row>
    <row r="324">
      <c r="A324" s="4"/>
      <c r="B324" s="4"/>
      <c r="C324" s="37"/>
      <c r="D324" s="7" t="str">
        <f>IFERROR(__xludf.DUMMYFUNCTION("iferror(iferror(INDEX(IMPORTRANGE(""12vtnxaE_Q1s4tyr10kZQx7ZF_xG0lBFae4jQEUtgsMU"",""All!B2:B""),MATCH($C324,IMPORTRANGE(""12vtnxaE_Q1s4tyr10kZQx7ZF_xG0lBFae4jQEUtgsMU"",""All!A2:A""),0)),INDEX(IMPORTRANGE(""13KC70HngS4DDi8y9E5khtSpQEPG6owaQ9z4E-tR5mnY"","&amp;"""Non-Food!B2:B""),MATCH($C324,IMPORTRANGE(""13KC70HngS4DDi8y9E5khtSpQEPG6owaQ9z4E-tR5mnY"",""Non-Food!A2:A""),0))),"""")"),"")</f>
        <v/>
      </c>
      <c r="E324" s="15"/>
      <c r="F324" s="15"/>
      <c r="G324" s="36"/>
      <c r="H324" s="23" t="str">
        <f>IFERROR(__xludf.DUMMYFUNCTION("iferror(iferror(iferror(index(IMPORTRANGE(""1NK5L1mviMn0j3D3uo53ASkIZOFRlLnqaCTnwzOG2_Wg"",""Direct Link!B2:B""),MATCH($C324,IMPORTRANGE(""1NK5L1mviMn0j3D3uo53ASkIZOFRlLnqaCTnwzOG2_Wg"",""Direct Link!A2:A""),0)),XLOOKUP($C324,IMPORTRANGE(""1NK5L1mviMn0j3D"&amp;"3uo53ASkIZOFRlLnqaCTnwzOG2_Wg"",""Direct links Without Sizes!A2:A""),IMPORTRANGE(""1NK5L1mviMn0j3D3uo53ASkIZOFRlLnqaCTnwzOG2_Wg"",""Direct links Without Sizes!B2:B""))),XLOOKUP($C324,IMPORTRANGE(""1NK5L1mviMn0j3D3uo53ASkIZOFRlLnqaCTnwzOG2_Wg"",""Direct li"&amp;"nks Without Sizes!D2:D""),IMPORTRANGE(""1NK5L1mviMn0j3D3uo53ASkIZOFRlLnqaCTnwzOG2_Wg"",""Direct links Without Sizes!E2:E""))),"""")"),"")</f>
        <v/>
      </c>
      <c r="I324" s="4"/>
      <c r="J324" s="24" t="str">
        <f t="shared" si="1"/>
        <v/>
      </c>
      <c r="K324" s="25"/>
      <c r="L324" s="24" t="str">
        <f t="shared" si="2"/>
        <v/>
      </c>
      <c r="M324" s="4"/>
      <c r="N324" s="23"/>
      <c r="O324" s="23"/>
      <c r="P324" s="23"/>
      <c r="Q324" s="4" t="str">
        <f t="shared" si="4"/>
        <v/>
      </c>
      <c r="R324" s="20"/>
      <c r="S324" s="20"/>
    </row>
    <row r="325">
      <c r="A325" s="4"/>
      <c r="B325" s="4"/>
      <c r="C325" s="37"/>
      <c r="D325" s="7" t="str">
        <f>IFERROR(__xludf.DUMMYFUNCTION("iferror(iferror(INDEX(IMPORTRANGE(""12vtnxaE_Q1s4tyr10kZQx7ZF_xG0lBFae4jQEUtgsMU"",""All!B2:B""),MATCH($C325,IMPORTRANGE(""12vtnxaE_Q1s4tyr10kZQx7ZF_xG0lBFae4jQEUtgsMU"",""All!A2:A""),0)),INDEX(IMPORTRANGE(""13KC70HngS4DDi8y9E5khtSpQEPG6owaQ9z4E-tR5mnY"","&amp;"""Non-Food!B2:B""),MATCH($C325,IMPORTRANGE(""13KC70HngS4DDi8y9E5khtSpQEPG6owaQ9z4E-tR5mnY"",""Non-Food!A2:A""),0))),"""")"),"")</f>
        <v/>
      </c>
      <c r="E325" s="15"/>
      <c r="F325" s="15"/>
      <c r="G325" s="36"/>
      <c r="H325" s="23" t="str">
        <f>IFERROR(__xludf.DUMMYFUNCTION("iferror(iferror(iferror(index(IMPORTRANGE(""1NK5L1mviMn0j3D3uo53ASkIZOFRlLnqaCTnwzOG2_Wg"",""Direct Link!B2:B""),MATCH($C325,IMPORTRANGE(""1NK5L1mviMn0j3D3uo53ASkIZOFRlLnqaCTnwzOG2_Wg"",""Direct Link!A2:A""),0)),XLOOKUP($C325,IMPORTRANGE(""1NK5L1mviMn0j3D"&amp;"3uo53ASkIZOFRlLnqaCTnwzOG2_Wg"",""Direct links Without Sizes!A2:A""),IMPORTRANGE(""1NK5L1mviMn0j3D3uo53ASkIZOFRlLnqaCTnwzOG2_Wg"",""Direct links Without Sizes!B2:B""))),XLOOKUP($C325,IMPORTRANGE(""1NK5L1mviMn0j3D3uo53ASkIZOFRlLnqaCTnwzOG2_Wg"",""Direct li"&amp;"nks Without Sizes!D2:D""),IMPORTRANGE(""1NK5L1mviMn0j3D3uo53ASkIZOFRlLnqaCTnwzOG2_Wg"",""Direct links Without Sizes!E2:E""))),"""")"),"")</f>
        <v/>
      </c>
      <c r="I325" s="4"/>
      <c r="J325" s="24" t="str">
        <f t="shared" si="1"/>
        <v/>
      </c>
      <c r="K325" s="25"/>
      <c r="L325" s="24" t="str">
        <f t="shared" si="2"/>
        <v/>
      </c>
      <c r="M325" s="4"/>
      <c r="N325" s="23"/>
      <c r="O325" s="23"/>
      <c r="P325" s="23"/>
      <c r="Q325" s="4" t="str">
        <f t="shared" si="4"/>
        <v/>
      </c>
      <c r="R325" s="20"/>
      <c r="S325" s="20"/>
    </row>
    <row r="326">
      <c r="A326" s="4"/>
      <c r="B326" s="4"/>
      <c r="C326" s="37"/>
      <c r="D326" s="7" t="str">
        <f>IFERROR(__xludf.DUMMYFUNCTION("iferror(iferror(INDEX(IMPORTRANGE(""12vtnxaE_Q1s4tyr10kZQx7ZF_xG0lBFae4jQEUtgsMU"",""All!B2:B""),MATCH($C326,IMPORTRANGE(""12vtnxaE_Q1s4tyr10kZQx7ZF_xG0lBFae4jQEUtgsMU"",""All!A2:A""),0)),INDEX(IMPORTRANGE(""13KC70HngS4DDi8y9E5khtSpQEPG6owaQ9z4E-tR5mnY"","&amp;"""Non-Food!B2:B""),MATCH($C326,IMPORTRANGE(""13KC70HngS4DDi8y9E5khtSpQEPG6owaQ9z4E-tR5mnY"",""Non-Food!A2:A""),0))),"""")"),"")</f>
        <v/>
      </c>
      <c r="E326" s="15"/>
      <c r="F326" s="15"/>
      <c r="G326" s="36"/>
      <c r="H326" s="23" t="str">
        <f>IFERROR(__xludf.DUMMYFUNCTION("iferror(iferror(iferror(index(IMPORTRANGE(""1NK5L1mviMn0j3D3uo53ASkIZOFRlLnqaCTnwzOG2_Wg"",""Direct Link!B2:B""),MATCH($C326,IMPORTRANGE(""1NK5L1mviMn0j3D3uo53ASkIZOFRlLnqaCTnwzOG2_Wg"",""Direct Link!A2:A""),0)),XLOOKUP($C326,IMPORTRANGE(""1NK5L1mviMn0j3D"&amp;"3uo53ASkIZOFRlLnqaCTnwzOG2_Wg"",""Direct links Without Sizes!A2:A""),IMPORTRANGE(""1NK5L1mviMn0j3D3uo53ASkIZOFRlLnqaCTnwzOG2_Wg"",""Direct links Without Sizes!B2:B""))),XLOOKUP($C326,IMPORTRANGE(""1NK5L1mviMn0j3D3uo53ASkIZOFRlLnqaCTnwzOG2_Wg"",""Direct li"&amp;"nks Without Sizes!D2:D""),IMPORTRANGE(""1NK5L1mviMn0j3D3uo53ASkIZOFRlLnqaCTnwzOG2_Wg"",""Direct links Without Sizes!E2:E""))),"""")"),"")</f>
        <v/>
      </c>
      <c r="I326" s="4"/>
      <c r="J326" s="24" t="str">
        <f t="shared" si="1"/>
        <v/>
      </c>
      <c r="K326" s="25"/>
      <c r="L326" s="24" t="str">
        <f t="shared" si="2"/>
        <v/>
      </c>
      <c r="M326" s="4"/>
      <c r="N326" s="23"/>
      <c r="O326" s="23"/>
      <c r="P326" s="23"/>
      <c r="Q326" s="4" t="str">
        <f t="shared" si="4"/>
        <v/>
      </c>
      <c r="R326" s="20"/>
      <c r="S326" s="20"/>
    </row>
    <row r="327">
      <c r="A327" s="4"/>
      <c r="B327" s="4"/>
      <c r="C327" s="37"/>
      <c r="D327" s="7" t="str">
        <f>IFERROR(__xludf.DUMMYFUNCTION("iferror(iferror(INDEX(IMPORTRANGE(""12vtnxaE_Q1s4tyr10kZQx7ZF_xG0lBFae4jQEUtgsMU"",""All!B2:B""),MATCH($C327,IMPORTRANGE(""12vtnxaE_Q1s4tyr10kZQx7ZF_xG0lBFae4jQEUtgsMU"",""All!A2:A""),0)),INDEX(IMPORTRANGE(""13KC70HngS4DDi8y9E5khtSpQEPG6owaQ9z4E-tR5mnY"","&amp;"""Non-Food!B2:B""),MATCH($C327,IMPORTRANGE(""13KC70HngS4DDi8y9E5khtSpQEPG6owaQ9z4E-tR5mnY"",""Non-Food!A2:A""),0))),"""")"),"")</f>
        <v/>
      </c>
      <c r="E327" s="15"/>
      <c r="F327" s="15"/>
      <c r="G327" s="36"/>
      <c r="H327" s="23" t="str">
        <f>IFERROR(__xludf.DUMMYFUNCTION("iferror(iferror(iferror(index(IMPORTRANGE(""1NK5L1mviMn0j3D3uo53ASkIZOFRlLnqaCTnwzOG2_Wg"",""Direct Link!B2:B""),MATCH($C327,IMPORTRANGE(""1NK5L1mviMn0j3D3uo53ASkIZOFRlLnqaCTnwzOG2_Wg"",""Direct Link!A2:A""),0)),XLOOKUP($C327,IMPORTRANGE(""1NK5L1mviMn0j3D"&amp;"3uo53ASkIZOFRlLnqaCTnwzOG2_Wg"",""Direct links Without Sizes!A2:A""),IMPORTRANGE(""1NK5L1mviMn0j3D3uo53ASkIZOFRlLnqaCTnwzOG2_Wg"",""Direct links Without Sizes!B2:B""))),XLOOKUP($C327,IMPORTRANGE(""1NK5L1mviMn0j3D3uo53ASkIZOFRlLnqaCTnwzOG2_Wg"",""Direct li"&amp;"nks Without Sizes!D2:D""),IMPORTRANGE(""1NK5L1mviMn0j3D3uo53ASkIZOFRlLnqaCTnwzOG2_Wg"",""Direct links Without Sizes!E2:E""))),"""")"),"")</f>
        <v/>
      </c>
      <c r="I327" s="4"/>
      <c r="J327" s="24" t="str">
        <f t="shared" si="1"/>
        <v/>
      </c>
      <c r="K327" s="25"/>
      <c r="L327" s="24" t="str">
        <f t="shared" si="2"/>
        <v/>
      </c>
      <c r="M327" s="4"/>
      <c r="N327" s="23"/>
      <c r="O327" s="23"/>
      <c r="P327" s="23"/>
      <c r="Q327" s="4" t="str">
        <f t="shared" si="4"/>
        <v/>
      </c>
      <c r="R327" s="20"/>
      <c r="S327" s="20"/>
    </row>
    <row r="328">
      <c r="A328" s="4"/>
      <c r="B328" s="4"/>
      <c r="C328" s="37"/>
      <c r="D328" s="7" t="str">
        <f>IFERROR(__xludf.DUMMYFUNCTION("iferror(iferror(INDEX(IMPORTRANGE(""12vtnxaE_Q1s4tyr10kZQx7ZF_xG0lBFae4jQEUtgsMU"",""All!B2:B""),MATCH($C328,IMPORTRANGE(""12vtnxaE_Q1s4tyr10kZQx7ZF_xG0lBFae4jQEUtgsMU"",""All!A2:A""),0)),INDEX(IMPORTRANGE(""13KC70HngS4DDi8y9E5khtSpQEPG6owaQ9z4E-tR5mnY"","&amp;"""Non-Food!B2:B""),MATCH($C328,IMPORTRANGE(""13KC70HngS4DDi8y9E5khtSpQEPG6owaQ9z4E-tR5mnY"",""Non-Food!A2:A""),0))),"""")"),"")</f>
        <v/>
      </c>
      <c r="E328" s="15"/>
      <c r="F328" s="15"/>
      <c r="G328" s="36"/>
      <c r="H328" s="23" t="str">
        <f>IFERROR(__xludf.DUMMYFUNCTION("iferror(iferror(iferror(index(IMPORTRANGE(""1NK5L1mviMn0j3D3uo53ASkIZOFRlLnqaCTnwzOG2_Wg"",""Direct Link!B2:B""),MATCH($C328,IMPORTRANGE(""1NK5L1mviMn0j3D3uo53ASkIZOFRlLnqaCTnwzOG2_Wg"",""Direct Link!A2:A""),0)),XLOOKUP($C328,IMPORTRANGE(""1NK5L1mviMn0j3D"&amp;"3uo53ASkIZOFRlLnqaCTnwzOG2_Wg"",""Direct links Without Sizes!A2:A""),IMPORTRANGE(""1NK5L1mviMn0j3D3uo53ASkIZOFRlLnqaCTnwzOG2_Wg"",""Direct links Without Sizes!B2:B""))),XLOOKUP($C328,IMPORTRANGE(""1NK5L1mviMn0j3D3uo53ASkIZOFRlLnqaCTnwzOG2_Wg"",""Direct li"&amp;"nks Without Sizes!D2:D""),IMPORTRANGE(""1NK5L1mviMn0j3D3uo53ASkIZOFRlLnqaCTnwzOG2_Wg"",""Direct links Without Sizes!E2:E""))),"""")"),"")</f>
        <v/>
      </c>
      <c r="I328" s="4"/>
      <c r="J328" s="24" t="str">
        <f t="shared" si="1"/>
        <v/>
      </c>
      <c r="K328" s="25"/>
      <c r="L328" s="24" t="str">
        <f t="shared" si="2"/>
        <v/>
      </c>
      <c r="M328" s="4"/>
      <c r="N328" s="23"/>
      <c r="O328" s="23"/>
      <c r="P328" s="23"/>
      <c r="Q328" s="4" t="str">
        <f t="shared" si="4"/>
        <v/>
      </c>
      <c r="R328" s="20"/>
      <c r="S328" s="20"/>
    </row>
    <row r="329">
      <c r="A329" s="4"/>
      <c r="B329" s="4"/>
      <c r="C329" s="37"/>
      <c r="D329" s="7" t="str">
        <f>IFERROR(__xludf.DUMMYFUNCTION("iferror(iferror(INDEX(IMPORTRANGE(""12vtnxaE_Q1s4tyr10kZQx7ZF_xG0lBFae4jQEUtgsMU"",""All!B2:B""),MATCH($C329,IMPORTRANGE(""12vtnxaE_Q1s4tyr10kZQx7ZF_xG0lBFae4jQEUtgsMU"",""All!A2:A""),0)),INDEX(IMPORTRANGE(""13KC70HngS4DDi8y9E5khtSpQEPG6owaQ9z4E-tR5mnY"","&amp;"""Non-Food!B2:B""),MATCH($C329,IMPORTRANGE(""13KC70HngS4DDi8y9E5khtSpQEPG6owaQ9z4E-tR5mnY"",""Non-Food!A2:A""),0))),"""")"),"")</f>
        <v/>
      </c>
      <c r="E329" s="15"/>
      <c r="F329" s="15"/>
      <c r="G329" s="36"/>
      <c r="H329" s="23" t="str">
        <f>IFERROR(__xludf.DUMMYFUNCTION("iferror(iferror(iferror(index(IMPORTRANGE(""1NK5L1mviMn0j3D3uo53ASkIZOFRlLnqaCTnwzOG2_Wg"",""Direct Link!B2:B""),MATCH($C329,IMPORTRANGE(""1NK5L1mviMn0j3D3uo53ASkIZOFRlLnqaCTnwzOG2_Wg"",""Direct Link!A2:A""),0)),XLOOKUP($C329,IMPORTRANGE(""1NK5L1mviMn0j3D"&amp;"3uo53ASkIZOFRlLnqaCTnwzOG2_Wg"",""Direct links Without Sizes!A2:A""),IMPORTRANGE(""1NK5L1mviMn0j3D3uo53ASkIZOFRlLnqaCTnwzOG2_Wg"",""Direct links Without Sizes!B2:B""))),XLOOKUP($C329,IMPORTRANGE(""1NK5L1mviMn0j3D3uo53ASkIZOFRlLnqaCTnwzOG2_Wg"",""Direct li"&amp;"nks Without Sizes!D2:D""),IMPORTRANGE(""1NK5L1mviMn0j3D3uo53ASkIZOFRlLnqaCTnwzOG2_Wg"",""Direct links Without Sizes!E2:E""))),"""")"),"")</f>
        <v/>
      </c>
      <c r="I329" s="4"/>
      <c r="J329" s="24" t="str">
        <f t="shared" si="1"/>
        <v/>
      </c>
      <c r="K329" s="25"/>
      <c r="L329" s="24" t="str">
        <f t="shared" si="2"/>
        <v/>
      </c>
      <c r="M329" s="4"/>
      <c r="N329" s="23"/>
      <c r="O329" s="23"/>
      <c r="P329" s="23"/>
      <c r="Q329" s="4" t="str">
        <f t="shared" si="4"/>
        <v/>
      </c>
      <c r="R329" s="20"/>
      <c r="S329" s="20"/>
    </row>
    <row r="330">
      <c r="A330" s="4"/>
      <c r="B330" s="4"/>
      <c r="C330" s="37"/>
      <c r="D330" s="7" t="str">
        <f>IFERROR(__xludf.DUMMYFUNCTION("iferror(iferror(INDEX(IMPORTRANGE(""12vtnxaE_Q1s4tyr10kZQx7ZF_xG0lBFae4jQEUtgsMU"",""All!B2:B""),MATCH($C330,IMPORTRANGE(""12vtnxaE_Q1s4tyr10kZQx7ZF_xG0lBFae4jQEUtgsMU"",""All!A2:A""),0)),INDEX(IMPORTRANGE(""13KC70HngS4DDi8y9E5khtSpQEPG6owaQ9z4E-tR5mnY"","&amp;"""Non-Food!B2:B""),MATCH($C330,IMPORTRANGE(""13KC70HngS4DDi8y9E5khtSpQEPG6owaQ9z4E-tR5mnY"",""Non-Food!A2:A""),0))),"""")"),"")</f>
        <v/>
      </c>
      <c r="E330" s="15"/>
      <c r="F330" s="15"/>
      <c r="G330" s="36"/>
      <c r="H330" s="23" t="str">
        <f>IFERROR(__xludf.DUMMYFUNCTION("iferror(iferror(iferror(index(IMPORTRANGE(""1NK5L1mviMn0j3D3uo53ASkIZOFRlLnqaCTnwzOG2_Wg"",""Direct Link!B2:B""),MATCH($C330,IMPORTRANGE(""1NK5L1mviMn0j3D3uo53ASkIZOFRlLnqaCTnwzOG2_Wg"",""Direct Link!A2:A""),0)),XLOOKUP($C330,IMPORTRANGE(""1NK5L1mviMn0j3D"&amp;"3uo53ASkIZOFRlLnqaCTnwzOG2_Wg"",""Direct links Without Sizes!A2:A""),IMPORTRANGE(""1NK5L1mviMn0j3D3uo53ASkIZOFRlLnqaCTnwzOG2_Wg"",""Direct links Without Sizes!B2:B""))),XLOOKUP($C330,IMPORTRANGE(""1NK5L1mviMn0j3D3uo53ASkIZOFRlLnqaCTnwzOG2_Wg"",""Direct li"&amp;"nks Without Sizes!D2:D""),IMPORTRANGE(""1NK5L1mviMn0j3D3uo53ASkIZOFRlLnqaCTnwzOG2_Wg"",""Direct links Without Sizes!E2:E""))),"""")"),"")</f>
        <v/>
      </c>
      <c r="I330" s="4"/>
      <c r="J330" s="24" t="str">
        <f t="shared" si="1"/>
        <v/>
      </c>
      <c r="K330" s="25"/>
      <c r="L330" s="24" t="str">
        <f t="shared" si="2"/>
        <v/>
      </c>
      <c r="M330" s="4"/>
      <c r="N330" s="23"/>
      <c r="O330" s="23"/>
      <c r="P330" s="23"/>
      <c r="Q330" s="4" t="str">
        <f t="shared" si="4"/>
        <v/>
      </c>
      <c r="R330" s="20"/>
      <c r="S330" s="20"/>
    </row>
    <row r="331">
      <c r="A331" s="4"/>
      <c r="B331" s="4"/>
      <c r="C331" s="37"/>
      <c r="D331" s="7" t="str">
        <f>IFERROR(__xludf.DUMMYFUNCTION("iferror(iferror(INDEX(IMPORTRANGE(""12vtnxaE_Q1s4tyr10kZQx7ZF_xG0lBFae4jQEUtgsMU"",""All!B2:B""),MATCH($C331,IMPORTRANGE(""12vtnxaE_Q1s4tyr10kZQx7ZF_xG0lBFae4jQEUtgsMU"",""All!A2:A""),0)),INDEX(IMPORTRANGE(""13KC70HngS4DDi8y9E5khtSpQEPG6owaQ9z4E-tR5mnY"","&amp;"""Non-Food!B2:B""),MATCH($C331,IMPORTRANGE(""13KC70HngS4DDi8y9E5khtSpQEPG6owaQ9z4E-tR5mnY"",""Non-Food!A2:A""),0))),"""")"),"")</f>
        <v/>
      </c>
      <c r="E331" s="15"/>
      <c r="F331" s="15"/>
      <c r="G331" s="36"/>
      <c r="H331" s="23" t="str">
        <f>IFERROR(__xludf.DUMMYFUNCTION("iferror(iferror(iferror(index(IMPORTRANGE(""1NK5L1mviMn0j3D3uo53ASkIZOFRlLnqaCTnwzOG2_Wg"",""Direct Link!B2:B""),MATCH($C331,IMPORTRANGE(""1NK5L1mviMn0j3D3uo53ASkIZOFRlLnqaCTnwzOG2_Wg"",""Direct Link!A2:A""),0)),XLOOKUP($C331,IMPORTRANGE(""1NK5L1mviMn0j3D"&amp;"3uo53ASkIZOFRlLnqaCTnwzOG2_Wg"",""Direct links Without Sizes!A2:A""),IMPORTRANGE(""1NK5L1mviMn0j3D3uo53ASkIZOFRlLnqaCTnwzOG2_Wg"",""Direct links Without Sizes!B2:B""))),XLOOKUP($C331,IMPORTRANGE(""1NK5L1mviMn0j3D3uo53ASkIZOFRlLnqaCTnwzOG2_Wg"",""Direct li"&amp;"nks Without Sizes!D2:D""),IMPORTRANGE(""1NK5L1mviMn0j3D3uo53ASkIZOFRlLnqaCTnwzOG2_Wg"",""Direct links Without Sizes!E2:E""))),"""")"),"")</f>
        <v/>
      </c>
      <c r="I331" s="4"/>
      <c r="J331" s="24" t="str">
        <f t="shared" si="1"/>
        <v/>
      </c>
      <c r="K331" s="25"/>
      <c r="L331" s="24" t="str">
        <f t="shared" si="2"/>
        <v/>
      </c>
      <c r="M331" s="4"/>
      <c r="N331" s="23"/>
      <c r="O331" s="23"/>
      <c r="P331" s="23"/>
      <c r="Q331" s="4" t="str">
        <f t="shared" si="4"/>
        <v/>
      </c>
      <c r="R331" s="20"/>
      <c r="S331" s="20"/>
    </row>
    <row r="332">
      <c r="A332" s="4"/>
      <c r="B332" s="4"/>
      <c r="C332" s="37"/>
      <c r="D332" s="7" t="str">
        <f>IFERROR(__xludf.DUMMYFUNCTION("iferror(iferror(INDEX(IMPORTRANGE(""12vtnxaE_Q1s4tyr10kZQx7ZF_xG0lBFae4jQEUtgsMU"",""All!B2:B""),MATCH($C332,IMPORTRANGE(""12vtnxaE_Q1s4tyr10kZQx7ZF_xG0lBFae4jQEUtgsMU"",""All!A2:A""),0)),INDEX(IMPORTRANGE(""13KC70HngS4DDi8y9E5khtSpQEPG6owaQ9z4E-tR5mnY"","&amp;"""Non-Food!B2:B""),MATCH($C332,IMPORTRANGE(""13KC70HngS4DDi8y9E5khtSpQEPG6owaQ9z4E-tR5mnY"",""Non-Food!A2:A""),0))),"""")"),"")</f>
        <v/>
      </c>
      <c r="E332" s="15"/>
      <c r="F332" s="15"/>
      <c r="G332" s="36"/>
      <c r="H332" s="23" t="str">
        <f>IFERROR(__xludf.DUMMYFUNCTION("iferror(iferror(iferror(index(IMPORTRANGE(""1NK5L1mviMn0j3D3uo53ASkIZOFRlLnqaCTnwzOG2_Wg"",""Direct Link!B2:B""),MATCH($C332,IMPORTRANGE(""1NK5L1mviMn0j3D3uo53ASkIZOFRlLnqaCTnwzOG2_Wg"",""Direct Link!A2:A""),0)),XLOOKUP($C332,IMPORTRANGE(""1NK5L1mviMn0j3D"&amp;"3uo53ASkIZOFRlLnqaCTnwzOG2_Wg"",""Direct links Without Sizes!A2:A""),IMPORTRANGE(""1NK5L1mviMn0j3D3uo53ASkIZOFRlLnqaCTnwzOG2_Wg"",""Direct links Without Sizes!B2:B""))),XLOOKUP($C332,IMPORTRANGE(""1NK5L1mviMn0j3D3uo53ASkIZOFRlLnqaCTnwzOG2_Wg"",""Direct li"&amp;"nks Without Sizes!D2:D""),IMPORTRANGE(""1NK5L1mviMn0j3D3uo53ASkIZOFRlLnqaCTnwzOG2_Wg"",""Direct links Without Sizes!E2:E""))),"""")"),"")</f>
        <v/>
      </c>
      <c r="I332" s="4"/>
      <c r="J332" s="24" t="str">
        <f t="shared" si="1"/>
        <v/>
      </c>
      <c r="K332" s="25"/>
      <c r="L332" s="24" t="str">
        <f t="shared" si="2"/>
        <v/>
      </c>
      <c r="M332" s="4"/>
      <c r="N332" s="23"/>
      <c r="O332" s="23"/>
      <c r="P332" s="23"/>
      <c r="Q332" s="4" t="str">
        <f t="shared" si="4"/>
        <v/>
      </c>
      <c r="R332" s="20"/>
      <c r="S332" s="20"/>
    </row>
    <row r="333">
      <c r="A333" s="4"/>
      <c r="B333" s="4"/>
      <c r="C333" s="37"/>
      <c r="D333" s="7" t="str">
        <f>IFERROR(__xludf.DUMMYFUNCTION("iferror(iferror(INDEX(IMPORTRANGE(""12vtnxaE_Q1s4tyr10kZQx7ZF_xG0lBFae4jQEUtgsMU"",""All!B2:B""),MATCH($C333,IMPORTRANGE(""12vtnxaE_Q1s4tyr10kZQx7ZF_xG0lBFae4jQEUtgsMU"",""All!A2:A""),0)),INDEX(IMPORTRANGE(""13KC70HngS4DDi8y9E5khtSpQEPG6owaQ9z4E-tR5mnY"","&amp;"""Non-Food!B2:B""),MATCH($C333,IMPORTRANGE(""13KC70HngS4DDi8y9E5khtSpQEPG6owaQ9z4E-tR5mnY"",""Non-Food!A2:A""),0))),"""")"),"")</f>
        <v/>
      </c>
      <c r="E333" s="15"/>
      <c r="F333" s="15"/>
      <c r="G333" s="36"/>
      <c r="H333" s="23" t="str">
        <f>IFERROR(__xludf.DUMMYFUNCTION("iferror(iferror(iferror(index(IMPORTRANGE(""1NK5L1mviMn0j3D3uo53ASkIZOFRlLnqaCTnwzOG2_Wg"",""Direct Link!B2:B""),MATCH($C333,IMPORTRANGE(""1NK5L1mviMn0j3D3uo53ASkIZOFRlLnqaCTnwzOG2_Wg"",""Direct Link!A2:A""),0)),XLOOKUP($C333,IMPORTRANGE(""1NK5L1mviMn0j3D"&amp;"3uo53ASkIZOFRlLnqaCTnwzOG2_Wg"",""Direct links Without Sizes!A2:A""),IMPORTRANGE(""1NK5L1mviMn0j3D3uo53ASkIZOFRlLnqaCTnwzOG2_Wg"",""Direct links Without Sizes!B2:B""))),XLOOKUP($C333,IMPORTRANGE(""1NK5L1mviMn0j3D3uo53ASkIZOFRlLnqaCTnwzOG2_Wg"",""Direct li"&amp;"nks Without Sizes!D2:D""),IMPORTRANGE(""1NK5L1mviMn0j3D3uo53ASkIZOFRlLnqaCTnwzOG2_Wg"",""Direct links Without Sizes!E2:E""))),"""")"),"")</f>
        <v/>
      </c>
      <c r="I333" s="4"/>
      <c r="J333" s="24" t="str">
        <f t="shared" si="1"/>
        <v/>
      </c>
      <c r="K333" s="25"/>
      <c r="L333" s="24" t="str">
        <f t="shared" si="2"/>
        <v/>
      </c>
      <c r="M333" s="4"/>
      <c r="N333" s="23"/>
      <c r="O333" s="23"/>
      <c r="P333" s="23"/>
      <c r="Q333" s="4" t="str">
        <f t="shared" si="4"/>
        <v/>
      </c>
      <c r="R333" s="20"/>
      <c r="S333" s="20"/>
    </row>
    <row r="334">
      <c r="A334" s="4"/>
      <c r="B334" s="4"/>
      <c r="C334" s="37"/>
      <c r="D334" s="7" t="str">
        <f>IFERROR(__xludf.DUMMYFUNCTION("iferror(iferror(INDEX(IMPORTRANGE(""12vtnxaE_Q1s4tyr10kZQx7ZF_xG0lBFae4jQEUtgsMU"",""All!B2:B""),MATCH($C334,IMPORTRANGE(""12vtnxaE_Q1s4tyr10kZQx7ZF_xG0lBFae4jQEUtgsMU"",""All!A2:A""),0)),INDEX(IMPORTRANGE(""13KC70HngS4DDi8y9E5khtSpQEPG6owaQ9z4E-tR5mnY"","&amp;"""Non-Food!B2:B""),MATCH($C334,IMPORTRANGE(""13KC70HngS4DDi8y9E5khtSpQEPG6owaQ9z4E-tR5mnY"",""Non-Food!A2:A""),0))),"""")"),"")</f>
        <v/>
      </c>
      <c r="E334" s="15"/>
      <c r="F334" s="15"/>
      <c r="G334" s="36"/>
      <c r="H334" s="23" t="str">
        <f>IFERROR(__xludf.DUMMYFUNCTION("iferror(iferror(iferror(index(IMPORTRANGE(""1NK5L1mviMn0j3D3uo53ASkIZOFRlLnqaCTnwzOG2_Wg"",""Direct Link!B2:B""),MATCH($C334,IMPORTRANGE(""1NK5L1mviMn0j3D3uo53ASkIZOFRlLnqaCTnwzOG2_Wg"",""Direct Link!A2:A""),0)),XLOOKUP($C334,IMPORTRANGE(""1NK5L1mviMn0j3D"&amp;"3uo53ASkIZOFRlLnqaCTnwzOG2_Wg"",""Direct links Without Sizes!A2:A""),IMPORTRANGE(""1NK5L1mviMn0j3D3uo53ASkIZOFRlLnqaCTnwzOG2_Wg"",""Direct links Without Sizes!B2:B""))),XLOOKUP($C334,IMPORTRANGE(""1NK5L1mviMn0j3D3uo53ASkIZOFRlLnqaCTnwzOG2_Wg"",""Direct li"&amp;"nks Without Sizes!D2:D""),IMPORTRANGE(""1NK5L1mviMn0j3D3uo53ASkIZOFRlLnqaCTnwzOG2_Wg"",""Direct links Without Sizes!E2:E""))),"""")"),"")</f>
        <v/>
      </c>
      <c r="I334" s="4"/>
      <c r="J334" s="24" t="str">
        <f t="shared" si="1"/>
        <v/>
      </c>
      <c r="K334" s="25"/>
      <c r="L334" s="24" t="str">
        <f t="shared" si="2"/>
        <v/>
      </c>
      <c r="M334" s="4"/>
      <c r="N334" s="23"/>
      <c r="O334" s="23"/>
      <c r="P334" s="23"/>
      <c r="Q334" s="4" t="str">
        <f t="shared" si="4"/>
        <v/>
      </c>
      <c r="R334" s="20"/>
      <c r="S334" s="20"/>
    </row>
    <row r="335">
      <c r="A335" s="4"/>
      <c r="B335" s="4"/>
      <c r="C335" s="37"/>
      <c r="D335" s="7" t="str">
        <f>IFERROR(__xludf.DUMMYFUNCTION("iferror(iferror(INDEX(IMPORTRANGE(""12vtnxaE_Q1s4tyr10kZQx7ZF_xG0lBFae4jQEUtgsMU"",""All!B2:B""),MATCH($C335,IMPORTRANGE(""12vtnxaE_Q1s4tyr10kZQx7ZF_xG0lBFae4jQEUtgsMU"",""All!A2:A""),0)),INDEX(IMPORTRANGE(""13KC70HngS4DDi8y9E5khtSpQEPG6owaQ9z4E-tR5mnY"","&amp;"""Non-Food!B2:B""),MATCH($C335,IMPORTRANGE(""13KC70HngS4DDi8y9E5khtSpQEPG6owaQ9z4E-tR5mnY"",""Non-Food!A2:A""),0))),"""")"),"")</f>
        <v/>
      </c>
      <c r="E335" s="15"/>
      <c r="F335" s="15"/>
      <c r="G335" s="36"/>
      <c r="H335" s="23" t="str">
        <f>IFERROR(__xludf.DUMMYFUNCTION("iferror(iferror(iferror(index(IMPORTRANGE(""1NK5L1mviMn0j3D3uo53ASkIZOFRlLnqaCTnwzOG2_Wg"",""Direct Link!B2:B""),MATCH($C335,IMPORTRANGE(""1NK5L1mviMn0j3D3uo53ASkIZOFRlLnqaCTnwzOG2_Wg"",""Direct Link!A2:A""),0)),XLOOKUP($C335,IMPORTRANGE(""1NK5L1mviMn0j3D"&amp;"3uo53ASkIZOFRlLnqaCTnwzOG2_Wg"",""Direct links Without Sizes!A2:A""),IMPORTRANGE(""1NK5L1mviMn0j3D3uo53ASkIZOFRlLnqaCTnwzOG2_Wg"",""Direct links Without Sizes!B2:B""))),XLOOKUP($C335,IMPORTRANGE(""1NK5L1mviMn0j3D3uo53ASkIZOFRlLnqaCTnwzOG2_Wg"",""Direct li"&amp;"nks Without Sizes!D2:D""),IMPORTRANGE(""1NK5L1mviMn0j3D3uo53ASkIZOFRlLnqaCTnwzOG2_Wg"",""Direct links Without Sizes!E2:E""))),"""")"),"")</f>
        <v/>
      </c>
      <c r="I335" s="4"/>
      <c r="J335" s="24" t="str">
        <f t="shared" si="1"/>
        <v/>
      </c>
      <c r="K335" s="25"/>
      <c r="L335" s="24" t="str">
        <f t="shared" si="2"/>
        <v/>
      </c>
      <c r="M335" s="4"/>
      <c r="N335" s="23"/>
      <c r="O335" s="23"/>
      <c r="P335" s="23"/>
      <c r="Q335" s="4" t="str">
        <f t="shared" si="4"/>
        <v/>
      </c>
      <c r="R335" s="20"/>
      <c r="S335" s="20"/>
    </row>
    <row r="336">
      <c r="A336" s="4"/>
      <c r="B336" s="4"/>
      <c r="C336" s="37"/>
      <c r="D336" s="7" t="str">
        <f>IFERROR(__xludf.DUMMYFUNCTION("iferror(iferror(INDEX(IMPORTRANGE(""12vtnxaE_Q1s4tyr10kZQx7ZF_xG0lBFae4jQEUtgsMU"",""All!B2:B""),MATCH($C336,IMPORTRANGE(""12vtnxaE_Q1s4tyr10kZQx7ZF_xG0lBFae4jQEUtgsMU"",""All!A2:A""),0)),INDEX(IMPORTRANGE(""13KC70HngS4DDi8y9E5khtSpQEPG6owaQ9z4E-tR5mnY"","&amp;"""Non-Food!B2:B""),MATCH($C336,IMPORTRANGE(""13KC70HngS4DDi8y9E5khtSpQEPG6owaQ9z4E-tR5mnY"",""Non-Food!A2:A""),0))),"""")"),"")</f>
        <v/>
      </c>
      <c r="E336" s="15"/>
      <c r="F336" s="15"/>
      <c r="G336" s="36"/>
      <c r="H336" s="23" t="str">
        <f>IFERROR(__xludf.DUMMYFUNCTION("iferror(iferror(iferror(index(IMPORTRANGE(""1NK5L1mviMn0j3D3uo53ASkIZOFRlLnqaCTnwzOG2_Wg"",""Direct Link!B2:B""),MATCH($C336,IMPORTRANGE(""1NK5L1mviMn0j3D3uo53ASkIZOFRlLnqaCTnwzOG2_Wg"",""Direct Link!A2:A""),0)),XLOOKUP($C336,IMPORTRANGE(""1NK5L1mviMn0j3D"&amp;"3uo53ASkIZOFRlLnqaCTnwzOG2_Wg"",""Direct links Without Sizes!A2:A""),IMPORTRANGE(""1NK5L1mviMn0j3D3uo53ASkIZOFRlLnqaCTnwzOG2_Wg"",""Direct links Without Sizes!B2:B""))),XLOOKUP($C336,IMPORTRANGE(""1NK5L1mviMn0j3D3uo53ASkIZOFRlLnqaCTnwzOG2_Wg"",""Direct li"&amp;"nks Without Sizes!D2:D""),IMPORTRANGE(""1NK5L1mviMn0j3D3uo53ASkIZOFRlLnqaCTnwzOG2_Wg"",""Direct links Without Sizes!E2:E""))),"""")"),"")</f>
        <v/>
      </c>
      <c r="I336" s="4"/>
      <c r="J336" s="24" t="str">
        <f t="shared" si="1"/>
        <v/>
      </c>
      <c r="K336" s="25"/>
      <c r="L336" s="24" t="str">
        <f t="shared" si="2"/>
        <v/>
      </c>
      <c r="M336" s="4"/>
      <c r="N336" s="23"/>
      <c r="O336" s="23"/>
      <c r="P336" s="23"/>
      <c r="Q336" s="4" t="str">
        <f t="shared" si="4"/>
        <v/>
      </c>
      <c r="R336" s="20"/>
      <c r="S336" s="20"/>
    </row>
    <row r="337">
      <c r="A337" s="4"/>
      <c r="B337" s="4"/>
      <c r="C337" s="37"/>
      <c r="D337" s="7" t="str">
        <f>IFERROR(__xludf.DUMMYFUNCTION("iferror(iferror(INDEX(IMPORTRANGE(""12vtnxaE_Q1s4tyr10kZQx7ZF_xG0lBFae4jQEUtgsMU"",""All!B2:B""),MATCH($C337,IMPORTRANGE(""12vtnxaE_Q1s4tyr10kZQx7ZF_xG0lBFae4jQEUtgsMU"",""All!A2:A""),0)),INDEX(IMPORTRANGE(""13KC70HngS4DDi8y9E5khtSpQEPG6owaQ9z4E-tR5mnY"","&amp;"""Non-Food!B2:B""),MATCH($C337,IMPORTRANGE(""13KC70HngS4DDi8y9E5khtSpQEPG6owaQ9z4E-tR5mnY"",""Non-Food!A2:A""),0))),"""")"),"")</f>
        <v/>
      </c>
      <c r="E337" s="15"/>
      <c r="F337" s="15"/>
      <c r="G337" s="36"/>
      <c r="H337" s="23" t="str">
        <f>IFERROR(__xludf.DUMMYFUNCTION("iferror(iferror(iferror(index(IMPORTRANGE(""1NK5L1mviMn0j3D3uo53ASkIZOFRlLnqaCTnwzOG2_Wg"",""Direct Link!B2:B""),MATCH($C337,IMPORTRANGE(""1NK5L1mviMn0j3D3uo53ASkIZOFRlLnqaCTnwzOG2_Wg"",""Direct Link!A2:A""),0)),XLOOKUP($C337,IMPORTRANGE(""1NK5L1mviMn0j3D"&amp;"3uo53ASkIZOFRlLnqaCTnwzOG2_Wg"",""Direct links Without Sizes!A2:A""),IMPORTRANGE(""1NK5L1mviMn0j3D3uo53ASkIZOFRlLnqaCTnwzOG2_Wg"",""Direct links Without Sizes!B2:B""))),XLOOKUP($C337,IMPORTRANGE(""1NK5L1mviMn0j3D3uo53ASkIZOFRlLnqaCTnwzOG2_Wg"",""Direct li"&amp;"nks Without Sizes!D2:D""),IMPORTRANGE(""1NK5L1mviMn0j3D3uo53ASkIZOFRlLnqaCTnwzOG2_Wg"",""Direct links Without Sizes!E2:E""))),"""")"),"")</f>
        <v/>
      </c>
      <c r="I337" s="4"/>
      <c r="J337" s="24" t="str">
        <f t="shared" si="1"/>
        <v/>
      </c>
      <c r="K337" s="25"/>
      <c r="L337" s="24" t="str">
        <f t="shared" si="2"/>
        <v/>
      </c>
      <c r="M337" s="4"/>
      <c r="N337" s="23"/>
      <c r="O337" s="23"/>
      <c r="P337" s="23"/>
      <c r="Q337" s="4" t="str">
        <f t="shared" si="4"/>
        <v/>
      </c>
      <c r="R337" s="20"/>
      <c r="S337" s="20"/>
    </row>
    <row r="338">
      <c r="A338" s="4"/>
      <c r="B338" s="4"/>
      <c r="C338" s="37"/>
      <c r="D338" s="7" t="str">
        <f>IFERROR(__xludf.DUMMYFUNCTION("iferror(iferror(INDEX(IMPORTRANGE(""12vtnxaE_Q1s4tyr10kZQx7ZF_xG0lBFae4jQEUtgsMU"",""All!B2:B""),MATCH($C338,IMPORTRANGE(""12vtnxaE_Q1s4tyr10kZQx7ZF_xG0lBFae4jQEUtgsMU"",""All!A2:A""),0)),INDEX(IMPORTRANGE(""13KC70HngS4DDi8y9E5khtSpQEPG6owaQ9z4E-tR5mnY"","&amp;"""Non-Food!B2:B""),MATCH($C338,IMPORTRANGE(""13KC70HngS4DDi8y9E5khtSpQEPG6owaQ9z4E-tR5mnY"",""Non-Food!A2:A""),0))),"""")"),"")</f>
        <v/>
      </c>
      <c r="E338" s="15"/>
      <c r="F338" s="15"/>
      <c r="G338" s="36"/>
      <c r="H338" s="23" t="str">
        <f>IFERROR(__xludf.DUMMYFUNCTION("iferror(iferror(iferror(index(IMPORTRANGE(""1NK5L1mviMn0j3D3uo53ASkIZOFRlLnqaCTnwzOG2_Wg"",""Direct Link!B2:B""),MATCH($C338,IMPORTRANGE(""1NK5L1mviMn0j3D3uo53ASkIZOFRlLnqaCTnwzOG2_Wg"",""Direct Link!A2:A""),0)),XLOOKUP($C338,IMPORTRANGE(""1NK5L1mviMn0j3D"&amp;"3uo53ASkIZOFRlLnqaCTnwzOG2_Wg"",""Direct links Without Sizes!A2:A""),IMPORTRANGE(""1NK5L1mviMn0j3D3uo53ASkIZOFRlLnqaCTnwzOG2_Wg"",""Direct links Without Sizes!B2:B""))),XLOOKUP($C338,IMPORTRANGE(""1NK5L1mviMn0j3D3uo53ASkIZOFRlLnqaCTnwzOG2_Wg"",""Direct li"&amp;"nks Without Sizes!D2:D""),IMPORTRANGE(""1NK5L1mviMn0j3D3uo53ASkIZOFRlLnqaCTnwzOG2_Wg"",""Direct links Without Sizes!E2:E""))),"""")"),"")</f>
        <v/>
      </c>
      <c r="I338" s="4"/>
      <c r="J338" s="24" t="str">
        <f t="shared" si="1"/>
        <v/>
      </c>
      <c r="K338" s="25"/>
      <c r="L338" s="24" t="str">
        <f t="shared" si="2"/>
        <v/>
      </c>
      <c r="M338" s="4"/>
      <c r="N338" s="23"/>
      <c r="O338" s="23"/>
      <c r="P338" s="23"/>
      <c r="Q338" s="4" t="str">
        <f t="shared" si="4"/>
        <v/>
      </c>
      <c r="R338" s="20"/>
      <c r="S338" s="20"/>
    </row>
    <row r="339">
      <c r="A339" s="4"/>
      <c r="B339" s="4"/>
      <c r="C339" s="37"/>
      <c r="D339" s="7" t="str">
        <f>IFERROR(__xludf.DUMMYFUNCTION("iferror(iferror(INDEX(IMPORTRANGE(""12vtnxaE_Q1s4tyr10kZQx7ZF_xG0lBFae4jQEUtgsMU"",""All!B2:B""),MATCH($C339,IMPORTRANGE(""12vtnxaE_Q1s4tyr10kZQx7ZF_xG0lBFae4jQEUtgsMU"",""All!A2:A""),0)),INDEX(IMPORTRANGE(""13KC70HngS4DDi8y9E5khtSpQEPG6owaQ9z4E-tR5mnY"","&amp;"""Non-Food!B2:B""),MATCH($C339,IMPORTRANGE(""13KC70HngS4DDi8y9E5khtSpQEPG6owaQ9z4E-tR5mnY"",""Non-Food!A2:A""),0))),"""")"),"")</f>
        <v/>
      </c>
      <c r="E339" s="15"/>
      <c r="F339" s="15"/>
      <c r="G339" s="36"/>
      <c r="H339" s="23" t="str">
        <f>IFERROR(__xludf.DUMMYFUNCTION("iferror(iferror(iferror(index(IMPORTRANGE(""1NK5L1mviMn0j3D3uo53ASkIZOFRlLnqaCTnwzOG2_Wg"",""Direct Link!B2:B""),MATCH($C339,IMPORTRANGE(""1NK5L1mviMn0j3D3uo53ASkIZOFRlLnqaCTnwzOG2_Wg"",""Direct Link!A2:A""),0)),XLOOKUP($C339,IMPORTRANGE(""1NK5L1mviMn0j3D"&amp;"3uo53ASkIZOFRlLnqaCTnwzOG2_Wg"",""Direct links Without Sizes!A2:A""),IMPORTRANGE(""1NK5L1mviMn0j3D3uo53ASkIZOFRlLnqaCTnwzOG2_Wg"",""Direct links Without Sizes!B2:B""))),XLOOKUP($C339,IMPORTRANGE(""1NK5L1mviMn0j3D3uo53ASkIZOFRlLnqaCTnwzOG2_Wg"",""Direct li"&amp;"nks Without Sizes!D2:D""),IMPORTRANGE(""1NK5L1mviMn0j3D3uo53ASkIZOFRlLnqaCTnwzOG2_Wg"",""Direct links Without Sizes!E2:E""))),"""")"),"")</f>
        <v/>
      </c>
      <c r="I339" s="4"/>
      <c r="J339" s="24" t="str">
        <f t="shared" si="1"/>
        <v/>
      </c>
      <c r="K339" s="25"/>
      <c r="L339" s="24" t="str">
        <f t="shared" si="2"/>
        <v/>
      </c>
      <c r="M339" s="4"/>
      <c r="N339" s="23"/>
      <c r="O339" s="23"/>
      <c r="P339" s="23"/>
      <c r="Q339" s="4" t="str">
        <f t="shared" si="4"/>
        <v/>
      </c>
      <c r="R339" s="20"/>
      <c r="S339" s="20"/>
    </row>
    <row r="340">
      <c r="A340" s="4"/>
      <c r="B340" s="4"/>
      <c r="C340" s="37"/>
      <c r="D340" s="7" t="str">
        <f>IFERROR(__xludf.DUMMYFUNCTION("iferror(iferror(INDEX(IMPORTRANGE(""12vtnxaE_Q1s4tyr10kZQx7ZF_xG0lBFae4jQEUtgsMU"",""All!B2:B""),MATCH($C340,IMPORTRANGE(""12vtnxaE_Q1s4tyr10kZQx7ZF_xG0lBFae4jQEUtgsMU"",""All!A2:A""),0)),INDEX(IMPORTRANGE(""13KC70HngS4DDi8y9E5khtSpQEPG6owaQ9z4E-tR5mnY"","&amp;"""Non-Food!B2:B""),MATCH($C340,IMPORTRANGE(""13KC70HngS4DDi8y9E5khtSpQEPG6owaQ9z4E-tR5mnY"",""Non-Food!A2:A""),0))),"""")"),"")</f>
        <v/>
      </c>
      <c r="E340" s="15"/>
      <c r="F340" s="15"/>
      <c r="G340" s="36"/>
      <c r="H340" s="23" t="str">
        <f>IFERROR(__xludf.DUMMYFUNCTION("iferror(iferror(iferror(index(IMPORTRANGE(""1NK5L1mviMn0j3D3uo53ASkIZOFRlLnqaCTnwzOG2_Wg"",""Direct Link!B2:B""),MATCH($C340,IMPORTRANGE(""1NK5L1mviMn0j3D3uo53ASkIZOFRlLnqaCTnwzOG2_Wg"",""Direct Link!A2:A""),0)),XLOOKUP($C340,IMPORTRANGE(""1NK5L1mviMn0j3D"&amp;"3uo53ASkIZOFRlLnqaCTnwzOG2_Wg"",""Direct links Without Sizes!A2:A""),IMPORTRANGE(""1NK5L1mviMn0j3D3uo53ASkIZOFRlLnqaCTnwzOG2_Wg"",""Direct links Without Sizes!B2:B""))),XLOOKUP($C340,IMPORTRANGE(""1NK5L1mviMn0j3D3uo53ASkIZOFRlLnqaCTnwzOG2_Wg"",""Direct li"&amp;"nks Without Sizes!D2:D""),IMPORTRANGE(""1NK5L1mviMn0j3D3uo53ASkIZOFRlLnqaCTnwzOG2_Wg"",""Direct links Without Sizes!E2:E""))),"""")"),"")</f>
        <v/>
      </c>
      <c r="I340" s="4"/>
      <c r="J340" s="24" t="str">
        <f t="shared" si="1"/>
        <v/>
      </c>
      <c r="K340" s="25"/>
      <c r="L340" s="24" t="str">
        <f t="shared" si="2"/>
        <v/>
      </c>
      <c r="M340" s="4"/>
      <c r="N340" s="23"/>
      <c r="O340" s="23"/>
      <c r="P340" s="23"/>
      <c r="Q340" s="4" t="str">
        <f t="shared" si="4"/>
        <v/>
      </c>
      <c r="R340" s="20"/>
      <c r="S340" s="20"/>
    </row>
    <row r="341">
      <c r="A341" s="4"/>
      <c r="B341" s="4"/>
      <c r="C341" s="37"/>
      <c r="D341" s="7" t="str">
        <f>IFERROR(__xludf.DUMMYFUNCTION("iferror(iferror(INDEX(IMPORTRANGE(""12vtnxaE_Q1s4tyr10kZQx7ZF_xG0lBFae4jQEUtgsMU"",""All!B2:B""),MATCH($C341,IMPORTRANGE(""12vtnxaE_Q1s4tyr10kZQx7ZF_xG0lBFae4jQEUtgsMU"",""All!A2:A""),0)),INDEX(IMPORTRANGE(""13KC70HngS4DDi8y9E5khtSpQEPG6owaQ9z4E-tR5mnY"","&amp;"""Non-Food!B2:B""),MATCH($C341,IMPORTRANGE(""13KC70HngS4DDi8y9E5khtSpQEPG6owaQ9z4E-tR5mnY"",""Non-Food!A2:A""),0))),"""")"),"")</f>
        <v/>
      </c>
      <c r="E341" s="15"/>
      <c r="F341" s="15"/>
      <c r="G341" s="36"/>
      <c r="H341" s="23" t="str">
        <f>IFERROR(__xludf.DUMMYFUNCTION("iferror(iferror(iferror(index(IMPORTRANGE(""1NK5L1mviMn0j3D3uo53ASkIZOFRlLnqaCTnwzOG2_Wg"",""Direct Link!B2:B""),MATCH($C341,IMPORTRANGE(""1NK5L1mviMn0j3D3uo53ASkIZOFRlLnqaCTnwzOG2_Wg"",""Direct Link!A2:A""),0)),XLOOKUP($C341,IMPORTRANGE(""1NK5L1mviMn0j3D"&amp;"3uo53ASkIZOFRlLnqaCTnwzOG2_Wg"",""Direct links Without Sizes!A2:A""),IMPORTRANGE(""1NK5L1mviMn0j3D3uo53ASkIZOFRlLnqaCTnwzOG2_Wg"",""Direct links Without Sizes!B2:B""))),XLOOKUP($C341,IMPORTRANGE(""1NK5L1mviMn0j3D3uo53ASkIZOFRlLnqaCTnwzOG2_Wg"",""Direct li"&amp;"nks Without Sizes!D2:D""),IMPORTRANGE(""1NK5L1mviMn0j3D3uo53ASkIZOFRlLnqaCTnwzOG2_Wg"",""Direct links Without Sizes!E2:E""))),"""")"),"")</f>
        <v/>
      </c>
      <c r="I341" s="4"/>
      <c r="J341" s="24" t="str">
        <f t="shared" si="1"/>
        <v/>
      </c>
      <c r="K341" s="25"/>
      <c r="L341" s="24" t="str">
        <f t="shared" si="2"/>
        <v/>
      </c>
      <c r="M341" s="4"/>
      <c r="N341" s="23"/>
      <c r="O341" s="23"/>
      <c r="P341" s="23"/>
      <c r="Q341" s="4" t="str">
        <f t="shared" si="4"/>
        <v/>
      </c>
      <c r="R341" s="20"/>
      <c r="S341" s="20"/>
    </row>
    <row r="342">
      <c r="A342" s="4"/>
      <c r="B342" s="4"/>
      <c r="C342" s="37"/>
      <c r="D342" s="7" t="str">
        <f>IFERROR(__xludf.DUMMYFUNCTION("iferror(iferror(INDEX(IMPORTRANGE(""12vtnxaE_Q1s4tyr10kZQx7ZF_xG0lBFae4jQEUtgsMU"",""All!B2:B""),MATCH($C342,IMPORTRANGE(""12vtnxaE_Q1s4tyr10kZQx7ZF_xG0lBFae4jQEUtgsMU"",""All!A2:A""),0)),INDEX(IMPORTRANGE(""13KC70HngS4DDi8y9E5khtSpQEPG6owaQ9z4E-tR5mnY"","&amp;"""Non-Food!B2:B""),MATCH($C342,IMPORTRANGE(""13KC70HngS4DDi8y9E5khtSpQEPG6owaQ9z4E-tR5mnY"",""Non-Food!A2:A""),0))),"""")"),"")</f>
        <v/>
      </c>
      <c r="E342" s="15"/>
      <c r="F342" s="15"/>
      <c r="G342" s="36"/>
      <c r="H342" s="23" t="str">
        <f>IFERROR(__xludf.DUMMYFUNCTION("iferror(iferror(iferror(index(IMPORTRANGE(""1NK5L1mviMn0j3D3uo53ASkIZOFRlLnqaCTnwzOG2_Wg"",""Direct Link!B2:B""),MATCH($C342,IMPORTRANGE(""1NK5L1mviMn0j3D3uo53ASkIZOFRlLnqaCTnwzOG2_Wg"",""Direct Link!A2:A""),0)),XLOOKUP($C342,IMPORTRANGE(""1NK5L1mviMn0j3D"&amp;"3uo53ASkIZOFRlLnqaCTnwzOG2_Wg"",""Direct links Without Sizes!A2:A""),IMPORTRANGE(""1NK5L1mviMn0j3D3uo53ASkIZOFRlLnqaCTnwzOG2_Wg"",""Direct links Without Sizes!B2:B""))),XLOOKUP($C342,IMPORTRANGE(""1NK5L1mviMn0j3D3uo53ASkIZOFRlLnqaCTnwzOG2_Wg"",""Direct li"&amp;"nks Without Sizes!D2:D""),IMPORTRANGE(""1NK5L1mviMn0j3D3uo53ASkIZOFRlLnqaCTnwzOG2_Wg"",""Direct links Without Sizes!E2:E""))),"""")"),"")</f>
        <v/>
      </c>
      <c r="I342" s="4"/>
      <c r="J342" s="24" t="str">
        <f t="shared" si="1"/>
        <v/>
      </c>
      <c r="K342" s="25"/>
      <c r="L342" s="24" t="str">
        <f t="shared" si="2"/>
        <v/>
      </c>
      <c r="M342" s="4"/>
      <c r="N342" s="23"/>
      <c r="O342" s="23"/>
      <c r="P342" s="23"/>
      <c r="Q342" s="4" t="str">
        <f t="shared" si="4"/>
        <v/>
      </c>
      <c r="R342" s="20"/>
      <c r="S342" s="20"/>
    </row>
    <row r="343">
      <c r="A343" s="4"/>
      <c r="B343" s="4"/>
      <c r="C343" s="37"/>
      <c r="D343" s="7" t="str">
        <f>IFERROR(__xludf.DUMMYFUNCTION("iferror(iferror(INDEX(IMPORTRANGE(""12vtnxaE_Q1s4tyr10kZQx7ZF_xG0lBFae4jQEUtgsMU"",""All!B2:B""),MATCH($C343,IMPORTRANGE(""12vtnxaE_Q1s4tyr10kZQx7ZF_xG0lBFae4jQEUtgsMU"",""All!A2:A""),0)),INDEX(IMPORTRANGE(""13KC70HngS4DDi8y9E5khtSpQEPG6owaQ9z4E-tR5mnY"","&amp;"""Non-Food!B2:B""),MATCH($C343,IMPORTRANGE(""13KC70HngS4DDi8y9E5khtSpQEPG6owaQ9z4E-tR5mnY"",""Non-Food!A2:A""),0))),"""")"),"")</f>
        <v/>
      </c>
      <c r="E343" s="15"/>
      <c r="F343" s="15"/>
      <c r="G343" s="36"/>
      <c r="H343" s="23" t="str">
        <f>IFERROR(__xludf.DUMMYFUNCTION("iferror(iferror(iferror(index(IMPORTRANGE(""1NK5L1mviMn0j3D3uo53ASkIZOFRlLnqaCTnwzOG2_Wg"",""Direct Link!B2:B""),MATCH($C343,IMPORTRANGE(""1NK5L1mviMn0j3D3uo53ASkIZOFRlLnqaCTnwzOG2_Wg"",""Direct Link!A2:A""),0)),XLOOKUP($C343,IMPORTRANGE(""1NK5L1mviMn0j3D"&amp;"3uo53ASkIZOFRlLnqaCTnwzOG2_Wg"",""Direct links Without Sizes!A2:A""),IMPORTRANGE(""1NK5L1mviMn0j3D3uo53ASkIZOFRlLnqaCTnwzOG2_Wg"",""Direct links Without Sizes!B2:B""))),XLOOKUP($C343,IMPORTRANGE(""1NK5L1mviMn0j3D3uo53ASkIZOFRlLnqaCTnwzOG2_Wg"",""Direct li"&amp;"nks Without Sizes!D2:D""),IMPORTRANGE(""1NK5L1mviMn0j3D3uo53ASkIZOFRlLnqaCTnwzOG2_Wg"",""Direct links Without Sizes!E2:E""))),"""")"),"")</f>
        <v/>
      </c>
      <c r="I343" s="4"/>
      <c r="J343" s="24" t="str">
        <f t="shared" si="1"/>
        <v/>
      </c>
      <c r="K343" s="25"/>
      <c r="L343" s="24" t="str">
        <f t="shared" si="2"/>
        <v/>
      </c>
      <c r="M343" s="4"/>
      <c r="N343" s="23"/>
      <c r="O343" s="23"/>
      <c r="P343" s="23"/>
      <c r="Q343" s="4" t="str">
        <f t="shared" si="4"/>
        <v/>
      </c>
      <c r="R343" s="20"/>
      <c r="S343" s="20"/>
    </row>
    <row r="344">
      <c r="A344" s="4"/>
      <c r="B344" s="4"/>
      <c r="C344" s="37"/>
      <c r="D344" s="7" t="str">
        <f>IFERROR(__xludf.DUMMYFUNCTION("iferror(iferror(INDEX(IMPORTRANGE(""12vtnxaE_Q1s4tyr10kZQx7ZF_xG0lBFae4jQEUtgsMU"",""All!B2:B""),MATCH($C344,IMPORTRANGE(""12vtnxaE_Q1s4tyr10kZQx7ZF_xG0lBFae4jQEUtgsMU"",""All!A2:A""),0)),INDEX(IMPORTRANGE(""13KC70HngS4DDi8y9E5khtSpQEPG6owaQ9z4E-tR5mnY"","&amp;"""Non-Food!B2:B""),MATCH($C344,IMPORTRANGE(""13KC70HngS4DDi8y9E5khtSpQEPG6owaQ9z4E-tR5mnY"",""Non-Food!A2:A""),0))),"""")"),"")</f>
        <v/>
      </c>
      <c r="E344" s="15"/>
      <c r="F344" s="15"/>
      <c r="G344" s="36"/>
      <c r="H344" s="23" t="str">
        <f>IFERROR(__xludf.DUMMYFUNCTION("iferror(iferror(iferror(index(IMPORTRANGE(""1NK5L1mviMn0j3D3uo53ASkIZOFRlLnqaCTnwzOG2_Wg"",""Direct Link!B2:B""),MATCH($C344,IMPORTRANGE(""1NK5L1mviMn0j3D3uo53ASkIZOFRlLnqaCTnwzOG2_Wg"",""Direct Link!A2:A""),0)),XLOOKUP($C344,IMPORTRANGE(""1NK5L1mviMn0j3D"&amp;"3uo53ASkIZOFRlLnqaCTnwzOG2_Wg"",""Direct links Without Sizes!A2:A""),IMPORTRANGE(""1NK5L1mviMn0j3D3uo53ASkIZOFRlLnqaCTnwzOG2_Wg"",""Direct links Without Sizes!B2:B""))),XLOOKUP($C344,IMPORTRANGE(""1NK5L1mviMn0j3D3uo53ASkIZOFRlLnqaCTnwzOG2_Wg"",""Direct li"&amp;"nks Without Sizes!D2:D""),IMPORTRANGE(""1NK5L1mviMn0j3D3uo53ASkIZOFRlLnqaCTnwzOG2_Wg"",""Direct links Without Sizes!E2:E""))),"""")"),"")</f>
        <v/>
      </c>
      <c r="I344" s="4"/>
      <c r="J344" s="24" t="str">
        <f t="shared" si="1"/>
        <v/>
      </c>
      <c r="K344" s="25"/>
      <c r="L344" s="24" t="str">
        <f t="shared" si="2"/>
        <v/>
      </c>
      <c r="M344" s="4"/>
      <c r="N344" s="23"/>
      <c r="O344" s="23"/>
      <c r="P344" s="23"/>
      <c r="Q344" s="4" t="str">
        <f t="shared" si="4"/>
        <v/>
      </c>
      <c r="R344" s="20"/>
      <c r="S344" s="20"/>
    </row>
    <row r="345">
      <c r="A345" s="4"/>
      <c r="B345" s="4"/>
      <c r="C345" s="37"/>
      <c r="D345" s="7" t="str">
        <f>IFERROR(__xludf.DUMMYFUNCTION("iferror(iferror(INDEX(IMPORTRANGE(""12vtnxaE_Q1s4tyr10kZQx7ZF_xG0lBFae4jQEUtgsMU"",""All!B2:B""),MATCH($C345,IMPORTRANGE(""12vtnxaE_Q1s4tyr10kZQx7ZF_xG0lBFae4jQEUtgsMU"",""All!A2:A""),0)),INDEX(IMPORTRANGE(""13KC70HngS4DDi8y9E5khtSpQEPG6owaQ9z4E-tR5mnY"","&amp;"""Non-Food!B2:B""),MATCH($C345,IMPORTRANGE(""13KC70HngS4DDi8y9E5khtSpQEPG6owaQ9z4E-tR5mnY"",""Non-Food!A2:A""),0))),"""")"),"")</f>
        <v/>
      </c>
      <c r="E345" s="15"/>
      <c r="F345" s="15"/>
      <c r="G345" s="36"/>
      <c r="H345" s="23" t="str">
        <f>IFERROR(__xludf.DUMMYFUNCTION("iferror(iferror(iferror(index(IMPORTRANGE(""1NK5L1mviMn0j3D3uo53ASkIZOFRlLnqaCTnwzOG2_Wg"",""Direct Link!B2:B""),MATCH($C345,IMPORTRANGE(""1NK5L1mviMn0j3D3uo53ASkIZOFRlLnqaCTnwzOG2_Wg"",""Direct Link!A2:A""),0)),XLOOKUP($C345,IMPORTRANGE(""1NK5L1mviMn0j3D"&amp;"3uo53ASkIZOFRlLnqaCTnwzOG2_Wg"",""Direct links Without Sizes!A2:A""),IMPORTRANGE(""1NK5L1mviMn0j3D3uo53ASkIZOFRlLnqaCTnwzOG2_Wg"",""Direct links Without Sizes!B2:B""))),XLOOKUP($C345,IMPORTRANGE(""1NK5L1mviMn0j3D3uo53ASkIZOFRlLnqaCTnwzOG2_Wg"",""Direct li"&amp;"nks Without Sizes!D2:D""),IMPORTRANGE(""1NK5L1mviMn0j3D3uo53ASkIZOFRlLnqaCTnwzOG2_Wg"",""Direct links Without Sizes!E2:E""))),"""")"),"")</f>
        <v/>
      </c>
      <c r="I345" s="4"/>
      <c r="J345" s="24" t="str">
        <f t="shared" si="1"/>
        <v/>
      </c>
      <c r="K345" s="25"/>
      <c r="L345" s="24" t="str">
        <f t="shared" si="2"/>
        <v/>
      </c>
      <c r="M345" s="4"/>
      <c r="N345" s="23"/>
      <c r="O345" s="23"/>
      <c r="P345" s="23"/>
      <c r="Q345" s="4" t="str">
        <f t="shared" si="4"/>
        <v/>
      </c>
      <c r="R345" s="20"/>
      <c r="S345" s="20"/>
    </row>
    <row r="346">
      <c r="A346" s="4"/>
      <c r="B346" s="4"/>
      <c r="C346" s="37"/>
      <c r="D346" s="7" t="str">
        <f>IFERROR(__xludf.DUMMYFUNCTION("iferror(iferror(INDEX(IMPORTRANGE(""12vtnxaE_Q1s4tyr10kZQx7ZF_xG0lBFae4jQEUtgsMU"",""All!B2:B""),MATCH($C346,IMPORTRANGE(""12vtnxaE_Q1s4tyr10kZQx7ZF_xG0lBFae4jQEUtgsMU"",""All!A2:A""),0)),INDEX(IMPORTRANGE(""13KC70HngS4DDi8y9E5khtSpQEPG6owaQ9z4E-tR5mnY"","&amp;"""Non-Food!B2:B""),MATCH($C346,IMPORTRANGE(""13KC70HngS4DDi8y9E5khtSpQEPG6owaQ9z4E-tR5mnY"",""Non-Food!A2:A""),0))),"""")"),"")</f>
        <v/>
      </c>
      <c r="E346" s="15"/>
      <c r="F346" s="15"/>
      <c r="G346" s="36"/>
      <c r="H346" s="23" t="str">
        <f>IFERROR(__xludf.DUMMYFUNCTION("iferror(iferror(iferror(index(IMPORTRANGE(""1NK5L1mviMn0j3D3uo53ASkIZOFRlLnqaCTnwzOG2_Wg"",""Direct Link!B2:B""),MATCH($C346,IMPORTRANGE(""1NK5L1mviMn0j3D3uo53ASkIZOFRlLnqaCTnwzOG2_Wg"",""Direct Link!A2:A""),0)),XLOOKUP($C346,IMPORTRANGE(""1NK5L1mviMn0j3D"&amp;"3uo53ASkIZOFRlLnqaCTnwzOG2_Wg"",""Direct links Without Sizes!A2:A""),IMPORTRANGE(""1NK5L1mviMn0j3D3uo53ASkIZOFRlLnqaCTnwzOG2_Wg"",""Direct links Without Sizes!B2:B""))),XLOOKUP($C346,IMPORTRANGE(""1NK5L1mviMn0j3D3uo53ASkIZOFRlLnqaCTnwzOG2_Wg"",""Direct li"&amp;"nks Without Sizes!D2:D""),IMPORTRANGE(""1NK5L1mviMn0j3D3uo53ASkIZOFRlLnqaCTnwzOG2_Wg"",""Direct links Without Sizes!E2:E""))),"""")"),"")</f>
        <v/>
      </c>
      <c r="I346" s="4"/>
      <c r="J346" s="24" t="str">
        <f t="shared" si="1"/>
        <v/>
      </c>
      <c r="K346" s="25"/>
      <c r="L346" s="24" t="str">
        <f t="shared" si="2"/>
        <v/>
      </c>
      <c r="M346" s="4"/>
      <c r="N346" s="23"/>
      <c r="O346" s="23"/>
      <c r="P346" s="23"/>
      <c r="Q346" s="4" t="str">
        <f t="shared" si="4"/>
        <v/>
      </c>
      <c r="R346" s="20"/>
      <c r="S346" s="20"/>
    </row>
    <row r="347">
      <c r="A347" s="4"/>
      <c r="B347" s="4"/>
      <c r="C347" s="37"/>
      <c r="D347" s="7" t="str">
        <f>IFERROR(__xludf.DUMMYFUNCTION("iferror(iferror(INDEX(IMPORTRANGE(""12vtnxaE_Q1s4tyr10kZQx7ZF_xG0lBFae4jQEUtgsMU"",""All!B2:B""),MATCH($C347,IMPORTRANGE(""12vtnxaE_Q1s4tyr10kZQx7ZF_xG0lBFae4jQEUtgsMU"",""All!A2:A""),0)),INDEX(IMPORTRANGE(""13KC70HngS4DDi8y9E5khtSpQEPG6owaQ9z4E-tR5mnY"","&amp;"""Non-Food!B2:B""),MATCH($C347,IMPORTRANGE(""13KC70HngS4DDi8y9E5khtSpQEPG6owaQ9z4E-tR5mnY"",""Non-Food!A2:A""),0))),"""")"),"")</f>
        <v/>
      </c>
      <c r="E347" s="15"/>
      <c r="F347" s="15"/>
      <c r="G347" s="36"/>
      <c r="H347" s="23" t="str">
        <f>IFERROR(__xludf.DUMMYFUNCTION("iferror(iferror(iferror(index(IMPORTRANGE(""1NK5L1mviMn0j3D3uo53ASkIZOFRlLnqaCTnwzOG2_Wg"",""Direct Link!B2:B""),MATCH($C347,IMPORTRANGE(""1NK5L1mviMn0j3D3uo53ASkIZOFRlLnqaCTnwzOG2_Wg"",""Direct Link!A2:A""),0)),XLOOKUP($C347,IMPORTRANGE(""1NK5L1mviMn0j3D"&amp;"3uo53ASkIZOFRlLnqaCTnwzOG2_Wg"",""Direct links Without Sizes!A2:A""),IMPORTRANGE(""1NK5L1mviMn0j3D3uo53ASkIZOFRlLnqaCTnwzOG2_Wg"",""Direct links Without Sizes!B2:B""))),XLOOKUP($C347,IMPORTRANGE(""1NK5L1mviMn0j3D3uo53ASkIZOFRlLnqaCTnwzOG2_Wg"",""Direct li"&amp;"nks Without Sizes!D2:D""),IMPORTRANGE(""1NK5L1mviMn0j3D3uo53ASkIZOFRlLnqaCTnwzOG2_Wg"",""Direct links Without Sizes!E2:E""))),"""")"),"")</f>
        <v/>
      </c>
      <c r="I347" s="4"/>
      <c r="J347" s="24" t="str">
        <f t="shared" si="1"/>
        <v/>
      </c>
      <c r="K347" s="25"/>
      <c r="L347" s="24" t="str">
        <f t="shared" si="2"/>
        <v/>
      </c>
      <c r="M347" s="4"/>
      <c r="N347" s="23"/>
      <c r="O347" s="23"/>
      <c r="P347" s="23"/>
      <c r="Q347" s="4" t="str">
        <f t="shared" si="4"/>
        <v/>
      </c>
      <c r="R347" s="20"/>
      <c r="S347" s="20"/>
    </row>
    <row r="348">
      <c r="A348" s="4"/>
      <c r="B348" s="4"/>
      <c r="C348" s="37"/>
      <c r="D348" s="7" t="str">
        <f>IFERROR(__xludf.DUMMYFUNCTION("iferror(iferror(INDEX(IMPORTRANGE(""12vtnxaE_Q1s4tyr10kZQx7ZF_xG0lBFae4jQEUtgsMU"",""All!B2:B""),MATCH($C348,IMPORTRANGE(""12vtnxaE_Q1s4tyr10kZQx7ZF_xG0lBFae4jQEUtgsMU"",""All!A2:A""),0)),INDEX(IMPORTRANGE(""13KC70HngS4DDi8y9E5khtSpQEPG6owaQ9z4E-tR5mnY"","&amp;"""Non-Food!B2:B""),MATCH($C348,IMPORTRANGE(""13KC70HngS4DDi8y9E5khtSpQEPG6owaQ9z4E-tR5mnY"",""Non-Food!A2:A""),0))),"""")"),"")</f>
        <v/>
      </c>
      <c r="E348" s="15"/>
      <c r="F348" s="15"/>
      <c r="G348" s="36"/>
      <c r="H348" s="23" t="str">
        <f>IFERROR(__xludf.DUMMYFUNCTION("iferror(iferror(iferror(index(IMPORTRANGE(""1NK5L1mviMn0j3D3uo53ASkIZOFRlLnqaCTnwzOG2_Wg"",""Direct Link!B2:B""),MATCH($C348,IMPORTRANGE(""1NK5L1mviMn0j3D3uo53ASkIZOFRlLnqaCTnwzOG2_Wg"",""Direct Link!A2:A""),0)),XLOOKUP($C348,IMPORTRANGE(""1NK5L1mviMn0j3D"&amp;"3uo53ASkIZOFRlLnqaCTnwzOG2_Wg"",""Direct links Without Sizes!A2:A""),IMPORTRANGE(""1NK5L1mviMn0j3D3uo53ASkIZOFRlLnqaCTnwzOG2_Wg"",""Direct links Without Sizes!B2:B""))),XLOOKUP($C348,IMPORTRANGE(""1NK5L1mviMn0j3D3uo53ASkIZOFRlLnqaCTnwzOG2_Wg"",""Direct li"&amp;"nks Without Sizes!D2:D""),IMPORTRANGE(""1NK5L1mviMn0j3D3uo53ASkIZOFRlLnqaCTnwzOG2_Wg"",""Direct links Without Sizes!E2:E""))),"""")"),"")</f>
        <v/>
      </c>
      <c r="I348" s="4"/>
      <c r="J348" s="24" t="str">
        <f t="shared" si="1"/>
        <v/>
      </c>
      <c r="K348" s="25"/>
      <c r="L348" s="24" t="str">
        <f t="shared" si="2"/>
        <v/>
      </c>
      <c r="M348" s="4"/>
      <c r="N348" s="23"/>
      <c r="O348" s="23"/>
      <c r="P348" s="23"/>
      <c r="Q348" s="4" t="str">
        <f t="shared" si="4"/>
        <v/>
      </c>
      <c r="R348" s="20"/>
      <c r="S348" s="20"/>
    </row>
    <row r="349">
      <c r="A349" s="4"/>
      <c r="B349" s="4"/>
      <c r="C349" s="37"/>
      <c r="D349" s="7" t="str">
        <f>IFERROR(__xludf.DUMMYFUNCTION("iferror(iferror(INDEX(IMPORTRANGE(""12vtnxaE_Q1s4tyr10kZQx7ZF_xG0lBFae4jQEUtgsMU"",""All!B2:B""),MATCH($C349,IMPORTRANGE(""12vtnxaE_Q1s4tyr10kZQx7ZF_xG0lBFae4jQEUtgsMU"",""All!A2:A""),0)),INDEX(IMPORTRANGE(""13KC70HngS4DDi8y9E5khtSpQEPG6owaQ9z4E-tR5mnY"","&amp;"""Non-Food!B2:B""),MATCH($C349,IMPORTRANGE(""13KC70HngS4DDi8y9E5khtSpQEPG6owaQ9z4E-tR5mnY"",""Non-Food!A2:A""),0))),"""")"),"")</f>
        <v/>
      </c>
      <c r="E349" s="15"/>
      <c r="F349" s="15"/>
      <c r="G349" s="36"/>
      <c r="H349" s="23" t="str">
        <f>IFERROR(__xludf.DUMMYFUNCTION("iferror(iferror(iferror(index(IMPORTRANGE(""1NK5L1mviMn0j3D3uo53ASkIZOFRlLnqaCTnwzOG2_Wg"",""Direct Link!B2:B""),MATCH($C349,IMPORTRANGE(""1NK5L1mviMn0j3D3uo53ASkIZOFRlLnqaCTnwzOG2_Wg"",""Direct Link!A2:A""),0)),XLOOKUP($C349,IMPORTRANGE(""1NK5L1mviMn0j3D"&amp;"3uo53ASkIZOFRlLnqaCTnwzOG2_Wg"",""Direct links Without Sizes!A2:A""),IMPORTRANGE(""1NK5L1mviMn0j3D3uo53ASkIZOFRlLnqaCTnwzOG2_Wg"",""Direct links Without Sizes!B2:B""))),XLOOKUP($C349,IMPORTRANGE(""1NK5L1mviMn0j3D3uo53ASkIZOFRlLnqaCTnwzOG2_Wg"",""Direct li"&amp;"nks Without Sizes!D2:D""),IMPORTRANGE(""1NK5L1mviMn0j3D3uo53ASkIZOFRlLnqaCTnwzOG2_Wg"",""Direct links Without Sizes!E2:E""))),"""")"),"")</f>
        <v/>
      </c>
      <c r="I349" s="4"/>
      <c r="J349" s="24" t="str">
        <f t="shared" si="1"/>
        <v/>
      </c>
      <c r="K349" s="25"/>
      <c r="L349" s="24" t="str">
        <f t="shared" si="2"/>
        <v/>
      </c>
      <c r="M349" s="4"/>
      <c r="N349" s="23"/>
      <c r="O349" s="23"/>
      <c r="P349" s="23"/>
      <c r="Q349" s="4" t="str">
        <f t="shared" si="4"/>
        <v/>
      </c>
      <c r="R349" s="20"/>
      <c r="S349" s="20"/>
    </row>
    <row r="350">
      <c r="A350" s="4"/>
      <c r="B350" s="4"/>
      <c r="C350" s="37"/>
      <c r="D350" s="7" t="str">
        <f>IFERROR(__xludf.DUMMYFUNCTION("iferror(iferror(INDEX(IMPORTRANGE(""12vtnxaE_Q1s4tyr10kZQx7ZF_xG0lBFae4jQEUtgsMU"",""All!B2:B""),MATCH($C350,IMPORTRANGE(""12vtnxaE_Q1s4tyr10kZQx7ZF_xG0lBFae4jQEUtgsMU"",""All!A2:A""),0)),INDEX(IMPORTRANGE(""13KC70HngS4DDi8y9E5khtSpQEPG6owaQ9z4E-tR5mnY"","&amp;"""Non-Food!B2:B""),MATCH($C350,IMPORTRANGE(""13KC70HngS4DDi8y9E5khtSpQEPG6owaQ9z4E-tR5mnY"",""Non-Food!A2:A""),0))),"""")"),"")</f>
        <v/>
      </c>
      <c r="E350" s="15"/>
      <c r="F350" s="15"/>
      <c r="G350" s="36"/>
      <c r="H350" s="23" t="str">
        <f>IFERROR(__xludf.DUMMYFUNCTION("iferror(iferror(iferror(index(IMPORTRANGE(""1NK5L1mviMn0j3D3uo53ASkIZOFRlLnqaCTnwzOG2_Wg"",""Direct Link!B2:B""),MATCH($C350,IMPORTRANGE(""1NK5L1mviMn0j3D3uo53ASkIZOFRlLnqaCTnwzOG2_Wg"",""Direct Link!A2:A""),0)),XLOOKUP($C350,IMPORTRANGE(""1NK5L1mviMn0j3D"&amp;"3uo53ASkIZOFRlLnqaCTnwzOG2_Wg"",""Direct links Without Sizes!A2:A""),IMPORTRANGE(""1NK5L1mviMn0j3D3uo53ASkIZOFRlLnqaCTnwzOG2_Wg"",""Direct links Without Sizes!B2:B""))),XLOOKUP($C350,IMPORTRANGE(""1NK5L1mviMn0j3D3uo53ASkIZOFRlLnqaCTnwzOG2_Wg"",""Direct li"&amp;"nks Without Sizes!D2:D""),IMPORTRANGE(""1NK5L1mviMn0j3D3uo53ASkIZOFRlLnqaCTnwzOG2_Wg"",""Direct links Without Sizes!E2:E""))),"""")"),"")</f>
        <v/>
      </c>
      <c r="I350" s="4"/>
      <c r="J350" s="24" t="str">
        <f t="shared" si="1"/>
        <v/>
      </c>
      <c r="K350" s="25"/>
      <c r="L350" s="24" t="str">
        <f t="shared" si="2"/>
        <v/>
      </c>
      <c r="M350" s="4"/>
      <c r="N350" s="23"/>
      <c r="O350" s="23"/>
      <c r="P350" s="23"/>
      <c r="Q350" s="4" t="str">
        <f t="shared" si="4"/>
        <v/>
      </c>
      <c r="R350" s="20"/>
      <c r="S350" s="20"/>
    </row>
    <row r="351">
      <c r="A351" s="4"/>
      <c r="B351" s="4"/>
      <c r="C351" s="37"/>
      <c r="D351" s="7" t="str">
        <f>IFERROR(__xludf.DUMMYFUNCTION("iferror(iferror(INDEX(IMPORTRANGE(""12vtnxaE_Q1s4tyr10kZQx7ZF_xG0lBFae4jQEUtgsMU"",""All!B2:B""),MATCH($C351,IMPORTRANGE(""12vtnxaE_Q1s4tyr10kZQx7ZF_xG0lBFae4jQEUtgsMU"",""All!A2:A""),0)),INDEX(IMPORTRANGE(""13KC70HngS4DDi8y9E5khtSpQEPG6owaQ9z4E-tR5mnY"","&amp;"""Non-Food!B2:B""),MATCH($C351,IMPORTRANGE(""13KC70HngS4DDi8y9E5khtSpQEPG6owaQ9z4E-tR5mnY"",""Non-Food!A2:A""),0))),"""")"),"")</f>
        <v/>
      </c>
      <c r="E351" s="15"/>
      <c r="F351" s="15"/>
      <c r="G351" s="36"/>
      <c r="H351" s="23" t="str">
        <f>IFERROR(__xludf.DUMMYFUNCTION("iferror(iferror(iferror(index(IMPORTRANGE(""1NK5L1mviMn0j3D3uo53ASkIZOFRlLnqaCTnwzOG2_Wg"",""Direct Link!B2:B""),MATCH($C351,IMPORTRANGE(""1NK5L1mviMn0j3D3uo53ASkIZOFRlLnqaCTnwzOG2_Wg"",""Direct Link!A2:A""),0)),XLOOKUP($C351,IMPORTRANGE(""1NK5L1mviMn0j3D"&amp;"3uo53ASkIZOFRlLnqaCTnwzOG2_Wg"",""Direct links Without Sizes!A2:A""),IMPORTRANGE(""1NK5L1mviMn0j3D3uo53ASkIZOFRlLnqaCTnwzOG2_Wg"",""Direct links Without Sizes!B2:B""))),XLOOKUP($C351,IMPORTRANGE(""1NK5L1mviMn0j3D3uo53ASkIZOFRlLnqaCTnwzOG2_Wg"",""Direct li"&amp;"nks Without Sizes!D2:D""),IMPORTRANGE(""1NK5L1mviMn0j3D3uo53ASkIZOFRlLnqaCTnwzOG2_Wg"",""Direct links Without Sizes!E2:E""))),"""")"),"")</f>
        <v/>
      </c>
      <c r="I351" s="4"/>
      <c r="J351" s="24" t="str">
        <f t="shared" si="1"/>
        <v/>
      </c>
      <c r="K351" s="25"/>
      <c r="L351" s="24" t="str">
        <f t="shared" si="2"/>
        <v/>
      </c>
      <c r="M351" s="4"/>
      <c r="N351" s="23"/>
      <c r="O351" s="23"/>
      <c r="P351" s="23"/>
      <c r="Q351" s="4" t="str">
        <f t="shared" si="4"/>
        <v/>
      </c>
      <c r="R351" s="20"/>
      <c r="S351" s="20"/>
    </row>
    <row r="352">
      <c r="A352" s="4"/>
      <c r="B352" s="4"/>
      <c r="C352" s="37"/>
      <c r="D352" s="7" t="str">
        <f>IFERROR(__xludf.DUMMYFUNCTION("iferror(iferror(INDEX(IMPORTRANGE(""12vtnxaE_Q1s4tyr10kZQx7ZF_xG0lBFae4jQEUtgsMU"",""All!B2:B""),MATCH($C352,IMPORTRANGE(""12vtnxaE_Q1s4tyr10kZQx7ZF_xG0lBFae4jQEUtgsMU"",""All!A2:A""),0)),INDEX(IMPORTRANGE(""13KC70HngS4DDi8y9E5khtSpQEPG6owaQ9z4E-tR5mnY"","&amp;"""Non-Food!B2:B""),MATCH($C352,IMPORTRANGE(""13KC70HngS4DDi8y9E5khtSpQEPG6owaQ9z4E-tR5mnY"",""Non-Food!A2:A""),0))),"""")"),"")</f>
        <v/>
      </c>
      <c r="E352" s="15"/>
      <c r="F352" s="15"/>
      <c r="G352" s="36"/>
      <c r="H352" s="23" t="str">
        <f>IFERROR(__xludf.DUMMYFUNCTION("iferror(iferror(iferror(index(IMPORTRANGE(""1NK5L1mviMn0j3D3uo53ASkIZOFRlLnqaCTnwzOG2_Wg"",""Direct Link!B2:B""),MATCH($C352,IMPORTRANGE(""1NK5L1mviMn0j3D3uo53ASkIZOFRlLnqaCTnwzOG2_Wg"",""Direct Link!A2:A""),0)),XLOOKUP($C352,IMPORTRANGE(""1NK5L1mviMn0j3D"&amp;"3uo53ASkIZOFRlLnqaCTnwzOG2_Wg"",""Direct links Without Sizes!A2:A""),IMPORTRANGE(""1NK5L1mviMn0j3D3uo53ASkIZOFRlLnqaCTnwzOG2_Wg"",""Direct links Without Sizes!B2:B""))),XLOOKUP($C352,IMPORTRANGE(""1NK5L1mviMn0j3D3uo53ASkIZOFRlLnqaCTnwzOG2_Wg"",""Direct li"&amp;"nks Without Sizes!D2:D""),IMPORTRANGE(""1NK5L1mviMn0j3D3uo53ASkIZOFRlLnqaCTnwzOG2_Wg"",""Direct links Without Sizes!E2:E""))),"""")"),"")</f>
        <v/>
      </c>
      <c r="I352" s="4"/>
      <c r="J352" s="24" t="str">
        <f t="shared" si="1"/>
        <v/>
      </c>
      <c r="K352" s="25"/>
      <c r="L352" s="24" t="str">
        <f t="shared" si="2"/>
        <v/>
      </c>
      <c r="M352" s="4"/>
      <c r="N352" s="23"/>
      <c r="O352" s="23"/>
      <c r="P352" s="23"/>
      <c r="Q352" s="4" t="str">
        <f t="shared" si="4"/>
        <v/>
      </c>
      <c r="R352" s="20"/>
      <c r="S352" s="20"/>
    </row>
    <row r="353">
      <c r="A353" s="4"/>
      <c r="B353" s="4"/>
      <c r="C353" s="37"/>
      <c r="D353" s="7" t="str">
        <f>IFERROR(__xludf.DUMMYFUNCTION("iferror(iferror(INDEX(IMPORTRANGE(""12vtnxaE_Q1s4tyr10kZQx7ZF_xG0lBFae4jQEUtgsMU"",""All!B2:B""),MATCH($C353,IMPORTRANGE(""12vtnxaE_Q1s4tyr10kZQx7ZF_xG0lBFae4jQEUtgsMU"",""All!A2:A""),0)),INDEX(IMPORTRANGE(""13KC70HngS4DDi8y9E5khtSpQEPG6owaQ9z4E-tR5mnY"","&amp;"""Non-Food!B2:B""),MATCH($C353,IMPORTRANGE(""13KC70HngS4DDi8y9E5khtSpQEPG6owaQ9z4E-tR5mnY"",""Non-Food!A2:A""),0))),"""")"),"")</f>
        <v/>
      </c>
      <c r="E353" s="15"/>
      <c r="F353" s="15"/>
      <c r="G353" s="36"/>
      <c r="H353" s="23" t="str">
        <f>IFERROR(__xludf.DUMMYFUNCTION("iferror(iferror(iferror(index(IMPORTRANGE(""1NK5L1mviMn0j3D3uo53ASkIZOFRlLnqaCTnwzOG2_Wg"",""Direct Link!B2:B""),MATCH($C353,IMPORTRANGE(""1NK5L1mviMn0j3D3uo53ASkIZOFRlLnqaCTnwzOG2_Wg"",""Direct Link!A2:A""),0)),XLOOKUP($C353,IMPORTRANGE(""1NK5L1mviMn0j3D"&amp;"3uo53ASkIZOFRlLnqaCTnwzOG2_Wg"",""Direct links Without Sizes!A2:A""),IMPORTRANGE(""1NK5L1mviMn0j3D3uo53ASkIZOFRlLnqaCTnwzOG2_Wg"",""Direct links Without Sizes!B2:B""))),XLOOKUP($C353,IMPORTRANGE(""1NK5L1mviMn0j3D3uo53ASkIZOFRlLnqaCTnwzOG2_Wg"",""Direct li"&amp;"nks Without Sizes!D2:D""),IMPORTRANGE(""1NK5L1mviMn0j3D3uo53ASkIZOFRlLnqaCTnwzOG2_Wg"",""Direct links Without Sizes!E2:E""))),"""")"),"")</f>
        <v/>
      </c>
      <c r="I353" s="4"/>
      <c r="J353" s="24" t="str">
        <f t="shared" si="1"/>
        <v/>
      </c>
      <c r="K353" s="25"/>
      <c r="L353" s="24" t="str">
        <f t="shared" si="2"/>
        <v/>
      </c>
      <c r="M353" s="4"/>
      <c r="N353" s="23"/>
      <c r="O353" s="23"/>
      <c r="P353" s="23"/>
      <c r="Q353" s="4" t="str">
        <f t="shared" si="4"/>
        <v/>
      </c>
      <c r="R353" s="20"/>
      <c r="S353" s="20"/>
    </row>
    <row r="354">
      <c r="A354" s="4"/>
      <c r="B354" s="4"/>
      <c r="C354" s="37"/>
      <c r="D354" s="7" t="str">
        <f>IFERROR(__xludf.DUMMYFUNCTION("iferror(iferror(INDEX(IMPORTRANGE(""12vtnxaE_Q1s4tyr10kZQx7ZF_xG0lBFae4jQEUtgsMU"",""All!B2:B""),MATCH($C354,IMPORTRANGE(""12vtnxaE_Q1s4tyr10kZQx7ZF_xG0lBFae4jQEUtgsMU"",""All!A2:A""),0)),INDEX(IMPORTRANGE(""13KC70HngS4DDi8y9E5khtSpQEPG6owaQ9z4E-tR5mnY"","&amp;"""Non-Food!B2:B""),MATCH($C354,IMPORTRANGE(""13KC70HngS4DDi8y9E5khtSpQEPG6owaQ9z4E-tR5mnY"",""Non-Food!A2:A""),0))),"""")"),"")</f>
        <v/>
      </c>
      <c r="E354" s="15"/>
      <c r="F354" s="15"/>
      <c r="G354" s="36"/>
      <c r="H354" s="23" t="str">
        <f>IFERROR(__xludf.DUMMYFUNCTION("iferror(iferror(iferror(index(IMPORTRANGE(""1NK5L1mviMn0j3D3uo53ASkIZOFRlLnqaCTnwzOG2_Wg"",""Direct Link!B2:B""),MATCH($C354,IMPORTRANGE(""1NK5L1mviMn0j3D3uo53ASkIZOFRlLnqaCTnwzOG2_Wg"",""Direct Link!A2:A""),0)),XLOOKUP($C354,IMPORTRANGE(""1NK5L1mviMn0j3D"&amp;"3uo53ASkIZOFRlLnqaCTnwzOG2_Wg"",""Direct links Without Sizes!A2:A""),IMPORTRANGE(""1NK5L1mviMn0j3D3uo53ASkIZOFRlLnqaCTnwzOG2_Wg"",""Direct links Without Sizes!B2:B""))),XLOOKUP($C354,IMPORTRANGE(""1NK5L1mviMn0j3D3uo53ASkIZOFRlLnqaCTnwzOG2_Wg"",""Direct li"&amp;"nks Without Sizes!D2:D""),IMPORTRANGE(""1NK5L1mviMn0j3D3uo53ASkIZOFRlLnqaCTnwzOG2_Wg"",""Direct links Without Sizes!E2:E""))),"""")"),"")</f>
        <v/>
      </c>
      <c r="I354" s="4"/>
      <c r="J354" s="24" t="str">
        <f t="shared" si="1"/>
        <v/>
      </c>
      <c r="K354" s="25"/>
      <c r="L354" s="24" t="str">
        <f t="shared" si="2"/>
        <v/>
      </c>
      <c r="M354" s="4"/>
      <c r="N354" s="23"/>
      <c r="O354" s="23"/>
      <c r="P354" s="23"/>
      <c r="Q354" s="4" t="str">
        <f t="shared" si="4"/>
        <v/>
      </c>
      <c r="R354" s="20"/>
      <c r="S354" s="20"/>
    </row>
    <row r="355">
      <c r="A355" s="4"/>
      <c r="B355" s="4"/>
      <c r="C355" s="37"/>
      <c r="D355" s="7" t="str">
        <f>IFERROR(__xludf.DUMMYFUNCTION("iferror(iferror(INDEX(IMPORTRANGE(""12vtnxaE_Q1s4tyr10kZQx7ZF_xG0lBFae4jQEUtgsMU"",""All!B2:B""),MATCH($C355,IMPORTRANGE(""12vtnxaE_Q1s4tyr10kZQx7ZF_xG0lBFae4jQEUtgsMU"",""All!A2:A""),0)),INDEX(IMPORTRANGE(""13KC70HngS4DDi8y9E5khtSpQEPG6owaQ9z4E-tR5mnY"","&amp;"""Non-Food!B2:B""),MATCH($C355,IMPORTRANGE(""13KC70HngS4DDi8y9E5khtSpQEPG6owaQ9z4E-tR5mnY"",""Non-Food!A2:A""),0))),"""")"),"")</f>
        <v/>
      </c>
      <c r="E355" s="15"/>
      <c r="F355" s="15"/>
      <c r="G355" s="36"/>
      <c r="H355" s="23" t="str">
        <f>IFERROR(__xludf.DUMMYFUNCTION("iferror(iferror(iferror(index(IMPORTRANGE(""1NK5L1mviMn0j3D3uo53ASkIZOFRlLnqaCTnwzOG2_Wg"",""Direct Link!B2:B""),MATCH($C355,IMPORTRANGE(""1NK5L1mviMn0j3D3uo53ASkIZOFRlLnqaCTnwzOG2_Wg"",""Direct Link!A2:A""),0)),XLOOKUP($C355,IMPORTRANGE(""1NK5L1mviMn0j3D"&amp;"3uo53ASkIZOFRlLnqaCTnwzOG2_Wg"",""Direct links Without Sizes!A2:A""),IMPORTRANGE(""1NK5L1mviMn0j3D3uo53ASkIZOFRlLnqaCTnwzOG2_Wg"",""Direct links Without Sizes!B2:B""))),XLOOKUP($C355,IMPORTRANGE(""1NK5L1mviMn0j3D3uo53ASkIZOFRlLnqaCTnwzOG2_Wg"",""Direct li"&amp;"nks Without Sizes!D2:D""),IMPORTRANGE(""1NK5L1mviMn0j3D3uo53ASkIZOFRlLnqaCTnwzOG2_Wg"",""Direct links Without Sizes!E2:E""))),"""")"),"")</f>
        <v/>
      </c>
      <c r="I355" s="4"/>
      <c r="J355" s="24" t="str">
        <f t="shared" si="1"/>
        <v/>
      </c>
      <c r="K355" s="25"/>
      <c r="L355" s="24" t="str">
        <f t="shared" si="2"/>
        <v/>
      </c>
      <c r="M355" s="4"/>
      <c r="N355" s="23"/>
      <c r="O355" s="23"/>
      <c r="P355" s="23"/>
      <c r="Q355" s="4" t="str">
        <f t="shared" si="4"/>
        <v/>
      </c>
      <c r="R355" s="20"/>
      <c r="S355" s="20"/>
    </row>
    <row r="356">
      <c r="A356" s="4"/>
      <c r="B356" s="4"/>
      <c r="C356" s="37"/>
      <c r="D356" s="7" t="str">
        <f>IFERROR(__xludf.DUMMYFUNCTION("iferror(iferror(INDEX(IMPORTRANGE(""12vtnxaE_Q1s4tyr10kZQx7ZF_xG0lBFae4jQEUtgsMU"",""All!B2:B""),MATCH($C356,IMPORTRANGE(""12vtnxaE_Q1s4tyr10kZQx7ZF_xG0lBFae4jQEUtgsMU"",""All!A2:A""),0)),INDEX(IMPORTRANGE(""13KC70HngS4DDi8y9E5khtSpQEPG6owaQ9z4E-tR5mnY"","&amp;"""Non-Food!B2:B""),MATCH($C356,IMPORTRANGE(""13KC70HngS4DDi8y9E5khtSpQEPG6owaQ9z4E-tR5mnY"",""Non-Food!A2:A""),0))),"""")"),"")</f>
        <v/>
      </c>
      <c r="E356" s="15"/>
      <c r="F356" s="15"/>
      <c r="G356" s="36"/>
      <c r="H356" s="23" t="str">
        <f>IFERROR(__xludf.DUMMYFUNCTION("iferror(iferror(iferror(index(IMPORTRANGE(""1NK5L1mviMn0j3D3uo53ASkIZOFRlLnqaCTnwzOG2_Wg"",""Direct Link!B2:B""),MATCH($C356,IMPORTRANGE(""1NK5L1mviMn0j3D3uo53ASkIZOFRlLnqaCTnwzOG2_Wg"",""Direct Link!A2:A""),0)),XLOOKUP($C356,IMPORTRANGE(""1NK5L1mviMn0j3D"&amp;"3uo53ASkIZOFRlLnqaCTnwzOG2_Wg"",""Direct links Without Sizes!A2:A""),IMPORTRANGE(""1NK5L1mviMn0j3D3uo53ASkIZOFRlLnqaCTnwzOG2_Wg"",""Direct links Without Sizes!B2:B""))),XLOOKUP($C356,IMPORTRANGE(""1NK5L1mviMn0j3D3uo53ASkIZOFRlLnqaCTnwzOG2_Wg"",""Direct li"&amp;"nks Without Sizes!D2:D""),IMPORTRANGE(""1NK5L1mviMn0j3D3uo53ASkIZOFRlLnqaCTnwzOG2_Wg"",""Direct links Without Sizes!E2:E""))),"""")"),"")</f>
        <v/>
      </c>
      <c r="I356" s="4"/>
      <c r="J356" s="24" t="str">
        <f t="shared" si="1"/>
        <v/>
      </c>
      <c r="K356" s="25"/>
      <c r="L356" s="24" t="str">
        <f t="shared" si="2"/>
        <v/>
      </c>
      <c r="M356" s="4"/>
      <c r="N356" s="23"/>
      <c r="O356" s="23"/>
      <c r="P356" s="23"/>
      <c r="Q356" s="4" t="str">
        <f t="shared" si="4"/>
        <v/>
      </c>
      <c r="R356" s="20"/>
      <c r="S356" s="20"/>
    </row>
    <row r="357">
      <c r="A357" s="4"/>
      <c r="B357" s="4"/>
      <c r="C357" s="37"/>
      <c r="D357" s="7" t="str">
        <f>IFERROR(__xludf.DUMMYFUNCTION("iferror(iferror(INDEX(IMPORTRANGE(""12vtnxaE_Q1s4tyr10kZQx7ZF_xG0lBFae4jQEUtgsMU"",""All!B2:B""),MATCH($C357,IMPORTRANGE(""12vtnxaE_Q1s4tyr10kZQx7ZF_xG0lBFae4jQEUtgsMU"",""All!A2:A""),0)),INDEX(IMPORTRANGE(""13KC70HngS4DDi8y9E5khtSpQEPG6owaQ9z4E-tR5mnY"","&amp;"""Non-Food!B2:B""),MATCH($C357,IMPORTRANGE(""13KC70HngS4DDi8y9E5khtSpQEPG6owaQ9z4E-tR5mnY"",""Non-Food!A2:A""),0))),"""")"),"")</f>
        <v/>
      </c>
      <c r="E357" s="15"/>
      <c r="F357" s="15"/>
      <c r="G357" s="36"/>
      <c r="H357" s="23" t="str">
        <f>IFERROR(__xludf.DUMMYFUNCTION("iferror(iferror(iferror(index(IMPORTRANGE(""1NK5L1mviMn0j3D3uo53ASkIZOFRlLnqaCTnwzOG2_Wg"",""Direct Link!B2:B""),MATCH($C357,IMPORTRANGE(""1NK5L1mviMn0j3D3uo53ASkIZOFRlLnqaCTnwzOG2_Wg"",""Direct Link!A2:A""),0)),XLOOKUP($C357,IMPORTRANGE(""1NK5L1mviMn0j3D"&amp;"3uo53ASkIZOFRlLnqaCTnwzOG2_Wg"",""Direct links Without Sizes!A2:A""),IMPORTRANGE(""1NK5L1mviMn0j3D3uo53ASkIZOFRlLnqaCTnwzOG2_Wg"",""Direct links Without Sizes!B2:B""))),XLOOKUP($C357,IMPORTRANGE(""1NK5L1mviMn0j3D3uo53ASkIZOFRlLnqaCTnwzOG2_Wg"",""Direct li"&amp;"nks Without Sizes!D2:D""),IMPORTRANGE(""1NK5L1mviMn0j3D3uo53ASkIZOFRlLnqaCTnwzOG2_Wg"",""Direct links Without Sizes!E2:E""))),"""")"),"")</f>
        <v/>
      </c>
      <c r="I357" s="4"/>
      <c r="J357" s="24" t="str">
        <f t="shared" si="1"/>
        <v/>
      </c>
      <c r="K357" s="25"/>
      <c r="L357" s="24" t="str">
        <f t="shared" si="2"/>
        <v/>
      </c>
      <c r="M357" s="4"/>
      <c r="N357" s="23"/>
      <c r="O357" s="23"/>
      <c r="P357" s="23"/>
      <c r="Q357" s="4" t="str">
        <f t="shared" si="4"/>
        <v/>
      </c>
      <c r="R357" s="20"/>
      <c r="S357" s="20"/>
    </row>
    <row r="358">
      <c r="A358" s="4"/>
      <c r="B358" s="4"/>
      <c r="C358" s="37"/>
      <c r="D358" s="7" t="str">
        <f>IFERROR(__xludf.DUMMYFUNCTION("iferror(iferror(INDEX(IMPORTRANGE(""12vtnxaE_Q1s4tyr10kZQx7ZF_xG0lBFae4jQEUtgsMU"",""All!B2:B""),MATCH($C358,IMPORTRANGE(""12vtnxaE_Q1s4tyr10kZQx7ZF_xG0lBFae4jQEUtgsMU"",""All!A2:A""),0)),INDEX(IMPORTRANGE(""13KC70HngS4DDi8y9E5khtSpQEPG6owaQ9z4E-tR5mnY"","&amp;"""Non-Food!B2:B""),MATCH($C358,IMPORTRANGE(""13KC70HngS4DDi8y9E5khtSpQEPG6owaQ9z4E-tR5mnY"",""Non-Food!A2:A""),0))),"""")"),"")</f>
        <v/>
      </c>
      <c r="E358" s="15"/>
      <c r="F358" s="15"/>
      <c r="G358" s="36"/>
      <c r="H358" s="23" t="str">
        <f>IFERROR(__xludf.DUMMYFUNCTION("iferror(iferror(iferror(index(IMPORTRANGE(""1NK5L1mviMn0j3D3uo53ASkIZOFRlLnqaCTnwzOG2_Wg"",""Direct Link!B2:B""),MATCH($C358,IMPORTRANGE(""1NK5L1mviMn0j3D3uo53ASkIZOFRlLnqaCTnwzOG2_Wg"",""Direct Link!A2:A""),0)),XLOOKUP($C358,IMPORTRANGE(""1NK5L1mviMn0j3D"&amp;"3uo53ASkIZOFRlLnqaCTnwzOG2_Wg"",""Direct links Without Sizes!A2:A""),IMPORTRANGE(""1NK5L1mviMn0j3D3uo53ASkIZOFRlLnqaCTnwzOG2_Wg"",""Direct links Without Sizes!B2:B""))),XLOOKUP($C358,IMPORTRANGE(""1NK5L1mviMn0j3D3uo53ASkIZOFRlLnqaCTnwzOG2_Wg"",""Direct li"&amp;"nks Without Sizes!D2:D""),IMPORTRANGE(""1NK5L1mviMn0j3D3uo53ASkIZOFRlLnqaCTnwzOG2_Wg"",""Direct links Without Sizes!E2:E""))),"""")"),"")</f>
        <v/>
      </c>
      <c r="I358" s="4"/>
      <c r="J358" s="24" t="str">
        <f t="shared" si="1"/>
        <v/>
      </c>
      <c r="K358" s="25"/>
      <c r="L358" s="24" t="str">
        <f t="shared" si="2"/>
        <v/>
      </c>
      <c r="M358" s="4"/>
      <c r="N358" s="23"/>
      <c r="O358" s="23"/>
      <c r="P358" s="23"/>
      <c r="Q358" s="4" t="str">
        <f t="shared" si="4"/>
        <v/>
      </c>
      <c r="R358" s="20"/>
      <c r="S358" s="20"/>
    </row>
    <row r="359">
      <c r="A359" s="4"/>
      <c r="B359" s="4"/>
      <c r="C359" s="37"/>
      <c r="D359" s="7" t="str">
        <f>IFERROR(__xludf.DUMMYFUNCTION("iferror(iferror(INDEX(IMPORTRANGE(""12vtnxaE_Q1s4tyr10kZQx7ZF_xG0lBFae4jQEUtgsMU"",""All!B2:B""),MATCH($C359,IMPORTRANGE(""12vtnxaE_Q1s4tyr10kZQx7ZF_xG0lBFae4jQEUtgsMU"",""All!A2:A""),0)),INDEX(IMPORTRANGE(""13KC70HngS4DDi8y9E5khtSpQEPG6owaQ9z4E-tR5mnY"","&amp;"""Non-Food!B2:B""),MATCH($C359,IMPORTRANGE(""13KC70HngS4DDi8y9E5khtSpQEPG6owaQ9z4E-tR5mnY"",""Non-Food!A2:A""),0))),"""")"),"")</f>
        <v/>
      </c>
      <c r="E359" s="15"/>
      <c r="F359" s="15"/>
      <c r="G359" s="36"/>
      <c r="H359" s="23" t="str">
        <f>IFERROR(__xludf.DUMMYFUNCTION("iferror(iferror(iferror(index(IMPORTRANGE(""1NK5L1mviMn0j3D3uo53ASkIZOFRlLnqaCTnwzOG2_Wg"",""Direct Link!B2:B""),MATCH($C359,IMPORTRANGE(""1NK5L1mviMn0j3D3uo53ASkIZOFRlLnqaCTnwzOG2_Wg"",""Direct Link!A2:A""),0)),XLOOKUP($C359,IMPORTRANGE(""1NK5L1mviMn0j3D"&amp;"3uo53ASkIZOFRlLnqaCTnwzOG2_Wg"",""Direct links Without Sizes!A2:A""),IMPORTRANGE(""1NK5L1mviMn0j3D3uo53ASkIZOFRlLnqaCTnwzOG2_Wg"",""Direct links Without Sizes!B2:B""))),XLOOKUP($C359,IMPORTRANGE(""1NK5L1mviMn0j3D3uo53ASkIZOFRlLnqaCTnwzOG2_Wg"",""Direct li"&amp;"nks Without Sizes!D2:D""),IMPORTRANGE(""1NK5L1mviMn0j3D3uo53ASkIZOFRlLnqaCTnwzOG2_Wg"",""Direct links Without Sizes!E2:E""))),"""")"),"")</f>
        <v/>
      </c>
      <c r="I359" s="4"/>
      <c r="J359" s="24" t="str">
        <f t="shared" si="1"/>
        <v/>
      </c>
      <c r="K359" s="25"/>
      <c r="L359" s="24" t="str">
        <f t="shared" si="2"/>
        <v/>
      </c>
      <c r="M359" s="4"/>
      <c r="N359" s="23"/>
      <c r="O359" s="23"/>
      <c r="P359" s="23"/>
      <c r="Q359" s="4" t="str">
        <f t="shared" si="4"/>
        <v/>
      </c>
      <c r="R359" s="20"/>
      <c r="S359" s="20"/>
    </row>
    <row r="360">
      <c r="A360" s="4"/>
      <c r="B360" s="4"/>
      <c r="C360" s="37"/>
      <c r="D360" s="7" t="str">
        <f>IFERROR(__xludf.DUMMYFUNCTION("iferror(iferror(INDEX(IMPORTRANGE(""12vtnxaE_Q1s4tyr10kZQx7ZF_xG0lBFae4jQEUtgsMU"",""All!B2:B""),MATCH($C360,IMPORTRANGE(""12vtnxaE_Q1s4tyr10kZQx7ZF_xG0lBFae4jQEUtgsMU"",""All!A2:A""),0)),INDEX(IMPORTRANGE(""13KC70HngS4DDi8y9E5khtSpQEPG6owaQ9z4E-tR5mnY"","&amp;"""Non-Food!B2:B""),MATCH($C360,IMPORTRANGE(""13KC70HngS4DDi8y9E5khtSpQEPG6owaQ9z4E-tR5mnY"",""Non-Food!A2:A""),0))),"""")"),"")</f>
        <v/>
      </c>
      <c r="E360" s="15"/>
      <c r="F360" s="15"/>
      <c r="G360" s="36"/>
      <c r="H360" s="23" t="str">
        <f>IFERROR(__xludf.DUMMYFUNCTION("iferror(iferror(iferror(index(IMPORTRANGE(""1NK5L1mviMn0j3D3uo53ASkIZOFRlLnqaCTnwzOG2_Wg"",""Direct Link!B2:B""),MATCH($C360,IMPORTRANGE(""1NK5L1mviMn0j3D3uo53ASkIZOFRlLnqaCTnwzOG2_Wg"",""Direct Link!A2:A""),0)),XLOOKUP($C360,IMPORTRANGE(""1NK5L1mviMn0j3D"&amp;"3uo53ASkIZOFRlLnqaCTnwzOG2_Wg"",""Direct links Without Sizes!A2:A""),IMPORTRANGE(""1NK5L1mviMn0j3D3uo53ASkIZOFRlLnqaCTnwzOG2_Wg"",""Direct links Without Sizes!B2:B""))),XLOOKUP($C360,IMPORTRANGE(""1NK5L1mviMn0j3D3uo53ASkIZOFRlLnqaCTnwzOG2_Wg"",""Direct li"&amp;"nks Without Sizes!D2:D""),IMPORTRANGE(""1NK5L1mviMn0j3D3uo53ASkIZOFRlLnqaCTnwzOG2_Wg"",""Direct links Without Sizes!E2:E""))),"""")"),"")</f>
        <v/>
      </c>
      <c r="I360" s="4"/>
      <c r="J360" s="24" t="str">
        <f t="shared" si="1"/>
        <v/>
      </c>
      <c r="K360" s="25"/>
      <c r="L360" s="24" t="str">
        <f t="shared" si="2"/>
        <v/>
      </c>
      <c r="M360" s="4"/>
      <c r="N360" s="23"/>
      <c r="O360" s="23"/>
      <c r="P360" s="23"/>
      <c r="Q360" s="4" t="str">
        <f t="shared" si="4"/>
        <v/>
      </c>
      <c r="R360" s="20"/>
      <c r="S360" s="20"/>
    </row>
    <row r="361">
      <c r="A361" s="4"/>
      <c r="B361" s="4"/>
      <c r="C361" s="37"/>
      <c r="D361" s="7" t="str">
        <f>IFERROR(__xludf.DUMMYFUNCTION("iferror(iferror(INDEX(IMPORTRANGE(""12vtnxaE_Q1s4tyr10kZQx7ZF_xG0lBFae4jQEUtgsMU"",""All!B2:B""),MATCH($C361,IMPORTRANGE(""12vtnxaE_Q1s4tyr10kZQx7ZF_xG0lBFae4jQEUtgsMU"",""All!A2:A""),0)),INDEX(IMPORTRANGE(""13KC70HngS4DDi8y9E5khtSpQEPG6owaQ9z4E-tR5mnY"","&amp;"""Non-Food!B2:B""),MATCH($C361,IMPORTRANGE(""13KC70HngS4DDi8y9E5khtSpQEPG6owaQ9z4E-tR5mnY"",""Non-Food!A2:A""),0))),"""")"),"")</f>
        <v/>
      </c>
      <c r="E361" s="15"/>
      <c r="F361" s="15"/>
      <c r="G361" s="36"/>
      <c r="H361" s="23" t="str">
        <f>IFERROR(__xludf.DUMMYFUNCTION("iferror(iferror(iferror(index(IMPORTRANGE(""1NK5L1mviMn0j3D3uo53ASkIZOFRlLnqaCTnwzOG2_Wg"",""Direct Link!B2:B""),MATCH($C361,IMPORTRANGE(""1NK5L1mviMn0j3D3uo53ASkIZOFRlLnqaCTnwzOG2_Wg"",""Direct Link!A2:A""),0)),XLOOKUP($C361,IMPORTRANGE(""1NK5L1mviMn0j3D"&amp;"3uo53ASkIZOFRlLnqaCTnwzOG2_Wg"",""Direct links Without Sizes!A2:A""),IMPORTRANGE(""1NK5L1mviMn0j3D3uo53ASkIZOFRlLnqaCTnwzOG2_Wg"",""Direct links Without Sizes!B2:B""))),XLOOKUP($C361,IMPORTRANGE(""1NK5L1mviMn0j3D3uo53ASkIZOFRlLnqaCTnwzOG2_Wg"",""Direct li"&amp;"nks Without Sizes!D2:D""),IMPORTRANGE(""1NK5L1mviMn0j3D3uo53ASkIZOFRlLnqaCTnwzOG2_Wg"",""Direct links Without Sizes!E2:E""))),"""")"),"")</f>
        <v/>
      </c>
      <c r="I361" s="4"/>
      <c r="J361" s="24" t="str">
        <f t="shared" si="1"/>
        <v/>
      </c>
      <c r="K361" s="25"/>
      <c r="L361" s="24" t="str">
        <f t="shared" si="2"/>
        <v/>
      </c>
      <c r="M361" s="4"/>
      <c r="N361" s="23"/>
      <c r="O361" s="23"/>
      <c r="P361" s="23"/>
      <c r="Q361" s="4" t="str">
        <f t="shared" si="4"/>
        <v/>
      </c>
      <c r="R361" s="20"/>
      <c r="S361" s="20"/>
    </row>
    <row r="362">
      <c r="A362" s="4"/>
      <c r="B362" s="4"/>
      <c r="C362" s="37"/>
      <c r="D362" s="7" t="str">
        <f>IFERROR(__xludf.DUMMYFUNCTION("iferror(iferror(INDEX(IMPORTRANGE(""12vtnxaE_Q1s4tyr10kZQx7ZF_xG0lBFae4jQEUtgsMU"",""All!B2:B""),MATCH($C362,IMPORTRANGE(""12vtnxaE_Q1s4tyr10kZQx7ZF_xG0lBFae4jQEUtgsMU"",""All!A2:A""),0)),INDEX(IMPORTRANGE(""13KC70HngS4DDi8y9E5khtSpQEPG6owaQ9z4E-tR5mnY"","&amp;"""Non-Food!B2:B""),MATCH($C362,IMPORTRANGE(""13KC70HngS4DDi8y9E5khtSpQEPG6owaQ9z4E-tR5mnY"",""Non-Food!A2:A""),0))),"""")"),"")</f>
        <v/>
      </c>
      <c r="E362" s="15"/>
      <c r="F362" s="15"/>
      <c r="G362" s="36"/>
      <c r="H362" s="23" t="str">
        <f>IFERROR(__xludf.DUMMYFUNCTION("iferror(iferror(iferror(index(IMPORTRANGE(""1NK5L1mviMn0j3D3uo53ASkIZOFRlLnqaCTnwzOG2_Wg"",""Direct Link!B2:B""),MATCH($C362,IMPORTRANGE(""1NK5L1mviMn0j3D3uo53ASkIZOFRlLnqaCTnwzOG2_Wg"",""Direct Link!A2:A""),0)),XLOOKUP($C362,IMPORTRANGE(""1NK5L1mviMn0j3D"&amp;"3uo53ASkIZOFRlLnqaCTnwzOG2_Wg"",""Direct links Without Sizes!A2:A""),IMPORTRANGE(""1NK5L1mviMn0j3D3uo53ASkIZOFRlLnqaCTnwzOG2_Wg"",""Direct links Without Sizes!B2:B""))),XLOOKUP($C362,IMPORTRANGE(""1NK5L1mviMn0j3D3uo53ASkIZOFRlLnqaCTnwzOG2_Wg"",""Direct li"&amp;"nks Without Sizes!D2:D""),IMPORTRANGE(""1NK5L1mviMn0j3D3uo53ASkIZOFRlLnqaCTnwzOG2_Wg"",""Direct links Without Sizes!E2:E""))),"""")"),"")</f>
        <v/>
      </c>
      <c r="I362" s="4"/>
      <c r="J362" s="24" t="str">
        <f t="shared" si="1"/>
        <v/>
      </c>
      <c r="K362" s="25"/>
      <c r="L362" s="24" t="str">
        <f t="shared" si="2"/>
        <v/>
      </c>
      <c r="M362" s="4"/>
      <c r="N362" s="23"/>
      <c r="O362" s="23"/>
      <c r="P362" s="23"/>
      <c r="Q362" s="4" t="str">
        <f t="shared" si="4"/>
        <v/>
      </c>
      <c r="R362" s="20"/>
      <c r="S362" s="20"/>
    </row>
    <row r="363">
      <c r="A363" s="4"/>
      <c r="B363" s="4"/>
      <c r="C363" s="37"/>
      <c r="D363" s="7" t="str">
        <f>IFERROR(__xludf.DUMMYFUNCTION("iferror(iferror(INDEX(IMPORTRANGE(""12vtnxaE_Q1s4tyr10kZQx7ZF_xG0lBFae4jQEUtgsMU"",""All!B2:B""),MATCH($C363,IMPORTRANGE(""12vtnxaE_Q1s4tyr10kZQx7ZF_xG0lBFae4jQEUtgsMU"",""All!A2:A""),0)),INDEX(IMPORTRANGE(""13KC70HngS4DDi8y9E5khtSpQEPG6owaQ9z4E-tR5mnY"","&amp;"""Non-Food!B2:B""),MATCH($C363,IMPORTRANGE(""13KC70HngS4DDi8y9E5khtSpQEPG6owaQ9z4E-tR5mnY"",""Non-Food!A2:A""),0))),"""")"),"")</f>
        <v/>
      </c>
      <c r="E363" s="15"/>
      <c r="F363" s="15"/>
      <c r="G363" s="36"/>
      <c r="H363" s="23" t="str">
        <f>IFERROR(__xludf.DUMMYFUNCTION("iferror(iferror(iferror(index(IMPORTRANGE(""1NK5L1mviMn0j3D3uo53ASkIZOFRlLnqaCTnwzOG2_Wg"",""Direct Link!B2:B""),MATCH($C363,IMPORTRANGE(""1NK5L1mviMn0j3D3uo53ASkIZOFRlLnqaCTnwzOG2_Wg"",""Direct Link!A2:A""),0)),XLOOKUP($C363,IMPORTRANGE(""1NK5L1mviMn0j3D"&amp;"3uo53ASkIZOFRlLnqaCTnwzOG2_Wg"",""Direct links Without Sizes!A2:A""),IMPORTRANGE(""1NK5L1mviMn0j3D3uo53ASkIZOFRlLnqaCTnwzOG2_Wg"",""Direct links Without Sizes!B2:B""))),XLOOKUP($C363,IMPORTRANGE(""1NK5L1mviMn0j3D3uo53ASkIZOFRlLnqaCTnwzOG2_Wg"",""Direct li"&amp;"nks Without Sizes!D2:D""),IMPORTRANGE(""1NK5L1mviMn0j3D3uo53ASkIZOFRlLnqaCTnwzOG2_Wg"",""Direct links Without Sizes!E2:E""))),"""")"),"")</f>
        <v/>
      </c>
      <c r="I363" s="4"/>
      <c r="J363" s="24" t="str">
        <f t="shared" si="1"/>
        <v/>
      </c>
      <c r="K363" s="25"/>
      <c r="L363" s="24" t="str">
        <f t="shared" si="2"/>
        <v/>
      </c>
      <c r="M363" s="4"/>
      <c r="N363" s="23"/>
      <c r="O363" s="23"/>
      <c r="P363" s="23"/>
      <c r="Q363" s="4" t="str">
        <f t="shared" si="4"/>
        <v/>
      </c>
      <c r="R363" s="20"/>
      <c r="S363" s="20"/>
    </row>
    <row r="364">
      <c r="A364" s="4"/>
      <c r="B364" s="4"/>
      <c r="C364" s="37"/>
      <c r="D364" s="7" t="str">
        <f>IFERROR(__xludf.DUMMYFUNCTION("iferror(iferror(INDEX(IMPORTRANGE(""12vtnxaE_Q1s4tyr10kZQx7ZF_xG0lBFae4jQEUtgsMU"",""All!B2:B""),MATCH($C364,IMPORTRANGE(""12vtnxaE_Q1s4tyr10kZQx7ZF_xG0lBFae4jQEUtgsMU"",""All!A2:A""),0)),INDEX(IMPORTRANGE(""13KC70HngS4DDi8y9E5khtSpQEPG6owaQ9z4E-tR5mnY"","&amp;"""Non-Food!B2:B""),MATCH($C364,IMPORTRANGE(""13KC70HngS4DDi8y9E5khtSpQEPG6owaQ9z4E-tR5mnY"",""Non-Food!A2:A""),0))),"""")"),"")</f>
        <v/>
      </c>
      <c r="E364" s="15"/>
      <c r="F364" s="15"/>
      <c r="G364" s="36"/>
      <c r="H364" s="23" t="str">
        <f>IFERROR(__xludf.DUMMYFUNCTION("iferror(iferror(iferror(index(IMPORTRANGE(""1NK5L1mviMn0j3D3uo53ASkIZOFRlLnqaCTnwzOG2_Wg"",""Direct Link!B2:B""),MATCH($C364,IMPORTRANGE(""1NK5L1mviMn0j3D3uo53ASkIZOFRlLnqaCTnwzOG2_Wg"",""Direct Link!A2:A""),0)),XLOOKUP($C364,IMPORTRANGE(""1NK5L1mviMn0j3D"&amp;"3uo53ASkIZOFRlLnqaCTnwzOG2_Wg"",""Direct links Without Sizes!A2:A""),IMPORTRANGE(""1NK5L1mviMn0j3D3uo53ASkIZOFRlLnqaCTnwzOG2_Wg"",""Direct links Without Sizes!B2:B""))),XLOOKUP($C364,IMPORTRANGE(""1NK5L1mviMn0j3D3uo53ASkIZOFRlLnqaCTnwzOG2_Wg"",""Direct li"&amp;"nks Without Sizes!D2:D""),IMPORTRANGE(""1NK5L1mviMn0j3D3uo53ASkIZOFRlLnqaCTnwzOG2_Wg"",""Direct links Without Sizes!E2:E""))),"""")"),"")</f>
        <v/>
      </c>
      <c r="I364" s="4"/>
      <c r="J364" s="24" t="str">
        <f t="shared" si="1"/>
        <v/>
      </c>
      <c r="K364" s="25"/>
      <c r="L364" s="24" t="str">
        <f t="shared" si="2"/>
        <v/>
      </c>
      <c r="M364" s="4"/>
      <c r="N364" s="23"/>
      <c r="O364" s="23"/>
      <c r="P364" s="23"/>
      <c r="Q364" s="4" t="str">
        <f t="shared" si="4"/>
        <v/>
      </c>
      <c r="R364" s="20"/>
      <c r="S364" s="20"/>
    </row>
    <row r="365">
      <c r="A365" s="4"/>
      <c r="B365" s="4"/>
      <c r="C365" s="37"/>
      <c r="D365" s="7" t="str">
        <f>IFERROR(__xludf.DUMMYFUNCTION("iferror(iferror(INDEX(IMPORTRANGE(""12vtnxaE_Q1s4tyr10kZQx7ZF_xG0lBFae4jQEUtgsMU"",""All!B2:B""),MATCH($C365,IMPORTRANGE(""12vtnxaE_Q1s4tyr10kZQx7ZF_xG0lBFae4jQEUtgsMU"",""All!A2:A""),0)),INDEX(IMPORTRANGE(""13KC70HngS4DDi8y9E5khtSpQEPG6owaQ9z4E-tR5mnY"","&amp;"""Non-Food!B2:B""),MATCH($C365,IMPORTRANGE(""13KC70HngS4DDi8y9E5khtSpQEPG6owaQ9z4E-tR5mnY"",""Non-Food!A2:A""),0))),"""")"),"")</f>
        <v/>
      </c>
      <c r="E365" s="15"/>
      <c r="F365" s="15"/>
      <c r="G365" s="36"/>
      <c r="H365" s="23" t="str">
        <f>IFERROR(__xludf.DUMMYFUNCTION("iferror(iferror(iferror(index(IMPORTRANGE(""1NK5L1mviMn0j3D3uo53ASkIZOFRlLnqaCTnwzOG2_Wg"",""Direct Link!B2:B""),MATCH($C365,IMPORTRANGE(""1NK5L1mviMn0j3D3uo53ASkIZOFRlLnqaCTnwzOG2_Wg"",""Direct Link!A2:A""),0)),XLOOKUP($C365,IMPORTRANGE(""1NK5L1mviMn0j3D"&amp;"3uo53ASkIZOFRlLnqaCTnwzOG2_Wg"",""Direct links Without Sizes!A2:A""),IMPORTRANGE(""1NK5L1mviMn0j3D3uo53ASkIZOFRlLnqaCTnwzOG2_Wg"",""Direct links Without Sizes!B2:B""))),XLOOKUP($C365,IMPORTRANGE(""1NK5L1mviMn0j3D3uo53ASkIZOFRlLnqaCTnwzOG2_Wg"",""Direct li"&amp;"nks Without Sizes!D2:D""),IMPORTRANGE(""1NK5L1mviMn0j3D3uo53ASkIZOFRlLnqaCTnwzOG2_Wg"",""Direct links Without Sizes!E2:E""))),"""")"),"")</f>
        <v/>
      </c>
      <c r="I365" s="4"/>
      <c r="J365" s="24" t="str">
        <f t="shared" si="1"/>
        <v/>
      </c>
      <c r="K365" s="25"/>
      <c r="L365" s="24" t="str">
        <f t="shared" si="2"/>
        <v/>
      </c>
      <c r="M365" s="4"/>
      <c r="N365" s="23"/>
      <c r="O365" s="23"/>
      <c r="P365" s="23"/>
      <c r="Q365" s="4" t="str">
        <f t="shared" si="4"/>
        <v/>
      </c>
      <c r="R365" s="20"/>
      <c r="S365" s="20"/>
    </row>
    <row r="366">
      <c r="A366" s="4"/>
      <c r="B366" s="4"/>
      <c r="C366" s="37"/>
      <c r="D366" s="7" t="str">
        <f>IFERROR(__xludf.DUMMYFUNCTION("iferror(iferror(INDEX(IMPORTRANGE(""12vtnxaE_Q1s4tyr10kZQx7ZF_xG0lBFae4jQEUtgsMU"",""All!B2:B""),MATCH($C366,IMPORTRANGE(""12vtnxaE_Q1s4tyr10kZQx7ZF_xG0lBFae4jQEUtgsMU"",""All!A2:A""),0)),INDEX(IMPORTRANGE(""13KC70HngS4DDi8y9E5khtSpQEPG6owaQ9z4E-tR5mnY"","&amp;"""Non-Food!B2:B""),MATCH($C366,IMPORTRANGE(""13KC70HngS4DDi8y9E5khtSpQEPG6owaQ9z4E-tR5mnY"",""Non-Food!A2:A""),0))),"""")"),"")</f>
        <v/>
      </c>
      <c r="E366" s="15"/>
      <c r="F366" s="15"/>
      <c r="G366" s="36"/>
      <c r="H366" s="23" t="str">
        <f>IFERROR(__xludf.DUMMYFUNCTION("iferror(iferror(iferror(index(IMPORTRANGE(""1NK5L1mviMn0j3D3uo53ASkIZOFRlLnqaCTnwzOG2_Wg"",""Direct Link!B2:B""),MATCH($C366,IMPORTRANGE(""1NK5L1mviMn0j3D3uo53ASkIZOFRlLnqaCTnwzOG2_Wg"",""Direct Link!A2:A""),0)),XLOOKUP($C366,IMPORTRANGE(""1NK5L1mviMn0j3D"&amp;"3uo53ASkIZOFRlLnqaCTnwzOG2_Wg"",""Direct links Without Sizes!A2:A""),IMPORTRANGE(""1NK5L1mviMn0j3D3uo53ASkIZOFRlLnqaCTnwzOG2_Wg"",""Direct links Without Sizes!B2:B""))),XLOOKUP($C366,IMPORTRANGE(""1NK5L1mviMn0j3D3uo53ASkIZOFRlLnqaCTnwzOG2_Wg"",""Direct li"&amp;"nks Without Sizes!D2:D""),IMPORTRANGE(""1NK5L1mviMn0j3D3uo53ASkIZOFRlLnqaCTnwzOG2_Wg"",""Direct links Without Sizes!E2:E""))),"""")"),"")</f>
        <v/>
      </c>
      <c r="I366" s="4"/>
      <c r="J366" s="24" t="str">
        <f t="shared" si="1"/>
        <v/>
      </c>
      <c r="K366" s="25"/>
      <c r="L366" s="24" t="str">
        <f t="shared" si="2"/>
        <v/>
      </c>
      <c r="M366" s="4"/>
      <c r="N366" s="23"/>
      <c r="O366" s="23"/>
      <c r="P366" s="23"/>
      <c r="Q366" s="4" t="str">
        <f t="shared" si="4"/>
        <v/>
      </c>
      <c r="R366" s="20"/>
      <c r="S366" s="20"/>
    </row>
    <row r="367">
      <c r="A367" s="4"/>
      <c r="B367" s="4"/>
      <c r="C367" s="37"/>
      <c r="D367" s="7" t="str">
        <f>IFERROR(__xludf.DUMMYFUNCTION("iferror(iferror(INDEX(IMPORTRANGE(""12vtnxaE_Q1s4tyr10kZQx7ZF_xG0lBFae4jQEUtgsMU"",""All!B2:B""),MATCH($C367,IMPORTRANGE(""12vtnxaE_Q1s4tyr10kZQx7ZF_xG0lBFae4jQEUtgsMU"",""All!A2:A""),0)),INDEX(IMPORTRANGE(""13KC70HngS4DDi8y9E5khtSpQEPG6owaQ9z4E-tR5mnY"","&amp;"""Non-Food!B2:B""),MATCH($C367,IMPORTRANGE(""13KC70HngS4DDi8y9E5khtSpQEPG6owaQ9z4E-tR5mnY"",""Non-Food!A2:A""),0))),"""")"),"")</f>
        <v/>
      </c>
      <c r="E367" s="15"/>
      <c r="F367" s="15"/>
      <c r="G367" s="36"/>
      <c r="H367" s="23" t="str">
        <f>IFERROR(__xludf.DUMMYFUNCTION("iferror(iferror(iferror(index(IMPORTRANGE(""1NK5L1mviMn0j3D3uo53ASkIZOFRlLnqaCTnwzOG2_Wg"",""Direct Link!B2:B""),MATCH($C367,IMPORTRANGE(""1NK5L1mviMn0j3D3uo53ASkIZOFRlLnqaCTnwzOG2_Wg"",""Direct Link!A2:A""),0)),XLOOKUP($C367,IMPORTRANGE(""1NK5L1mviMn0j3D"&amp;"3uo53ASkIZOFRlLnqaCTnwzOG2_Wg"",""Direct links Without Sizes!A2:A""),IMPORTRANGE(""1NK5L1mviMn0j3D3uo53ASkIZOFRlLnqaCTnwzOG2_Wg"",""Direct links Without Sizes!B2:B""))),XLOOKUP($C367,IMPORTRANGE(""1NK5L1mviMn0j3D3uo53ASkIZOFRlLnqaCTnwzOG2_Wg"",""Direct li"&amp;"nks Without Sizes!D2:D""),IMPORTRANGE(""1NK5L1mviMn0j3D3uo53ASkIZOFRlLnqaCTnwzOG2_Wg"",""Direct links Without Sizes!E2:E""))),"""")"),"")</f>
        <v/>
      </c>
      <c r="I367" s="4"/>
      <c r="J367" s="24" t="str">
        <f t="shared" si="1"/>
        <v/>
      </c>
      <c r="K367" s="25"/>
      <c r="L367" s="24" t="str">
        <f t="shared" si="2"/>
        <v/>
      </c>
      <c r="M367" s="4"/>
      <c r="N367" s="23"/>
      <c r="O367" s="23"/>
      <c r="P367" s="23"/>
      <c r="Q367" s="4" t="str">
        <f t="shared" si="4"/>
        <v/>
      </c>
      <c r="R367" s="20"/>
      <c r="S367" s="20"/>
    </row>
    <row r="368">
      <c r="A368" s="4"/>
      <c r="B368" s="4"/>
      <c r="C368" s="37"/>
      <c r="D368" s="7" t="str">
        <f>IFERROR(__xludf.DUMMYFUNCTION("iferror(iferror(INDEX(IMPORTRANGE(""12vtnxaE_Q1s4tyr10kZQx7ZF_xG0lBFae4jQEUtgsMU"",""All!B2:B""),MATCH($C368,IMPORTRANGE(""12vtnxaE_Q1s4tyr10kZQx7ZF_xG0lBFae4jQEUtgsMU"",""All!A2:A""),0)),INDEX(IMPORTRANGE(""13KC70HngS4DDi8y9E5khtSpQEPG6owaQ9z4E-tR5mnY"","&amp;"""Non-Food!B2:B""),MATCH($C368,IMPORTRANGE(""13KC70HngS4DDi8y9E5khtSpQEPG6owaQ9z4E-tR5mnY"",""Non-Food!A2:A""),0))),"""")"),"")</f>
        <v/>
      </c>
      <c r="E368" s="15"/>
      <c r="F368" s="15"/>
      <c r="G368" s="36"/>
      <c r="H368" s="23" t="str">
        <f>IFERROR(__xludf.DUMMYFUNCTION("iferror(iferror(iferror(index(IMPORTRANGE(""1NK5L1mviMn0j3D3uo53ASkIZOFRlLnqaCTnwzOG2_Wg"",""Direct Link!B2:B""),MATCH($C368,IMPORTRANGE(""1NK5L1mviMn0j3D3uo53ASkIZOFRlLnqaCTnwzOG2_Wg"",""Direct Link!A2:A""),0)),XLOOKUP($C368,IMPORTRANGE(""1NK5L1mviMn0j3D"&amp;"3uo53ASkIZOFRlLnqaCTnwzOG2_Wg"",""Direct links Without Sizes!A2:A""),IMPORTRANGE(""1NK5L1mviMn0j3D3uo53ASkIZOFRlLnqaCTnwzOG2_Wg"",""Direct links Without Sizes!B2:B""))),XLOOKUP($C368,IMPORTRANGE(""1NK5L1mviMn0j3D3uo53ASkIZOFRlLnqaCTnwzOG2_Wg"",""Direct li"&amp;"nks Without Sizes!D2:D""),IMPORTRANGE(""1NK5L1mviMn0j3D3uo53ASkIZOFRlLnqaCTnwzOG2_Wg"",""Direct links Without Sizes!E2:E""))),"""")"),"")</f>
        <v/>
      </c>
      <c r="I368" s="4"/>
      <c r="J368" s="24" t="str">
        <f t="shared" si="1"/>
        <v/>
      </c>
      <c r="K368" s="25"/>
      <c r="L368" s="24" t="str">
        <f t="shared" si="2"/>
        <v/>
      </c>
      <c r="M368" s="4"/>
      <c r="N368" s="23"/>
      <c r="O368" s="23"/>
      <c r="P368" s="23"/>
      <c r="Q368" s="4" t="str">
        <f t="shared" si="4"/>
        <v/>
      </c>
      <c r="R368" s="20"/>
      <c r="S368" s="20"/>
    </row>
    <row r="369">
      <c r="A369" s="4"/>
      <c r="B369" s="4"/>
      <c r="C369" s="37"/>
      <c r="D369" s="7" t="str">
        <f>IFERROR(__xludf.DUMMYFUNCTION("iferror(iferror(INDEX(IMPORTRANGE(""12vtnxaE_Q1s4tyr10kZQx7ZF_xG0lBFae4jQEUtgsMU"",""All!B2:B""),MATCH($C369,IMPORTRANGE(""12vtnxaE_Q1s4tyr10kZQx7ZF_xG0lBFae4jQEUtgsMU"",""All!A2:A""),0)),INDEX(IMPORTRANGE(""13KC70HngS4DDi8y9E5khtSpQEPG6owaQ9z4E-tR5mnY"","&amp;"""Non-Food!B2:B""),MATCH($C369,IMPORTRANGE(""13KC70HngS4DDi8y9E5khtSpQEPG6owaQ9z4E-tR5mnY"",""Non-Food!A2:A""),0))),"""")"),"")</f>
        <v/>
      </c>
      <c r="E369" s="15"/>
      <c r="F369" s="15"/>
      <c r="G369" s="36"/>
      <c r="H369" s="23" t="str">
        <f>IFERROR(__xludf.DUMMYFUNCTION("iferror(iferror(iferror(index(IMPORTRANGE(""1NK5L1mviMn0j3D3uo53ASkIZOFRlLnqaCTnwzOG2_Wg"",""Direct Link!B2:B""),MATCH($C369,IMPORTRANGE(""1NK5L1mviMn0j3D3uo53ASkIZOFRlLnqaCTnwzOG2_Wg"",""Direct Link!A2:A""),0)),XLOOKUP($C369,IMPORTRANGE(""1NK5L1mviMn0j3D"&amp;"3uo53ASkIZOFRlLnqaCTnwzOG2_Wg"",""Direct links Without Sizes!A2:A""),IMPORTRANGE(""1NK5L1mviMn0j3D3uo53ASkIZOFRlLnqaCTnwzOG2_Wg"",""Direct links Without Sizes!B2:B""))),XLOOKUP($C369,IMPORTRANGE(""1NK5L1mviMn0j3D3uo53ASkIZOFRlLnqaCTnwzOG2_Wg"",""Direct li"&amp;"nks Without Sizes!D2:D""),IMPORTRANGE(""1NK5L1mviMn0j3D3uo53ASkIZOFRlLnqaCTnwzOG2_Wg"",""Direct links Without Sizes!E2:E""))),"""")"),"")</f>
        <v/>
      </c>
      <c r="I369" s="4"/>
      <c r="J369" s="24" t="str">
        <f t="shared" si="1"/>
        <v/>
      </c>
      <c r="K369" s="25"/>
      <c r="L369" s="24" t="str">
        <f t="shared" si="2"/>
        <v/>
      </c>
      <c r="M369" s="4"/>
      <c r="N369" s="23"/>
      <c r="O369" s="23"/>
      <c r="P369" s="23"/>
      <c r="Q369" s="4" t="str">
        <f t="shared" si="4"/>
        <v/>
      </c>
      <c r="R369" s="20"/>
      <c r="S369" s="20"/>
    </row>
    <row r="370">
      <c r="A370" s="4"/>
      <c r="B370" s="4"/>
      <c r="C370" s="37"/>
      <c r="D370" s="7" t="str">
        <f>IFERROR(__xludf.DUMMYFUNCTION("iferror(iferror(INDEX(IMPORTRANGE(""12vtnxaE_Q1s4tyr10kZQx7ZF_xG0lBFae4jQEUtgsMU"",""All!B2:B""),MATCH($C370,IMPORTRANGE(""12vtnxaE_Q1s4tyr10kZQx7ZF_xG0lBFae4jQEUtgsMU"",""All!A2:A""),0)),INDEX(IMPORTRANGE(""13KC70HngS4DDi8y9E5khtSpQEPG6owaQ9z4E-tR5mnY"","&amp;"""Non-Food!B2:B""),MATCH($C370,IMPORTRANGE(""13KC70HngS4DDi8y9E5khtSpQEPG6owaQ9z4E-tR5mnY"",""Non-Food!A2:A""),0))),"""")"),"")</f>
        <v/>
      </c>
      <c r="E370" s="15"/>
      <c r="F370" s="15"/>
      <c r="G370" s="36"/>
      <c r="H370" s="23" t="str">
        <f>IFERROR(__xludf.DUMMYFUNCTION("iferror(iferror(iferror(index(IMPORTRANGE(""1NK5L1mviMn0j3D3uo53ASkIZOFRlLnqaCTnwzOG2_Wg"",""Direct Link!B2:B""),MATCH($C370,IMPORTRANGE(""1NK5L1mviMn0j3D3uo53ASkIZOFRlLnqaCTnwzOG2_Wg"",""Direct Link!A2:A""),0)),XLOOKUP($C370,IMPORTRANGE(""1NK5L1mviMn0j3D"&amp;"3uo53ASkIZOFRlLnqaCTnwzOG2_Wg"",""Direct links Without Sizes!A2:A""),IMPORTRANGE(""1NK5L1mviMn0j3D3uo53ASkIZOFRlLnqaCTnwzOG2_Wg"",""Direct links Without Sizes!B2:B""))),XLOOKUP($C370,IMPORTRANGE(""1NK5L1mviMn0j3D3uo53ASkIZOFRlLnqaCTnwzOG2_Wg"",""Direct li"&amp;"nks Without Sizes!D2:D""),IMPORTRANGE(""1NK5L1mviMn0j3D3uo53ASkIZOFRlLnqaCTnwzOG2_Wg"",""Direct links Without Sizes!E2:E""))),"""")"),"")</f>
        <v/>
      </c>
      <c r="I370" s="4"/>
      <c r="J370" s="24" t="str">
        <f t="shared" si="1"/>
        <v/>
      </c>
      <c r="K370" s="25"/>
      <c r="L370" s="24" t="str">
        <f t="shared" si="2"/>
        <v/>
      </c>
      <c r="M370" s="4"/>
      <c r="N370" s="23"/>
      <c r="O370" s="23"/>
      <c r="P370" s="23"/>
      <c r="Q370" s="4" t="str">
        <f t="shared" si="4"/>
        <v/>
      </c>
      <c r="R370" s="20"/>
      <c r="S370" s="20"/>
    </row>
    <row r="371">
      <c r="A371" s="4"/>
      <c r="B371" s="4"/>
      <c r="C371" s="37"/>
      <c r="D371" s="7" t="str">
        <f>IFERROR(__xludf.DUMMYFUNCTION("iferror(iferror(INDEX(IMPORTRANGE(""12vtnxaE_Q1s4tyr10kZQx7ZF_xG0lBFae4jQEUtgsMU"",""All!B2:B""),MATCH($C371,IMPORTRANGE(""12vtnxaE_Q1s4tyr10kZQx7ZF_xG0lBFae4jQEUtgsMU"",""All!A2:A""),0)),INDEX(IMPORTRANGE(""13KC70HngS4DDi8y9E5khtSpQEPG6owaQ9z4E-tR5mnY"","&amp;"""Non-Food!B2:B""),MATCH($C371,IMPORTRANGE(""13KC70HngS4DDi8y9E5khtSpQEPG6owaQ9z4E-tR5mnY"",""Non-Food!A2:A""),0))),"""")"),"")</f>
        <v/>
      </c>
      <c r="E371" s="15"/>
      <c r="F371" s="15"/>
      <c r="G371" s="36"/>
      <c r="H371" s="23" t="str">
        <f>IFERROR(__xludf.DUMMYFUNCTION("iferror(iferror(iferror(index(IMPORTRANGE(""1NK5L1mviMn0j3D3uo53ASkIZOFRlLnqaCTnwzOG2_Wg"",""Direct Link!B2:B""),MATCH($C371,IMPORTRANGE(""1NK5L1mviMn0j3D3uo53ASkIZOFRlLnqaCTnwzOG2_Wg"",""Direct Link!A2:A""),0)),XLOOKUP($C371,IMPORTRANGE(""1NK5L1mviMn0j3D"&amp;"3uo53ASkIZOFRlLnqaCTnwzOG2_Wg"",""Direct links Without Sizes!A2:A""),IMPORTRANGE(""1NK5L1mviMn0j3D3uo53ASkIZOFRlLnqaCTnwzOG2_Wg"",""Direct links Without Sizes!B2:B""))),XLOOKUP($C371,IMPORTRANGE(""1NK5L1mviMn0j3D3uo53ASkIZOFRlLnqaCTnwzOG2_Wg"",""Direct li"&amp;"nks Without Sizes!D2:D""),IMPORTRANGE(""1NK5L1mviMn0j3D3uo53ASkIZOFRlLnqaCTnwzOG2_Wg"",""Direct links Without Sizes!E2:E""))),"""")"),"")</f>
        <v/>
      </c>
      <c r="I371" s="4"/>
      <c r="J371" s="24" t="str">
        <f t="shared" si="1"/>
        <v/>
      </c>
      <c r="K371" s="25"/>
      <c r="L371" s="24" t="str">
        <f t="shared" si="2"/>
        <v/>
      </c>
      <c r="M371" s="4"/>
      <c r="N371" s="23"/>
      <c r="O371" s="23"/>
      <c r="P371" s="23"/>
      <c r="Q371" s="4" t="str">
        <f t="shared" si="4"/>
        <v/>
      </c>
      <c r="R371" s="20"/>
      <c r="S371" s="20"/>
    </row>
    <row r="372">
      <c r="A372" s="4"/>
      <c r="B372" s="4"/>
      <c r="C372" s="37"/>
      <c r="D372" s="7" t="str">
        <f>IFERROR(__xludf.DUMMYFUNCTION("iferror(iferror(INDEX(IMPORTRANGE(""12vtnxaE_Q1s4tyr10kZQx7ZF_xG0lBFae4jQEUtgsMU"",""All!B2:B""),MATCH($C372,IMPORTRANGE(""12vtnxaE_Q1s4tyr10kZQx7ZF_xG0lBFae4jQEUtgsMU"",""All!A2:A""),0)),INDEX(IMPORTRANGE(""13KC70HngS4DDi8y9E5khtSpQEPG6owaQ9z4E-tR5mnY"","&amp;"""Non-Food!B2:B""),MATCH($C372,IMPORTRANGE(""13KC70HngS4DDi8y9E5khtSpQEPG6owaQ9z4E-tR5mnY"",""Non-Food!A2:A""),0))),"""")"),"")</f>
        <v/>
      </c>
      <c r="E372" s="15"/>
      <c r="F372" s="15"/>
      <c r="G372" s="36"/>
      <c r="H372" s="23" t="str">
        <f>IFERROR(__xludf.DUMMYFUNCTION("iferror(iferror(iferror(index(IMPORTRANGE(""1NK5L1mviMn0j3D3uo53ASkIZOFRlLnqaCTnwzOG2_Wg"",""Direct Link!B2:B""),MATCH($C372,IMPORTRANGE(""1NK5L1mviMn0j3D3uo53ASkIZOFRlLnqaCTnwzOG2_Wg"",""Direct Link!A2:A""),0)),XLOOKUP($C372,IMPORTRANGE(""1NK5L1mviMn0j3D"&amp;"3uo53ASkIZOFRlLnqaCTnwzOG2_Wg"",""Direct links Without Sizes!A2:A""),IMPORTRANGE(""1NK5L1mviMn0j3D3uo53ASkIZOFRlLnqaCTnwzOG2_Wg"",""Direct links Without Sizes!B2:B""))),XLOOKUP($C372,IMPORTRANGE(""1NK5L1mviMn0j3D3uo53ASkIZOFRlLnqaCTnwzOG2_Wg"",""Direct li"&amp;"nks Without Sizes!D2:D""),IMPORTRANGE(""1NK5L1mviMn0j3D3uo53ASkIZOFRlLnqaCTnwzOG2_Wg"",""Direct links Without Sizes!E2:E""))),"""")"),"")</f>
        <v/>
      </c>
      <c r="I372" s="4"/>
      <c r="J372" s="24" t="str">
        <f t="shared" si="1"/>
        <v/>
      </c>
      <c r="K372" s="25"/>
      <c r="L372" s="24" t="str">
        <f t="shared" si="2"/>
        <v/>
      </c>
      <c r="M372" s="4"/>
      <c r="N372" s="23"/>
      <c r="O372" s="23"/>
      <c r="P372" s="23"/>
      <c r="Q372" s="4" t="str">
        <f t="shared" si="4"/>
        <v/>
      </c>
      <c r="R372" s="20"/>
      <c r="S372" s="20"/>
    </row>
    <row r="373">
      <c r="A373" s="4"/>
      <c r="B373" s="4"/>
      <c r="C373" s="37"/>
      <c r="D373" s="7" t="str">
        <f>IFERROR(__xludf.DUMMYFUNCTION("iferror(iferror(INDEX(IMPORTRANGE(""12vtnxaE_Q1s4tyr10kZQx7ZF_xG0lBFae4jQEUtgsMU"",""All!B2:B""),MATCH($C373,IMPORTRANGE(""12vtnxaE_Q1s4tyr10kZQx7ZF_xG0lBFae4jQEUtgsMU"",""All!A2:A""),0)),INDEX(IMPORTRANGE(""13KC70HngS4DDi8y9E5khtSpQEPG6owaQ9z4E-tR5mnY"","&amp;"""Non-Food!B2:B""),MATCH($C373,IMPORTRANGE(""13KC70HngS4DDi8y9E5khtSpQEPG6owaQ9z4E-tR5mnY"",""Non-Food!A2:A""),0))),"""")"),"")</f>
        <v/>
      </c>
      <c r="E373" s="15"/>
      <c r="F373" s="15"/>
      <c r="G373" s="36"/>
      <c r="H373" s="23" t="str">
        <f>IFERROR(__xludf.DUMMYFUNCTION("iferror(iferror(iferror(index(IMPORTRANGE(""1NK5L1mviMn0j3D3uo53ASkIZOFRlLnqaCTnwzOG2_Wg"",""Direct Link!B2:B""),MATCH($C373,IMPORTRANGE(""1NK5L1mviMn0j3D3uo53ASkIZOFRlLnqaCTnwzOG2_Wg"",""Direct Link!A2:A""),0)),XLOOKUP($C373,IMPORTRANGE(""1NK5L1mviMn0j3D"&amp;"3uo53ASkIZOFRlLnqaCTnwzOG2_Wg"",""Direct links Without Sizes!A2:A""),IMPORTRANGE(""1NK5L1mviMn0j3D3uo53ASkIZOFRlLnqaCTnwzOG2_Wg"",""Direct links Without Sizes!B2:B""))),XLOOKUP($C373,IMPORTRANGE(""1NK5L1mviMn0j3D3uo53ASkIZOFRlLnqaCTnwzOG2_Wg"",""Direct li"&amp;"nks Without Sizes!D2:D""),IMPORTRANGE(""1NK5L1mviMn0j3D3uo53ASkIZOFRlLnqaCTnwzOG2_Wg"",""Direct links Without Sizes!E2:E""))),"""")"),"")</f>
        <v/>
      </c>
      <c r="I373" s="4"/>
      <c r="J373" s="24" t="str">
        <f t="shared" si="1"/>
        <v/>
      </c>
      <c r="K373" s="25"/>
      <c r="L373" s="24" t="str">
        <f t="shared" si="2"/>
        <v/>
      </c>
      <c r="M373" s="4"/>
      <c r="N373" s="23"/>
      <c r="O373" s="23"/>
      <c r="P373" s="23"/>
      <c r="Q373" s="4" t="str">
        <f t="shared" si="4"/>
        <v/>
      </c>
      <c r="R373" s="20"/>
      <c r="S373" s="20"/>
    </row>
    <row r="374">
      <c r="A374" s="4"/>
      <c r="B374" s="4"/>
      <c r="C374" s="37"/>
      <c r="D374" s="7" t="str">
        <f>IFERROR(__xludf.DUMMYFUNCTION("iferror(iferror(INDEX(IMPORTRANGE(""12vtnxaE_Q1s4tyr10kZQx7ZF_xG0lBFae4jQEUtgsMU"",""All!B2:B""),MATCH($C374,IMPORTRANGE(""12vtnxaE_Q1s4tyr10kZQx7ZF_xG0lBFae4jQEUtgsMU"",""All!A2:A""),0)),INDEX(IMPORTRANGE(""13KC70HngS4DDi8y9E5khtSpQEPG6owaQ9z4E-tR5mnY"","&amp;"""Non-Food!B2:B""),MATCH($C374,IMPORTRANGE(""13KC70HngS4DDi8y9E5khtSpQEPG6owaQ9z4E-tR5mnY"",""Non-Food!A2:A""),0))),"""")"),"")</f>
        <v/>
      </c>
      <c r="E374" s="15"/>
      <c r="F374" s="15"/>
      <c r="G374" s="36"/>
      <c r="H374" s="23" t="str">
        <f>IFERROR(__xludf.DUMMYFUNCTION("iferror(iferror(iferror(index(IMPORTRANGE(""1NK5L1mviMn0j3D3uo53ASkIZOFRlLnqaCTnwzOG2_Wg"",""Direct Link!B2:B""),MATCH($C374,IMPORTRANGE(""1NK5L1mviMn0j3D3uo53ASkIZOFRlLnqaCTnwzOG2_Wg"",""Direct Link!A2:A""),0)),XLOOKUP($C374,IMPORTRANGE(""1NK5L1mviMn0j3D"&amp;"3uo53ASkIZOFRlLnqaCTnwzOG2_Wg"",""Direct links Without Sizes!A2:A""),IMPORTRANGE(""1NK5L1mviMn0j3D3uo53ASkIZOFRlLnqaCTnwzOG2_Wg"",""Direct links Without Sizes!B2:B""))),XLOOKUP($C374,IMPORTRANGE(""1NK5L1mviMn0j3D3uo53ASkIZOFRlLnqaCTnwzOG2_Wg"",""Direct li"&amp;"nks Without Sizes!D2:D""),IMPORTRANGE(""1NK5L1mviMn0j3D3uo53ASkIZOFRlLnqaCTnwzOG2_Wg"",""Direct links Without Sizes!E2:E""))),"""")"),"")</f>
        <v/>
      </c>
      <c r="I374" s="4"/>
      <c r="J374" s="24" t="str">
        <f t="shared" si="1"/>
        <v/>
      </c>
      <c r="K374" s="25"/>
      <c r="L374" s="24" t="str">
        <f t="shared" si="2"/>
        <v/>
      </c>
      <c r="M374" s="4"/>
      <c r="N374" s="23"/>
      <c r="O374" s="23"/>
      <c r="P374" s="23"/>
      <c r="Q374" s="4" t="str">
        <f t="shared" si="4"/>
        <v/>
      </c>
      <c r="R374" s="20"/>
      <c r="S374" s="20"/>
    </row>
    <row r="375">
      <c r="A375" s="4"/>
      <c r="B375" s="4"/>
      <c r="C375" s="37"/>
      <c r="D375" s="7" t="str">
        <f>IFERROR(__xludf.DUMMYFUNCTION("iferror(iferror(INDEX(IMPORTRANGE(""12vtnxaE_Q1s4tyr10kZQx7ZF_xG0lBFae4jQEUtgsMU"",""All!B2:B""),MATCH($C375,IMPORTRANGE(""12vtnxaE_Q1s4tyr10kZQx7ZF_xG0lBFae4jQEUtgsMU"",""All!A2:A""),0)),INDEX(IMPORTRANGE(""13KC70HngS4DDi8y9E5khtSpQEPG6owaQ9z4E-tR5mnY"","&amp;"""Non-Food!B2:B""),MATCH($C375,IMPORTRANGE(""13KC70HngS4DDi8y9E5khtSpQEPG6owaQ9z4E-tR5mnY"",""Non-Food!A2:A""),0))),"""")"),"")</f>
        <v/>
      </c>
      <c r="E375" s="15"/>
      <c r="F375" s="15"/>
      <c r="G375" s="36"/>
      <c r="H375" s="23" t="str">
        <f>IFERROR(__xludf.DUMMYFUNCTION("iferror(iferror(iferror(index(IMPORTRANGE(""1NK5L1mviMn0j3D3uo53ASkIZOFRlLnqaCTnwzOG2_Wg"",""Direct Link!B2:B""),MATCH($C375,IMPORTRANGE(""1NK5L1mviMn0j3D3uo53ASkIZOFRlLnqaCTnwzOG2_Wg"",""Direct Link!A2:A""),0)),XLOOKUP($C375,IMPORTRANGE(""1NK5L1mviMn0j3D"&amp;"3uo53ASkIZOFRlLnqaCTnwzOG2_Wg"",""Direct links Without Sizes!A2:A""),IMPORTRANGE(""1NK5L1mviMn0j3D3uo53ASkIZOFRlLnqaCTnwzOG2_Wg"",""Direct links Without Sizes!B2:B""))),XLOOKUP($C375,IMPORTRANGE(""1NK5L1mviMn0j3D3uo53ASkIZOFRlLnqaCTnwzOG2_Wg"",""Direct li"&amp;"nks Without Sizes!D2:D""),IMPORTRANGE(""1NK5L1mviMn0j3D3uo53ASkIZOFRlLnqaCTnwzOG2_Wg"",""Direct links Without Sizes!E2:E""))),"""")"),"")</f>
        <v/>
      </c>
      <c r="I375" s="4"/>
      <c r="J375" s="24" t="str">
        <f t="shared" si="1"/>
        <v/>
      </c>
      <c r="K375" s="25"/>
      <c r="L375" s="24" t="str">
        <f t="shared" si="2"/>
        <v/>
      </c>
      <c r="M375" s="4"/>
      <c r="N375" s="23"/>
      <c r="O375" s="23"/>
      <c r="P375" s="23"/>
      <c r="Q375" s="4" t="str">
        <f t="shared" si="4"/>
        <v/>
      </c>
      <c r="R375" s="20"/>
      <c r="S375" s="20"/>
    </row>
    <row r="376">
      <c r="A376" s="4"/>
      <c r="B376" s="4"/>
      <c r="C376" s="37"/>
      <c r="D376" s="7" t="str">
        <f>IFERROR(__xludf.DUMMYFUNCTION("iferror(iferror(INDEX(IMPORTRANGE(""12vtnxaE_Q1s4tyr10kZQx7ZF_xG0lBFae4jQEUtgsMU"",""All!B2:B""),MATCH($C376,IMPORTRANGE(""12vtnxaE_Q1s4tyr10kZQx7ZF_xG0lBFae4jQEUtgsMU"",""All!A2:A""),0)),INDEX(IMPORTRANGE(""13KC70HngS4DDi8y9E5khtSpQEPG6owaQ9z4E-tR5mnY"","&amp;"""Non-Food!B2:B""),MATCH($C376,IMPORTRANGE(""13KC70HngS4DDi8y9E5khtSpQEPG6owaQ9z4E-tR5mnY"",""Non-Food!A2:A""),0))),"""")"),"")</f>
        <v/>
      </c>
      <c r="E376" s="15"/>
      <c r="F376" s="15"/>
      <c r="G376" s="36"/>
      <c r="H376" s="23" t="str">
        <f>IFERROR(__xludf.DUMMYFUNCTION("iferror(iferror(iferror(index(IMPORTRANGE(""1NK5L1mviMn0j3D3uo53ASkIZOFRlLnqaCTnwzOG2_Wg"",""Direct Link!B2:B""),MATCH($C376,IMPORTRANGE(""1NK5L1mviMn0j3D3uo53ASkIZOFRlLnqaCTnwzOG2_Wg"",""Direct Link!A2:A""),0)),XLOOKUP($C376,IMPORTRANGE(""1NK5L1mviMn0j3D"&amp;"3uo53ASkIZOFRlLnqaCTnwzOG2_Wg"",""Direct links Without Sizes!A2:A""),IMPORTRANGE(""1NK5L1mviMn0j3D3uo53ASkIZOFRlLnqaCTnwzOG2_Wg"",""Direct links Without Sizes!B2:B""))),XLOOKUP($C376,IMPORTRANGE(""1NK5L1mviMn0j3D3uo53ASkIZOFRlLnqaCTnwzOG2_Wg"",""Direct li"&amp;"nks Without Sizes!D2:D""),IMPORTRANGE(""1NK5L1mviMn0j3D3uo53ASkIZOFRlLnqaCTnwzOG2_Wg"",""Direct links Without Sizes!E2:E""))),"""")"),"")</f>
        <v/>
      </c>
      <c r="I376" s="4"/>
      <c r="J376" s="24" t="str">
        <f t="shared" si="1"/>
        <v/>
      </c>
      <c r="K376" s="25"/>
      <c r="L376" s="24" t="str">
        <f t="shared" si="2"/>
        <v/>
      </c>
      <c r="M376" s="4"/>
      <c r="N376" s="23"/>
      <c r="O376" s="23"/>
      <c r="P376" s="23"/>
      <c r="Q376" s="4" t="str">
        <f t="shared" si="4"/>
        <v/>
      </c>
      <c r="R376" s="20"/>
      <c r="S376" s="20"/>
    </row>
    <row r="377">
      <c r="A377" s="4"/>
      <c r="B377" s="4"/>
      <c r="C377" s="37"/>
      <c r="D377" s="7" t="str">
        <f>IFERROR(__xludf.DUMMYFUNCTION("iferror(iferror(INDEX(IMPORTRANGE(""12vtnxaE_Q1s4tyr10kZQx7ZF_xG0lBFae4jQEUtgsMU"",""All!B2:B""),MATCH($C377,IMPORTRANGE(""12vtnxaE_Q1s4tyr10kZQx7ZF_xG0lBFae4jQEUtgsMU"",""All!A2:A""),0)),INDEX(IMPORTRANGE(""13KC70HngS4DDi8y9E5khtSpQEPG6owaQ9z4E-tR5mnY"","&amp;"""Non-Food!B2:B""),MATCH($C377,IMPORTRANGE(""13KC70HngS4DDi8y9E5khtSpQEPG6owaQ9z4E-tR5mnY"",""Non-Food!A2:A""),0))),"""")"),"")</f>
        <v/>
      </c>
      <c r="E377" s="15"/>
      <c r="F377" s="15"/>
      <c r="G377" s="36"/>
      <c r="H377" s="23" t="str">
        <f>IFERROR(__xludf.DUMMYFUNCTION("iferror(iferror(iferror(index(IMPORTRANGE(""1NK5L1mviMn0j3D3uo53ASkIZOFRlLnqaCTnwzOG2_Wg"",""Direct Link!B2:B""),MATCH($C377,IMPORTRANGE(""1NK5L1mviMn0j3D3uo53ASkIZOFRlLnqaCTnwzOG2_Wg"",""Direct Link!A2:A""),0)),XLOOKUP($C377,IMPORTRANGE(""1NK5L1mviMn0j3D"&amp;"3uo53ASkIZOFRlLnqaCTnwzOG2_Wg"",""Direct links Without Sizes!A2:A""),IMPORTRANGE(""1NK5L1mviMn0j3D3uo53ASkIZOFRlLnqaCTnwzOG2_Wg"",""Direct links Without Sizes!B2:B""))),XLOOKUP($C377,IMPORTRANGE(""1NK5L1mviMn0j3D3uo53ASkIZOFRlLnqaCTnwzOG2_Wg"",""Direct li"&amp;"nks Without Sizes!D2:D""),IMPORTRANGE(""1NK5L1mviMn0j3D3uo53ASkIZOFRlLnqaCTnwzOG2_Wg"",""Direct links Without Sizes!E2:E""))),"""")"),"")</f>
        <v/>
      </c>
      <c r="I377" s="4"/>
      <c r="J377" s="24" t="str">
        <f t="shared" si="1"/>
        <v/>
      </c>
      <c r="K377" s="25"/>
      <c r="L377" s="24" t="str">
        <f t="shared" si="2"/>
        <v/>
      </c>
      <c r="M377" s="4"/>
      <c r="N377" s="23"/>
      <c r="O377" s="23"/>
      <c r="P377" s="23"/>
      <c r="Q377" s="4" t="str">
        <f t="shared" si="4"/>
        <v/>
      </c>
      <c r="R377" s="20"/>
      <c r="S377" s="20"/>
    </row>
    <row r="378">
      <c r="A378" s="4"/>
      <c r="B378" s="4"/>
      <c r="C378" s="37"/>
      <c r="D378" s="7" t="str">
        <f>IFERROR(__xludf.DUMMYFUNCTION("iferror(iferror(INDEX(IMPORTRANGE(""12vtnxaE_Q1s4tyr10kZQx7ZF_xG0lBFae4jQEUtgsMU"",""All!B2:B""),MATCH($C378,IMPORTRANGE(""12vtnxaE_Q1s4tyr10kZQx7ZF_xG0lBFae4jQEUtgsMU"",""All!A2:A""),0)),INDEX(IMPORTRANGE(""13KC70HngS4DDi8y9E5khtSpQEPG6owaQ9z4E-tR5mnY"","&amp;"""Non-Food!B2:B""),MATCH($C378,IMPORTRANGE(""13KC70HngS4DDi8y9E5khtSpQEPG6owaQ9z4E-tR5mnY"",""Non-Food!A2:A""),0))),"""")"),"")</f>
        <v/>
      </c>
      <c r="E378" s="15"/>
      <c r="F378" s="15"/>
      <c r="G378" s="36"/>
      <c r="H378" s="23" t="str">
        <f>IFERROR(__xludf.DUMMYFUNCTION("iferror(iferror(iferror(index(IMPORTRANGE(""1NK5L1mviMn0j3D3uo53ASkIZOFRlLnqaCTnwzOG2_Wg"",""Direct Link!B2:B""),MATCH($C378,IMPORTRANGE(""1NK5L1mviMn0j3D3uo53ASkIZOFRlLnqaCTnwzOG2_Wg"",""Direct Link!A2:A""),0)),XLOOKUP($C378,IMPORTRANGE(""1NK5L1mviMn0j3D"&amp;"3uo53ASkIZOFRlLnqaCTnwzOG2_Wg"",""Direct links Without Sizes!A2:A""),IMPORTRANGE(""1NK5L1mviMn0j3D3uo53ASkIZOFRlLnqaCTnwzOG2_Wg"",""Direct links Without Sizes!B2:B""))),XLOOKUP($C378,IMPORTRANGE(""1NK5L1mviMn0j3D3uo53ASkIZOFRlLnqaCTnwzOG2_Wg"",""Direct li"&amp;"nks Without Sizes!D2:D""),IMPORTRANGE(""1NK5L1mviMn0j3D3uo53ASkIZOFRlLnqaCTnwzOG2_Wg"",""Direct links Without Sizes!E2:E""))),"""")"),"")</f>
        <v/>
      </c>
      <c r="I378" s="4"/>
      <c r="J378" s="24" t="str">
        <f t="shared" si="1"/>
        <v/>
      </c>
      <c r="K378" s="25"/>
      <c r="L378" s="24" t="str">
        <f t="shared" si="2"/>
        <v/>
      </c>
      <c r="M378" s="4"/>
      <c r="N378" s="23"/>
      <c r="O378" s="23"/>
      <c r="P378" s="23"/>
      <c r="Q378" s="4" t="str">
        <f t="shared" si="4"/>
        <v/>
      </c>
      <c r="R378" s="20"/>
      <c r="S378" s="20"/>
    </row>
    <row r="379">
      <c r="A379" s="4"/>
      <c r="B379" s="4"/>
      <c r="C379" s="37"/>
      <c r="D379" s="7" t="str">
        <f>IFERROR(__xludf.DUMMYFUNCTION("iferror(iferror(INDEX(IMPORTRANGE(""12vtnxaE_Q1s4tyr10kZQx7ZF_xG0lBFae4jQEUtgsMU"",""All!B2:B""),MATCH($C379,IMPORTRANGE(""12vtnxaE_Q1s4tyr10kZQx7ZF_xG0lBFae4jQEUtgsMU"",""All!A2:A""),0)),INDEX(IMPORTRANGE(""13KC70HngS4DDi8y9E5khtSpQEPG6owaQ9z4E-tR5mnY"","&amp;"""Non-Food!B2:B""),MATCH($C379,IMPORTRANGE(""13KC70HngS4DDi8y9E5khtSpQEPG6owaQ9z4E-tR5mnY"",""Non-Food!A2:A""),0))),"""")"),"")</f>
        <v/>
      </c>
      <c r="E379" s="15"/>
      <c r="F379" s="15"/>
      <c r="G379" s="36"/>
      <c r="H379" s="23" t="str">
        <f>IFERROR(__xludf.DUMMYFUNCTION("iferror(iferror(iferror(index(IMPORTRANGE(""1NK5L1mviMn0j3D3uo53ASkIZOFRlLnqaCTnwzOG2_Wg"",""Direct Link!B2:B""),MATCH($C379,IMPORTRANGE(""1NK5L1mviMn0j3D3uo53ASkIZOFRlLnqaCTnwzOG2_Wg"",""Direct Link!A2:A""),0)),XLOOKUP($C379,IMPORTRANGE(""1NK5L1mviMn0j3D"&amp;"3uo53ASkIZOFRlLnqaCTnwzOG2_Wg"",""Direct links Without Sizes!A2:A""),IMPORTRANGE(""1NK5L1mviMn0j3D3uo53ASkIZOFRlLnqaCTnwzOG2_Wg"",""Direct links Without Sizes!B2:B""))),XLOOKUP($C379,IMPORTRANGE(""1NK5L1mviMn0j3D3uo53ASkIZOFRlLnqaCTnwzOG2_Wg"",""Direct li"&amp;"nks Without Sizes!D2:D""),IMPORTRANGE(""1NK5L1mviMn0j3D3uo53ASkIZOFRlLnqaCTnwzOG2_Wg"",""Direct links Without Sizes!E2:E""))),"""")"),"")</f>
        <v/>
      </c>
      <c r="I379" s="4"/>
      <c r="J379" s="24" t="str">
        <f t="shared" si="1"/>
        <v/>
      </c>
      <c r="K379" s="25"/>
      <c r="L379" s="24" t="str">
        <f t="shared" si="2"/>
        <v/>
      </c>
      <c r="M379" s="4"/>
      <c r="N379" s="23"/>
      <c r="O379" s="23"/>
      <c r="P379" s="23"/>
      <c r="Q379" s="4" t="str">
        <f t="shared" si="4"/>
        <v/>
      </c>
      <c r="R379" s="20"/>
      <c r="S379" s="20"/>
    </row>
    <row r="380">
      <c r="A380" s="4"/>
      <c r="B380" s="4"/>
      <c r="C380" s="37"/>
      <c r="D380" s="7" t="str">
        <f>IFERROR(__xludf.DUMMYFUNCTION("iferror(iferror(INDEX(IMPORTRANGE(""12vtnxaE_Q1s4tyr10kZQx7ZF_xG0lBFae4jQEUtgsMU"",""All!B2:B""),MATCH($C380,IMPORTRANGE(""12vtnxaE_Q1s4tyr10kZQx7ZF_xG0lBFae4jQEUtgsMU"",""All!A2:A""),0)),INDEX(IMPORTRANGE(""13KC70HngS4DDi8y9E5khtSpQEPG6owaQ9z4E-tR5mnY"","&amp;"""Non-Food!B2:B""),MATCH($C380,IMPORTRANGE(""13KC70HngS4DDi8y9E5khtSpQEPG6owaQ9z4E-tR5mnY"",""Non-Food!A2:A""),0))),"""")"),"")</f>
        <v/>
      </c>
      <c r="E380" s="15"/>
      <c r="F380" s="15"/>
      <c r="G380" s="36"/>
      <c r="H380" s="23" t="str">
        <f>IFERROR(__xludf.DUMMYFUNCTION("iferror(iferror(iferror(index(IMPORTRANGE(""1NK5L1mviMn0j3D3uo53ASkIZOFRlLnqaCTnwzOG2_Wg"",""Direct Link!B2:B""),MATCH($C380,IMPORTRANGE(""1NK5L1mviMn0j3D3uo53ASkIZOFRlLnqaCTnwzOG2_Wg"",""Direct Link!A2:A""),0)),XLOOKUP($C380,IMPORTRANGE(""1NK5L1mviMn0j3D"&amp;"3uo53ASkIZOFRlLnqaCTnwzOG2_Wg"",""Direct links Without Sizes!A2:A""),IMPORTRANGE(""1NK5L1mviMn0j3D3uo53ASkIZOFRlLnqaCTnwzOG2_Wg"",""Direct links Without Sizes!B2:B""))),XLOOKUP($C380,IMPORTRANGE(""1NK5L1mviMn0j3D3uo53ASkIZOFRlLnqaCTnwzOG2_Wg"",""Direct li"&amp;"nks Without Sizes!D2:D""),IMPORTRANGE(""1NK5L1mviMn0j3D3uo53ASkIZOFRlLnqaCTnwzOG2_Wg"",""Direct links Without Sizes!E2:E""))),"""")"),"")</f>
        <v/>
      </c>
      <c r="I380" s="4"/>
      <c r="J380" s="24" t="str">
        <f t="shared" si="1"/>
        <v/>
      </c>
      <c r="K380" s="25"/>
      <c r="L380" s="24" t="str">
        <f t="shared" si="2"/>
        <v/>
      </c>
      <c r="M380" s="4"/>
      <c r="N380" s="23"/>
      <c r="O380" s="23"/>
      <c r="P380" s="23"/>
      <c r="Q380" s="4" t="str">
        <f t="shared" si="4"/>
        <v/>
      </c>
      <c r="R380" s="20"/>
      <c r="S380" s="20"/>
    </row>
    <row r="381">
      <c r="A381" s="4"/>
      <c r="B381" s="4"/>
      <c r="C381" s="37"/>
      <c r="D381" s="7" t="str">
        <f>IFERROR(__xludf.DUMMYFUNCTION("iferror(iferror(INDEX(IMPORTRANGE(""12vtnxaE_Q1s4tyr10kZQx7ZF_xG0lBFae4jQEUtgsMU"",""All!B2:B""),MATCH($C381,IMPORTRANGE(""12vtnxaE_Q1s4tyr10kZQx7ZF_xG0lBFae4jQEUtgsMU"",""All!A2:A""),0)),INDEX(IMPORTRANGE(""13KC70HngS4DDi8y9E5khtSpQEPG6owaQ9z4E-tR5mnY"","&amp;"""Non-Food!B2:B""),MATCH($C381,IMPORTRANGE(""13KC70HngS4DDi8y9E5khtSpQEPG6owaQ9z4E-tR5mnY"",""Non-Food!A2:A""),0))),"""")"),"")</f>
        <v/>
      </c>
      <c r="E381" s="15"/>
      <c r="F381" s="15"/>
      <c r="G381" s="36"/>
      <c r="H381" s="23" t="str">
        <f>IFERROR(__xludf.DUMMYFUNCTION("iferror(iferror(iferror(index(IMPORTRANGE(""1NK5L1mviMn0j3D3uo53ASkIZOFRlLnqaCTnwzOG2_Wg"",""Direct Link!B2:B""),MATCH($C381,IMPORTRANGE(""1NK5L1mviMn0j3D3uo53ASkIZOFRlLnqaCTnwzOG2_Wg"",""Direct Link!A2:A""),0)),XLOOKUP($C381,IMPORTRANGE(""1NK5L1mviMn0j3D"&amp;"3uo53ASkIZOFRlLnqaCTnwzOG2_Wg"",""Direct links Without Sizes!A2:A""),IMPORTRANGE(""1NK5L1mviMn0j3D3uo53ASkIZOFRlLnqaCTnwzOG2_Wg"",""Direct links Without Sizes!B2:B""))),XLOOKUP($C381,IMPORTRANGE(""1NK5L1mviMn0j3D3uo53ASkIZOFRlLnqaCTnwzOG2_Wg"",""Direct li"&amp;"nks Without Sizes!D2:D""),IMPORTRANGE(""1NK5L1mviMn0j3D3uo53ASkIZOFRlLnqaCTnwzOG2_Wg"",""Direct links Without Sizes!E2:E""))),"""")"),"")</f>
        <v/>
      </c>
      <c r="I381" s="4"/>
      <c r="J381" s="24" t="str">
        <f t="shared" si="1"/>
        <v/>
      </c>
      <c r="K381" s="25"/>
      <c r="L381" s="24" t="str">
        <f t="shared" si="2"/>
        <v/>
      </c>
      <c r="M381" s="4"/>
      <c r="N381" s="23"/>
      <c r="O381" s="23"/>
      <c r="P381" s="23"/>
      <c r="Q381" s="4" t="str">
        <f t="shared" si="4"/>
        <v/>
      </c>
      <c r="R381" s="20"/>
      <c r="S381" s="20"/>
    </row>
    <row r="382">
      <c r="A382" s="4"/>
      <c r="B382" s="4"/>
      <c r="C382" s="37"/>
      <c r="D382" s="7" t="str">
        <f>IFERROR(__xludf.DUMMYFUNCTION("iferror(iferror(INDEX(IMPORTRANGE(""12vtnxaE_Q1s4tyr10kZQx7ZF_xG0lBFae4jQEUtgsMU"",""All!B2:B""),MATCH($C382,IMPORTRANGE(""12vtnxaE_Q1s4tyr10kZQx7ZF_xG0lBFae4jQEUtgsMU"",""All!A2:A""),0)),INDEX(IMPORTRANGE(""13KC70HngS4DDi8y9E5khtSpQEPG6owaQ9z4E-tR5mnY"","&amp;"""Non-Food!B2:B""),MATCH($C382,IMPORTRANGE(""13KC70HngS4DDi8y9E5khtSpQEPG6owaQ9z4E-tR5mnY"",""Non-Food!A2:A""),0))),"""")"),"")</f>
        <v/>
      </c>
      <c r="E382" s="15"/>
      <c r="F382" s="15"/>
      <c r="G382" s="36"/>
      <c r="H382" s="23" t="str">
        <f>IFERROR(__xludf.DUMMYFUNCTION("iferror(iferror(iferror(index(IMPORTRANGE(""1NK5L1mviMn0j3D3uo53ASkIZOFRlLnqaCTnwzOG2_Wg"",""Direct Link!B2:B""),MATCH($C382,IMPORTRANGE(""1NK5L1mviMn0j3D3uo53ASkIZOFRlLnqaCTnwzOG2_Wg"",""Direct Link!A2:A""),0)),XLOOKUP($C382,IMPORTRANGE(""1NK5L1mviMn0j3D"&amp;"3uo53ASkIZOFRlLnqaCTnwzOG2_Wg"",""Direct links Without Sizes!A2:A""),IMPORTRANGE(""1NK5L1mviMn0j3D3uo53ASkIZOFRlLnqaCTnwzOG2_Wg"",""Direct links Without Sizes!B2:B""))),XLOOKUP($C382,IMPORTRANGE(""1NK5L1mviMn0j3D3uo53ASkIZOFRlLnqaCTnwzOG2_Wg"",""Direct li"&amp;"nks Without Sizes!D2:D""),IMPORTRANGE(""1NK5L1mviMn0j3D3uo53ASkIZOFRlLnqaCTnwzOG2_Wg"",""Direct links Without Sizes!E2:E""))),"""")"),"")</f>
        <v/>
      </c>
      <c r="I382" s="4"/>
      <c r="J382" s="24" t="str">
        <f t="shared" si="1"/>
        <v/>
      </c>
      <c r="K382" s="25"/>
      <c r="L382" s="24" t="str">
        <f t="shared" si="2"/>
        <v/>
      </c>
      <c r="M382" s="4"/>
      <c r="N382" s="23"/>
      <c r="O382" s="23"/>
      <c r="P382" s="23"/>
      <c r="Q382" s="4" t="str">
        <f t="shared" si="4"/>
        <v/>
      </c>
      <c r="R382" s="20"/>
      <c r="S382" s="20"/>
    </row>
    <row r="383">
      <c r="A383" s="4"/>
      <c r="B383" s="4"/>
      <c r="C383" s="37"/>
      <c r="D383" s="7" t="str">
        <f>IFERROR(__xludf.DUMMYFUNCTION("iferror(iferror(INDEX(IMPORTRANGE(""12vtnxaE_Q1s4tyr10kZQx7ZF_xG0lBFae4jQEUtgsMU"",""All!B2:B""),MATCH($C383,IMPORTRANGE(""12vtnxaE_Q1s4tyr10kZQx7ZF_xG0lBFae4jQEUtgsMU"",""All!A2:A""),0)),INDEX(IMPORTRANGE(""13KC70HngS4DDi8y9E5khtSpQEPG6owaQ9z4E-tR5mnY"","&amp;"""Non-Food!B2:B""),MATCH($C383,IMPORTRANGE(""13KC70HngS4DDi8y9E5khtSpQEPG6owaQ9z4E-tR5mnY"",""Non-Food!A2:A""),0))),"""")"),"")</f>
        <v/>
      </c>
      <c r="E383" s="15"/>
      <c r="F383" s="15"/>
      <c r="G383" s="36"/>
      <c r="H383" s="23" t="str">
        <f>IFERROR(__xludf.DUMMYFUNCTION("iferror(iferror(iferror(index(IMPORTRANGE(""1NK5L1mviMn0j3D3uo53ASkIZOFRlLnqaCTnwzOG2_Wg"",""Direct Link!B2:B""),MATCH($C383,IMPORTRANGE(""1NK5L1mviMn0j3D3uo53ASkIZOFRlLnqaCTnwzOG2_Wg"",""Direct Link!A2:A""),0)),XLOOKUP($C383,IMPORTRANGE(""1NK5L1mviMn0j3D"&amp;"3uo53ASkIZOFRlLnqaCTnwzOG2_Wg"",""Direct links Without Sizes!A2:A""),IMPORTRANGE(""1NK5L1mviMn0j3D3uo53ASkIZOFRlLnqaCTnwzOG2_Wg"",""Direct links Without Sizes!B2:B""))),XLOOKUP($C383,IMPORTRANGE(""1NK5L1mviMn0j3D3uo53ASkIZOFRlLnqaCTnwzOG2_Wg"",""Direct li"&amp;"nks Without Sizes!D2:D""),IMPORTRANGE(""1NK5L1mviMn0j3D3uo53ASkIZOFRlLnqaCTnwzOG2_Wg"",""Direct links Without Sizes!E2:E""))),"""")"),"")</f>
        <v/>
      </c>
      <c r="I383" s="4"/>
      <c r="J383" s="24" t="str">
        <f t="shared" si="1"/>
        <v/>
      </c>
      <c r="K383" s="25"/>
      <c r="L383" s="24" t="str">
        <f t="shared" si="2"/>
        <v/>
      </c>
      <c r="M383" s="4"/>
      <c r="N383" s="23"/>
      <c r="O383" s="23"/>
      <c r="P383" s="23"/>
      <c r="Q383" s="4" t="str">
        <f t="shared" si="4"/>
        <v/>
      </c>
      <c r="R383" s="20"/>
      <c r="S383" s="20"/>
    </row>
    <row r="384">
      <c r="A384" s="4"/>
      <c r="B384" s="4"/>
      <c r="C384" s="37"/>
      <c r="D384" s="7" t="str">
        <f>IFERROR(__xludf.DUMMYFUNCTION("iferror(iferror(INDEX(IMPORTRANGE(""12vtnxaE_Q1s4tyr10kZQx7ZF_xG0lBFae4jQEUtgsMU"",""All!B2:B""),MATCH($C384,IMPORTRANGE(""12vtnxaE_Q1s4tyr10kZQx7ZF_xG0lBFae4jQEUtgsMU"",""All!A2:A""),0)),INDEX(IMPORTRANGE(""13KC70HngS4DDi8y9E5khtSpQEPG6owaQ9z4E-tR5mnY"","&amp;"""Non-Food!B2:B""),MATCH($C384,IMPORTRANGE(""13KC70HngS4DDi8y9E5khtSpQEPG6owaQ9z4E-tR5mnY"",""Non-Food!A2:A""),0))),"""")"),"")</f>
        <v/>
      </c>
      <c r="E384" s="15"/>
      <c r="F384" s="15"/>
      <c r="G384" s="36"/>
      <c r="H384" s="23" t="str">
        <f>IFERROR(__xludf.DUMMYFUNCTION("iferror(iferror(iferror(index(IMPORTRANGE(""1NK5L1mviMn0j3D3uo53ASkIZOFRlLnqaCTnwzOG2_Wg"",""Direct Link!B2:B""),MATCH($C384,IMPORTRANGE(""1NK5L1mviMn0j3D3uo53ASkIZOFRlLnqaCTnwzOG2_Wg"",""Direct Link!A2:A""),0)),XLOOKUP($C384,IMPORTRANGE(""1NK5L1mviMn0j3D"&amp;"3uo53ASkIZOFRlLnqaCTnwzOG2_Wg"",""Direct links Without Sizes!A2:A""),IMPORTRANGE(""1NK5L1mviMn0j3D3uo53ASkIZOFRlLnqaCTnwzOG2_Wg"",""Direct links Without Sizes!B2:B""))),XLOOKUP($C384,IMPORTRANGE(""1NK5L1mviMn0j3D3uo53ASkIZOFRlLnqaCTnwzOG2_Wg"",""Direct li"&amp;"nks Without Sizes!D2:D""),IMPORTRANGE(""1NK5L1mviMn0j3D3uo53ASkIZOFRlLnqaCTnwzOG2_Wg"",""Direct links Without Sizes!E2:E""))),"""")"),"")</f>
        <v/>
      </c>
      <c r="I384" s="4"/>
      <c r="J384" s="24" t="str">
        <f t="shared" si="1"/>
        <v/>
      </c>
      <c r="K384" s="25"/>
      <c r="L384" s="24" t="str">
        <f t="shared" si="2"/>
        <v/>
      </c>
      <c r="M384" s="4"/>
      <c r="N384" s="23"/>
      <c r="O384" s="23"/>
      <c r="P384" s="23"/>
      <c r="Q384" s="4" t="str">
        <f t="shared" si="4"/>
        <v/>
      </c>
      <c r="R384" s="20"/>
      <c r="S384" s="20"/>
    </row>
    <row r="385">
      <c r="A385" s="4"/>
      <c r="B385" s="4"/>
      <c r="C385" s="37"/>
      <c r="D385" s="7" t="str">
        <f>IFERROR(__xludf.DUMMYFUNCTION("iferror(iferror(INDEX(IMPORTRANGE(""12vtnxaE_Q1s4tyr10kZQx7ZF_xG0lBFae4jQEUtgsMU"",""All!B2:B""),MATCH($C385,IMPORTRANGE(""12vtnxaE_Q1s4tyr10kZQx7ZF_xG0lBFae4jQEUtgsMU"",""All!A2:A""),0)),INDEX(IMPORTRANGE(""13KC70HngS4DDi8y9E5khtSpQEPG6owaQ9z4E-tR5mnY"","&amp;"""Non-Food!B2:B""),MATCH($C385,IMPORTRANGE(""13KC70HngS4DDi8y9E5khtSpQEPG6owaQ9z4E-tR5mnY"",""Non-Food!A2:A""),0))),"""")"),"")</f>
        <v/>
      </c>
      <c r="E385" s="15"/>
      <c r="F385" s="15"/>
      <c r="G385" s="36"/>
      <c r="H385" s="23" t="str">
        <f>IFERROR(__xludf.DUMMYFUNCTION("iferror(iferror(iferror(index(IMPORTRANGE(""1NK5L1mviMn0j3D3uo53ASkIZOFRlLnqaCTnwzOG2_Wg"",""Direct Link!B2:B""),MATCH($C385,IMPORTRANGE(""1NK5L1mviMn0j3D3uo53ASkIZOFRlLnqaCTnwzOG2_Wg"",""Direct Link!A2:A""),0)),XLOOKUP($C385,IMPORTRANGE(""1NK5L1mviMn0j3D"&amp;"3uo53ASkIZOFRlLnqaCTnwzOG2_Wg"",""Direct links Without Sizes!A2:A""),IMPORTRANGE(""1NK5L1mviMn0j3D3uo53ASkIZOFRlLnqaCTnwzOG2_Wg"",""Direct links Without Sizes!B2:B""))),XLOOKUP($C385,IMPORTRANGE(""1NK5L1mviMn0j3D3uo53ASkIZOFRlLnqaCTnwzOG2_Wg"",""Direct li"&amp;"nks Without Sizes!D2:D""),IMPORTRANGE(""1NK5L1mviMn0j3D3uo53ASkIZOFRlLnqaCTnwzOG2_Wg"",""Direct links Without Sizes!E2:E""))),"""")"),"")</f>
        <v/>
      </c>
      <c r="I385" s="4"/>
      <c r="J385" s="24" t="str">
        <f t="shared" si="1"/>
        <v/>
      </c>
      <c r="K385" s="25"/>
      <c r="L385" s="24" t="str">
        <f t="shared" si="2"/>
        <v/>
      </c>
      <c r="M385" s="4"/>
      <c r="N385" s="23"/>
      <c r="O385" s="23"/>
      <c r="P385" s="23"/>
      <c r="Q385" s="4" t="str">
        <f t="shared" si="4"/>
        <v/>
      </c>
      <c r="R385" s="20"/>
      <c r="S385" s="20"/>
    </row>
    <row r="386">
      <c r="A386" s="4"/>
      <c r="B386" s="4"/>
      <c r="C386" s="37"/>
      <c r="D386" s="7" t="str">
        <f>IFERROR(__xludf.DUMMYFUNCTION("iferror(iferror(INDEX(IMPORTRANGE(""12vtnxaE_Q1s4tyr10kZQx7ZF_xG0lBFae4jQEUtgsMU"",""All!B2:B""),MATCH($C386,IMPORTRANGE(""12vtnxaE_Q1s4tyr10kZQx7ZF_xG0lBFae4jQEUtgsMU"",""All!A2:A""),0)),INDEX(IMPORTRANGE(""13KC70HngS4DDi8y9E5khtSpQEPG6owaQ9z4E-tR5mnY"","&amp;"""Non-Food!B2:B""),MATCH($C386,IMPORTRANGE(""13KC70HngS4DDi8y9E5khtSpQEPG6owaQ9z4E-tR5mnY"",""Non-Food!A2:A""),0))),"""")"),"")</f>
        <v/>
      </c>
      <c r="E386" s="15"/>
      <c r="F386" s="15"/>
      <c r="G386" s="36"/>
      <c r="H386" s="23" t="str">
        <f>IFERROR(__xludf.DUMMYFUNCTION("iferror(iferror(iferror(index(IMPORTRANGE(""1NK5L1mviMn0j3D3uo53ASkIZOFRlLnqaCTnwzOG2_Wg"",""Direct Link!B2:B""),MATCH($C386,IMPORTRANGE(""1NK5L1mviMn0j3D3uo53ASkIZOFRlLnqaCTnwzOG2_Wg"",""Direct Link!A2:A""),0)),XLOOKUP($C386,IMPORTRANGE(""1NK5L1mviMn0j3D"&amp;"3uo53ASkIZOFRlLnqaCTnwzOG2_Wg"",""Direct links Without Sizes!A2:A""),IMPORTRANGE(""1NK5L1mviMn0j3D3uo53ASkIZOFRlLnqaCTnwzOG2_Wg"",""Direct links Without Sizes!B2:B""))),XLOOKUP($C386,IMPORTRANGE(""1NK5L1mviMn0j3D3uo53ASkIZOFRlLnqaCTnwzOG2_Wg"",""Direct li"&amp;"nks Without Sizes!D2:D""),IMPORTRANGE(""1NK5L1mviMn0j3D3uo53ASkIZOFRlLnqaCTnwzOG2_Wg"",""Direct links Without Sizes!E2:E""))),"""")"),"")</f>
        <v/>
      </c>
      <c r="I386" s="4"/>
      <c r="J386" s="24" t="str">
        <f t="shared" si="1"/>
        <v/>
      </c>
      <c r="K386" s="25"/>
      <c r="L386" s="24" t="str">
        <f t="shared" si="2"/>
        <v/>
      </c>
      <c r="M386" s="4"/>
      <c r="N386" s="23"/>
      <c r="O386" s="23"/>
      <c r="P386" s="23"/>
      <c r="Q386" s="4" t="str">
        <f t="shared" si="4"/>
        <v/>
      </c>
      <c r="R386" s="20"/>
      <c r="S386" s="20"/>
    </row>
    <row r="387">
      <c r="A387" s="4"/>
      <c r="B387" s="4"/>
      <c r="C387" s="37"/>
      <c r="D387" s="7" t="str">
        <f>IFERROR(__xludf.DUMMYFUNCTION("iferror(iferror(INDEX(IMPORTRANGE(""12vtnxaE_Q1s4tyr10kZQx7ZF_xG0lBFae4jQEUtgsMU"",""All!B2:B""),MATCH($C387,IMPORTRANGE(""12vtnxaE_Q1s4tyr10kZQx7ZF_xG0lBFae4jQEUtgsMU"",""All!A2:A""),0)),INDEX(IMPORTRANGE(""13KC70HngS4DDi8y9E5khtSpQEPG6owaQ9z4E-tR5mnY"","&amp;"""Non-Food!B2:B""),MATCH($C387,IMPORTRANGE(""13KC70HngS4DDi8y9E5khtSpQEPG6owaQ9z4E-tR5mnY"",""Non-Food!A2:A""),0))),"""")"),"")</f>
        <v/>
      </c>
      <c r="E387" s="15"/>
      <c r="F387" s="15"/>
      <c r="G387" s="36"/>
      <c r="H387" s="23" t="str">
        <f>IFERROR(__xludf.DUMMYFUNCTION("iferror(iferror(iferror(index(IMPORTRANGE(""1NK5L1mviMn0j3D3uo53ASkIZOFRlLnqaCTnwzOG2_Wg"",""Direct Link!B2:B""),MATCH($C387,IMPORTRANGE(""1NK5L1mviMn0j3D3uo53ASkIZOFRlLnqaCTnwzOG2_Wg"",""Direct Link!A2:A""),0)),XLOOKUP($C387,IMPORTRANGE(""1NK5L1mviMn0j3D"&amp;"3uo53ASkIZOFRlLnqaCTnwzOG2_Wg"",""Direct links Without Sizes!A2:A""),IMPORTRANGE(""1NK5L1mviMn0j3D3uo53ASkIZOFRlLnqaCTnwzOG2_Wg"",""Direct links Without Sizes!B2:B""))),XLOOKUP($C387,IMPORTRANGE(""1NK5L1mviMn0j3D3uo53ASkIZOFRlLnqaCTnwzOG2_Wg"",""Direct li"&amp;"nks Without Sizes!D2:D""),IMPORTRANGE(""1NK5L1mviMn0j3D3uo53ASkIZOFRlLnqaCTnwzOG2_Wg"",""Direct links Without Sizes!E2:E""))),"""")"),"")</f>
        <v/>
      </c>
      <c r="I387" s="4"/>
      <c r="J387" s="24" t="str">
        <f t="shared" si="1"/>
        <v/>
      </c>
      <c r="K387" s="25"/>
      <c r="L387" s="24" t="str">
        <f t="shared" si="2"/>
        <v/>
      </c>
      <c r="M387" s="4"/>
      <c r="N387" s="23"/>
      <c r="O387" s="23"/>
      <c r="P387" s="23"/>
      <c r="Q387" s="4" t="str">
        <f t="shared" si="4"/>
        <v/>
      </c>
      <c r="R387" s="20"/>
      <c r="S387" s="20"/>
    </row>
    <row r="388">
      <c r="A388" s="4"/>
      <c r="B388" s="4"/>
      <c r="C388" s="37"/>
      <c r="D388" s="7" t="str">
        <f>IFERROR(__xludf.DUMMYFUNCTION("iferror(iferror(INDEX(IMPORTRANGE(""12vtnxaE_Q1s4tyr10kZQx7ZF_xG0lBFae4jQEUtgsMU"",""All!B2:B""),MATCH($C388,IMPORTRANGE(""12vtnxaE_Q1s4tyr10kZQx7ZF_xG0lBFae4jQEUtgsMU"",""All!A2:A""),0)),INDEX(IMPORTRANGE(""13KC70HngS4DDi8y9E5khtSpQEPG6owaQ9z4E-tR5mnY"","&amp;"""Non-Food!B2:B""),MATCH($C388,IMPORTRANGE(""13KC70HngS4DDi8y9E5khtSpQEPG6owaQ9z4E-tR5mnY"",""Non-Food!A2:A""),0))),"""")"),"")</f>
        <v/>
      </c>
      <c r="E388" s="15"/>
      <c r="F388" s="15"/>
      <c r="G388" s="36"/>
      <c r="H388" s="23" t="str">
        <f>IFERROR(__xludf.DUMMYFUNCTION("iferror(iferror(iferror(index(IMPORTRANGE(""1NK5L1mviMn0j3D3uo53ASkIZOFRlLnqaCTnwzOG2_Wg"",""Direct Link!B2:B""),MATCH($C388,IMPORTRANGE(""1NK5L1mviMn0j3D3uo53ASkIZOFRlLnqaCTnwzOG2_Wg"",""Direct Link!A2:A""),0)),XLOOKUP($C388,IMPORTRANGE(""1NK5L1mviMn0j3D"&amp;"3uo53ASkIZOFRlLnqaCTnwzOG2_Wg"",""Direct links Without Sizes!A2:A""),IMPORTRANGE(""1NK5L1mviMn0j3D3uo53ASkIZOFRlLnqaCTnwzOG2_Wg"",""Direct links Without Sizes!B2:B""))),XLOOKUP($C388,IMPORTRANGE(""1NK5L1mviMn0j3D3uo53ASkIZOFRlLnqaCTnwzOG2_Wg"",""Direct li"&amp;"nks Without Sizes!D2:D""),IMPORTRANGE(""1NK5L1mviMn0j3D3uo53ASkIZOFRlLnqaCTnwzOG2_Wg"",""Direct links Without Sizes!E2:E""))),"""")"),"")</f>
        <v/>
      </c>
      <c r="I388" s="4"/>
      <c r="J388" s="24" t="str">
        <f t="shared" si="1"/>
        <v/>
      </c>
      <c r="K388" s="25"/>
      <c r="L388" s="24" t="str">
        <f t="shared" si="2"/>
        <v/>
      </c>
      <c r="M388" s="4"/>
      <c r="N388" s="23"/>
      <c r="O388" s="23"/>
      <c r="P388" s="23"/>
      <c r="Q388" s="4" t="str">
        <f t="shared" si="4"/>
        <v/>
      </c>
      <c r="R388" s="20"/>
      <c r="S388" s="20"/>
    </row>
    <row r="389">
      <c r="A389" s="4"/>
      <c r="B389" s="4"/>
      <c r="C389" s="37"/>
      <c r="D389" s="7" t="str">
        <f>IFERROR(__xludf.DUMMYFUNCTION("iferror(iferror(INDEX(IMPORTRANGE(""12vtnxaE_Q1s4tyr10kZQx7ZF_xG0lBFae4jQEUtgsMU"",""All!B2:B""),MATCH($C389,IMPORTRANGE(""12vtnxaE_Q1s4tyr10kZQx7ZF_xG0lBFae4jQEUtgsMU"",""All!A2:A""),0)),INDEX(IMPORTRANGE(""13KC70HngS4DDi8y9E5khtSpQEPG6owaQ9z4E-tR5mnY"","&amp;"""Non-Food!B2:B""),MATCH($C389,IMPORTRANGE(""13KC70HngS4DDi8y9E5khtSpQEPG6owaQ9z4E-tR5mnY"",""Non-Food!A2:A""),0))),"""")"),"")</f>
        <v/>
      </c>
      <c r="E389" s="15"/>
      <c r="F389" s="15"/>
      <c r="G389" s="36"/>
      <c r="H389" s="23" t="str">
        <f>IFERROR(__xludf.DUMMYFUNCTION("iferror(iferror(iferror(index(IMPORTRANGE(""1NK5L1mviMn0j3D3uo53ASkIZOFRlLnqaCTnwzOG2_Wg"",""Direct Link!B2:B""),MATCH($C389,IMPORTRANGE(""1NK5L1mviMn0j3D3uo53ASkIZOFRlLnqaCTnwzOG2_Wg"",""Direct Link!A2:A""),0)),XLOOKUP($C389,IMPORTRANGE(""1NK5L1mviMn0j3D"&amp;"3uo53ASkIZOFRlLnqaCTnwzOG2_Wg"",""Direct links Without Sizes!A2:A""),IMPORTRANGE(""1NK5L1mviMn0j3D3uo53ASkIZOFRlLnqaCTnwzOG2_Wg"",""Direct links Without Sizes!B2:B""))),XLOOKUP($C389,IMPORTRANGE(""1NK5L1mviMn0j3D3uo53ASkIZOFRlLnqaCTnwzOG2_Wg"",""Direct li"&amp;"nks Without Sizes!D2:D""),IMPORTRANGE(""1NK5L1mviMn0j3D3uo53ASkIZOFRlLnqaCTnwzOG2_Wg"",""Direct links Without Sizes!E2:E""))),"""")"),"")</f>
        <v/>
      </c>
      <c r="I389" s="4"/>
      <c r="J389" s="24" t="str">
        <f t="shared" si="1"/>
        <v/>
      </c>
      <c r="K389" s="25"/>
      <c r="L389" s="24" t="str">
        <f t="shared" si="2"/>
        <v/>
      </c>
      <c r="M389" s="4"/>
      <c r="N389" s="23"/>
      <c r="O389" s="23"/>
      <c r="P389" s="23"/>
      <c r="Q389" s="4" t="str">
        <f t="shared" si="4"/>
        <v/>
      </c>
      <c r="R389" s="20"/>
      <c r="S389" s="20"/>
    </row>
    <row r="390">
      <c r="A390" s="4"/>
      <c r="B390" s="4"/>
      <c r="C390" s="37"/>
      <c r="D390" s="7" t="str">
        <f>IFERROR(__xludf.DUMMYFUNCTION("iferror(iferror(INDEX(IMPORTRANGE(""12vtnxaE_Q1s4tyr10kZQx7ZF_xG0lBFae4jQEUtgsMU"",""All!B2:B""),MATCH($C390,IMPORTRANGE(""12vtnxaE_Q1s4tyr10kZQx7ZF_xG0lBFae4jQEUtgsMU"",""All!A2:A""),0)),INDEX(IMPORTRANGE(""13KC70HngS4DDi8y9E5khtSpQEPG6owaQ9z4E-tR5mnY"","&amp;"""Non-Food!B2:B""),MATCH($C390,IMPORTRANGE(""13KC70HngS4DDi8y9E5khtSpQEPG6owaQ9z4E-tR5mnY"",""Non-Food!A2:A""),0))),"""")"),"")</f>
        <v/>
      </c>
      <c r="E390" s="15"/>
      <c r="F390" s="15"/>
      <c r="G390" s="36"/>
      <c r="H390" s="23" t="str">
        <f>IFERROR(__xludf.DUMMYFUNCTION("iferror(iferror(iferror(index(IMPORTRANGE(""1NK5L1mviMn0j3D3uo53ASkIZOFRlLnqaCTnwzOG2_Wg"",""Direct Link!B2:B""),MATCH($C390,IMPORTRANGE(""1NK5L1mviMn0j3D3uo53ASkIZOFRlLnqaCTnwzOG2_Wg"",""Direct Link!A2:A""),0)),XLOOKUP($C390,IMPORTRANGE(""1NK5L1mviMn0j3D"&amp;"3uo53ASkIZOFRlLnqaCTnwzOG2_Wg"",""Direct links Without Sizes!A2:A""),IMPORTRANGE(""1NK5L1mviMn0j3D3uo53ASkIZOFRlLnqaCTnwzOG2_Wg"",""Direct links Without Sizes!B2:B""))),XLOOKUP($C390,IMPORTRANGE(""1NK5L1mviMn0j3D3uo53ASkIZOFRlLnqaCTnwzOG2_Wg"",""Direct li"&amp;"nks Without Sizes!D2:D""),IMPORTRANGE(""1NK5L1mviMn0j3D3uo53ASkIZOFRlLnqaCTnwzOG2_Wg"",""Direct links Without Sizes!E2:E""))),"""")"),"")</f>
        <v/>
      </c>
      <c r="I390" s="4"/>
      <c r="J390" s="24" t="str">
        <f t="shared" si="1"/>
        <v/>
      </c>
      <c r="K390" s="25"/>
      <c r="L390" s="24" t="str">
        <f t="shared" si="2"/>
        <v/>
      </c>
      <c r="M390" s="4"/>
      <c r="N390" s="23"/>
      <c r="O390" s="23"/>
      <c r="P390" s="23"/>
      <c r="Q390" s="4" t="str">
        <f t="shared" si="4"/>
        <v/>
      </c>
      <c r="R390" s="20"/>
      <c r="S390" s="20"/>
    </row>
    <row r="391">
      <c r="A391" s="4"/>
      <c r="B391" s="4"/>
      <c r="C391" s="37"/>
      <c r="D391" s="7" t="str">
        <f>IFERROR(__xludf.DUMMYFUNCTION("iferror(iferror(INDEX(IMPORTRANGE(""12vtnxaE_Q1s4tyr10kZQx7ZF_xG0lBFae4jQEUtgsMU"",""All!B2:B""),MATCH($C391,IMPORTRANGE(""12vtnxaE_Q1s4tyr10kZQx7ZF_xG0lBFae4jQEUtgsMU"",""All!A2:A""),0)),INDEX(IMPORTRANGE(""13KC70HngS4DDi8y9E5khtSpQEPG6owaQ9z4E-tR5mnY"","&amp;"""Non-Food!B2:B""),MATCH($C391,IMPORTRANGE(""13KC70HngS4DDi8y9E5khtSpQEPG6owaQ9z4E-tR5mnY"",""Non-Food!A2:A""),0))),"""")"),"")</f>
        <v/>
      </c>
      <c r="E391" s="15"/>
      <c r="F391" s="15"/>
      <c r="G391" s="36"/>
      <c r="H391" s="23" t="str">
        <f>IFERROR(__xludf.DUMMYFUNCTION("iferror(iferror(iferror(index(IMPORTRANGE(""1NK5L1mviMn0j3D3uo53ASkIZOFRlLnqaCTnwzOG2_Wg"",""Direct Link!B2:B""),MATCH($C391,IMPORTRANGE(""1NK5L1mviMn0j3D3uo53ASkIZOFRlLnqaCTnwzOG2_Wg"",""Direct Link!A2:A""),0)),XLOOKUP($C391,IMPORTRANGE(""1NK5L1mviMn0j3D"&amp;"3uo53ASkIZOFRlLnqaCTnwzOG2_Wg"",""Direct links Without Sizes!A2:A""),IMPORTRANGE(""1NK5L1mviMn0j3D3uo53ASkIZOFRlLnqaCTnwzOG2_Wg"",""Direct links Without Sizes!B2:B""))),XLOOKUP($C391,IMPORTRANGE(""1NK5L1mviMn0j3D3uo53ASkIZOFRlLnqaCTnwzOG2_Wg"",""Direct li"&amp;"nks Without Sizes!D2:D""),IMPORTRANGE(""1NK5L1mviMn0j3D3uo53ASkIZOFRlLnqaCTnwzOG2_Wg"",""Direct links Without Sizes!E2:E""))),"""")"),"")</f>
        <v/>
      </c>
      <c r="I391" s="4"/>
      <c r="J391" s="24" t="str">
        <f t="shared" si="1"/>
        <v/>
      </c>
      <c r="K391" s="25"/>
      <c r="L391" s="24" t="str">
        <f t="shared" si="2"/>
        <v/>
      </c>
      <c r="M391" s="4"/>
      <c r="N391" s="23"/>
      <c r="O391" s="23"/>
      <c r="P391" s="23"/>
      <c r="Q391" s="4" t="str">
        <f t="shared" si="4"/>
        <v/>
      </c>
      <c r="R391" s="20"/>
      <c r="S391" s="20"/>
    </row>
    <row r="392">
      <c r="A392" s="4"/>
      <c r="B392" s="4"/>
      <c r="C392" s="37"/>
      <c r="D392" s="7" t="str">
        <f>IFERROR(__xludf.DUMMYFUNCTION("iferror(iferror(INDEX(IMPORTRANGE(""12vtnxaE_Q1s4tyr10kZQx7ZF_xG0lBFae4jQEUtgsMU"",""All!B2:B""),MATCH($C392,IMPORTRANGE(""12vtnxaE_Q1s4tyr10kZQx7ZF_xG0lBFae4jQEUtgsMU"",""All!A2:A""),0)),INDEX(IMPORTRANGE(""13KC70HngS4DDi8y9E5khtSpQEPG6owaQ9z4E-tR5mnY"","&amp;"""Non-Food!B2:B""),MATCH($C392,IMPORTRANGE(""13KC70HngS4DDi8y9E5khtSpQEPG6owaQ9z4E-tR5mnY"",""Non-Food!A2:A""),0))),"""")"),"")</f>
        <v/>
      </c>
      <c r="E392" s="15"/>
      <c r="F392" s="15"/>
      <c r="G392" s="36"/>
      <c r="H392" s="23" t="str">
        <f>IFERROR(__xludf.DUMMYFUNCTION("iferror(iferror(iferror(index(IMPORTRANGE(""1NK5L1mviMn0j3D3uo53ASkIZOFRlLnqaCTnwzOG2_Wg"",""Direct Link!B2:B""),MATCH($C392,IMPORTRANGE(""1NK5L1mviMn0j3D3uo53ASkIZOFRlLnqaCTnwzOG2_Wg"",""Direct Link!A2:A""),0)),XLOOKUP($C392,IMPORTRANGE(""1NK5L1mviMn0j3D"&amp;"3uo53ASkIZOFRlLnqaCTnwzOG2_Wg"",""Direct links Without Sizes!A2:A""),IMPORTRANGE(""1NK5L1mviMn0j3D3uo53ASkIZOFRlLnqaCTnwzOG2_Wg"",""Direct links Without Sizes!B2:B""))),XLOOKUP($C392,IMPORTRANGE(""1NK5L1mviMn0j3D3uo53ASkIZOFRlLnqaCTnwzOG2_Wg"",""Direct li"&amp;"nks Without Sizes!D2:D""),IMPORTRANGE(""1NK5L1mviMn0j3D3uo53ASkIZOFRlLnqaCTnwzOG2_Wg"",""Direct links Without Sizes!E2:E""))),"""")"),"")</f>
        <v/>
      </c>
      <c r="I392" s="4"/>
      <c r="J392" s="24" t="str">
        <f t="shared" si="1"/>
        <v/>
      </c>
      <c r="K392" s="25"/>
      <c r="L392" s="24" t="str">
        <f t="shared" si="2"/>
        <v/>
      </c>
      <c r="M392" s="4"/>
      <c r="N392" s="23"/>
      <c r="O392" s="23"/>
      <c r="P392" s="23"/>
      <c r="Q392" s="4" t="str">
        <f t="shared" si="4"/>
        <v/>
      </c>
      <c r="R392" s="20"/>
      <c r="S392" s="20"/>
    </row>
    <row r="393">
      <c r="A393" s="4"/>
      <c r="B393" s="4"/>
      <c r="C393" s="37"/>
      <c r="D393" s="7" t="str">
        <f>IFERROR(__xludf.DUMMYFUNCTION("iferror(iferror(INDEX(IMPORTRANGE(""12vtnxaE_Q1s4tyr10kZQx7ZF_xG0lBFae4jQEUtgsMU"",""All!B2:B""),MATCH($C393,IMPORTRANGE(""12vtnxaE_Q1s4tyr10kZQx7ZF_xG0lBFae4jQEUtgsMU"",""All!A2:A""),0)),INDEX(IMPORTRANGE(""13KC70HngS4DDi8y9E5khtSpQEPG6owaQ9z4E-tR5mnY"","&amp;"""Non-Food!B2:B""),MATCH($C393,IMPORTRANGE(""13KC70HngS4DDi8y9E5khtSpQEPG6owaQ9z4E-tR5mnY"",""Non-Food!A2:A""),0))),"""")"),"")</f>
        <v/>
      </c>
      <c r="E393" s="15"/>
      <c r="F393" s="15"/>
      <c r="G393" s="36"/>
      <c r="H393" s="23" t="str">
        <f>IFERROR(__xludf.DUMMYFUNCTION("iferror(iferror(iferror(index(IMPORTRANGE(""1NK5L1mviMn0j3D3uo53ASkIZOFRlLnqaCTnwzOG2_Wg"",""Direct Link!B2:B""),MATCH($C393,IMPORTRANGE(""1NK5L1mviMn0j3D3uo53ASkIZOFRlLnqaCTnwzOG2_Wg"",""Direct Link!A2:A""),0)),XLOOKUP($C393,IMPORTRANGE(""1NK5L1mviMn0j3D"&amp;"3uo53ASkIZOFRlLnqaCTnwzOG2_Wg"",""Direct links Without Sizes!A2:A""),IMPORTRANGE(""1NK5L1mviMn0j3D3uo53ASkIZOFRlLnqaCTnwzOG2_Wg"",""Direct links Without Sizes!B2:B""))),XLOOKUP($C393,IMPORTRANGE(""1NK5L1mviMn0j3D3uo53ASkIZOFRlLnqaCTnwzOG2_Wg"",""Direct li"&amp;"nks Without Sizes!D2:D""),IMPORTRANGE(""1NK5L1mviMn0j3D3uo53ASkIZOFRlLnqaCTnwzOG2_Wg"",""Direct links Without Sizes!E2:E""))),"""")"),"")</f>
        <v/>
      </c>
      <c r="I393" s="4"/>
      <c r="J393" s="24" t="str">
        <f t="shared" si="1"/>
        <v/>
      </c>
      <c r="K393" s="25"/>
      <c r="L393" s="24" t="str">
        <f t="shared" si="2"/>
        <v/>
      </c>
      <c r="M393" s="4"/>
      <c r="N393" s="23"/>
      <c r="O393" s="23"/>
      <c r="P393" s="23"/>
      <c r="Q393" s="4" t="str">
        <f t="shared" si="4"/>
        <v/>
      </c>
      <c r="R393" s="20"/>
      <c r="S393" s="20"/>
    </row>
    <row r="394">
      <c r="A394" s="4"/>
      <c r="B394" s="4"/>
      <c r="C394" s="37"/>
      <c r="D394" s="7" t="str">
        <f>IFERROR(__xludf.DUMMYFUNCTION("iferror(iferror(INDEX(IMPORTRANGE(""12vtnxaE_Q1s4tyr10kZQx7ZF_xG0lBFae4jQEUtgsMU"",""All!B2:B""),MATCH($C394,IMPORTRANGE(""12vtnxaE_Q1s4tyr10kZQx7ZF_xG0lBFae4jQEUtgsMU"",""All!A2:A""),0)),INDEX(IMPORTRANGE(""13KC70HngS4DDi8y9E5khtSpQEPG6owaQ9z4E-tR5mnY"","&amp;"""Non-Food!B2:B""),MATCH($C394,IMPORTRANGE(""13KC70HngS4DDi8y9E5khtSpQEPG6owaQ9z4E-tR5mnY"",""Non-Food!A2:A""),0))),"""")"),"")</f>
        <v/>
      </c>
      <c r="E394" s="15"/>
      <c r="F394" s="15"/>
      <c r="G394" s="36"/>
      <c r="H394" s="23" t="str">
        <f>IFERROR(__xludf.DUMMYFUNCTION("iferror(iferror(iferror(index(IMPORTRANGE(""1NK5L1mviMn0j3D3uo53ASkIZOFRlLnqaCTnwzOG2_Wg"",""Direct Link!B2:B""),MATCH($C394,IMPORTRANGE(""1NK5L1mviMn0j3D3uo53ASkIZOFRlLnqaCTnwzOG2_Wg"",""Direct Link!A2:A""),0)),XLOOKUP($C394,IMPORTRANGE(""1NK5L1mviMn0j3D"&amp;"3uo53ASkIZOFRlLnqaCTnwzOG2_Wg"",""Direct links Without Sizes!A2:A""),IMPORTRANGE(""1NK5L1mviMn0j3D3uo53ASkIZOFRlLnqaCTnwzOG2_Wg"",""Direct links Without Sizes!B2:B""))),XLOOKUP($C394,IMPORTRANGE(""1NK5L1mviMn0j3D3uo53ASkIZOFRlLnqaCTnwzOG2_Wg"",""Direct li"&amp;"nks Without Sizes!D2:D""),IMPORTRANGE(""1NK5L1mviMn0j3D3uo53ASkIZOFRlLnqaCTnwzOG2_Wg"",""Direct links Without Sizes!E2:E""))),"""")"),"")</f>
        <v/>
      </c>
      <c r="I394" s="4"/>
      <c r="J394" s="24" t="str">
        <f t="shared" si="1"/>
        <v/>
      </c>
      <c r="K394" s="25"/>
      <c r="L394" s="24" t="str">
        <f t="shared" si="2"/>
        <v/>
      </c>
      <c r="M394" s="4"/>
      <c r="N394" s="23"/>
      <c r="O394" s="23"/>
      <c r="P394" s="23"/>
      <c r="Q394" s="4" t="str">
        <f t="shared" si="4"/>
        <v/>
      </c>
      <c r="R394" s="20"/>
      <c r="S394" s="20"/>
    </row>
    <row r="395">
      <c r="A395" s="4"/>
      <c r="B395" s="4"/>
      <c r="C395" s="37"/>
      <c r="D395" s="7" t="str">
        <f>IFERROR(__xludf.DUMMYFUNCTION("iferror(iferror(INDEX(IMPORTRANGE(""12vtnxaE_Q1s4tyr10kZQx7ZF_xG0lBFae4jQEUtgsMU"",""All!B2:B""),MATCH($C395,IMPORTRANGE(""12vtnxaE_Q1s4tyr10kZQx7ZF_xG0lBFae4jQEUtgsMU"",""All!A2:A""),0)),INDEX(IMPORTRANGE(""13KC70HngS4DDi8y9E5khtSpQEPG6owaQ9z4E-tR5mnY"","&amp;"""Non-Food!B2:B""),MATCH($C395,IMPORTRANGE(""13KC70HngS4DDi8y9E5khtSpQEPG6owaQ9z4E-tR5mnY"",""Non-Food!A2:A""),0))),"""")"),"")</f>
        <v/>
      </c>
      <c r="E395" s="15"/>
      <c r="F395" s="15"/>
      <c r="G395" s="36"/>
      <c r="H395" s="23" t="str">
        <f>IFERROR(__xludf.DUMMYFUNCTION("iferror(iferror(iferror(index(IMPORTRANGE(""1NK5L1mviMn0j3D3uo53ASkIZOFRlLnqaCTnwzOG2_Wg"",""Direct Link!B2:B""),MATCH($C395,IMPORTRANGE(""1NK5L1mviMn0j3D3uo53ASkIZOFRlLnqaCTnwzOG2_Wg"",""Direct Link!A2:A""),0)),XLOOKUP($C395,IMPORTRANGE(""1NK5L1mviMn0j3D"&amp;"3uo53ASkIZOFRlLnqaCTnwzOG2_Wg"",""Direct links Without Sizes!A2:A""),IMPORTRANGE(""1NK5L1mviMn0j3D3uo53ASkIZOFRlLnqaCTnwzOG2_Wg"",""Direct links Without Sizes!B2:B""))),XLOOKUP($C395,IMPORTRANGE(""1NK5L1mviMn0j3D3uo53ASkIZOFRlLnqaCTnwzOG2_Wg"",""Direct li"&amp;"nks Without Sizes!D2:D""),IMPORTRANGE(""1NK5L1mviMn0j3D3uo53ASkIZOFRlLnqaCTnwzOG2_Wg"",""Direct links Without Sizes!E2:E""))),"""")"),"")</f>
        <v/>
      </c>
      <c r="I395" s="4"/>
      <c r="J395" s="24" t="str">
        <f t="shared" si="1"/>
        <v/>
      </c>
      <c r="K395" s="25"/>
      <c r="L395" s="24" t="str">
        <f t="shared" si="2"/>
        <v/>
      </c>
      <c r="M395" s="4"/>
      <c r="N395" s="23"/>
      <c r="O395" s="23"/>
      <c r="P395" s="23"/>
      <c r="Q395" s="4" t="str">
        <f t="shared" si="4"/>
        <v/>
      </c>
      <c r="R395" s="20"/>
      <c r="S395" s="20"/>
    </row>
    <row r="396">
      <c r="A396" s="4"/>
      <c r="B396" s="4"/>
      <c r="C396" s="37"/>
      <c r="D396" s="7" t="str">
        <f>IFERROR(__xludf.DUMMYFUNCTION("iferror(iferror(INDEX(IMPORTRANGE(""12vtnxaE_Q1s4tyr10kZQx7ZF_xG0lBFae4jQEUtgsMU"",""All!B2:B""),MATCH($C396,IMPORTRANGE(""12vtnxaE_Q1s4tyr10kZQx7ZF_xG0lBFae4jQEUtgsMU"",""All!A2:A""),0)),INDEX(IMPORTRANGE(""13KC70HngS4DDi8y9E5khtSpQEPG6owaQ9z4E-tR5mnY"","&amp;"""Non-Food!B2:B""),MATCH($C396,IMPORTRANGE(""13KC70HngS4DDi8y9E5khtSpQEPG6owaQ9z4E-tR5mnY"",""Non-Food!A2:A""),0))),"""")"),"")</f>
        <v/>
      </c>
      <c r="E396" s="15"/>
      <c r="F396" s="15"/>
      <c r="G396" s="36"/>
      <c r="H396" s="23" t="str">
        <f>IFERROR(__xludf.DUMMYFUNCTION("iferror(iferror(iferror(index(IMPORTRANGE(""1NK5L1mviMn0j3D3uo53ASkIZOFRlLnqaCTnwzOG2_Wg"",""Direct Link!B2:B""),MATCH($C396,IMPORTRANGE(""1NK5L1mviMn0j3D3uo53ASkIZOFRlLnqaCTnwzOG2_Wg"",""Direct Link!A2:A""),0)),XLOOKUP($C396,IMPORTRANGE(""1NK5L1mviMn0j3D"&amp;"3uo53ASkIZOFRlLnqaCTnwzOG2_Wg"",""Direct links Without Sizes!A2:A""),IMPORTRANGE(""1NK5L1mviMn0j3D3uo53ASkIZOFRlLnqaCTnwzOG2_Wg"",""Direct links Without Sizes!B2:B""))),XLOOKUP($C396,IMPORTRANGE(""1NK5L1mviMn0j3D3uo53ASkIZOFRlLnqaCTnwzOG2_Wg"",""Direct li"&amp;"nks Without Sizes!D2:D""),IMPORTRANGE(""1NK5L1mviMn0j3D3uo53ASkIZOFRlLnqaCTnwzOG2_Wg"",""Direct links Without Sizes!E2:E""))),"""")"),"")</f>
        <v/>
      </c>
      <c r="I396" s="4"/>
      <c r="J396" s="24" t="str">
        <f t="shared" si="1"/>
        <v/>
      </c>
      <c r="K396" s="25"/>
      <c r="L396" s="24" t="str">
        <f t="shared" si="2"/>
        <v/>
      </c>
      <c r="M396" s="4"/>
      <c r="N396" s="23"/>
      <c r="O396" s="23"/>
      <c r="P396" s="23"/>
      <c r="Q396" s="4" t="str">
        <f t="shared" si="4"/>
        <v/>
      </c>
      <c r="R396" s="20"/>
      <c r="S396" s="20"/>
    </row>
    <row r="397">
      <c r="A397" s="4"/>
      <c r="B397" s="4"/>
      <c r="C397" s="37"/>
      <c r="D397" s="7" t="str">
        <f>IFERROR(__xludf.DUMMYFUNCTION("iferror(iferror(INDEX(IMPORTRANGE(""12vtnxaE_Q1s4tyr10kZQx7ZF_xG0lBFae4jQEUtgsMU"",""All!B2:B""),MATCH($C397,IMPORTRANGE(""12vtnxaE_Q1s4tyr10kZQx7ZF_xG0lBFae4jQEUtgsMU"",""All!A2:A""),0)),INDEX(IMPORTRANGE(""13KC70HngS4DDi8y9E5khtSpQEPG6owaQ9z4E-tR5mnY"","&amp;"""Non-Food!B2:B""),MATCH($C397,IMPORTRANGE(""13KC70HngS4DDi8y9E5khtSpQEPG6owaQ9z4E-tR5mnY"",""Non-Food!A2:A""),0))),"""")"),"")</f>
        <v/>
      </c>
      <c r="E397" s="15"/>
      <c r="F397" s="15"/>
      <c r="G397" s="36"/>
      <c r="H397" s="23" t="str">
        <f>IFERROR(__xludf.DUMMYFUNCTION("iferror(iferror(iferror(index(IMPORTRANGE(""1NK5L1mviMn0j3D3uo53ASkIZOFRlLnqaCTnwzOG2_Wg"",""Direct Link!B2:B""),MATCH($C397,IMPORTRANGE(""1NK5L1mviMn0j3D3uo53ASkIZOFRlLnqaCTnwzOG2_Wg"",""Direct Link!A2:A""),0)),XLOOKUP($C397,IMPORTRANGE(""1NK5L1mviMn0j3D"&amp;"3uo53ASkIZOFRlLnqaCTnwzOG2_Wg"",""Direct links Without Sizes!A2:A""),IMPORTRANGE(""1NK5L1mviMn0j3D3uo53ASkIZOFRlLnqaCTnwzOG2_Wg"",""Direct links Without Sizes!B2:B""))),XLOOKUP($C397,IMPORTRANGE(""1NK5L1mviMn0j3D3uo53ASkIZOFRlLnqaCTnwzOG2_Wg"",""Direct li"&amp;"nks Without Sizes!D2:D""),IMPORTRANGE(""1NK5L1mviMn0j3D3uo53ASkIZOFRlLnqaCTnwzOG2_Wg"",""Direct links Without Sizes!E2:E""))),"""")"),"")</f>
        <v/>
      </c>
      <c r="I397" s="4"/>
      <c r="J397" s="24" t="str">
        <f t="shared" si="1"/>
        <v/>
      </c>
      <c r="K397" s="25"/>
      <c r="L397" s="24" t="str">
        <f t="shared" si="2"/>
        <v/>
      </c>
      <c r="M397" s="4"/>
      <c r="N397" s="23"/>
      <c r="O397" s="23"/>
      <c r="P397" s="23"/>
      <c r="Q397" s="4" t="str">
        <f t="shared" si="4"/>
        <v/>
      </c>
      <c r="R397" s="20"/>
      <c r="S397" s="20"/>
    </row>
    <row r="398">
      <c r="A398" s="4"/>
      <c r="B398" s="4"/>
      <c r="C398" s="37"/>
      <c r="D398" s="7" t="str">
        <f>IFERROR(__xludf.DUMMYFUNCTION("iferror(iferror(INDEX(IMPORTRANGE(""12vtnxaE_Q1s4tyr10kZQx7ZF_xG0lBFae4jQEUtgsMU"",""All!B2:B""),MATCH($C398,IMPORTRANGE(""12vtnxaE_Q1s4tyr10kZQx7ZF_xG0lBFae4jQEUtgsMU"",""All!A2:A""),0)),INDEX(IMPORTRANGE(""13KC70HngS4DDi8y9E5khtSpQEPG6owaQ9z4E-tR5mnY"","&amp;"""Non-Food!B2:B""),MATCH($C398,IMPORTRANGE(""13KC70HngS4DDi8y9E5khtSpQEPG6owaQ9z4E-tR5mnY"",""Non-Food!A2:A""),0))),"""")"),"")</f>
        <v/>
      </c>
      <c r="E398" s="15"/>
      <c r="F398" s="15"/>
      <c r="G398" s="36"/>
      <c r="H398" s="23" t="str">
        <f>IFERROR(__xludf.DUMMYFUNCTION("iferror(iferror(iferror(index(IMPORTRANGE(""1NK5L1mviMn0j3D3uo53ASkIZOFRlLnqaCTnwzOG2_Wg"",""Direct Link!B2:B""),MATCH($C398,IMPORTRANGE(""1NK5L1mviMn0j3D3uo53ASkIZOFRlLnqaCTnwzOG2_Wg"",""Direct Link!A2:A""),0)),XLOOKUP($C398,IMPORTRANGE(""1NK5L1mviMn0j3D"&amp;"3uo53ASkIZOFRlLnqaCTnwzOG2_Wg"",""Direct links Without Sizes!A2:A""),IMPORTRANGE(""1NK5L1mviMn0j3D3uo53ASkIZOFRlLnqaCTnwzOG2_Wg"",""Direct links Without Sizes!B2:B""))),XLOOKUP($C398,IMPORTRANGE(""1NK5L1mviMn0j3D3uo53ASkIZOFRlLnqaCTnwzOG2_Wg"",""Direct li"&amp;"nks Without Sizes!D2:D""),IMPORTRANGE(""1NK5L1mviMn0j3D3uo53ASkIZOFRlLnqaCTnwzOG2_Wg"",""Direct links Without Sizes!E2:E""))),"""")"),"")</f>
        <v/>
      </c>
      <c r="I398" s="4"/>
      <c r="J398" s="24" t="str">
        <f t="shared" si="1"/>
        <v/>
      </c>
      <c r="K398" s="25"/>
      <c r="L398" s="24" t="str">
        <f t="shared" si="2"/>
        <v/>
      </c>
      <c r="M398" s="4"/>
      <c r="N398" s="23"/>
      <c r="O398" s="23"/>
      <c r="P398" s="23"/>
      <c r="Q398" s="4" t="str">
        <f t="shared" si="4"/>
        <v/>
      </c>
      <c r="R398" s="20"/>
      <c r="S398" s="20"/>
    </row>
    <row r="399">
      <c r="A399" s="4"/>
      <c r="B399" s="4"/>
      <c r="C399" s="37"/>
      <c r="D399" s="7" t="str">
        <f>IFERROR(__xludf.DUMMYFUNCTION("iferror(iferror(INDEX(IMPORTRANGE(""12vtnxaE_Q1s4tyr10kZQx7ZF_xG0lBFae4jQEUtgsMU"",""All!B2:B""),MATCH($C399,IMPORTRANGE(""12vtnxaE_Q1s4tyr10kZQx7ZF_xG0lBFae4jQEUtgsMU"",""All!A2:A""),0)),INDEX(IMPORTRANGE(""13KC70HngS4DDi8y9E5khtSpQEPG6owaQ9z4E-tR5mnY"","&amp;"""Non-Food!B2:B""),MATCH($C399,IMPORTRANGE(""13KC70HngS4DDi8y9E5khtSpQEPG6owaQ9z4E-tR5mnY"",""Non-Food!A2:A""),0))),"""")"),"")</f>
        <v/>
      </c>
      <c r="E399" s="15"/>
      <c r="F399" s="15"/>
      <c r="G399" s="36"/>
      <c r="H399" s="23" t="str">
        <f>IFERROR(__xludf.DUMMYFUNCTION("iferror(iferror(iferror(index(IMPORTRANGE(""1NK5L1mviMn0j3D3uo53ASkIZOFRlLnqaCTnwzOG2_Wg"",""Direct Link!B2:B""),MATCH($C399,IMPORTRANGE(""1NK5L1mviMn0j3D3uo53ASkIZOFRlLnqaCTnwzOG2_Wg"",""Direct Link!A2:A""),0)),XLOOKUP($C399,IMPORTRANGE(""1NK5L1mviMn0j3D"&amp;"3uo53ASkIZOFRlLnqaCTnwzOG2_Wg"",""Direct links Without Sizes!A2:A""),IMPORTRANGE(""1NK5L1mviMn0j3D3uo53ASkIZOFRlLnqaCTnwzOG2_Wg"",""Direct links Without Sizes!B2:B""))),XLOOKUP($C399,IMPORTRANGE(""1NK5L1mviMn0j3D3uo53ASkIZOFRlLnqaCTnwzOG2_Wg"",""Direct li"&amp;"nks Without Sizes!D2:D""),IMPORTRANGE(""1NK5L1mviMn0j3D3uo53ASkIZOFRlLnqaCTnwzOG2_Wg"",""Direct links Without Sizes!E2:E""))),"""")"),"")</f>
        <v/>
      </c>
      <c r="I399" s="4"/>
      <c r="J399" s="24" t="str">
        <f t="shared" si="1"/>
        <v/>
      </c>
      <c r="K399" s="25"/>
      <c r="L399" s="24" t="str">
        <f t="shared" si="2"/>
        <v/>
      </c>
      <c r="M399" s="4"/>
      <c r="N399" s="23"/>
      <c r="O399" s="23"/>
      <c r="P399" s="23"/>
      <c r="Q399" s="4" t="str">
        <f t="shared" si="4"/>
        <v/>
      </c>
      <c r="R399" s="20"/>
      <c r="S399" s="20"/>
    </row>
    <row r="400">
      <c r="A400" s="4"/>
      <c r="B400" s="4"/>
      <c r="C400" s="37"/>
      <c r="D400" s="7" t="str">
        <f>IFERROR(__xludf.DUMMYFUNCTION("iferror(iferror(INDEX(IMPORTRANGE(""12vtnxaE_Q1s4tyr10kZQx7ZF_xG0lBFae4jQEUtgsMU"",""All!B2:B""),MATCH($C400,IMPORTRANGE(""12vtnxaE_Q1s4tyr10kZQx7ZF_xG0lBFae4jQEUtgsMU"",""All!A2:A""),0)),INDEX(IMPORTRANGE(""13KC70HngS4DDi8y9E5khtSpQEPG6owaQ9z4E-tR5mnY"","&amp;"""Non-Food!B2:B""),MATCH($C400,IMPORTRANGE(""13KC70HngS4DDi8y9E5khtSpQEPG6owaQ9z4E-tR5mnY"",""Non-Food!A2:A""),0))),"""")"),"")</f>
        <v/>
      </c>
      <c r="E400" s="15"/>
      <c r="F400" s="15"/>
      <c r="G400" s="36"/>
      <c r="H400" s="23" t="str">
        <f>IFERROR(__xludf.DUMMYFUNCTION("iferror(iferror(iferror(index(IMPORTRANGE(""1NK5L1mviMn0j3D3uo53ASkIZOFRlLnqaCTnwzOG2_Wg"",""Direct Link!B2:B""),MATCH($C400,IMPORTRANGE(""1NK5L1mviMn0j3D3uo53ASkIZOFRlLnqaCTnwzOG2_Wg"",""Direct Link!A2:A""),0)),XLOOKUP($C400,IMPORTRANGE(""1NK5L1mviMn0j3D"&amp;"3uo53ASkIZOFRlLnqaCTnwzOG2_Wg"",""Direct links Without Sizes!A2:A""),IMPORTRANGE(""1NK5L1mviMn0j3D3uo53ASkIZOFRlLnqaCTnwzOG2_Wg"",""Direct links Without Sizes!B2:B""))),XLOOKUP($C400,IMPORTRANGE(""1NK5L1mviMn0j3D3uo53ASkIZOFRlLnqaCTnwzOG2_Wg"",""Direct li"&amp;"nks Without Sizes!D2:D""),IMPORTRANGE(""1NK5L1mviMn0j3D3uo53ASkIZOFRlLnqaCTnwzOG2_Wg"",""Direct links Without Sizes!E2:E""))),"""")"),"")</f>
        <v/>
      </c>
      <c r="I400" s="4"/>
      <c r="J400" s="24" t="str">
        <f t="shared" si="1"/>
        <v/>
      </c>
      <c r="K400" s="25"/>
      <c r="L400" s="24" t="str">
        <f t="shared" si="2"/>
        <v/>
      </c>
      <c r="M400" s="4"/>
      <c r="N400" s="23"/>
      <c r="O400" s="23"/>
      <c r="P400" s="23"/>
      <c r="Q400" s="4" t="str">
        <f t="shared" si="4"/>
        <v/>
      </c>
      <c r="R400" s="20"/>
      <c r="S400" s="20"/>
    </row>
    <row r="401">
      <c r="A401" s="4"/>
      <c r="B401" s="4"/>
      <c r="C401" s="37"/>
      <c r="D401" s="7" t="str">
        <f>IFERROR(__xludf.DUMMYFUNCTION("iferror(iferror(INDEX(IMPORTRANGE(""12vtnxaE_Q1s4tyr10kZQx7ZF_xG0lBFae4jQEUtgsMU"",""All!B2:B""),MATCH($C401,IMPORTRANGE(""12vtnxaE_Q1s4tyr10kZQx7ZF_xG0lBFae4jQEUtgsMU"",""All!A2:A""),0)),INDEX(IMPORTRANGE(""13KC70HngS4DDi8y9E5khtSpQEPG6owaQ9z4E-tR5mnY"","&amp;"""Non-Food!B2:B""),MATCH($C401,IMPORTRANGE(""13KC70HngS4DDi8y9E5khtSpQEPG6owaQ9z4E-tR5mnY"",""Non-Food!A2:A""),0))),"""")"),"")</f>
        <v/>
      </c>
      <c r="E401" s="15"/>
      <c r="F401" s="15"/>
      <c r="G401" s="36"/>
      <c r="H401" s="23" t="str">
        <f>IFERROR(__xludf.DUMMYFUNCTION("iferror(iferror(iferror(index(IMPORTRANGE(""1NK5L1mviMn0j3D3uo53ASkIZOFRlLnqaCTnwzOG2_Wg"",""Direct Link!B2:B""),MATCH($C401,IMPORTRANGE(""1NK5L1mviMn0j3D3uo53ASkIZOFRlLnqaCTnwzOG2_Wg"",""Direct Link!A2:A""),0)),XLOOKUP($C401,IMPORTRANGE(""1NK5L1mviMn0j3D"&amp;"3uo53ASkIZOFRlLnqaCTnwzOG2_Wg"",""Direct links Without Sizes!A2:A""),IMPORTRANGE(""1NK5L1mviMn0j3D3uo53ASkIZOFRlLnqaCTnwzOG2_Wg"",""Direct links Without Sizes!B2:B""))),XLOOKUP($C401,IMPORTRANGE(""1NK5L1mviMn0j3D3uo53ASkIZOFRlLnqaCTnwzOG2_Wg"",""Direct li"&amp;"nks Without Sizes!D2:D""),IMPORTRANGE(""1NK5L1mviMn0j3D3uo53ASkIZOFRlLnqaCTnwzOG2_Wg"",""Direct links Without Sizes!E2:E""))),"""")"),"")</f>
        <v/>
      </c>
      <c r="I401" s="4"/>
      <c r="J401" s="24" t="str">
        <f t="shared" si="1"/>
        <v/>
      </c>
      <c r="K401" s="25"/>
      <c r="L401" s="24" t="str">
        <f t="shared" si="2"/>
        <v/>
      </c>
      <c r="M401" s="4"/>
      <c r="N401" s="23"/>
      <c r="O401" s="23"/>
      <c r="P401" s="23"/>
      <c r="Q401" s="4" t="str">
        <f t="shared" si="4"/>
        <v/>
      </c>
      <c r="R401" s="20"/>
      <c r="S401" s="20"/>
    </row>
    <row r="402">
      <c r="A402" s="4"/>
      <c r="B402" s="4"/>
      <c r="C402" s="37"/>
      <c r="D402" s="7" t="str">
        <f>IFERROR(__xludf.DUMMYFUNCTION("iferror(iferror(INDEX(IMPORTRANGE(""12vtnxaE_Q1s4tyr10kZQx7ZF_xG0lBFae4jQEUtgsMU"",""All!B2:B""),MATCH($C402,IMPORTRANGE(""12vtnxaE_Q1s4tyr10kZQx7ZF_xG0lBFae4jQEUtgsMU"",""All!A2:A""),0)),INDEX(IMPORTRANGE(""13KC70HngS4DDi8y9E5khtSpQEPG6owaQ9z4E-tR5mnY"","&amp;"""Non-Food!B2:B""),MATCH($C402,IMPORTRANGE(""13KC70HngS4DDi8y9E5khtSpQEPG6owaQ9z4E-tR5mnY"",""Non-Food!A2:A""),0))),"""")"),"")</f>
        <v/>
      </c>
      <c r="E402" s="15"/>
      <c r="F402" s="15"/>
      <c r="G402" s="36"/>
      <c r="H402" s="23" t="str">
        <f>IFERROR(__xludf.DUMMYFUNCTION("iferror(iferror(iferror(index(IMPORTRANGE(""1NK5L1mviMn0j3D3uo53ASkIZOFRlLnqaCTnwzOG2_Wg"",""Direct Link!B2:B""),MATCH($C402,IMPORTRANGE(""1NK5L1mviMn0j3D3uo53ASkIZOFRlLnqaCTnwzOG2_Wg"",""Direct Link!A2:A""),0)),XLOOKUP($C402,IMPORTRANGE(""1NK5L1mviMn0j3D"&amp;"3uo53ASkIZOFRlLnqaCTnwzOG2_Wg"",""Direct links Without Sizes!A2:A""),IMPORTRANGE(""1NK5L1mviMn0j3D3uo53ASkIZOFRlLnqaCTnwzOG2_Wg"",""Direct links Without Sizes!B2:B""))),XLOOKUP($C402,IMPORTRANGE(""1NK5L1mviMn0j3D3uo53ASkIZOFRlLnqaCTnwzOG2_Wg"",""Direct li"&amp;"nks Without Sizes!D2:D""),IMPORTRANGE(""1NK5L1mviMn0j3D3uo53ASkIZOFRlLnqaCTnwzOG2_Wg"",""Direct links Without Sizes!E2:E""))),"""")"),"")</f>
        <v/>
      </c>
      <c r="I402" s="4"/>
      <c r="J402" s="24" t="str">
        <f t="shared" si="1"/>
        <v/>
      </c>
      <c r="K402" s="25"/>
      <c r="L402" s="24" t="str">
        <f t="shared" si="2"/>
        <v/>
      </c>
      <c r="M402" s="4"/>
      <c r="N402" s="23"/>
      <c r="O402" s="23"/>
      <c r="P402" s="23"/>
      <c r="Q402" s="4" t="str">
        <f t="shared" si="4"/>
        <v/>
      </c>
      <c r="R402" s="20"/>
      <c r="S402" s="20"/>
    </row>
    <row r="403">
      <c r="A403" s="4"/>
      <c r="B403" s="4"/>
      <c r="C403" s="37"/>
      <c r="D403" s="7" t="str">
        <f>IFERROR(__xludf.DUMMYFUNCTION("iferror(iferror(INDEX(IMPORTRANGE(""12vtnxaE_Q1s4tyr10kZQx7ZF_xG0lBFae4jQEUtgsMU"",""All!B2:B""),MATCH($C403,IMPORTRANGE(""12vtnxaE_Q1s4tyr10kZQx7ZF_xG0lBFae4jQEUtgsMU"",""All!A2:A""),0)),INDEX(IMPORTRANGE(""13KC70HngS4DDi8y9E5khtSpQEPG6owaQ9z4E-tR5mnY"","&amp;"""Non-Food!B2:B""),MATCH($C403,IMPORTRANGE(""13KC70HngS4DDi8y9E5khtSpQEPG6owaQ9z4E-tR5mnY"",""Non-Food!A2:A""),0))),"""")"),"")</f>
        <v/>
      </c>
      <c r="E403" s="15"/>
      <c r="F403" s="15"/>
      <c r="G403" s="36"/>
      <c r="H403" s="23" t="str">
        <f>IFERROR(__xludf.DUMMYFUNCTION("iferror(iferror(iferror(index(IMPORTRANGE(""1NK5L1mviMn0j3D3uo53ASkIZOFRlLnqaCTnwzOG2_Wg"",""Direct Link!B2:B""),MATCH($C403,IMPORTRANGE(""1NK5L1mviMn0j3D3uo53ASkIZOFRlLnqaCTnwzOG2_Wg"",""Direct Link!A2:A""),0)),XLOOKUP($C403,IMPORTRANGE(""1NK5L1mviMn0j3D"&amp;"3uo53ASkIZOFRlLnqaCTnwzOG2_Wg"",""Direct links Without Sizes!A2:A""),IMPORTRANGE(""1NK5L1mviMn0j3D3uo53ASkIZOFRlLnqaCTnwzOG2_Wg"",""Direct links Without Sizes!B2:B""))),XLOOKUP($C403,IMPORTRANGE(""1NK5L1mviMn0j3D3uo53ASkIZOFRlLnqaCTnwzOG2_Wg"",""Direct li"&amp;"nks Without Sizes!D2:D""),IMPORTRANGE(""1NK5L1mviMn0j3D3uo53ASkIZOFRlLnqaCTnwzOG2_Wg"",""Direct links Without Sizes!E2:E""))),"""")"),"")</f>
        <v/>
      </c>
      <c r="I403" s="4"/>
      <c r="J403" s="24" t="str">
        <f t="shared" si="1"/>
        <v/>
      </c>
      <c r="K403" s="25"/>
      <c r="L403" s="24" t="str">
        <f t="shared" si="2"/>
        <v/>
      </c>
      <c r="M403" s="4"/>
      <c r="N403" s="23"/>
      <c r="O403" s="23"/>
      <c r="P403" s="23"/>
      <c r="Q403" s="4" t="str">
        <f t="shared" si="4"/>
        <v/>
      </c>
      <c r="R403" s="20"/>
      <c r="S403" s="20"/>
    </row>
    <row r="404">
      <c r="A404" s="4"/>
      <c r="B404" s="4"/>
      <c r="C404" s="37"/>
      <c r="D404" s="7" t="str">
        <f>IFERROR(__xludf.DUMMYFUNCTION("iferror(iferror(INDEX(IMPORTRANGE(""12vtnxaE_Q1s4tyr10kZQx7ZF_xG0lBFae4jQEUtgsMU"",""All!B2:B""),MATCH($C404,IMPORTRANGE(""12vtnxaE_Q1s4tyr10kZQx7ZF_xG0lBFae4jQEUtgsMU"",""All!A2:A""),0)),INDEX(IMPORTRANGE(""13KC70HngS4DDi8y9E5khtSpQEPG6owaQ9z4E-tR5mnY"","&amp;"""Non-Food!B2:B""),MATCH($C404,IMPORTRANGE(""13KC70HngS4DDi8y9E5khtSpQEPG6owaQ9z4E-tR5mnY"",""Non-Food!A2:A""),0))),"""")"),"")</f>
        <v/>
      </c>
      <c r="E404" s="15"/>
      <c r="F404" s="15"/>
      <c r="G404" s="36"/>
      <c r="H404" s="23" t="str">
        <f>IFERROR(__xludf.DUMMYFUNCTION("iferror(iferror(iferror(index(IMPORTRANGE(""1NK5L1mviMn0j3D3uo53ASkIZOFRlLnqaCTnwzOG2_Wg"",""Direct Link!B2:B""),MATCH($C404,IMPORTRANGE(""1NK5L1mviMn0j3D3uo53ASkIZOFRlLnqaCTnwzOG2_Wg"",""Direct Link!A2:A""),0)),XLOOKUP($C404,IMPORTRANGE(""1NK5L1mviMn0j3D"&amp;"3uo53ASkIZOFRlLnqaCTnwzOG2_Wg"",""Direct links Without Sizes!A2:A""),IMPORTRANGE(""1NK5L1mviMn0j3D3uo53ASkIZOFRlLnqaCTnwzOG2_Wg"",""Direct links Without Sizes!B2:B""))),XLOOKUP($C404,IMPORTRANGE(""1NK5L1mviMn0j3D3uo53ASkIZOFRlLnqaCTnwzOG2_Wg"",""Direct li"&amp;"nks Without Sizes!D2:D""),IMPORTRANGE(""1NK5L1mviMn0j3D3uo53ASkIZOFRlLnqaCTnwzOG2_Wg"",""Direct links Without Sizes!E2:E""))),"""")"),"")</f>
        <v/>
      </c>
      <c r="I404" s="4"/>
      <c r="J404" s="24" t="str">
        <f t="shared" si="1"/>
        <v/>
      </c>
      <c r="K404" s="25"/>
      <c r="L404" s="24" t="str">
        <f t="shared" si="2"/>
        <v/>
      </c>
      <c r="M404" s="4"/>
      <c r="N404" s="23"/>
      <c r="O404" s="23"/>
      <c r="P404" s="23"/>
      <c r="Q404" s="4" t="str">
        <f t="shared" si="4"/>
        <v/>
      </c>
      <c r="R404" s="20"/>
      <c r="S404" s="20"/>
    </row>
    <row r="405">
      <c r="A405" s="4"/>
      <c r="B405" s="4"/>
      <c r="C405" s="37"/>
      <c r="D405" s="7" t="str">
        <f>IFERROR(__xludf.DUMMYFUNCTION("iferror(iferror(INDEX(IMPORTRANGE(""12vtnxaE_Q1s4tyr10kZQx7ZF_xG0lBFae4jQEUtgsMU"",""All!B2:B""),MATCH($C405,IMPORTRANGE(""12vtnxaE_Q1s4tyr10kZQx7ZF_xG0lBFae4jQEUtgsMU"",""All!A2:A""),0)),INDEX(IMPORTRANGE(""13KC70HngS4DDi8y9E5khtSpQEPG6owaQ9z4E-tR5mnY"","&amp;"""Non-Food!B2:B""),MATCH($C405,IMPORTRANGE(""13KC70HngS4DDi8y9E5khtSpQEPG6owaQ9z4E-tR5mnY"",""Non-Food!A2:A""),0))),"""")"),"")</f>
        <v/>
      </c>
      <c r="E405" s="15"/>
      <c r="F405" s="15"/>
      <c r="G405" s="36"/>
      <c r="H405" s="23" t="str">
        <f>IFERROR(__xludf.DUMMYFUNCTION("iferror(iferror(iferror(index(IMPORTRANGE(""1NK5L1mviMn0j3D3uo53ASkIZOFRlLnqaCTnwzOG2_Wg"",""Direct Link!B2:B""),MATCH($C405,IMPORTRANGE(""1NK5L1mviMn0j3D3uo53ASkIZOFRlLnqaCTnwzOG2_Wg"",""Direct Link!A2:A""),0)),XLOOKUP($C405,IMPORTRANGE(""1NK5L1mviMn0j3D"&amp;"3uo53ASkIZOFRlLnqaCTnwzOG2_Wg"",""Direct links Without Sizes!A2:A""),IMPORTRANGE(""1NK5L1mviMn0j3D3uo53ASkIZOFRlLnqaCTnwzOG2_Wg"",""Direct links Without Sizes!B2:B""))),XLOOKUP($C405,IMPORTRANGE(""1NK5L1mviMn0j3D3uo53ASkIZOFRlLnqaCTnwzOG2_Wg"",""Direct li"&amp;"nks Without Sizes!D2:D""),IMPORTRANGE(""1NK5L1mviMn0j3D3uo53ASkIZOFRlLnqaCTnwzOG2_Wg"",""Direct links Without Sizes!E2:E""))),"""")"),"")</f>
        <v/>
      </c>
      <c r="I405" s="4"/>
      <c r="J405" s="24" t="str">
        <f t="shared" si="1"/>
        <v/>
      </c>
      <c r="K405" s="25"/>
      <c r="L405" s="24" t="str">
        <f t="shared" si="2"/>
        <v/>
      </c>
      <c r="M405" s="4"/>
      <c r="N405" s="23"/>
      <c r="O405" s="23"/>
      <c r="P405" s="23"/>
      <c r="Q405" s="4" t="str">
        <f t="shared" si="4"/>
        <v/>
      </c>
      <c r="R405" s="20"/>
      <c r="S405" s="20"/>
    </row>
    <row r="406">
      <c r="A406" s="4"/>
      <c r="B406" s="4"/>
      <c r="C406" s="37"/>
      <c r="D406" s="7" t="str">
        <f>IFERROR(__xludf.DUMMYFUNCTION("iferror(iferror(INDEX(IMPORTRANGE(""12vtnxaE_Q1s4tyr10kZQx7ZF_xG0lBFae4jQEUtgsMU"",""All!B2:B""),MATCH($C406,IMPORTRANGE(""12vtnxaE_Q1s4tyr10kZQx7ZF_xG0lBFae4jQEUtgsMU"",""All!A2:A""),0)),INDEX(IMPORTRANGE(""13KC70HngS4DDi8y9E5khtSpQEPG6owaQ9z4E-tR5mnY"","&amp;"""Non-Food!B2:B""),MATCH($C406,IMPORTRANGE(""13KC70HngS4DDi8y9E5khtSpQEPG6owaQ9z4E-tR5mnY"",""Non-Food!A2:A""),0))),"""")"),"")</f>
        <v/>
      </c>
      <c r="E406" s="15"/>
      <c r="F406" s="15"/>
      <c r="G406" s="36"/>
      <c r="H406" s="23" t="str">
        <f>IFERROR(__xludf.DUMMYFUNCTION("iferror(iferror(iferror(index(IMPORTRANGE(""1NK5L1mviMn0j3D3uo53ASkIZOFRlLnqaCTnwzOG2_Wg"",""Direct Link!B2:B""),MATCH($C406,IMPORTRANGE(""1NK5L1mviMn0j3D3uo53ASkIZOFRlLnqaCTnwzOG2_Wg"",""Direct Link!A2:A""),0)),XLOOKUP($C406,IMPORTRANGE(""1NK5L1mviMn0j3D"&amp;"3uo53ASkIZOFRlLnqaCTnwzOG2_Wg"",""Direct links Without Sizes!A2:A""),IMPORTRANGE(""1NK5L1mviMn0j3D3uo53ASkIZOFRlLnqaCTnwzOG2_Wg"",""Direct links Without Sizes!B2:B""))),XLOOKUP($C406,IMPORTRANGE(""1NK5L1mviMn0j3D3uo53ASkIZOFRlLnqaCTnwzOG2_Wg"",""Direct li"&amp;"nks Without Sizes!D2:D""),IMPORTRANGE(""1NK5L1mviMn0j3D3uo53ASkIZOFRlLnqaCTnwzOG2_Wg"",""Direct links Without Sizes!E2:E""))),"""")"),"")</f>
        <v/>
      </c>
      <c r="I406" s="4"/>
      <c r="J406" s="24" t="str">
        <f t="shared" si="1"/>
        <v/>
      </c>
      <c r="K406" s="25"/>
      <c r="L406" s="24" t="str">
        <f t="shared" si="2"/>
        <v/>
      </c>
      <c r="M406" s="4"/>
      <c r="N406" s="23"/>
      <c r="O406" s="23"/>
      <c r="P406" s="23"/>
      <c r="Q406" s="4" t="str">
        <f t="shared" si="4"/>
        <v/>
      </c>
      <c r="R406" s="20"/>
      <c r="S406" s="20"/>
    </row>
    <row r="407">
      <c r="A407" s="4"/>
      <c r="B407" s="4"/>
      <c r="C407" s="37"/>
      <c r="D407" s="7" t="str">
        <f>IFERROR(__xludf.DUMMYFUNCTION("iferror(iferror(INDEX(IMPORTRANGE(""12vtnxaE_Q1s4tyr10kZQx7ZF_xG0lBFae4jQEUtgsMU"",""All!B2:B""),MATCH($C407,IMPORTRANGE(""12vtnxaE_Q1s4tyr10kZQx7ZF_xG0lBFae4jQEUtgsMU"",""All!A2:A""),0)),INDEX(IMPORTRANGE(""13KC70HngS4DDi8y9E5khtSpQEPG6owaQ9z4E-tR5mnY"","&amp;"""Non-Food!B2:B""),MATCH($C407,IMPORTRANGE(""13KC70HngS4DDi8y9E5khtSpQEPG6owaQ9z4E-tR5mnY"",""Non-Food!A2:A""),0))),"""")"),"")</f>
        <v/>
      </c>
      <c r="E407" s="15"/>
      <c r="F407" s="15"/>
      <c r="G407" s="36"/>
      <c r="H407" s="23" t="str">
        <f>IFERROR(__xludf.DUMMYFUNCTION("iferror(iferror(iferror(index(IMPORTRANGE(""1NK5L1mviMn0j3D3uo53ASkIZOFRlLnqaCTnwzOG2_Wg"",""Direct Link!B2:B""),MATCH($C407,IMPORTRANGE(""1NK5L1mviMn0j3D3uo53ASkIZOFRlLnqaCTnwzOG2_Wg"",""Direct Link!A2:A""),0)),XLOOKUP($C407,IMPORTRANGE(""1NK5L1mviMn0j3D"&amp;"3uo53ASkIZOFRlLnqaCTnwzOG2_Wg"",""Direct links Without Sizes!A2:A""),IMPORTRANGE(""1NK5L1mviMn0j3D3uo53ASkIZOFRlLnqaCTnwzOG2_Wg"",""Direct links Without Sizes!B2:B""))),XLOOKUP($C407,IMPORTRANGE(""1NK5L1mviMn0j3D3uo53ASkIZOFRlLnqaCTnwzOG2_Wg"",""Direct li"&amp;"nks Without Sizes!D2:D""),IMPORTRANGE(""1NK5L1mviMn0j3D3uo53ASkIZOFRlLnqaCTnwzOG2_Wg"",""Direct links Without Sizes!E2:E""))),"""")"),"")</f>
        <v/>
      </c>
      <c r="I407" s="4"/>
      <c r="J407" s="24" t="str">
        <f t="shared" si="1"/>
        <v/>
      </c>
      <c r="K407" s="25"/>
      <c r="L407" s="24" t="str">
        <f t="shared" si="2"/>
        <v/>
      </c>
      <c r="M407" s="4"/>
      <c r="N407" s="23"/>
      <c r="O407" s="23"/>
      <c r="P407" s="23"/>
      <c r="Q407" s="4" t="str">
        <f t="shared" si="4"/>
        <v/>
      </c>
      <c r="R407" s="20"/>
      <c r="S407" s="20"/>
    </row>
    <row r="408">
      <c r="A408" s="4"/>
      <c r="B408" s="4"/>
      <c r="C408" s="37"/>
      <c r="D408" s="7" t="str">
        <f>IFERROR(__xludf.DUMMYFUNCTION("iferror(iferror(INDEX(IMPORTRANGE(""12vtnxaE_Q1s4tyr10kZQx7ZF_xG0lBFae4jQEUtgsMU"",""All!B2:B""),MATCH($C408,IMPORTRANGE(""12vtnxaE_Q1s4tyr10kZQx7ZF_xG0lBFae4jQEUtgsMU"",""All!A2:A""),0)),INDEX(IMPORTRANGE(""13KC70HngS4DDi8y9E5khtSpQEPG6owaQ9z4E-tR5mnY"","&amp;"""Non-Food!B2:B""),MATCH($C408,IMPORTRANGE(""13KC70HngS4DDi8y9E5khtSpQEPG6owaQ9z4E-tR5mnY"",""Non-Food!A2:A""),0))),"""")"),"")</f>
        <v/>
      </c>
      <c r="E408" s="15"/>
      <c r="F408" s="15"/>
      <c r="G408" s="36"/>
      <c r="H408" s="23" t="str">
        <f>IFERROR(__xludf.DUMMYFUNCTION("iferror(iferror(iferror(index(IMPORTRANGE(""1NK5L1mviMn0j3D3uo53ASkIZOFRlLnqaCTnwzOG2_Wg"",""Direct Link!B2:B""),MATCH($C408,IMPORTRANGE(""1NK5L1mviMn0j3D3uo53ASkIZOFRlLnqaCTnwzOG2_Wg"",""Direct Link!A2:A""),0)),XLOOKUP($C408,IMPORTRANGE(""1NK5L1mviMn0j3D"&amp;"3uo53ASkIZOFRlLnqaCTnwzOG2_Wg"",""Direct links Without Sizes!A2:A""),IMPORTRANGE(""1NK5L1mviMn0j3D3uo53ASkIZOFRlLnqaCTnwzOG2_Wg"",""Direct links Without Sizes!B2:B""))),XLOOKUP($C408,IMPORTRANGE(""1NK5L1mviMn0j3D3uo53ASkIZOFRlLnqaCTnwzOG2_Wg"",""Direct li"&amp;"nks Without Sizes!D2:D""),IMPORTRANGE(""1NK5L1mviMn0j3D3uo53ASkIZOFRlLnqaCTnwzOG2_Wg"",""Direct links Without Sizes!E2:E""))),"""")"),"")</f>
        <v/>
      </c>
      <c r="I408" s="4"/>
      <c r="J408" s="24" t="str">
        <f t="shared" si="1"/>
        <v/>
      </c>
      <c r="K408" s="25"/>
      <c r="L408" s="24" t="str">
        <f t="shared" si="2"/>
        <v/>
      </c>
      <c r="M408" s="4"/>
      <c r="N408" s="23"/>
      <c r="O408" s="23"/>
      <c r="P408" s="23"/>
      <c r="Q408" s="4" t="str">
        <f t="shared" si="4"/>
        <v/>
      </c>
      <c r="R408" s="20"/>
      <c r="S408" s="20"/>
    </row>
    <row r="409">
      <c r="A409" s="4"/>
      <c r="B409" s="4"/>
      <c r="C409" s="11"/>
      <c r="D409" s="7" t="str">
        <f>IFERROR(__xludf.DUMMYFUNCTION("iferror(iferror(INDEX(IMPORTRANGE(""12vtnxaE_Q1s4tyr10kZQx7ZF_xG0lBFae4jQEUtgsMU"",""All!B2:B""),MATCH($C409,IMPORTRANGE(""12vtnxaE_Q1s4tyr10kZQx7ZF_xG0lBFae4jQEUtgsMU"",""All!A2:A""),0)),INDEX(IMPORTRANGE(""13KC70HngS4DDi8y9E5khtSpQEPG6owaQ9z4E-tR5mnY"","&amp;"""Non-Food!B2:B""),MATCH($C409,IMPORTRANGE(""13KC70HngS4DDi8y9E5khtSpQEPG6owaQ9z4E-tR5mnY"",""Non-Food!A2:A""),0))),"""")"),"")</f>
        <v/>
      </c>
      <c r="E409" s="15"/>
      <c r="F409" s="15"/>
      <c r="G409" s="36"/>
      <c r="H409" s="23" t="str">
        <f>IFERROR(__xludf.DUMMYFUNCTION("iferror(iferror(iferror(index(IMPORTRANGE(""1NK5L1mviMn0j3D3uo53ASkIZOFRlLnqaCTnwzOG2_Wg"",""Direct Link!B2:B""),MATCH($C409,IMPORTRANGE(""1NK5L1mviMn0j3D3uo53ASkIZOFRlLnqaCTnwzOG2_Wg"",""Direct Link!A2:A""),0)),XLOOKUP($C409,IMPORTRANGE(""1NK5L1mviMn0j3D"&amp;"3uo53ASkIZOFRlLnqaCTnwzOG2_Wg"",""Direct links Without Sizes!A2:A""),IMPORTRANGE(""1NK5L1mviMn0j3D3uo53ASkIZOFRlLnqaCTnwzOG2_Wg"",""Direct links Without Sizes!B2:B""))),XLOOKUP($C409,IMPORTRANGE(""1NK5L1mviMn0j3D3uo53ASkIZOFRlLnqaCTnwzOG2_Wg"",""Direct li"&amp;"nks Without Sizes!D2:D""),IMPORTRANGE(""1NK5L1mviMn0j3D3uo53ASkIZOFRlLnqaCTnwzOG2_Wg"",""Direct links Without Sizes!E2:E""))),"""")"),"")</f>
        <v/>
      </c>
      <c r="I409" s="4"/>
      <c r="J409" s="24" t="str">
        <f t="shared" si="1"/>
        <v/>
      </c>
      <c r="K409" s="25"/>
      <c r="L409" s="24" t="str">
        <f t="shared" si="2"/>
        <v/>
      </c>
      <c r="M409" s="4"/>
      <c r="N409" s="23"/>
      <c r="O409" s="23"/>
      <c r="P409" s="23"/>
      <c r="Q409" s="4" t="str">
        <f t="shared" si="4"/>
        <v/>
      </c>
      <c r="R409" s="20"/>
      <c r="S409" s="20"/>
    </row>
    <row r="410">
      <c r="A410" s="4"/>
      <c r="B410" s="4"/>
      <c r="C410" s="37"/>
      <c r="D410" s="7" t="str">
        <f>IFERROR(__xludf.DUMMYFUNCTION("iferror(iferror(INDEX(IMPORTRANGE(""12vtnxaE_Q1s4tyr10kZQx7ZF_xG0lBFae4jQEUtgsMU"",""All!B2:B""),MATCH($C410,IMPORTRANGE(""12vtnxaE_Q1s4tyr10kZQx7ZF_xG0lBFae4jQEUtgsMU"",""All!A2:A""),0)),INDEX(IMPORTRANGE(""13KC70HngS4DDi8y9E5khtSpQEPG6owaQ9z4E-tR5mnY"","&amp;"""Non-Food!B2:B""),MATCH($C410,IMPORTRANGE(""13KC70HngS4DDi8y9E5khtSpQEPG6owaQ9z4E-tR5mnY"",""Non-Food!A2:A""),0))),"""")"),"")</f>
        <v/>
      </c>
      <c r="E410" s="15"/>
      <c r="F410" s="15"/>
      <c r="G410" s="36"/>
      <c r="H410" s="23" t="str">
        <f>IFERROR(__xludf.DUMMYFUNCTION("iferror(iferror(iferror(index(IMPORTRANGE(""1NK5L1mviMn0j3D3uo53ASkIZOFRlLnqaCTnwzOG2_Wg"",""Direct Link!B2:B""),MATCH($C410,IMPORTRANGE(""1NK5L1mviMn0j3D3uo53ASkIZOFRlLnqaCTnwzOG2_Wg"",""Direct Link!A2:A""),0)),XLOOKUP($C410,IMPORTRANGE(""1NK5L1mviMn0j3D"&amp;"3uo53ASkIZOFRlLnqaCTnwzOG2_Wg"",""Direct links Without Sizes!A2:A""),IMPORTRANGE(""1NK5L1mviMn0j3D3uo53ASkIZOFRlLnqaCTnwzOG2_Wg"",""Direct links Without Sizes!B2:B""))),XLOOKUP($C410,IMPORTRANGE(""1NK5L1mviMn0j3D3uo53ASkIZOFRlLnqaCTnwzOG2_Wg"",""Direct li"&amp;"nks Without Sizes!D2:D""),IMPORTRANGE(""1NK5L1mviMn0j3D3uo53ASkIZOFRlLnqaCTnwzOG2_Wg"",""Direct links Without Sizes!E2:E""))),"""")"),"")</f>
        <v/>
      </c>
      <c r="I410" s="4"/>
      <c r="J410" s="24" t="str">
        <f t="shared" si="1"/>
        <v/>
      </c>
      <c r="K410" s="25"/>
      <c r="L410" s="24" t="str">
        <f t="shared" si="2"/>
        <v/>
      </c>
      <c r="M410" s="4"/>
      <c r="N410" s="23"/>
      <c r="O410" s="23"/>
      <c r="P410" s="23"/>
      <c r="Q410" s="4" t="str">
        <f t="shared" si="4"/>
        <v/>
      </c>
      <c r="R410" s="20"/>
      <c r="S410" s="20"/>
    </row>
    <row r="411">
      <c r="A411" s="4"/>
      <c r="B411" s="4"/>
      <c r="C411" s="37"/>
      <c r="D411" s="7" t="str">
        <f>IFERROR(__xludf.DUMMYFUNCTION("iferror(iferror(INDEX(IMPORTRANGE(""12vtnxaE_Q1s4tyr10kZQx7ZF_xG0lBFae4jQEUtgsMU"",""All!B2:B""),MATCH($C411,IMPORTRANGE(""12vtnxaE_Q1s4tyr10kZQx7ZF_xG0lBFae4jQEUtgsMU"",""All!A2:A""),0)),INDEX(IMPORTRANGE(""13KC70HngS4DDi8y9E5khtSpQEPG6owaQ9z4E-tR5mnY"","&amp;"""Non-Food!B2:B""),MATCH($C411,IMPORTRANGE(""13KC70HngS4DDi8y9E5khtSpQEPG6owaQ9z4E-tR5mnY"",""Non-Food!A2:A""),0))),"""")"),"")</f>
        <v/>
      </c>
      <c r="E411" s="15"/>
      <c r="F411" s="15"/>
      <c r="G411" s="36"/>
      <c r="H411" s="23" t="str">
        <f>IFERROR(__xludf.DUMMYFUNCTION("iferror(iferror(iferror(index(IMPORTRANGE(""1NK5L1mviMn0j3D3uo53ASkIZOFRlLnqaCTnwzOG2_Wg"",""Direct Link!B2:B""),MATCH($C411,IMPORTRANGE(""1NK5L1mviMn0j3D3uo53ASkIZOFRlLnqaCTnwzOG2_Wg"",""Direct Link!A2:A""),0)),XLOOKUP($C411,IMPORTRANGE(""1NK5L1mviMn0j3D"&amp;"3uo53ASkIZOFRlLnqaCTnwzOG2_Wg"",""Direct links Without Sizes!A2:A""),IMPORTRANGE(""1NK5L1mviMn0j3D3uo53ASkIZOFRlLnqaCTnwzOG2_Wg"",""Direct links Without Sizes!B2:B""))),XLOOKUP($C411,IMPORTRANGE(""1NK5L1mviMn0j3D3uo53ASkIZOFRlLnqaCTnwzOG2_Wg"",""Direct li"&amp;"nks Without Sizes!D2:D""),IMPORTRANGE(""1NK5L1mviMn0j3D3uo53ASkIZOFRlLnqaCTnwzOG2_Wg"",""Direct links Without Sizes!E2:E""))),"""")"),"")</f>
        <v/>
      </c>
      <c r="I411" s="4"/>
      <c r="J411" s="24" t="str">
        <f t="shared" si="1"/>
        <v/>
      </c>
      <c r="K411" s="25"/>
      <c r="L411" s="24" t="str">
        <f t="shared" si="2"/>
        <v/>
      </c>
      <c r="M411" s="4"/>
      <c r="N411" s="23"/>
      <c r="O411" s="23"/>
      <c r="P411" s="23"/>
      <c r="Q411" s="4" t="str">
        <f t="shared" si="4"/>
        <v/>
      </c>
      <c r="R411" s="20"/>
      <c r="S411" s="20"/>
    </row>
    <row r="412">
      <c r="A412" s="4"/>
      <c r="B412" s="4"/>
      <c r="C412" s="37"/>
      <c r="D412" s="7" t="str">
        <f>IFERROR(__xludf.DUMMYFUNCTION("iferror(iferror(INDEX(IMPORTRANGE(""12vtnxaE_Q1s4tyr10kZQx7ZF_xG0lBFae4jQEUtgsMU"",""All!B2:B""),MATCH($C412,IMPORTRANGE(""12vtnxaE_Q1s4tyr10kZQx7ZF_xG0lBFae4jQEUtgsMU"",""All!A2:A""),0)),INDEX(IMPORTRANGE(""13KC70HngS4DDi8y9E5khtSpQEPG6owaQ9z4E-tR5mnY"","&amp;"""Non-Food!B2:B""),MATCH($C412,IMPORTRANGE(""13KC70HngS4DDi8y9E5khtSpQEPG6owaQ9z4E-tR5mnY"",""Non-Food!A2:A""),0))),"""")"),"")</f>
        <v/>
      </c>
      <c r="E412" s="15"/>
      <c r="F412" s="15"/>
      <c r="G412" s="36"/>
      <c r="H412" s="23" t="str">
        <f>IFERROR(__xludf.DUMMYFUNCTION("iferror(iferror(iferror(index(IMPORTRANGE(""1NK5L1mviMn0j3D3uo53ASkIZOFRlLnqaCTnwzOG2_Wg"",""Direct Link!B2:B""),MATCH($C412,IMPORTRANGE(""1NK5L1mviMn0j3D3uo53ASkIZOFRlLnqaCTnwzOG2_Wg"",""Direct Link!A2:A""),0)),XLOOKUP($C412,IMPORTRANGE(""1NK5L1mviMn0j3D"&amp;"3uo53ASkIZOFRlLnqaCTnwzOG2_Wg"",""Direct links Without Sizes!A2:A""),IMPORTRANGE(""1NK5L1mviMn0j3D3uo53ASkIZOFRlLnqaCTnwzOG2_Wg"",""Direct links Without Sizes!B2:B""))),XLOOKUP($C412,IMPORTRANGE(""1NK5L1mviMn0j3D3uo53ASkIZOFRlLnqaCTnwzOG2_Wg"",""Direct li"&amp;"nks Without Sizes!D2:D""),IMPORTRANGE(""1NK5L1mviMn0j3D3uo53ASkIZOFRlLnqaCTnwzOG2_Wg"",""Direct links Without Sizes!E2:E""))),"""")"),"")</f>
        <v/>
      </c>
      <c r="I412" s="4"/>
      <c r="J412" s="24" t="str">
        <f t="shared" si="1"/>
        <v/>
      </c>
      <c r="K412" s="25"/>
      <c r="L412" s="24" t="str">
        <f t="shared" si="2"/>
        <v/>
      </c>
      <c r="M412" s="4"/>
      <c r="N412" s="23"/>
      <c r="O412" s="23"/>
      <c r="P412" s="23"/>
      <c r="Q412" s="4" t="str">
        <f t="shared" si="4"/>
        <v/>
      </c>
      <c r="R412" s="20"/>
      <c r="S412" s="20"/>
    </row>
    <row r="413">
      <c r="A413" s="4"/>
      <c r="B413" s="4"/>
      <c r="C413" s="37"/>
      <c r="D413" s="7" t="str">
        <f>IFERROR(__xludf.DUMMYFUNCTION("iferror(iferror(INDEX(IMPORTRANGE(""12vtnxaE_Q1s4tyr10kZQx7ZF_xG0lBFae4jQEUtgsMU"",""All!B2:B""),MATCH($C413,IMPORTRANGE(""12vtnxaE_Q1s4tyr10kZQx7ZF_xG0lBFae4jQEUtgsMU"",""All!A2:A""),0)),INDEX(IMPORTRANGE(""13KC70HngS4DDi8y9E5khtSpQEPG6owaQ9z4E-tR5mnY"","&amp;"""Non-Food!B2:B""),MATCH($C413,IMPORTRANGE(""13KC70HngS4DDi8y9E5khtSpQEPG6owaQ9z4E-tR5mnY"",""Non-Food!A2:A""),0))),"""")"),"")</f>
        <v/>
      </c>
      <c r="E413" s="15"/>
      <c r="F413" s="15"/>
      <c r="G413" s="36"/>
      <c r="H413" s="23" t="str">
        <f>IFERROR(__xludf.DUMMYFUNCTION("iferror(iferror(iferror(index(IMPORTRANGE(""1NK5L1mviMn0j3D3uo53ASkIZOFRlLnqaCTnwzOG2_Wg"",""Direct Link!B2:B""),MATCH($C413,IMPORTRANGE(""1NK5L1mviMn0j3D3uo53ASkIZOFRlLnqaCTnwzOG2_Wg"",""Direct Link!A2:A""),0)),XLOOKUP($C413,IMPORTRANGE(""1NK5L1mviMn0j3D"&amp;"3uo53ASkIZOFRlLnqaCTnwzOG2_Wg"",""Direct links Without Sizes!A2:A""),IMPORTRANGE(""1NK5L1mviMn0j3D3uo53ASkIZOFRlLnqaCTnwzOG2_Wg"",""Direct links Without Sizes!B2:B""))),XLOOKUP($C413,IMPORTRANGE(""1NK5L1mviMn0j3D3uo53ASkIZOFRlLnqaCTnwzOG2_Wg"",""Direct li"&amp;"nks Without Sizes!D2:D""),IMPORTRANGE(""1NK5L1mviMn0j3D3uo53ASkIZOFRlLnqaCTnwzOG2_Wg"",""Direct links Without Sizes!E2:E""))),"""")"),"")</f>
        <v/>
      </c>
      <c r="I413" s="4"/>
      <c r="J413" s="24" t="str">
        <f t="shared" si="1"/>
        <v/>
      </c>
      <c r="K413" s="25"/>
      <c r="L413" s="24" t="str">
        <f t="shared" si="2"/>
        <v/>
      </c>
      <c r="M413" s="4"/>
      <c r="N413" s="23"/>
      <c r="O413" s="23"/>
      <c r="P413" s="23"/>
      <c r="Q413" s="4" t="str">
        <f t="shared" si="4"/>
        <v/>
      </c>
      <c r="R413" s="20"/>
      <c r="S413" s="20"/>
    </row>
    <row r="414">
      <c r="A414" s="4"/>
      <c r="B414" s="4"/>
      <c r="C414" s="37"/>
      <c r="D414" s="7" t="str">
        <f>IFERROR(__xludf.DUMMYFUNCTION("iferror(iferror(INDEX(IMPORTRANGE(""12vtnxaE_Q1s4tyr10kZQx7ZF_xG0lBFae4jQEUtgsMU"",""All!B2:B""),MATCH($C414,IMPORTRANGE(""12vtnxaE_Q1s4tyr10kZQx7ZF_xG0lBFae4jQEUtgsMU"",""All!A2:A""),0)),INDEX(IMPORTRANGE(""13KC70HngS4DDi8y9E5khtSpQEPG6owaQ9z4E-tR5mnY"","&amp;"""Non-Food!B2:B""),MATCH($C414,IMPORTRANGE(""13KC70HngS4DDi8y9E5khtSpQEPG6owaQ9z4E-tR5mnY"",""Non-Food!A2:A""),0))),"""")"),"")</f>
        <v/>
      </c>
      <c r="E414" s="15"/>
      <c r="F414" s="15"/>
      <c r="G414" s="36"/>
      <c r="H414" s="23" t="str">
        <f>IFERROR(__xludf.DUMMYFUNCTION("iferror(iferror(iferror(index(IMPORTRANGE(""1NK5L1mviMn0j3D3uo53ASkIZOFRlLnqaCTnwzOG2_Wg"",""Direct Link!B2:B""),MATCH($C414,IMPORTRANGE(""1NK5L1mviMn0j3D3uo53ASkIZOFRlLnqaCTnwzOG2_Wg"",""Direct Link!A2:A""),0)),XLOOKUP($C414,IMPORTRANGE(""1NK5L1mviMn0j3D"&amp;"3uo53ASkIZOFRlLnqaCTnwzOG2_Wg"",""Direct links Without Sizes!A2:A""),IMPORTRANGE(""1NK5L1mviMn0j3D3uo53ASkIZOFRlLnqaCTnwzOG2_Wg"",""Direct links Without Sizes!B2:B""))),XLOOKUP($C414,IMPORTRANGE(""1NK5L1mviMn0j3D3uo53ASkIZOFRlLnqaCTnwzOG2_Wg"",""Direct li"&amp;"nks Without Sizes!D2:D""),IMPORTRANGE(""1NK5L1mviMn0j3D3uo53ASkIZOFRlLnqaCTnwzOG2_Wg"",""Direct links Without Sizes!E2:E""))),"""")"),"")</f>
        <v/>
      </c>
      <c r="I414" s="4"/>
      <c r="J414" s="24" t="str">
        <f t="shared" si="1"/>
        <v/>
      </c>
      <c r="K414" s="25"/>
      <c r="L414" s="24" t="str">
        <f t="shared" si="2"/>
        <v/>
      </c>
      <c r="M414" s="4"/>
      <c r="N414" s="23"/>
      <c r="O414" s="23"/>
      <c r="P414" s="23"/>
      <c r="Q414" s="4" t="str">
        <f t="shared" si="4"/>
        <v/>
      </c>
      <c r="R414" s="20"/>
      <c r="S414" s="20"/>
    </row>
    <row r="415">
      <c r="A415" s="4"/>
      <c r="B415" s="4"/>
      <c r="C415" s="37"/>
      <c r="D415" s="7" t="str">
        <f>IFERROR(__xludf.DUMMYFUNCTION("iferror(iferror(INDEX(IMPORTRANGE(""12vtnxaE_Q1s4tyr10kZQx7ZF_xG0lBFae4jQEUtgsMU"",""All!B2:B""),MATCH($C415,IMPORTRANGE(""12vtnxaE_Q1s4tyr10kZQx7ZF_xG0lBFae4jQEUtgsMU"",""All!A2:A""),0)),INDEX(IMPORTRANGE(""13KC70HngS4DDi8y9E5khtSpQEPG6owaQ9z4E-tR5mnY"","&amp;"""Non-Food!B2:B""),MATCH($C415,IMPORTRANGE(""13KC70HngS4DDi8y9E5khtSpQEPG6owaQ9z4E-tR5mnY"",""Non-Food!A2:A""),0))),"""")"),"")</f>
        <v/>
      </c>
      <c r="E415" s="15"/>
      <c r="F415" s="15"/>
      <c r="G415" s="36"/>
      <c r="H415" s="23" t="str">
        <f>IFERROR(__xludf.DUMMYFUNCTION("iferror(iferror(iferror(index(IMPORTRANGE(""1NK5L1mviMn0j3D3uo53ASkIZOFRlLnqaCTnwzOG2_Wg"",""Direct Link!B2:B""),MATCH($C415,IMPORTRANGE(""1NK5L1mviMn0j3D3uo53ASkIZOFRlLnqaCTnwzOG2_Wg"",""Direct Link!A2:A""),0)),XLOOKUP($C415,IMPORTRANGE(""1NK5L1mviMn0j3D"&amp;"3uo53ASkIZOFRlLnqaCTnwzOG2_Wg"",""Direct links Without Sizes!A2:A""),IMPORTRANGE(""1NK5L1mviMn0j3D3uo53ASkIZOFRlLnqaCTnwzOG2_Wg"",""Direct links Without Sizes!B2:B""))),XLOOKUP($C415,IMPORTRANGE(""1NK5L1mviMn0j3D3uo53ASkIZOFRlLnqaCTnwzOG2_Wg"",""Direct li"&amp;"nks Without Sizes!D2:D""),IMPORTRANGE(""1NK5L1mviMn0j3D3uo53ASkIZOFRlLnqaCTnwzOG2_Wg"",""Direct links Without Sizes!E2:E""))),"""")"),"")</f>
        <v/>
      </c>
      <c r="I415" s="4"/>
      <c r="J415" s="24" t="str">
        <f t="shared" si="1"/>
        <v/>
      </c>
      <c r="K415" s="25"/>
      <c r="L415" s="24" t="str">
        <f t="shared" si="2"/>
        <v/>
      </c>
      <c r="M415" s="4"/>
      <c r="N415" s="23"/>
      <c r="O415" s="23"/>
      <c r="P415" s="23"/>
      <c r="Q415" s="4" t="str">
        <f t="shared" si="4"/>
        <v/>
      </c>
      <c r="R415" s="20"/>
      <c r="S415" s="20"/>
    </row>
    <row r="416">
      <c r="A416" s="4"/>
      <c r="B416" s="4"/>
      <c r="C416" s="37"/>
      <c r="D416" s="7" t="str">
        <f>IFERROR(__xludf.DUMMYFUNCTION("iferror(iferror(INDEX(IMPORTRANGE(""12vtnxaE_Q1s4tyr10kZQx7ZF_xG0lBFae4jQEUtgsMU"",""All!B2:B""),MATCH($C416,IMPORTRANGE(""12vtnxaE_Q1s4tyr10kZQx7ZF_xG0lBFae4jQEUtgsMU"",""All!A2:A""),0)),INDEX(IMPORTRANGE(""13KC70HngS4DDi8y9E5khtSpQEPG6owaQ9z4E-tR5mnY"","&amp;"""Non-Food!B2:B""),MATCH($C416,IMPORTRANGE(""13KC70HngS4DDi8y9E5khtSpQEPG6owaQ9z4E-tR5mnY"",""Non-Food!A2:A""),0))),"""")"),"")</f>
        <v/>
      </c>
      <c r="E416" s="15"/>
      <c r="F416" s="15"/>
      <c r="G416" s="36"/>
      <c r="H416" s="23" t="str">
        <f>IFERROR(__xludf.DUMMYFUNCTION("iferror(iferror(iferror(index(IMPORTRANGE(""1NK5L1mviMn0j3D3uo53ASkIZOFRlLnqaCTnwzOG2_Wg"",""Direct Link!B2:B""),MATCH($C416,IMPORTRANGE(""1NK5L1mviMn0j3D3uo53ASkIZOFRlLnqaCTnwzOG2_Wg"",""Direct Link!A2:A""),0)),XLOOKUP($C416,IMPORTRANGE(""1NK5L1mviMn0j3D"&amp;"3uo53ASkIZOFRlLnqaCTnwzOG2_Wg"",""Direct links Without Sizes!A2:A""),IMPORTRANGE(""1NK5L1mviMn0j3D3uo53ASkIZOFRlLnqaCTnwzOG2_Wg"",""Direct links Without Sizes!B2:B""))),XLOOKUP($C416,IMPORTRANGE(""1NK5L1mviMn0j3D3uo53ASkIZOFRlLnqaCTnwzOG2_Wg"",""Direct li"&amp;"nks Without Sizes!D2:D""),IMPORTRANGE(""1NK5L1mviMn0j3D3uo53ASkIZOFRlLnqaCTnwzOG2_Wg"",""Direct links Without Sizes!E2:E""))),"""")"),"")</f>
        <v/>
      </c>
      <c r="I416" s="4"/>
      <c r="J416" s="24" t="str">
        <f t="shared" si="1"/>
        <v/>
      </c>
      <c r="K416" s="25"/>
      <c r="L416" s="24" t="str">
        <f t="shared" si="2"/>
        <v/>
      </c>
      <c r="M416" s="4"/>
      <c r="N416" s="23"/>
      <c r="O416" s="23"/>
      <c r="P416" s="23"/>
      <c r="Q416" s="4" t="str">
        <f t="shared" si="4"/>
        <v/>
      </c>
      <c r="R416" s="20"/>
      <c r="S416" s="20"/>
    </row>
    <row r="417">
      <c r="A417" s="4"/>
      <c r="B417" s="4"/>
      <c r="C417" s="37"/>
      <c r="D417" s="7" t="str">
        <f>IFERROR(__xludf.DUMMYFUNCTION("iferror(iferror(INDEX(IMPORTRANGE(""12vtnxaE_Q1s4tyr10kZQx7ZF_xG0lBFae4jQEUtgsMU"",""All!B2:B""),MATCH($C417,IMPORTRANGE(""12vtnxaE_Q1s4tyr10kZQx7ZF_xG0lBFae4jQEUtgsMU"",""All!A2:A""),0)),INDEX(IMPORTRANGE(""13KC70HngS4DDi8y9E5khtSpQEPG6owaQ9z4E-tR5mnY"","&amp;"""Non-Food!B2:B""),MATCH($C417,IMPORTRANGE(""13KC70HngS4DDi8y9E5khtSpQEPG6owaQ9z4E-tR5mnY"",""Non-Food!A2:A""),0))),"""")"),"")</f>
        <v/>
      </c>
      <c r="E417" s="15"/>
      <c r="F417" s="15"/>
      <c r="G417" s="36"/>
      <c r="H417" s="23" t="str">
        <f>IFERROR(__xludf.DUMMYFUNCTION("iferror(iferror(iferror(index(IMPORTRANGE(""1NK5L1mviMn0j3D3uo53ASkIZOFRlLnqaCTnwzOG2_Wg"",""Direct Link!B2:B""),MATCH($C417,IMPORTRANGE(""1NK5L1mviMn0j3D3uo53ASkIZOFRlLnqaCTnwzOG2_Wg"",""Direct Link!A2:A""),0)),XLOOKUP($C417,IMPORTRANGE(""1NK5L1mviMn0j3D"&amp;"3uo53ASkIZOFRlLnqaCTnwzOG2_Wg"",""Direct links Without Sizes!A2:A""),IMPORTRANGE(""1NK5L1mviMn0j3D3uo53ASkIZOFRlLnqaCTnwzOG2_Wg"",""Direct links Without Sizes!B2:B""))),XLOOKUP($C417,IMPORTRANGE(""1NK5L1mviMn0j3D3uo53ASkIZOFRlLnqaCTnwzOG2_Wg"",""Direct li"&amp;"nks Without Sizes!D2:D""),IMPORTRANGE(""1NK5L1mviMn0j3D3uo53ASkIZOFRlLnqaCTnwzOG2_Wg"",""Direct links Without Sizes!E2:E""))),"""")"),"")</f>
        <v/>
      </c>
      <c r="I417" s="4"/>
      <c r="J417" s="24" t="str">
        <f t="shared" si="1"/>
        <v/>
      </c>
      <c r="K417" s="25"/>
      <c r="L417" s="24" t="str">
        <f t="shared" si="2"/>
        <v/>
      </c>
      <c r="M417" s="4"/>
      <c r="N417" s="23"/>
      <c r="O417" s="23"/>
      <c r="P417" s="23"/>
      <c r="Q417" s="4" t="str">
        <f t="shared" si="4"/>
        <v/>
      </c>
      <c r="R417" s="20"/>
      <c r="S417" s="20"/>
    </row>
    <row r="418">
      <c r="A418" s="4"/>
      <c r="B418" s="4"/>
      <c r="C418" s="37"/>
      <c r="D418" s="7" t="str">
        <f>IFERROR(__xludf.DUMMYFUNCTION("iferror(iferror(INDEX(IMPORTRANGE(""12vtnxaE_Q1s4tyr10kZQx7ZF_xG0lBFae4jQEUtgsMU"",""All!B2:B""),MATCH($C418,IMPORTRANGE(""12vtnxaE_Q1s4tyr10kZQx7ZF_xG0lBFae4jQEUtgsMU"",""All!A2:A""),0)),INDEX(IMPORTRANGE(""13KC70HngS4DDi8y9E5khtSpQEPG6owaQ9z4E-tR5mnY"","&amp;"""Non-Food!B2:B""),MATCH($C418,IMPORTRANGE(""13KC70HngS4DDi8y9E5khtSpQEPG6owaQ9z4E-tR5mnY"",""Non-Food!A2:A""),0))),"""")"),"")</f>
        <v/>
      </c>
      <c r="E418" s="15"/>
      <c r="F418" s="15"/>
      <c r="G418" s="36"/>
      <c r="H418" s="23" t="str">
        <f>IFERROR(__xludf.DUMMYFUNCTION("iferror(iferror(iferror(index(IMPORTRANGE(""1NK5L1mviMn0j3D3uo53ASkIZOFRlLnqaCTnwzOG2_Wg"",""Direct Link!B2:B""),MATCH($C418,IMPORTRANGE(""1NK5L1mviMn0j3D3uo53ASkIZOFRlLnqaCTnwzOG2_Wg"",""Direct Link!A2:A""),0)),XLOOKUP($C418,IMPORTRANGE(""1NK5L1mviMn0j3D"&amp;"3uo53ASkIZOFRlLnqaCTnwzOG2_Wg"",""Direct links Without Sizes!A2:A""),IMPORTRANGE(""1NK5L1mviMn0j3D3uo53ASkIZOFRlLnqaCTnwzOG2_Wg"",""Direct links Without Sizes!B2:B""))),XLOOKUP($C418,IMPORTRANGE(""1NK5L1mviMn0j3D3uo53ASkIZOFRlLnqaCTnwzOG2_Wg"",""Direct li"&amp;"nks Without Sizes!D2:D""),IMPORTRANGE(""1NK5L1mviMn0j3D3uo53ASkIZOFRlLnqaCTnwzOG2_Wg"",""Direct links Without Sizes!E2:E""))),"""")"),"")</f>
        <v/>
      </c>
      <c r="I418" s="4"/>
      <c r="J418" s="24" t="str">
        <f t="shared" si="1"/>
        <v/>
      </c>
      <c r="K418" s="25"/>
      <c r="L418" s="24" t="str">
        <f t="shared" si="2"/>
        <v/>
      </c>
      <c r="M418" s="4"/>
      <c r="N418" s="23"/>
      <c r="O418" s="23"/>
      <c r="P418" s="23"/>
      <c r="Q418" s="4" t="str">
        <f t="shared" si="4"/>
        <v/>
      </c>
      <c r="R418" s="20"/>
      <c r="S418" s="20"/>
    </row>
    <row r="419">
      <c r="A419" s="4"/>
      <c r="B419" s="4"/>
      <c r="C419" s="37"/>
      <c r="D419" s="7" t="str">
        <f>IFERROR(__xludf.DUMMYFUNCTION("iferror(iferror(INDEX(IMPORTRANGE(""12vtnxaE_Q1s4tyr10kZQx7ZF_xG0lBFae4jQEUtgsMU"",""All!B2:B""),MATCH($C419,IMPORTRANGE(""12vtnxaE_Q1s4tyr10kZQx7ZF_xG0lBFae4jQEUtgsMU"",""All!A2:A""),0)),INDEX(IMPORTRANGE(""13KC70HngS4DDi8y9E5khtSpQEPG6owaQ9z4E-tR5mnY"","&amp;"""Non-Food!B2:B""),MATCH($C419,IMPORTRANGE(""13KC70HngS4DDi8y9E5khtSpQEPG6owaQ9z4E-tR5mnY"",""Non-Food!A2:A""),0))),"""")"),"")</f>
        <v/>
      </c>
      <c r="E419" s="15"/>
      <c r="F419" s="15"/>
      <c r="G419" s="36"/>
      <c r="H419" s="23" t="str">
        <f>IFERROR(__xludf.DUMMYFUNCTION("iferror(iferror(iferror(index(IMPORTRANGE(""1NK5L1mviMn0j3D3uo53ASkIZOFRlLnqaCTnwzOG2_Wg"",""Direct Link!B2:B""),MATCH($C419,IMPORTRANGE(""1NK5L1mviMn0j3D3uo53ASkIZOFRlLnqaCTnwzOG2_Wg"",""Direct Link!A2:A""),0)),XLOOKUP($C419,IMPORTRANGE(""1NK5L1mviMn0j3D"&amp;"3uo53ASkIZOFRlLnqaCTnwzOG2_Wg"",""Direct links Without Sizes!A2:A""),IMPORTRANGE(""1NK5L1mviMn0j3D3uo53ASkIZOFRlLnqaCTnwzOG2_Wg"",""Direct links Without Sizes!B2:B""))),XLOOKUP($C419,IMPORTRANGE(""1NK5L1mviMn0j3D3uo53ASkIZOFRlLnqaCTnwzOG2_Wg"",""Direct li"&amp;"nks Without Sizes!D2:D""),IMPORTRANGE(""1NK5L1mviMn0j3D3uo53ASkIZOFRlLnqaCTnwzOG2_Wg"",""Direct links Without Sizes!E2:E""))),"""")"),"")</f>
        <v/>
      </c>
      <c r="I419" s="4"/>
      <c r="J419" s="24" t="str">
        <f t="shared" si="1"/>
        <v/>
      </c>
      <c r="K419" s="25"/>
      <c r="L419" s="24" t="str">
        <f t="shared" si="2"/>
        <v/>
      </c>
      <c r="M419" s="4"/>
      <c r="N419" s="23"/>
      <c r="O419" s="23"/>
      <c r="P419" s="23"/>
      <c r="Q419" s="4" t="str">
        <f t="shared" si="4"/>
        <v/>
      </c>
      <c r="R419" s="20"/>
      <c r="S419" s="20"/>
    </row>
    <row r="420">
      <c r="A420" s="4"/>
      <c r="B420" s="4"/>
      <c r="C420" s="37"/>
      <c r="D420" s="7" t="str">
        <f>IFERROR(__xludf.DUMMYFUNCTION("iferror(iferror(INDEX(IMPORTRANGE(""12vtnxaE_Q1s4tyr10kZQx7ZF_xG0lBFae4jQEUtgsMU"",""All!B2:B""),MATCH($C420,IMPORTRANGE(""12vtnxaE_Q1s4tyr10kZQx7ZF_xG0lBFae4jQEUtgsMU"",""All!A2:A""),0)),INDEX(IMPORTRANGE(""13KC70HngS4DDi8y9E5khtSpQEPG6owaQ9z4E-tR5mnY"","&amp;"""Non-Food!B2:B""),MATCH($C420,IMPORTRANGE(""13KC70HngS4DDi8y9E5khtSpQEPG6owaQ9z4E-tR5mnY"",""Non-Food!A2:A""),0))),"""")"),"")</f>
        <v/>
      </c>
      <c r="E420" s="15"/>
      <c r="F420" s="15"/>
      <c r="G420" s="36"/>
      <c r="H420" s="23" t="str">
        <f>IFERROR(__xludf.DUMMYFUNCTION("iferror(iferror(iferror(index(IMPORTRANGE(""1NK5L1mviMn0j3D3uo53ASkIZOFRlLnqaCTnwzOG2_Wg"",""Direct Link!B2:B""),MATCH($C420,IMPORTRANGE(""1NK5L1mviMn0j3D3uo53ASkIZOFRlLnqaCTnwzOG2_Wg"",""Direct Link!A2:A""),0)),XLOOKUP($C420,IMPORTRANGE(""1NK5L1mviMn0j3D"&amp;"3uo53ASkIZOFRlLnqaCTnwzOG2_Wg"",""Direct links Without Sizes!A2:A""),IMPORTRANGE(""1NK5L1mviMn0j3D3uo53ASkIZOFRlLnqaCTnwzOG2_Wg"",""Direct links Without Sizes!B2:B""))),XLOOKUP($C420,IMPORTRANGE(""1NK5L1mviMn0j3D3uo53ASkIZOFRlLnqaCTnwzOG2_Wg"",""Direct li"&amp;"nks Without Sizes!D2:D""),IMPORTRANGE(""1NK5L1mviMn0j3D3uo53ASkIZOFRlLnqaCTnwzOG2_Wg"",""Direct links Without Sizes!E2:E""))),"""")"),"")</f>
        <v/>
      </c>
      <c r="I420" s="4"/>
      <c r="J420" s="24" t="str">
        <f t="shared" si="1"/>
        <v/>
      </c>
      <c r="K420" s="25"/>
      <c r="L420" s="24" t="str">
        <f t="shared" si="2"/>
        <v/>
      </c>
      <c r="M420" s="4"/>
      <c r="N420" s="23"/>
      <c r="O420" s="23"/>
      <c r="P420" s="23"/>
      <c r="Q420" s="4" t="str">
        <f t="shared" si="4"/>
        <v/>
      </c>
      <c r="R420" s="20"/>
      <c r="S420" s="20"/>
    </row>
    <row r="421">
      <c r="A421" s="4"/>
      <c r="B421" s="4"/>
      <c r="C421" s="37"/>
      <c r="D421" s="7" t="str">
        <f>IFERROR(__xludf.DUMMYFUNCTION("iferror(iferror(INDEX(IMPORTRANGE(""12vtnxaE_Q1s4tyr10kZQx7ZF_xG0lBFae4jQEUtgsMU"",""All!B2:B""),MATCH($C421,IMPORTRANGE(""12vtnxaE_Q1s4tyr10kZQx7ZF_xG0lBFae4jQEUtgsMU"",""All!A2:A""),0)),INDEX(IMPORTRANGE(""13KC70HngS4DDi8y9E5khtSpQEPG6owaQ9z4E-tR5mnY"","&amp;"""Non-Food!B2:B""),MATCH($C421,IMPORTRANGE(""13KC70HngS4DDi8y9E5khtSpQEPG6owaQ9z4E-tR5mnY"",""Non-Food!A2:A""),0))),"""")"),"")</f>
        <v/>
      </c>
      <c r="E421" s="15"/>
      <c r="F421" s="15"/>
      <c r="G421" s="36"/>
      <c r="H421" s="23" t="str">
        <f>IFERROR(__xludf.DUMMYFUNCTION("iferror(iferror(iferror(index(IMPORTRANGE(""1NK5L1mviMn0j3D3uo53ASkIZOFRlLnqaCTnwzOG2_Wg"",""Direct Link!B2:B""),MATCH($C421,IMPORTRANGE(""1NK5L1mviMn0j3D3uo53ASkIZOFRlLnqaCTnwzOG2_Wg"",""Direct Link!A2:A""),0)),XLOOKUP($C421,IMPORTRANGE(""1NK5L1mviMn0j3D"&amp;"3uo53ASkIZOFRlLnqaCTnwzOG2_Wg"",""Direct links Without Sizes!A2:A""),IMPORTRANGE(""1NK5L1mviMn0j3D3uo53ASkIZOFRlLnqaCTnwzOG2_Wg"",""Direct links Without Sizes!B2:B""))),XLOOKUP($C421,IMPORTRANGE(""1NK5L1mviMn0j3D3uo53ASkIZOFRlLnqaCTnwzOG2_Wg"",""Direct li"&amp;"nks Without Sizes!D2:D""),IMPORTRANGE(""1NK5L1mviMn0j3D3uo53ASkIZOFRlLnqaCTnwzOG2_Wg"",""Direct links Without Sizes!E2:E""))),"""")"),"")</f>
        <v/>
      </c>
      <c r="I421" s="4"/>
      <c r="J421" s="24" t="str">
        <f t="shared" si="1"/>
        <v/>
      </c>
      <c r="K421" s="25"/>
      <c r="L421" s="24" t="str">
        <f t="shared" si="2"/>
        <v/>
      </c>
      <c r="M421" s="4"/>
      <c r="N421" s="23"/>
      <c r="O421" s="23"/>
      <c r="P421" s="23"/>
      <c r="Q421" s="4" t="str">
        <f t="shared" si="4"/>
        <v/>
      </c>
      <c r="R421" s="20"/>
      <c r="S421" s="20"/>
    </row>
    <row r="422">
      <c r="A422" s="4"/>
      <c r="B422" s="4"/>
      <c r="C422" s="37"/>
      <c r="D422" s="7" t="str">
        <f>IFERROR(__xludf.DUMMYFUNCTION("iferror(iferror(INDEX(IMPORTRANGE(""12vtnxaE_Q1s4tyr10kZQx7ZF_xG0lBFae4jQEUtgsMU"",""All!B2:B""),MATCH($C422,IMPORTRANGE(""12vtnxaE_Q1s4tyr10kZQx7ZF_xG0lBFae4jQEUtgsMU"",""All!A2:A""),0)),INDEX(IMPORTRANGE(""13KC70HngS4DDi8y9E5khtSpQEPG6owaQ9z4E-tR5mnY"","&amp;"""Non-Food!B2:B""),MATCH($C422,IMPORTRANGE(""13KC70HngS4DDi8y9E5khtSpQEPG6owaQ9z4E-tR5mnY"",""Non-Food!A2:A""),0))),"""")"),"")</f>
        <v/>
      </c>
      <c r="E422" s="15"/>
      <c r="F422" s="15"/>
      <c r="G422" s="36"/>
      <c r="H422" s="23" t="str">
        <f>IFERROR(__xludf.DUMMYFUNCTION("iferror(iferror(iferror(index(IMPORTRANGE(""1NK5L1mviMn0j3D3uo53ASkIZOFRlLnqaCTnwzOG2_Wg"",""Direct Link!B2:B""),MATCH($C422,IMPORTRANGE(""1NK5L1mviMn0j3D3uo53ASkIZOFRlLnqaCTnwzOG2_Wg"",""Direct Link!A2:A""),0)),XLOOKUP($C422,IMPORTRANGE(""1NK5L1mviMn0j3D"&amp;"3uo53ASkIZOFRlLnqaCTnwzOG2_Wg"",""Direct links Without Sizes!A2:A""),IMPORTRANGE(""1NK5L1mviMn0j3D3uo53ASkIZOFRlLnqaCTnwzOG2_Wg"",""Direct links Without Sizes!B2:B""))),XLOOKUP($C422,IMPORTRANGE(""1NK5L1mviMn0j3D3uo53ASkIZOFRlLnqaCTnwzOG2_Wg"",""Direct li"&amp;"nks Without Sizes!D2:D""),IMPORTRANGE(""1NK5L1mviMn0j3D3uo53ASkIZOFRlLnqaCTnwzOG2_Wg"",""Direct links Without Sizes!E2:E""))),"""")"),"")</f>
        <v/>
      </c>
      <c r="I422" s="4"/>
      <c r="J422" s="24" t="str">
        <f t="shared" si="1"/>
        <v/>
      </c>
      <c r="K422" s="25"/>
      <c r="L422" s="24" t="str">
        <f t="shared" si="2"/>
        <v/>
      </c>
      <c r="M422" s="4"/>
      <c r="N422" s="23"/>
      <c r="O422" s="23"/>
      <c r="P422" s="23"/>
      <c r="Q422" s="4" t="str">
        <f t="shared" si="4"/>
        <v/>
      </c>
      <c r="R422" s="20"/>
      <c r="S422" s="20"/>
    </row>
    <row r="423">
      <c r="A423" s="4"/>
      <c r="B423" s="4"/>
      <c r="C423" s="37"/>
      <c r="D423" s="7" t="str">
        <f>IFERROR(__xludf.DUMMYFUNCTION("iferror(iferror(INDEX(IMPORTRANGE(""12vtnxaE_Q1s4tyr10kZQx7ZF_xG0lBFae4jQEUtgsMU"",""All!B2:B""),MATCH($C423,IMPORTRANGE(""12vtnxaE_Q1s4tyr10kZQx7ZF_xG0lBFae4jQEUtgsMU"",""All!A2:A""),0)),INDEX(IMPORTRANGE(""13KC70HngS4DDi8y9E5khtSpQEPG6owaQ9z4E-tR5mnY"","&amp;"""Non-Food!B2:B""),MATCH($C423,IMPORTRANGE(""13KC70HngS4DDi8y9E5khtSpQEPG6owaQ9z4E-tR5mnY"",""Non-Food!A2:A""),0))),"""")"),"")</f>
        <v/>
      </c>
      <c r="E423" s="15"/>
      <c r="F423" s="15"/>
      <c r="G423" s="36"/>
      <c r="H423" s="23" t="str">
        <f>IFERROR(__xludf.DUMMYFUNCTION("iferror(iferror(iferror(index(IMPORTRANGE(""1NK5L1mviMn0j3D3uo53ASkIZOFRlLnqaCTnwzOG2_Wg"",""Direct Link!B2:B""),MATCH($C423,IMPORTRANGE(""1NK5L1mviMn0j3D3uo53ASkIZOFRlLnqaCTnwzOG2_Wg"",""Direct Link!A2:A""),0)),XLOOKUP($C423,IMPORTRANGE(""1NK5L1mviMn0j3D"&amp;"3uo53ASkIZOFRlLnqaCTnwzOG2_Wg"",""Direct links Without Sizes!A2:A""),IMPORTRANGE(""1NK5L1mviMn0j3D3uo53ASkIZOFRlLnqaCTnwzOG2_Wg"",""Direct links Without Sizes!B2:B""))),XLOOKUP($C423,IMPORTRANGE(""1NK5L1mviMn0j3D3uo53ASkIZOFRlLnqaCTnwzOG2_Wg"",""Direct li"&amp;"nks Without Sizes!D2:D""),IMPORTRANGE(""1NK5L1mviMn0j3D3uo53ASkIZOFRlLnqaCTnwzOG2_Wg"",""Direct links Without Sizes!E2:E""))),"""")"),"")</f>
        <v/>
      </c>
      <c r="I423" s="4"/>
      <c r="J423" s="24" t="str">
        <f t="shared" si="1"/>
        <v/>
      </c>
      <c r="K423" s="25"/>
      <c r="L423" s="24" t="str">
        <f t="shared" si="2"/>
        <v/>
      </c>
      <c r="M423" s="4"/>
      <c r="N423" s="23"/>
      <c r="O423" s="23"/>
      <c r="P423" s="23"/>
      <c r="Q423" s="4" t="str">
        <f t="shared" si="4"/>
        <v/>
      </c>
      <c r="R423" s="20"/>
      <c r="S423" s="20"/>
    </row>
    <row r="424">
      <c r="A424" s="4"/>
      <c r="B424" s="4"/>
      <c r="C424" s="37"/>
      <c r="D424" s="7" t="str">
        <f>IFERROR(__xludf.DUMMYFUNCTION("iferror(iferror(INDEX(IMPORTRANGE(""12vtnxaE_Q1s4tyr10kZQx7ZF_xG0lBFae4jQEUtgsMU"",""All!B2:B""),MATCH($C424,IMPORTRANGE(""12vtnxaE_Q1s4tyr10kZQx7ZF_xG0lBFae4jQEUtgsMU"",""All!A2:A""),0)),INDEX(IMPORTRANGE(""13KC70HngS4DDi8y9E5khtSpQEPG6owaQ9z4E-tR5mnY"","&amp;"""Non-Food!B2:B""),MATCH($C424,IMPORTRANGE(""13KC70HngS4DDi8y9E5khtSpQEPG6owaQ9z4E-tR5mnY"",""Non-Food!A2:A""),0))),"""")"),"")</f>
        <v/>
      </c>
      <c r="E424" s="15"/>
      <c r="F424" s="15"/>
      <c r="G424" s="36"/>
      <c r="H424" s="23" t="str">
        <f>IFERROR(__xludf.DUMMYFUNCTION("iferror(iferror(iferror(index(IMPORTRANGE(""1NK5L1mviMn0j3D3uo53ASkIZOFRlLnqaCTnwzOG2_Wg"",""Direct Link!B2:B""),MATCH($C424,IMPORTRANGE(""1NK5L1mviMn0j3D3uo53ASkIZOFRlLnqaCTnwzOG2_Wg"",""Direct Link!A2:A""),0)),XLOOKUP($C424,IMPORTRANGE(""1NK5L1mviMn0j3D"&amp;"3uo53ASkIZOFRlLnqaCTnwzOG2_Wg"",""Direct links Without Sizes!A2:A""),IMPORTRANGE(""1NK5L1mviMn0j3D3uo53ASkIZOFRlLnqaCTnwzOG2_Wg"",""Direct links Without Sizes!B2:B""))),XLOOKUP($C424,IMPORTRANGE(""1NK5L1mviMn0j3D3uo53ASkIZOFRlLnqaCTnwzOG2_Wg"",""Direct li"&amp;"nks Without Sizes!D2:D""),IMPORTRANGE(""1NK5L1mviMn0j3D3uo53ASkIZOFRlLnqaCTnwzOG2_Wg"",""Direct links Without Sizes!E2:E""))),"""")"),"")</f>
        <v/>
      </c>
      <c r="I424" s="4"/>
      <c r="J424" s="24" t="str">
        <f t="shared" si="1"/>
        <v/>
      </c>
      <c r="K424" s="25"/>
      <c r="L424" s="24" t="str">
        <f t="shared" si="2"/>
        <v/>
      </c>
      <c r="M424" s="4"/>
      <c r="N424" s="23"/>
      <c r="O424" s="23"/>
      <c r="P424" s="23"/>
      <c r="Q424" s="4" t="str">
        <f t="shared" si="4"/>
        <v/>
      </c>
      <c r="R424" s="20"/>
      <c r="S424" s="20"/>
    </row>
    <row r="425">
      <c r="A425" s="4"/>
      <c r="B425" s="4"/>
      <c r="C425" s="37"/>
      <c r="D425" s="7" t="str">
        <f>IFERROR(__xludf.DUMMYFUNCTION("iferror(iferror(INDEX(IMPORTRANGE(""12vtnxaE_Q1s4tyr10kZQx7ZF_xG0lBFae4jQEUtgsMU"",""All!B2:B""),MATCH($C425,IMPORTRANGE(""12vtnxaE_Q1s4tyr10kZQx7ZF_xG0lBFae4jQEUtgsMU"",""All!A2:A""),0)),INDEX(IMPORTRANGE(""13KC70HngS4DDi8y9E5khtSpQEPG6owaQ9z4E-tR5mnY"","&amp;"""Non-Food!B2:B""),MATCH($C425,IMPORTRANGE(""13KC70HngS4DDi8y9E5khtSpQEPG6owaQ9z4E-tR5mnY"",""Non-Food!A2:A""),0))),"""")"),"")</f>
        <v/>
      </c>
      <c r="E425" s="15"/>
      <c r="F425" s="15"/>
      <c r="G425" s="36"/>
      <c r="H425" s="23" t="str">
        <f>IFERROR(__xludf.DUMMYFUNCTION("iferror(iferror(iferror(index(IMPORTRANGE(""1NK5L1mviMn0j3D3uo53ASkIZOFRlLnqaCTnwzOG2_Wg"",""Direct Link!B2:B""),MATCH($C425,IMPORTRANGE(""1NK5L1mviMn0j3D3uo53ASkIZOFRlLnqaCTnwzOG2_Wg"",""Direct Link!A2:A""),0)),XLOOKUP($C425,IMPORTRANGE(""1NK5L1mviMn0j3D"&amp;"3uo53ASkIZOFRlLnqaCTnwzOG2_Wg"",""Direct links Without Sizes!A2:A""),IMPORTRANGE(""1NK5L1mviMn0j3D3uo53ASkIZOFRlLnqaCTnwzOG2_Wg"",""Direct links Without Sizes!B2:B""))),XLOOKUP($C425,IMPORTRANGE(""1NK5L1mviMn0j3D3uo53ASkIZOFRlLnqaCTnwzOG2_Wg"",""Direct li"&amp;"nks Without Sizes!D2:D""),IMPORTRANGE(""1NK5L1mviMn0j3D3uo53ASkIZOFRlLnqaCTnwzOG2_Wg"",""Direct links Without Sizes!E2:E""))),"""")"),"")</f>
        <v/>
      </c>
      <c r="I425" s="4"/>
      <c r="J425" s="24" t="str">
        <f t="shared" si="1"/>
        <v/>
      </c>
      <c r="K425" s="25"/>
      <c r="L425" s="24" t="str">
        <f t="shared" si="2"/>
        <v/>
      </c>
      <c r="M425" s="4"/>
      <c r="N425" s="23"/>
      <c r="O425" s="23"/>
      <c r="P425" s="23"/>
      <c r="Q425" s="4" t="str">
        <f t="shared" si="4"/>
        <v/>
      </c>
      <c r="R425" s="20"/>
      <c r="S425" s="20"/>
    </row>
    <row r="426">
      <c r="A426" s="4"/>
      <c r="B426" s="4"/>
      <c r="C426" s="37"/>
      <c r="D426" s="7" t="str">
        <f>IFERROR(__xludf.DUMMYFUNCTION("iferror(iferror(INDEX(IMPORTRANGE(""12vtnxaE_Q1s4tyr10kZQx7ZF_xG0lBFae4jQEUtgsMU"",""All!B2:B""),MATCH($C426,IMPORTRANGE(""12vtnxaE_Q1s4tyr10kZQx7ZF_xG0lBFae4jQEUtgsMU"",""All!A2:A""),0)),INDEX(IMPORTRANGE(""13KC70HngS4DDi8y9E5khtSpQEPG6owaQ9z4E-tR5mnY"","&amp;"""Non-Food!B2:B""),MATCH($C426,IMPORTRANGE(""13KC70HngS4DDi8y9E5khtSpQEPG6owaQ9z4E-tR5mnY"",""Non-Food!A2:A""),0))),"""")"),"")</f>
        <v/>
      </c>
      <c r="E426" s="15"/>
      <c r="F426" s="15"/>
      <c r="G426" s="36"/>
      <c r="H426" s="23" t="str">
        <f>IFERROR(__xludf.DUMMYFUNCTION("iferror(iferror(iferror(index(IMPORTRANGE(""1NK5L1mviMn0j3D3uo53ASkIZOFRlLnqaCTnwzOG2_Wg"",""Direct Link!B2:B""),MATCH($C426,IMPORTRANGE(""1NK5L1mviMn0j3D3uo53ASkIZOFRlLnqaCTnwzOG2_Wg"",""Direct Link!A2:A""),0)),XLOOKUP($C426,IMPORTRANGE(""1NK5L1mviMn0j3D"&amp;"3uo53ASkIZOFRlLnqaCTnwzOG2_Wg"",""Direct links Without Sizes!A2:A""),IMPORTRANGE(""1NK5L1mviMn0j3D3uo53ASkIZOFRlLnqaCTnwzOG2_Wg"",""Direct links Without Sizes!B2:B""))),XLOOKUP($C426,IMPORTRANGE(""1NK5L1mviMn0j3D3uo53ASkIZOFRlLnqaCTnwzOG2_Wg"",""Direct li"&amp;"nks Without Sizes!D2:D""),IMPORTRANGE(""1NK5L1mviMn0j3D3uo53ASkIZOFRlLnqaCTnwzOG2_Wg"",""Direct links Without Sizes!E2:E""))),"""")"),"")</f>
        <v/>
      </c>
      <c r="I426" s="4"/>
      <c r="J426" s="24" t="str">
        <f t="shared" si="1"/>
        <v/>
      </c>
      <c r="K426" s="25"/>
      <c r="L426" s="24" t="str">
        <f t="shared" si="2"/>
        <v/>
      </c>
      <c r="M426" s="4"/>
      <c r="N426" s="23"/>
      <c r="O426" s="23"/>
      <c r="P426" s="23"/>
      <c r="Q426" s="4" t="str">
        <f t="shared" si="4"/>
        <v/>
      </c>
      <c r="R426" s="20"/>
      <c r="S426" s="20"/>
    </row>
    <row r="427">
      <c r="A427" s="4"/>
      <c r="B427" s="4"/>
      <c r="C427" s="37"/>
      <c r="D427" s="7" t="str">
        <f>IFERROR(__xludf.DUMMYFUNCTION("iferror(iferror(INDEX(IMPORTRANGE(""12vtnxaE_Q1s4tyr10kZQx7ZF_xG0lBFae4jQEUtgsMU"",""All!B2:B""),MATCH($C427,IMPORTRANGE(""12vtnxaE_Q1s4tyr10kZQx7ZF_xG0lBFae4jQEUtgsMU"",""All!A2:A""),0)),INDEX(IMPORTRANGE(""13KC70HngS4DDi8y9E5khtSpQEPG6owaQ9z4E-tR5mnY"","&amp;"""Non-Food!B2:B""),MATCH($C427,IMPORTRANGE(""13KC70HngS4DDi8y9E5khtSpQEPG6owaQ9z4E-tR5mnY"",""Non-Food!A2:A""),0))),"""")"),"")</f>
        <v/>
      </c>
      <c r="E427" s="15"/>
      <c r="F427" s="15"/>
      <c r="G427" s="36"/>
      <c r="H427" s="23" t="str">
        <f>IFERROR(__xludf.DUMMYFUNCTION("iferror(iferror(iferror(index(IMPORTRANGE(""1NK5L1mviMn0j3D3uo53ASkIZOFRlLnqaCTnwzOG2_Wg"",""Direct Link!B2:B""),MATCH($C427,IMPORTRANGE(""1NK5L1mviMn0j3D3uo53ASkIZOFRlLnqaCTnwzOG2_Wg"",""Direct Link!A2:A""),0)),XLOOKUP($C427,IMPORTRANGE(""1NK5L1mviMn0j3D"&amp;"3uo53ASkIZOFRlLnqaCTnwzOG2_Wg"",""Direct links Without Sizes!A2:A""),IMPORTRANGE(""1NK5L1mviMn0j3D3uo53ASkIZOFRlLnqaCTnwzOG2_Wg"",""Direct links Without Sizes!B2:B""))),XLOOKUP($C427,IMPORTRANGE(""1NK5L1mviMn0j3D3uo53ASkIZOFRlLnqaCTnwzOG2_Wg"",""Direct li"&amp;"nks Without Sizes!D2:D""),IMPORTRANGE(""1NK5L1mviMn0j3D3uo53ASkIZOFRlLnqaCTnwzOG2_Wg"",""Direct links Without Sizes!E2:E""))),"""")"),"")</f>
        <v/>
      </c>
      <c r="I427" s="4"/>
      <c r="J427" s="24" t="str">
        <f t="shared" si="1"/>
        <v/>
      </c>
      <c r="K427" s="25"/>
      <c r="L427" s="24" t="str">
        <f t="shared" si="2"/>
        <v/>
      </c>
      <c r="M427" s="4"/>
      <c r="N427" s="23"/>
      <c r="O427" s="23"/>
      <c r="P427" s="23"/>
      <c r="Q427" s="4" t="str">
        <f t="shared" si="4"/>
        <v/>
      </c>
      <c r="R427" s="20"/>
      <c r="S427" s="20"/>
    </row>
    <row r="428">
      <c r="A428" s="4"/>
      <c r="B428" s="4"/>
      <c r="C428" s="37"/>
      <c r="D428" s="7" t="str">
        <f>IFERROR(__xludf.DUMMYFUNCTION("iferror(iferror(INDEX(IMPORTRANGE(""12vtnxaE_Q1s4tyr10kZQx7ZF_xG0lBFae4jQEUtgsMU"",""All!B2:B""),MATCH($C428,IMPORTRANGE(""12vtnxaE_Q1s4tyr10kZQx7ZF_xG0lBFae4jQEUtgsMU"",""All!A2:A""),0)),INDEX(IMPORTRANGE(""13KC70HngS4DDi8y9E5khtSpQEPG6owaQ9z4E-tR5mnY"","&amp;"""Non-Food!B2:B""),MATCH($C428,IMPORTRANGE(""13KC70HngS4DDi8y9E5khtSpQEPG6owaQ9z4E-tR5mnY"",""Non-Food!A2:A""),0))),"""")"),"")</f>
        <v/>
      </c>
      <c r="E428" s="15"/>
      <c r="F428" s="15"/>
      <c r="G428" s="36"/>
      <c r="H428" s="23" t="str">
        <f>IFERROR(__xludf.DUMMYFUNCTION("iferror(iferror(iferror(index(IMPORTRANGE(""1NK5L1mviMn0j3D3uo53ASkIZOFRlLnqaCTnwzOG2_Wg"",""Direct Link!B2:B""),MATCH($C428,IMPORTRANGE(""1NK5L1mviMn0j3D3uo53ASkIZOFRlLnqaCTnwzOG2_Wg"",""Direct Link!A2:A""),0)),XLOOKUP($C428,IMPORTRANGE(""1NK5L1mviMn0j3D"&amp;"3uo53ASkIZOFRlLnqaCTnwzOG2_Wg"",""Direct links Without Sizes!A2:A""),IMPORTRANGE(""1NK5L1mviMn0j3D3uo53ASkIZOFRlLnqaCTnwzOG2_Wg"",""Direct links Without Sizes!B2:B""))),XLOOKUP($C428,IMPORTRANGE(""1NK5L1mviMn0j3D3uo53ASkIZOFRlLnqaCTnwzOG2_Wg"",""Direct li"&amp;"nks Without Sizes!D2:D""),IMPORTRANGE(""1NK5L1mviMn0j3D3uo53ASkIZOFRlLnqaCTnwzOG2_Wg"",""Direct links Without Sizes!E2:E""))),"""")"),"")</f>
        <v/>
      </c>
      <c r="I428" s="4"/>
      <c r="J428" s="24" t="str">
        <f t="shared" si="1"/>
        <v/>
      </c>
      <c r="K428" s="25"/>
      <c r="L428" s="24" t="str">
        <f t="shared" si="2"/>
        <v/>
      </c>
      <c r="M428" s="4"/>
      <c r="N428" s="23"/>
      <c r="O428" s="23"/>
      <c r="P428" s="23"/>
      <c r="Q428" s="4" t="str">
        <f t="shared" si="4"/>
        <v/>
      </c>
      <c r="R428" s="20"/>
      <c r="S428" s="20"/>
    </row>
    <row r="429">
      <c r="A429" s="4"/>
      <c r="B429" s="4"/>
      <c r="C429" s="37"/>
      <c r="D429" s="7" t="str">
        <f>IFERROR(__xludf.DUMMYFUNCTION("iferror(iferror(INDEX(IMPORTRANGE(""12vtnxaE_Q1s4tyr10kZQx7ZF_xG0lBFae4jQEUtgsMU"",""All!B2:B""),MATCH($C429,IMPORTRANGE(""12vtnxaE_Q1s4tyr10kZQx7ZF_xG0lBFae4jQEUtgsMU"",""All!A2:A""),0)),INDEX(IMPORTRANGE(""13KC70HngS4DDi8y9E5khtSpQEPG6owaQ9z4E-tR5mnY"","&amp;"""Non-Food!B2:B""),MATCH($C429,IMPORTRANGE(""13KC70HngS4DDi8y9E5khtSpQEPG6owaQ9z4E-tR5mnY"",""Non-Food!A2:A""),0))),"""")"),"")</f>
        <v/>
      </c>
      <c r="E429" s="15"/>
      <c r="F429" s="15"/>
      <c r="G429" s="36"/>
      <c r="H429" s="23" t="str">
        <f>IFERROR(__xludf.DUMMYFUNCTION("iferror(iferror(iferror(index(IMPORTRANGE(""1NK5L1mviMn0j3D3uo53ASkIZOFRlLnqaCTnwzOG2_Wg"",""Direct Link!B2:B""),MATCH($C429,IMPORTRANGE(""1NK5L1mviMn0j3D3uo53ASkIZOFRlLnqaCTnwzOG2_Wg"",""Direct Link!A2:A""),0)),XLOOKUP($C429,IMPORTRANGE(""1NK5L1mviMn0j3D"&amp;"3uo53ASkIZOFRlLnqaCTnwzOG2_Wg"",""Direct links Without Sizes!A2:A""),IMPORTRANGE(""1NK5L1mviMn0j3D3uo53ASkIZOFRlLnqaCTnwzOG2_Wg"",""Direct links Without Sizes!B2:B""))),XLOOKUP($C429,IMPORTRANGE(""1NK5L1mviMn0j3D3uo53ASkIZOFRlLnqaCTnwzOG2_Wg"",""Direct li"&amp;"nks Without Sizes!D2:D""),IMPORTRANGE(""1NK5L1mviMn0j3D3uo53ASkIZOFRlLnqaCTnwzOG2_Wg"",""Direct links Without Sizes!E2:E""))),"""")"),"")</f>
        <v/>
      </c>
      <c r="I429" s="4"/>
      <c r="J429" s="24" t="str">
        <f t="shared" si="1"/>
        <v/>
      </c>
      <c r="K429" s="25"/>
      <c r="L429" s="24" t="str">
        <f t="shared" si="2"/>
        <v/>
      </c>
      <c r="M429" s="4"/>
      <c r="N429" s="23"/>
      <c r="O429" s="23"/>
      <c r="P429" s="23"/>
      <c r="Q429" s="4" t="str">
        <f t="shared" si="4"/>
        <v/>
      </c>
      <c r="R429" s="20"/>
      <c r="S429" s="20"/>
    </row>
    <row r="430">
      <c r="A430" s="4"/>
      <c r="B430" s="4"/>
      <c r="C430" s="37"/>
      <c r="D430" s="7" t="str">
        <f>IFERROR(__xludf.DUMMYFUNCTION("iferror(iferror(INDEX(IMPORTRANGE(""12vtnxaE_Q1s4tyr10kZQx7ZF_xG0lBFae4jQEUtgsMU"",""All!B2:B""),MATCH($C430,IMPORTRANGE(""12vtnxaE_Q1s4tyr10kZQx7ZF_xG0lBFae4jQEUtgsMU"",""All!A2:A""),0)),INDEX(IMPORTRANGE(""13KC70HngS4DDi8y9E5khtSpQEPG6owaQ9z4E-tR5mnY"","&amp;"""Non-Food!B2:B""),MATCH($C430,IMPORTRANGE(""13KC70HngS4DDi8y9E5khtSpQEPG6owaQ9z4E-tR5mnY"",""Non-Food!A2:A""),0))),"""")"),"")</f>
        <v/>
      </c>
      <c r="E430" s="15"/>
      <c r="F430" s="15"/>
      <c r="G430" s="36"/>
      <c r="H430" s="23" t="str">
        <f>IFERROR(__xludf.DUMMYFUNCTION("iferror(iferror(iferror(index(IMPORTRANGE(""1NK5L1mviMn0j3D3uo53ASkIZOFRlLnqaCTnwzOG2_Wg"",""Direct Link!B2:B""),MATCH($C430,IMPORTRANGE(""1NK5L1mviMn0j3D3uo53ASkIZOFRlLnqaCTnwzOG2_Wg"",""Direct Link!A2:A""),0)),XLOOKUP($C430,IMPORTRANGE(""1NK5L1mviMn0j3D"&amp;"3uo53ASkIZOFRlLnqaCTnwzOG2_Wg"",""Direct links Without Sizes!A2:A""),IMPORTRANGE(""1NK5L1mviMn0j3D3uo53ASkIZOFRlLnqaCTnwzOG2_Wg"",""Direct links Without Sizes!B2:B""))),XLOOKUP($C430,IMPORTRANGE(""1NK5L1mviMn0j3D3uo53ASkIZOFRlLnqaCTnwzOG2_Wg"",""Direct li"&amp;"nks Without Sizes!D2:D""),IMPORTRANGE(""1NK5L1mviMn0j3D3uo53ASkIZOFRlLnqaCTnwzOG2_Wg"",""Direct links Without Sizes!E2:E""))),"""")"),"")</f>
        <v/>
      </c>
      <c r="I430" s="4"/>
      <c r="J430" s="24" t="str">
        <f t="shared" si="1"/>
        <v/>
      </c>
      <c r="K430" s="25"/>
      <c r="L430" s="24" t="str">
        <f t="shared" si="2"/>
        <v/>
      </c>
      <c r="M430" s="4"/>
      <c r="N430" s="23"/>
      <c r="O430" s="23"/>
      <c r="P430" s="23"/>
      <c r="Q430" s="4" t="str">
        <f t="shared" si="4"/>
        <v/>
      </c>
      <c r="R430" s="20"/>
      <c r="S430" s="20"/>
    </row>
    <row r="431">
      <c r="A431" s="4"/>
      <c r="B431" s="4"/>
      <c r="C431" s="37"/>
      <c r="D431" s="7" t="str">
        <f>IFERROR(__xludf.DUMMYFUNCTION("iferror(iferror(INDEX(IMPORTRANGE(""12vtnxaE_Q1s4tyr10kZQx7ZF_xG0lBFae4jQEUtgsMU"",""All!B2:B""),MATCH($C431,IMPORTRANGE(""12vtnxaE_Q1s4tyr10kZQx7ZF_xG0lBFae4jQEUtgsMU"",""All!A2:A""),0)),INDEX(IMPORTRANGE(""13KC70HngS4DDi8y9E5khtSpQEPG6owaQ9z4E-tR5mnY"","&amp;"""Non-Food!B2:B""),MATCH($C431,IMPORTRANGE(""13KC70HngS4DDi8y9E5khtSpQEPG6owaQ9z4E-tR5mnY"",""Non-Food!A2:A""),0))),"""")"),"")</f>
        <v/>
      </c>
      <c r="E431" s="15"/>
      <c r="F431" s="15"/>
      <c r="G431" s="36"/>
      <c r="H431" s="23" t="str">
        <f>IFERROR(__xludf.DUMMYFUNCTION("iferror(iferror(iferror(index(IMPORTRANGE(""1NK5L1mviMn0j3D3uo53ASkIZOFRlLnqaCTnwzOG2_Wg"",""Direct Link!B2:B""),MATCH($C431,IMPORTRANGE(""1NK5L1mviMn0j3D3uo53ASkIZOFRlLnqaCTnwzOG2_Wg"",""Direct Link!A2:A""),0)),XLOOKUP($C431,IMPORTRANGE(""1NK5L1mviMn0j3D"&amp;"3uo53ASkIZOFRlLnqaCTnwzOG2_Wg"",""Direct links Without Sizes!A2:A""),IMPORTRANGE(""1NK5L1mviMn0j3D3uo53ASkIZOFRlLnqaCTnwzOG2_Wg"",""Direct links Without Sizes!B2:B""))),XLOOKUP($C431,IMPORTRANGE(""1NK5L1mviMn0j3D3uo53ASkIZOFRlLnqaCTnwzOG2_Wg"",""Direct li"&amp;"nks Without Sizes!D2:D""),IMPORTRANGE(""1NK5L1mviMn0j3D3uo53ASkIZOFRlLnqaCTnwzOG2_Wg"",""Direct links Without Sizes!E2:E""))),"""")"),"")</f>
        <v/>
      </c>
      <c r="I431" s="4"/>
      <c r="J431" s="24" t="str">
        <f t="shared" si="1"/>
        <v/>
      </c>
      <c r="K431" s="25"/>
      <c r="L431" s="24" t="str">
        <f t="shared" si="2"/>
        <v/>
      </c>
      <c r="M431" s="4"/>
      <c r="N431" s="23"/>
      <c r="O431" s="23"/>
      <c r="P431" s="23"/>
      <c r="Q431" s="4" t="str">
        <f t="shared" si="4"/>
        <v/>
      </c>
      <c r="R431" s="20"/>
      <c r="S431" s="20"/>
    </row>
    <row r="432">
      <c r="A432" s="4"/>
      <c r="B432" s="4"/>
      <c r="C432" s="37"/>
      <c r="D432" s="7" t="str">
        <f>IFERROR(__xludf.DUMMYFUNCTION("iferror(iferror(INDEX(IMPORTRANGE(""12vtnxaE_Q1s4tyr10kZQx7ZF_xG0lBFae4jQEUtgsMU"",""All!B2:B""),MATCH($C432,IMPORTRANGE(""12vtnxaE_Q1s4tyr10kZQx7ZF_xG0lBFae4jQEUtgsMU"",""All!A2:A""),0)),INDEX(IMPORTRANGE(""13KC70HngS4DDi8y9E5khtSpQEPG6owaQ9z4E-tR5mnY"","&amp;"""Non-Food!B2:B""),MATCH($C432,IMPORTRANGE(""13KC70HngS4DDi8y9E5khtSpQEPG6owaQ9z4E-tR5mnY"",""Non-Food!A2:A""),0))),"""")"),"")</f>
        <v/>
      </c>
      <c r="E432" s="15"/>
      <c r="F432" s="15"/>
      <c r="G432" s="36"/>
      <c r="H432" s="23" t="str">
        <f>IFERROR(__xludf.DUMMYFUNCTION("iferror(iferror(iferror(index(IMPORTRANGE(""1NK5L1mviMn0j3D3uo53ASkIZOFRlLnqaCTnwzOG2_Wg"",""Direct Link!B2:B""),MATCH($C432,IMPORTRANGE(""1NK5L1mviMn0j3D3uo53ASkIZOFRlLnqaCTnwzOG2_Wg"",""Direct Link!A2:A""),0)),XLOOKUP($C432,IMPORTRANGE(""1NK5L1mviMn0j3D"&amp;"3uo53ASkIZOFRlLnqaCTnwzOG2_Wg"",""Direct links Without Sizes!A2:A""),IMPORTRANGE(""1NK5L1mviMn0j3D3uo53ASkIZOFRlLnqaCTnwzOG2_Wg"",""Direct links Without Sizes!B2:B""))),XLOOKUP($C432,IMPORTRANGE(""1NK5L1mviMn0j3D3uo53ASkIZOFRlLnqaCTnwzOG2_Wg"",""Direct li"&amp;"nks Without Sizes!D2:D""),IMPORTRANGE(""1NK5L1mviMn0j3D3uo53ASkIZOFRlLnqaCTnwzOG2_Wg"",""Direct links Without Sizes!E2:E""))),"""")"),"")</f>
        <v/>
      </c>
      <c r="I432" s="4"/>
      <c r="J432" s="24" t="str">
        <f t="shared" si="1"/>
        <v/>
      </c>
      <c r="K432" s="25"/>
      <c r="L432" s="24" t="str">
        <f t="shared" si="2"/>
        <v/>
      </c>
      <c r="M432" s="4"/>
      <c r="N432" s="23"/>
      <c r="O432" s="23"/>
      <c r="P432" s="23"/>
      <c r="Q432" s="4" t="str">
        <f t="shared" si="4"/>
        <v/>
      </c>
      <c r="R432" s="20"/>
      <c r="S432" s="20"/>
    </row>
    <row r="433">
      <c r="A433" s="4"/>
      <c r="B433" s="4"/>
      <c r="C433" s="37"/>
      <c r="D433" s="7" t="str">
        <f>IFERROR(__xludf.DUMMYFUNCTION("iferror(iferror(INDEX(IMPORTRANGE(""12vtnxaE_Q1s4tyr10kZQx7ZF_xG0lBFae4jQEUtgsMU"",""All!B2:B""),MATCH($C433,IMPORTRANGE(""12vtnxaE_Q1s4tyr10kZQx7ZF_xG0lBFae4jQEUtgsMU"",""All!A2:A""),0)),INDEX(IMPORTRANGE(""13KC70HngS4DDi8y9E5khtSpQEPG6owaQ9z4E-tR5mnY"","&amp;"""Non-Food!B2:B""),MATCH($C433,IMPORTRANGE(""13KC70HngS4DDi8y9E5khtSpQEPG6owaQ9z4E-tR5mnY"",""Non-Food!A2:A""),0))),"""")"),"")</f>
        <v/>
      </c>
      <c r="E433" s="15"/>
      <c r="F433" s="15"/>
      <c r="G433" s="36"/>
      <c r="H433" s="23" t="str">
        <f>IFERROR(__xludf.DUMMYFUNCTION("iferror(iferror(iferror(index(IMPORTRANGE(""1NK5L1mviMn0j3D3uo53ASkIZOFRlLnqaCTnwzOG2_Wg"",""Direct Link!B2:B""),MATCH($C433,IMPORTRANGE(""1NK5L1mviMn0j3D3uo53ASkIZOFRlLnqaCTnwzOG2_Wg"",""Direct Link!A2:A""),0)),XLOOKUP($C433,IMPORTRANGE(""1NK5L1mviMn0j3D"&amp;"3uo53ASkIZOFRlLnqaCTnwzOG2_Wg"",""Direct links Without Sizes!A2:A""),IMPORTRANGE(""1NK5L1mviMn0j3D3uo53ASkIZOFRlLnqaCTnwzOG2_Wg"",""Direct links Without Sizes!B2:B""))),XLOOKUP($C433,IMPORTRANGE(""1NK5L1mviMn0j3D3uo53ASkIZOFRlLnqaCTnwzOG2_Wg"",""Direct li"&amp;"nks Without Sizes!D2:D""),IMPORTRANGE(""1NK5L1mviMn0j3D3uo53ASkIZOFRlLnqaCTnwzOG2_Wg"",""Direct links Without Sizes!E2:E""))),"""")"),"")</f>
        <v/>
      </c>
      <c r="I433" s="4"/>
      <c r="J433" s="24" t="str">
        <f t="shared" si="1"/>
        <v/>
      </c>
      <c r="K433" s="25"/>
      <c r="L433" s="24" t="str">
        <f t="shared" si="2"/>
        <v/>
      </c>
      <c r="M433" s="4"/>
      <c r="N433" s="23"/>
      <c r="O433" s="23"/>
      <c r="P433" s="23"/>
      <c r="Q433" s="4" t="str">
        <f t="shared" si="4"/>
        <v/>
      </c>
      <c r="R433" s="20"/>
      <c r="S433" s="20"/>
    </row>
    <row r="434">
      <c r="A434" s="4"/>
      <c r="B434" s="4"/>
      <c r="C434" s="37"/>
      <c r="D434" s="7" t="str">
        <f>IFERROR(__xludf.DUMMYFUNCTION("iferror(iferror(INDEX(IMPORTRANGE(""12vtnxaE_Q1s4tyr10kZQx7ZF_xG0lBFae4jQEUtgsMU"",""All!B2:B""),MATCH($C434,IMPORTRANGE(""12vtnxaE_Q1s4tyr10kZQx7ZF_xG0lBFae4jQEUtgsMU"",""All!A2:A""),0)),INDEX(IMPORTRANGE(""13KC70HngS4DDi8y9E5khtSpQEPG6owaQ9z4E-tR5mnY"","&amp;"""Non-Food!B2:B""),MATCH($C434,IMPORTRANGE(""13KC70HngS4DDi8y9E5khtSpQEPG6owaQ9z4E-tR5mnY"",""Non-Food!A2:A""),0))),"""")"),"")</f>
        <v/>
      </c>
      <c r="E434" s="15"/>
      <c r="F434" s="15"/>
      <c r="G434" s="36"/>
      <c r="H434" s="23" t="str">
        <f>IFERROR(__xludf.DUMMYFUNCTION("iferror(iferror(iferror(index(IMPORTRANGE(""1NK5L1mviMn0j3D3uo53ASkIZOFRlLnqaCTnwzOG2_Wg"",""Direct Link!B2:B""),MATCH($C434,IMPORTRANGE(""1NK5L1mviMn0j3D3uo53ASkIZOFRlLnqaCTnwzOG2_Wg"",""Direct Link!A2:A""),0)),XLOOKUP($C434,IMPORTRANGE(""1NK5L1mviMn0j3D"&amp;"3uo53ASkIZOFRlLnqaCTnwzOG2_Wg"",""Direct links Without Sizes!A2:A""),IMPORTRANGE(""1NK5L1mviMn0j3D3uo53ASkIZOFRlLnqaCTnwzOG2_Wg"",""Direct links Without Sizes!B2:B""))),XLOOKUP($C434,IMPORTRANGE(""1NK5L1mviMn0j3D3uo53ASkIZOFRlLnqaCTnwzOG2_Wg"",""Direct li"&amp;"nks Without Sizes!D2:D""),IMPORTRANGE(""1NK5L1mviMn0j3D3uo53ASkIZOFRlLnqaCTnwzOG2_Wg"",""Direct links Without Sizes!E2:E""))),"""")"),"")</f>
        <v/>
      </c>
      <c r="I434" s="4"/>
      <c r="J434" s="24" t="str">
        <f t="shared" si="1"/>
        <v/>
      </c>
      <c r="K434" s="25"/>
      <c r="L434" s="24" t="str">
        <f t="shared" si="2"/>
        <v/>
      </c>
      <c r="M434" s="4"/>
      <c r="N434" s="23"/>
      <c r="O434" s="23"/>
      <c r="P434" s="23"/>
      <c r="Q434" s="4" t="str">
        <f t="shared" si="4"/>
        <v/>
      </c>
      <c r="R434" s="20"/>
      <c r="S434" s="20"/>
    </row>
    <row r="435">
      <c r="A435" s="4"/>
      <c r="B435" s="4"/>
      <c r="C435" s="37"/>
      <c r="D435" s="7" t="str">
        <f>IFERROR(__xludf.DUMMYFUNCTION("iferror(iferror(INDEX(IMPORTRANGE(""12vtnxaE_Q1s4tyr10kZQx7ZF_xG0lBFae4jQEUtgsMU"",""All!B2:B""),MATCH($C435,IMPORTRANGE(""12vtnxaE_Q1s4tyr10kZQx7ZF_xG0lBFae4jQEUtgsMU"",""All!A2:A""),0)),INDEX(IMPORTRANGE(""13KC70HngS4DDi8y9E5khtSpQEPG6owaQ9z4E-tR5mnY"","&amp;"""Non-Food!B2:B""),MATCH($C435,IMPORTRANGE(""13KC70HngS4DDi8y9E5khtSpQEPG6owaQ9z4E-tR5mnY"",""Non-Food!A2:A""),0))),"""")"),"")</f>
        <v/>
      </c>
      <c r="E435" s="15"/>
      <c r="F435" s="15"/>
      <c r="G435" s="36"/>
      <c r="H435" s="23" t="str">
        <f>IFERROR(__xludf.DUMMYFUNCTION("iferror(iferror(iferror(index(IMPORTRANGE(""1NK5L1mviMn0j3D3uo53ASkIZOFRlLnqaCTnwzOG2_Wg"",""Direct Link!B2:B""),MATCH($C435,IMPORTRANGE(""1NK5L1mviMn0j3D3uo53ASkIZOFRlLnqaCTnwzOG2_Wg"",""Direct Link!A2:A""),0)),XLOOKUP($C435,IMPORTRANGE(""1NK5L1mviMn0j3D"&amp;"3uo53ASkIZOFRlLnqaCTnwzOG2_Wg"",""Direct links Without Sizes!A2:A""),IMPORTRANGE(""1NK5L1mviMn0j3D3uo53ASkIZOFRlLnqaCTnwzOG2_Wg"",""Direct links Without Sizes!B2:B""))),XLOOKUP($C435,IMPORTRANGE(""1NK5L1mviMn0j3D3uo53ASkIZOFRlLnqaCTnwzOG2_Wg"",""Direct li"&amp;"nks Without Sizes!D2:D""),IMPORTRANGE(""1NK5L1mviMn0j3D3uo53ASkIZOFRlLnqaCTnwzOG2_Wg"",""Direct links Without Sizes!E2:E""))),"""")"),"")</f>
        <v/>
      </c>
      <c r="I435" s="4"/>
      <c r="J435" s="24" t="str">
        <f t="shared" si="1"/>
        <v/>
      </c>
      <c r="K435" s="25"/>
      <c r="L435" s="24" t="str">
        <f t="shared" si="2"/>
        <v/>
      </c>
      <c r="M435" s="4"/>
      <c r="N435" s="23"/>
      <c r="O435" s="23"/>
      <c r="P435" s="23"/>
      <c r="Q435" s="4" t="str">
        <f t="shared" si="4"/>
        <v/>
      </c>
      <c r="R435" s="20"/>
      <c r="S435" s="20"/>
    </row>
    <row r="436">
      <c r="A436" s="4"/>
      <c r="B436" s="4"/>
      <c r="C436" s="37"/>
      <c r="D436" s="7" t="str">
        <f>IFERROR(__xludf.DUMMYFUNCTION("iferror(iferror(INDEX(IMPORTRANGE(""12vtnxaE_Q1s4tyr10kZQx7ZF_xG0lBFae4jQEUtgsMU"",""All!B2:B""),MATCH($C436,IMPORTRANGE(""12vtnxaE_Q1s4tyr10kZQx7ZF_xG0lBFae4jQEUtgsMU"",""All!A2:A""),0)),INDEX(IMPORTRANGE(""13KC70HngS4DDi8y9E5khtSpQEPG6owaQ9z4E-tR5mnY"","&amp;"""Non-Food!B2:B""),MATCH($C436,IMPORTRANGE(""13KC70HngS4DDi8y9E5khtSpQEPG6owaQ9z4E-tR5mnY"",""Non-Food!A2:A""),0))),"""")"),"")</f>
        <v/>
      </c>
      <c r="E436" s="15"/>
      <c r="F436" s="15"/>
      <c r="G436" s="36"/>
      <c r="H436" s="23" t="str">
        <f>IFERROR(__xludf.DUMMYFUNCTION("iferror(iferror(iferror(index(IMPORTRANGE(""1NK5L1mviMn0j3D3uo53ASkIZOFRlLnqaCTnwzOG2_Wg"",""Direct Link!B2:B""),MATCH($C436,IMPORTRANGE(""1NK5L1mviMn0j3D3uo53ASkIZOFRlLnqaCTnwzOG2_Wg"",""Direct Link!A2:A""),0)),XLOOKUP($C436,IMPORTRANGE(""1NK5L1mviMn0j3D"&amp;"3uo53ASkIZOFRlLnqaCTnwzOG2_Wg"",""Direct links Without Sizes!A2:A""),IMPORTRANGE(""1NK5L1mviMn0j3D3uo53ASkIZOFRlLnqaCTnwzOG2_Wg"",""Direct links Without Sizes!B2:B""))),XLOOKUP($C436,IMPORTRANGE(""1NK5L1mviMn0j3D3uo53ASkIZOFRlLnqaCTnwzOG2_Wg"",""Direct li"&amp;"nks Without Sizes!D2:D""),IMPORTRANGE(""1NK5L1mviMn0j3D3uo53ASkIZOFRlLnqaCTnwzOG2_Wg"",""Direct links Without Sizes!E2:E""))),"""")"),"")</f>
        <v/>
      </c>
      <c r="I436" s="4"/>
      <c r="J436" s="24" t="str">
        <f t="shared" si="1"/>
        <v/>
      </c>
      <c r="K436" s="25"/>
      <c r="L436" s="24" t="str">
        <f t="shared" si="2"/>
        <v/>
      </c>
      <c r="M436" s="4"/>
      <c r="N436" s="23"/>
      <c r="O436" s="23"/>
      <c r="P436" s="23"/>
      <c r="Q436" s="4" t="str">
        <f t="shared" si="4"/>
        <v/>
      </c>
      <c r="R436" s="20"/>
      <c r="S436" s="20"/>
    </row>
    <row r="437">
      <c r="A437" s="4"/>
      <c r="B437" s="4"/>
      <c r="C437" s="37"/>
      <c r="D437" s="7" t="str">
        <f>IFERROR(__xludf.DUMMYFUNCTION("iferror(iferror(INDEX(IMPORTRANGE(""12vtnxaE_Q1s4tyr10kZQx7ZF_xG0lBFae4jQEUtgsMU"",""All!B2:B""),MATCH($C437,IMPORTRANGE(""12vtnxaE_Q1s4tyr10kZQx7ZF_xG0lBFae4jQEUtgsMU"",""All!A2:A""),0)),INDEX(IMPORTRANGE(""13KC70HngS4DDi8y9E5khtSpQEPG6owaQ9z4E-tR5mnY"","&amp;"""Non-Food!B2:B""),MATCH($C437,IMPORTRANGE(""13KC70HngS4DDi8y9E5khtSpQEPG6owaQ9z4E-tR5mnY"",""Non-Food!A2:A""),0))),"""")"),"")</f>
        <v/>
      </c>
      <c r="E437" s="15"/>
      <c r="F437" s="15"/>
      <c r="G437" s="36"/>
      <c r="H437" s="23" t="str">
        <f>IFERROR(__xludf.DUMMYFUNCTION("iferror(iferror(iferror(index(IMPORTRANGE(""1NK5L1mviMn0j3D3uo53ASkIZOFRlLnqaCTnwzOG2_Wg"",""Direct Link!B2:B""),MATCH($C437,IMPORTRANGE(""1NK5L1mviMn0j3D3uo53ASkIZOFRlLnqaCTnwzOG2_Wg"",""Direct Link!A2:A""),0)),XLOOKUP($C437,IMPORTRANGE(""1NK5L1mviMn0j3D"&amp;"3uo53ASkIZOFRlLnqaCTnwzOG2_Wg"",""Direct links Without Sizes!A2:A""),IMPORTRANGE(""1NK5L1mviMn0j3D3uo53ASkIZOFRlLnqaCTnwzOG2_Wg"",""Direct links Without Sizes!B2:B""))),XLOOKUP($C437,IMPORTRANGE(""1NK5L1mviMn0j3D3uo53ASkIZOFRlLnqaCTnwzOG2_Wg"",""Direct li"&amp;"nks Without Sizes!D2:D""),IMPORTRANGE(""1NK5L1mviMn0j3D3uo53ASkIZOFRlLnqaCTnwzOG2_Wg"",""Direct links Without Sizes!E2:E""))),"""")"),"")</f>
        <v/>
      </c>
      <c r="I437" s="4"/>
      <c r="J437" s="24" t="str">
        <f t="shared" si="1"/>
        <v/>
      </c>
      <c r="K437" s="25"/>
      <c r="L437" s="24" t="str">
        <f t="shared" si="2"/>
        <v/>
      </c>
      <c r="M437" s="4"/>
      <c r="N437" s="23"/>
      <c r="O437" s="23"/>
      <c r="P437" s="23"/>
      <c r="Q437" s="4" t="str">
        <f t="shared" si="4"/>
        <v/>
      </c>
      <c r="R437" s="20"/>
      <c r="S437" s="20"/>
    </row>
    <row r="438">
      <c r="A438" s="4"/>
      <c r="B438" s="4"/>
      <c r="C438" s="37"/>
      <c r="D438" s="7" t="str">
        <f>IFERROR(__xludf.DUMMYFUNCTION("iferror(iferror(INDEX(IMPORTRANGE(""12vtnxaE_Q1s4tyr10kZQx7ZF_xG0lBFae4jQEUtgsMU"",""All!B2:B""),MATCH($C438,IMPORTRANGE(""12vtnxaE_Q1s4tyr10kZQx7ZF_xG0lBFae4jQEUtgsMU"",""All!A2:A""),0)),INDEX(IMPORTRANGE(""13KC70HngS4DDi8y9E5khtSpQEPG6owaQ9z4E-tR5mnY"","&amp;"""Non-Food!B2:B""),MATCH($C438,IMPORTRANGE(""13KC70HngS4DDi8y9E5khtSpQEPG6owaQ9z4E-tR5mnY"",""Non-Food!A2:A""),0))),"""")"),"")</f>
        <v/>
      </c>
      <c r="E438" s="15"/>
      <c r="F438" s="15"/>
      <c r="G438" s="36"/>
      <c r="H438" s="23" t="str">
        <f>IFERROR(__xludf.DUMMYFUNCTION("iferror(iferror(iferror(index(IMPORTRANGE(""1NK5L1mviMn0j3D3uo53ASkIZOFRlLnqaCTnwzOG2_Wg"",""Direct Link!B2:B""),MATCH($C438,IMPORTRANGE(""1NK5L1mviMn0j3D3uo53ASkIZOFRlLnqaCTnwzOG2_Wg"",""Direct Link!A2:A""),0)),XLOOKUP($C438,IMPORTRANGE(""1NK5L1mviMn0j3D"&amp;"3uo53ASkIZOFRlLnqaCTnwzOG2_Wg"",""Direct links Without Sizes!A2:A""),IMPORTRANGE(""1NK5L1mviMn0j3D3uo53ASkIZOFRlLnqaCTnwzOG2_Wg"",""Direct links Without Sizes!B2:B""))),XLOOKUP($C438,IMPORTRANGE(""1NK5L1mviMn0j3D3uo53ASkIZOFRlLnqaCTnwzOG2_Wg"",""Direct li"&amp;"nks Without Sizes!D2:D""),IMPORTRANGE(""1NK5L1mviMn0j3D3uo53ASkIZOFRlLnqaCTnwzOG2_Wg"",""Direct links Without Sizes!E2:E""))),"""")"),"")</f>
        <v/>
      </c>
      <c r="I438" s="4"/>
      <c r="J438" s="24" t="str">
        <f t="shared" si="1"/>
        <v/>
      </c>
      <c r="K438" s="25"/>
      <c r="L438" s="24" t="str">
        <f t="shared" si="2"/>
        <v/>
      </c>
      <c r="M438" s="4"/>
      <c r="N438" s="23"/>
      <c r="O438" s="23"/>
      <c r="P438" s="23"/>
      <c r="Q438" s="4" t="str">
        <f t="shared" si="4"/>
        <v/>
      </c>
      <c r="R438" s="20"/>
      <c r="S438" s="20"/>
    </row>
    <row r="439">
      <c r="A439" s="4"/>
      <c r="B439" s="4"/>
      <c r="C439" s="37"/>
      <c r="D439" s="7" t="str">
        <f>IFERROR(__xludf.DUMMYFUNCTION("iferror(iferror(INDEX(IMPORTRANGE(""12vtnxaE_Q1s4tyr10kZQx7ZF_xG0lBFae4jQEUtgsMU"",""All!B2:B""),MATCH($C439,IMPORTRANGE(""12vtnxaE_Q1s4tyr10kZQx7ZF_xG0lBFae4jQEUtgsMU"",""All!A2:A""),0)),INDEX(IMPORTRANGE(""13KC70HngS4DDi8y9E5khtSpQEPG6owaQ9z4E-tR5mnY"","&amp;"""Non-Food!B2:B""),MATCH($C439,IMPORTRANGE(""13KC70HngS4DDi8y9E5khtSpQEPG6owaQ9z4E-tR5mnY"",""Non-Food!A2:A""),0))),"""")"),"")</f>
        <v/>
      </c>
      <c r="E439" s="15"/>
      <c r="F439" s="15"/>
      <c r="G439" s="36"/>
      <c r="H439" s="23" t="str">
        <f>IFERROR(__xludf.DUMMYFUNCTION("iferror(iferror(iferror(index(IMPORTRANGE(""1NK5L1mviMn0j3D3uo53ASkIZOFRlLnqaCTnwzOG2_Wg"",""Direct Link!B2:B""),MATCH($C439,IMPORTRANGE(""1NK5L1mviMn0j3D3uo53ASkIZOFRlLnqaCTnwzOG2_Wg"",""Direct Link!A2:A""),0)),XLOOKUP($C439,IMPORTRANGE(""1NK5L1mviMn0j3D"&amp;"3uo53ASkIZOFRlLnqaCTnwzOG2_Wg"",""Direct links Without Sizes!A2:A""),IMPORTRANGE(""1NK5L1mviMn0j3D3uo53ASkIZOFRlLnqaCTnwzOG2_Wg"",""Direct links Without Sizes!B2:B""))),XLOOKUP($C439,IMPORTRANGE(""1NK5L1mviMn0j3D3uo53ASkIZOFRlLnqaCTnwzOG2_Wg"",""Direct li"&amp;"nks Without Sizes!D2:D""),IMPORTRANGE(""1NK5L1mviMn0j3D3uo53ASkIZOFRlLnqaCTnwzOG2_Wg"",""Direct links Without Sizes!E2:E""))),"""")"),"")</f>
        <v/>
      </c>
      <c r="I439" s="4"/>
      <c r="J439" s="24" t="str">
        <f t="shared" si="1"/>
        <v/>
      </c>
      <c r="K439" s="25"/>
      <c r="L439" s="24" t="str">
        <f t="shared" si="2"/>
        <v/>
      </c>
      <c r="M439" s="4"/>
      <c r="N439" s="23"/>
      <c r="O439" s="23"/>
      <c r="P439" s="23"/>
      <c r="Q439" s="4" t="str">
        <f t="shared" si="4"/>
        <v/>
      </c>
      <c r="R439" s="20"/>
      <c r="S439" s="20"/>
    </row>
    <row r="440">
      <c r="A440" s="4"/>
      <c r="B440" s="4"/>
      <c r="C440" s="37"/>
      <c r="D440" s="7" t="str">
        <f>IFERROR(__xludf.DUMMYFUNCTION("iferror(iferror(INDEX(IMPORTRANGE(""12vtnxaE_Q1s4tyr10kZQx7ZF_xG0lBFae4jQEUtgsMU"",""All!B2:B""),MATCH($C440,IMPORTRANGE(""12vtnxaE_Q1s4tyr10kZQx7ZF_xG0lBFae4jQEUtgsMU"",""All!A2:A""),0)),INDEX(IMPORTRANGE(""13KC70HngS4DDi8y9E5khtSpQEPG6owaQ9z4E-tR5mnY"","&amp;"""Non-Food!B2:B""),MATCH($C440,IMPORTRANGE(""13KC70HngS4DDi8y9E5khtSpQEPG6owaQ9z4E-tR5mnY"",""Non-Food!A2:A""),0))),"""")"),"")</f>
        <v/>
      </c>
      <c r="E440" s="15"/>
      <c r="F440" s="15"/>
      <c r="G440" s="36"/>
      <c r="H440" s="23" t="str">
        <f>IFERROR(__xludf.DUMMYFUNCTION("iferror(iferror(iferror(index(IMPORTRANGE(""1NK5L1mviMn0j3D3uo53ASkIZOFRlLnqaCTnwzOG2_Wg"",""Direct Link!B2:B""),MATCH($C440,IMPORTRANGE(""1NK5L1mviMn0j3D3uo53ASkIZOFRlLnqaCTnwzOG2_Wg"",""Direct Link!A2:A""),0)),XLOOKUP($C440,IMPORTRANGE(""1NK5L1mviMn0j3D"&amp;"3uo53ASkIZOFRlLnqaCTnwzOG2_Wg"",""Direct links Without Sizes!A2:A""),IMPORTRANGE(""1NK5L1mviMn0j3D3uo53ASkIZOFRlLnqaCTnwzOG2_Wg"",""Direct links Without Sizes!B2:B""))),XLOOKUP($C440,IMPORTRANGE(""1NK5L1mviMn0j3D3uo53ASkIZOFRlLnqaCTnwzOG2_Wg"",""Direct li"&amp;"nks Without Sizes!D2:D""),IMPORTRANGE(""1NK5L1mviMn0j3D3uo53ASkIZOFRlLnqaCTnwzOG2_Wg"",""Direct links Without Sizes!E2:E""))),"""")"),"")</f>
        <v/>
      </c>
      <c r="I440" s="4"/>
      <c r="J440" s="24" t="str">
        <f t="shared" si="1"/>
        <v/>
      </c>
      <c r="K440" s="25"/>
      <c r="L440" s="24" t="str">
        <f t="shared" si="2"/>
        <v/>
      </c>
      <c r="M440" s="4"/>
      <c r="N440" s="23"/>
      <c r="O440" s="23"/>
      <c r="P440" s="23"/>
      <c r="Q440" s="4" t="str">
        <f t="shared" si="4"/>
        <v/>
      </c>
      <c r="R440" s="20"/>
      <c r="S440" s="20"/>
    </row>
    <row r="441">
      <c r="A441" s="4"/>
      <c r="B441" s="4"/>
      <c r="C441" s="37"/>
      <c r="D441" s="7" t="str">
        <f>IFERROR(__xludf.DUMMYFUNCTION("iferror(iferror(INDEX(IMPORTRANGE(""12vtnxaE_Q1s4tyr10kZQx7ZF_xG0lBFae4jQEUtgsMU"",""All!B2:B""),MATCH($C441,IMPORTRANGE(""12vtnxaE_Q1s4tyr10kZQx7ZF_xG0lBFae4jQEUtgsMU"",""All!A2:A""),0)),INDEX(IMPORTRANGE(""13KC70HngS4DDi8y9E5khtSpQEPG6owaQ9z4E-tR5mnY"","&amp;"""Non-Food!B2:B""),MATCH($C441,IMPORTRANGE(""13KC70HngS4DDi8y9E5khtSpQEPG6owaQ9z4E-tR5mnY"",""Non-Food!A2:A""),0))),"""")"),"")</f>
        <v/>
      </c>
      <c r="E441" s="15"/>
      <c r="F441" s="15"/>
      <c r="G441" s="36"/>
      <c r="H441" s="23" t="str">
        <f>IFERROR(__xludf.DUMMYFUNCTION("iferror(iferror(iferror(index(IMPORTRANGE(""1NK5L1mviMn0j3D3uo53ASkIZOFRlLnqaCTnwzOG2_Wg"",""Direct Link!B2:B""),MATCH($C441,IMPORTRANGE(""1NK5L1mviMn0j3D3uo53ASkIZOFRlLnqaCTnwzOG2_Wg"",""Direct Link!A2:A""),0)),XLOOKUP($C441,IMPORTRANGE(""1NK5L1mviMn0j3D"&amp;"3uo53ASkIZOFRlLnqaCTnwzOG2_Wg"",""Direct links Without Sizes!A2:A""),IMPORTRANGE(""1NK5L1mviMn0j3D3uo53ASkIZOFRlLnqaCTnwzOG2_Wg"",""Direct links Without Sizes!B2:B""))),XLOOKUP($C441,IMPORTRANGE(""1NK5L1mviMn0j3D3uo53ASkIZOFRlLnqaCTnwzOG2_Wg"",""Direct li"&amp;"nks Without Sizes!D2:D""),IMPORTRANGE(""1NK5L1mviMn0j3D3uo53ASkIZOFRlLnqaCTnwzOG2_Wg"",""Direct links Without Sizes!E2:E""))),"""")"),"")</f>
        <v/>
      </c>
      <c r="I441" s="4"/>
      <c r="J441" s="24" t="str">
        <f t="shared" si="1"/>
        <v/>
      </c>
      <c r="K441" s="25"/>
      <c r="L441" s="24" t="str">
        <f t="shared" si="2"/>
        <v/>
      </c>
      <c r="M441" s="4"/>
      <c r="N441" s="23"/>
      <c r="O441" s="23"/>
      <c r="P441" s="23"/>
      <c r="Q441" s="4" t="str">
        <f t="shared" si="4"/>
        <v/>
      </c>
      <c r="R441" s="20"/>
      <c r="S441" s="20"/>
    </row>
    <row r="442">
      <c r="A442" s="4"/>
      <c r="B442" s="4"/>
      <c r="C442" s="37"/>
      <c r="D442" s="7" t="str">
        <f>IFERROR(__xludf.DUMMYFUNCTION("iferror(iferror(INDEX(IMPORTRANGE(""12vtnxaE_Q1s4tyr10kZQx7ZF_xG0lBFae4jQEUtgsMU"",""All!B2:B""),MATCH($C442,IMPORTRANGE(""12vtnxaE_Q1s4tyr10kZQx7ZF_xG0lBFae4jQEUtgsMU"",""All!A2:A""),0)),INDEX(IMPORTRANGE(""13KC70HngS4DDi8y9E5khtSpQEPG6owaQ9z4E-tR5mnY"","&amp;"""Non-Food!B2:B""),MATCH($C442,IMPORTRANGE(""13KC70HngS4DDi8y9E5khtSpQEPG6owaQ9z4E-tR5mnY"",""Non-Food!A2:A""),0))),"""")"),"")</f>
        <v/>
      </c>
      <c r="E442" s="15"/>
      <c r="F442" s="15"/>
      <c r="G442" s="36"/>
      <c r="H442" s="23" t="str">
        <f>IFERROR(__xludf.DUMMYFUNCTION("iferror(iferror(iferror(index(IMPORTRANGE(""1NK5L1mviMn0j3D3uo53ASkIZOFRlLnqaCTnwzOG2_Wg"",""Direct Link!B2:B""),MATCH($C442,IMPORTRANGE(""1NK5L1mviMn0j3D3uo53ASkIZOFRlLnqaCTnwzOG2_Wg"",""Direct Link!A2:A""),0)),XLOOKUP($C442,IMPORTRANGE(""1NK5L1mviMn0j3D"&amp;"3uo53ASkIZOFRlLnqaCTnwzOG2_Wg"",""Direct links Without Sizes!A2:A""),IMPORTRANGE(""1NK5L1mviMn0j3D3uo53ASkIZOFRlLnqaCTnwzOG2_Wg"",""Direct links Without Sizes!B2:B""))),XLOOKUP($C442,IMPORTRANGE(""1NK5L1mviMn0j3D3uo53ASkIZOFRlLnqaCTnwzOG2_Wg"",""Direct li"&amp;"nks Without Sizes!D2:D""),IMPORTRANGE(""1NK5L1mviMn0j3D3uo53ASkIZOFRlLnqaCTnwzOG2_Wg"",""Direct links Without Sizes!E2:E""))),"""")"),"")</f>
        <v/>
      </c>
      <c r="I442" s="4"/>
      <c r="J442" s="24" t="str">
        <f t="shared" si="1"/>
        <v/>
      </c>
      <c r="K442" s="25"/>
      <c r="L442" s="24" t="str">
        <f t="shared" si="2"/>
        <v/>
      </c>
      <c r="M442" s="4"/>
      <c r="N442" s="23"/>
      <c r="O442" s="23"/>
      <c r="P442" s="23"/>
      <c r="Q442" s="4" t="str">
        <f t="shared" si="4"/>
        <v/>
      </c>
      <c r="R442" s="20"/>
      <c r="S442" s="20"/>
    </row>
    <row r="443">
      <c r="A443" s="4"/>
      <c r="B443" s="4"/>
      <c r="C443" s="37"/>
      <c r="D443" s="7" t="str">
        <f>IFERROR(__xludf.DUMMYFUNCTION("iferror(iferror(INDEX(IMPORTRANGE(""12vtnxaE_Q1s4tyr10kZQx7ZF_xG0lBFae4jQEUtgsMU"",""All!B2:B""),MATCH($C443,IMPORTRANGE(""12vtnxaE_Q1s4tyr10kZQx7ZF_xG0lBFae4jQEUtgsMU"",""All!A2:A""),0)),INDEX(IMPORTRANGE(""13KC70HngS4DDi8y9E5khtSpQEPG6owaQ9z4E-tR5mnY"","&amp;"""Non-Food!B2:B""),MATCH($C443,IMPORTRANGE(""13KC70HngS4DDi8y9E5khtSpQEPG6owaQ9z4E-tR5mnY"",""Non-Food!A2:A""),0))),"""")"),"")</f>
        <v/>
      </c>
      <c r="E443" s="15"/>
      <c r="F443" s="15"/>
      <c r="G443" s="36"/>
      <c r="H443" s="23" t="str">
        <f>IFERROR(__xludf.DUMMYFUNCTION("iferror(iferror(iferror(index(IMPORTRANGE(""1NK5L1mviMn0j3D3uo53ASkIZOFRlLnqaCTnwzOG2_Wg"",""Direct Link!B2:B""),MATCH($C443,IMPORTRANGE(""1NK5L1mviMn0j3D3uo53ASkIZOFRlLnqaCTnwzOG2_Wg"",""Direct Link!A2:A""),0)),XLOOKUP($C443,IMPORTRANGE(""1NK5L1mviMn0j3D"&amp;"3uo53ASkIZOFRlLnqaCTnwzOG2_Wg"",""Direct links Without Sizes!A2:A""),IMPORTRANGE(""1NK5L1mviMn0j3D3uo53ASkIZOFRlLnqaCTnwzOG2_Wg"",""Direct links Without Sizes!B2:B""))),XLOOKUP($C443,IMPORTRANGE(""1NK5L1mviMn0j3D3uo53ASkIZOFRlLnqaCTnwzOG2_Wg"",""Direct li"&amp;"nks Without Sizes!D2:D""),IMPORTRANGE(""1NK5L1mviMn0j3D3uo53ASkIZOFRlLnqaCTnwzOG2_Wg"",""Direct links Without Sizes!E2:E""))),"""")"),"")</f>
        <v/>
      </c>
      <c r="I443" s="4"/>
      <c r="J443" s="24" t="str">
        <f t="shared" si="1"/>
        <v/>
      </c>
      <c r="K443" s="25"/>
      <c r="L443" s="24" t="str">
        <f t="shared" si="2"/>
        <v/>
      </c>
      <c r="M443" s="4"/>
      <c r="N443" s="23"/>
      <c r="O443" s="23"/>
      <c r="P443" s="23"/>
      <c r="Q443" s="4" t="str">
        <f t="shared" si="4"/>
        <v/>
      </c>
      <c r="R443" s="20"/>
      <c r="S443" s="20"/>
    </row>
    <row r="444">
      <c r="A444" s="4"/>
      <c r="B444" s="4"/>
      <c r="C444" s="37"/>
      <c r="D444" s="7" t="str">
        <f>IFERROR(__xludf.DUMMYFUNCTION("iferror(iferror(INDEX(IMPORTRANGE(""12vtnxaE_Q1s4tyr10kZQx7ZF_xG0lBFae4jQEUtgsMU"",""All!B2:B""),MATCH($C444,IMPORTRANGE(""12vtnxaE_Q1s4tyr10kZQx7ZF_xG0lBFae4jQEUtgsMU"",""All!A2:A""),0)),INDEX(IMPORTRANGE(""13KC70HngS4DDi8y9E5khtSpQEPG6owaQ9z4E-tR5mnY"","&amp;"""Non-Food!B2:B""),MATCH($C444,IMPORTRANGE(""13KC70HngS4DDi8y9E5khtSpQEPG6owaQ9z4E-tR5mnY"",""Non-Food!A2:A""),0))),"""")"),"")</f>
        <v/>
      </c>
      <c r="E444" s="15"/>
      <c r="F444" s="15"/>
      <c r="G444" s="36"/>
      <c r="H444" s="23" t="str">
        <f>IFERROR(__xludf.DUMMYFUNCTION("iferror(iferror(iferror(index(IMPORTRANGE(""1NK5L1mviMn0j3D3uo53ASkIZOFRlLnqaCTnwzOG2_Wg"",""Direct Link!B2:B""),MATCH($C444,IMPORTRANGE(""1NK5L1mviMn0j3D3uo53ASkIZOFRlLnqaCTnwzOG2_Wg"",""Direct Link!A2:A""),0)),XLOOKUP($C444,IMPORTRANGE(""1NK5L1mviMn0j3D"&amp;"3uo53ASkIZOFRlLnqaCTnwzOG2_Wg"",""Direct links Without Sizes!A2:A""),IMPORTRANGE(""1NK5L1mviMn0j3D3uo53ASkIZOFRlLnqaCTnwzOG2_Wg"",""Direct links Without Sizes!B2:B""))),XLOOKUP($C444,IMPORTRANGE(""1NK5L1mviMn0j3D3uo53ASkIZOFRlLnqaCTnwzOG2_Wg"",""Direct li"&amp;"nks Without Sizes!D2:D""),IMPORTRANGE(""1NK5L1mviMn0j3D3uo53ASkIZOFRlLnqaCTnwzOG2_Wg"",""Direct links Without Sizes!E2:E""))),"""")"),"")</f>
        <v/>
      </c>
      <c r="I444" s="4"/>
      <c r="J444" s="24" t="str">
        <f t="shared" si="1"/>
        <v/>
      </c>
      <c r="K444" s="25"/>
      <c r="L444" s="24" t="str">
        <f t="shared" si="2"/>
        <v/>
      </c>
      <c r="M444" s="4"/>
      <c r="N444" s="23"/>
      <c r="O444" s="23"/>
      <c r="P444" s="23"/>
      <c r="Q444" s="4" t="str">
        <f t="shared" si="4"/>
        <v/>
      </c>
      <c r="R444" s="20"/>
      <c r="S444" s="20"/>
    </row>
    <row r="445">
      <c r="A445" s="4"/>
      <c r="B445" s="4"/>
      <c r="C445" s="37"/>
      <c r="D445" s="7" t="str">
        <f>IFERROR(__xludf.DUMMYFUNCTION("iferror(iferror(INDEX(IMPORTRANGE(""12vtnxaE_Q1s4tyr10kZQx7ZF_xG0lBFae4jQEUtgsMU"",""All!B2:B""),MATCH($C445,IMPORTRANGE(""12vtnxaE_Q1s4tyr10kZQx7ZF_xG0lBFae4jQEUtgsMU"",""All!A2:A""),0)),INDEX(IMPORTRANGE(""13KC70HngS4DDi8y9E5khtSpQEPG6owaQ9z4E-tR5mnY"","&amp;"""Non-Food!B2:B""),MATCH($C445,IMPORTRANGE(""13KC70HngS4DDi8y9E5khtSpQEPG6owaQ9z4E-tR5mnY"",""Non-Food!A2:A""),0))),"""")"),"")</f>
        <v/>
      </c>
      <c r="E445" s="15"/>
      <c r="F445" s="15"/>
      <c r="G445" s="36"/>
      <c r="H445" s="23" t="str">
        <f>IFERROR(__xludf.DUMMYFUNCTION("iferror(iferror(iferror(index(IMPORTRANGE(""1NK5L1mviMn0j3D3uo53ASkIZOFRlLnqaCTnwzOG2_Wg"",""Direct Link!B2:B""),MATCH($C445,IMPORTRANGE(""1NK5L1mviMn0j3D3uo53ASkIZOFRlLnqaCTnwzOG2_Wg"",""Direct Link!A2:A""),0)),XLOOKUP($C445,IMPORTRANGE(""1NK5L1mviMn0j3D"&amp;"3uo53ASkIZOFRlLnqaCTnwzOG2_Wg"",""Direct links Without Sizes!A2:A""),IMPORTRANGE(""1NK5L1mviMn0j3D3uo53ASkIZOFRlLnqaCTnwzOG2_Wg"",""Direct links Without Sizes!B2:B""))),XLOOKUP($C445,IMPORTRANGE(""1NK5L1mviMn0j3D3uo53ASkIZOFRlLnqaCTnwzOG2_Wg"",""Direct li"&amp;"nks Without Sizes!D2:D""),IMPORTRANGE(""1NK5L1mviMn0j3D3uo53ASkIZOFRlLnqaCTnwzOG2_Wg"",""Direct links Without Sizes!E2:E""))),"""")"),"")</f>
        <v/>
      </c>
      <c r="I445" s="4"/>
      <c r="J445" s="24" t="str">
        <f t="shared" si="1"/>
        <v/>
      </c>
      <c r="K445" s="25"/>
      <c r="L445" s="24" t="str">
        <f t="shared" si="2"/>
        <v/>
      </c>
      <c r="M445" s="4"/>
      <c r="N445" s="23"/>
      <c r="O445" s="23"/>
      <c r="P445" s="23"/>
      <c r="Q445" s="4" t="str">
        <f t="shared" si="4"/>
        <v/>
      </c>
      <c r="R445" s="20"/>
      <c r="S445" s="20"/>
    </row>
    <row r="446">
      <c r="A446" s="4"/>
      <c r="B446" s="4"/>
      <c r="C446" s="37"/>
      <c r="D446" s="7" t="str">
        <f>IFERROR(__xludf.DUMMYFUNCTION("iferror(iferror(INDEX(IMPORTRANGE(""12vtnxaE_Q1s4tyr10kZQx7ZF_xG0lBFae4jQEUtgsMU"",""All!B2:B""),MATCH($C446,IMPORTRANGE(""12vtnxaE_Q1s4tyr10kZQx7ZF_xG0lBFae4jQEUtgsMU"",""All!A2:A""),0)),INDEX(IMPORTRANGE(""13KC70HngS4DDi8y9E5khtSpQEPG6owaQ9z4E-tR5mnY"","&amp;"""Non-Food!B2:B""),MATCH($C446,IMPORTRANGE(""13KC70HngS4DDi8y9E5khtSpQEPG6owaQ9z4E-tR5mnY"",""Non-Food!A2:A""),0))),"""")"),"")</f>
        <v/>
      </c>
      <c r="E446" s="15"/>
      <c r="F446" s="15"/>
      <c r="G446" s="36"/>
      <c r="H446" s="23" t="str">
        <f>IFERROR(__xludf.DUMMYFUNCTION("iferror(iferror(iferror(index(IMPORTRANGE(""1NK5L1mviMn0j3D3uo53ASkIZOFRlLnqaCTnwzOG2_Wg"",""Direct Link!B2:B""),MATCH($C446,IMPORTRANGE(""1NK5L1mviMn0j3D3uo53ASkIZOFRlLnqaCTnwzOG2_Wg"",""Direct Link!A2:A""),0)),XLOOKUP($C446,IMPORTRANGE(""1NK5L1mviMn0j3D"&amp;"3uo53ASkIZOFRlLnqaCTnwzOG2_Wg"",""Direct links Without Sizes!A2:A""),IMPORTRANGE(""1NK5L1mviMn0j3D3uo53ASkIZOFRlLnqaCTnwzOG2_Wg"",""Direct links Without Sizes!B2:B""))),XLOOKUP($C446,IMPORTRANGE(""1NK5L1mviMn0j3D3uo53ASkIZOFRlLnqaCTnwzOG2_Wg"",""Direct li"&amp;"nks Without Sizes!D2:D""),IMPORTRANGE(""1NK5L1mviMn0j3D3uo53ASkIZOFRlLnqaCTnwzOG2_Wg"",""Direct links Without Sizes!E2:E""))),"""")"),"")</f>
        <v/>
      </c>
      <c r="I446" s="4"/>
      <c r="J446" s="24" t="str">
        <f t="shared" si="1"/>
        <v/>
      </c>
      <c r="K446" s="25"/>
      <c r="L446" s="24" t="str">
        <f t="shared" si="2"/>
        <v/>
      </c>
      <c r="M446" s="4"/>
      <c r="N446" s="23"/>
      <c r="O446" s="23"/>
      <c r="P446" s="23"/>
      <c r="Q446" s="4" t="str">
        <f t="shared" si="4"/>
        <v/>
      </c>
      <c r="R446" s="20"/>
      <c r="S446" s="20"/>
    </row>
    <row r="447">
      <c r="A447" s="4"/>
      <c r="B447" s="4"/>
      <c r="C447" s="37"/>
      <c r="D447" s="7" t="str">
        <f>IFERROR(__xludf.DUMMYFUNCTION("iferror(iferror(INDEX(IMPORTRANGE(""12vtnxaE_Q1s4tyr10kZQx7ZF_xG0lBFae4jQEUtgsMU"",""All!B2:B""),MATCH($C447,IMPORTRANGE(""12vtnxaE_Q1s4tyr10kZQx7ZF_xG0lBFae4jQEUtgsMU"",""All!A2:A""),0)),INDEX(IMPORTRANGE(""13KC70HngS4DDi8y9E5khtSpQEPG6owaQ9z4E-tR5mnY"","&amp;"""Non-Food!B2:B""),MATCH($C447,IMPORTRANGE(""13KC70HngS4DDi8y9E5khtSpQEPG6owaQ9z4E-tR5mnY"",""Non-Food!A2:A""),0))),"""")"),"")</f>
        <v/>
      </c>
      <c r="E447" s="15"/>
      <c r="F447" s="15"/>
      <c r="G447" s="36"/>
      <c r="H447" s="23" t="str">
        <f>IFERROR(__xludf.DUMMYFUNCTION("iferror(iferror(iferror(index(IMPORTRANGE(""1NK5L1mviMn0j3D3uo53ASkIZOFRlLnqaCTnwzOG2_Wg"",""Direct Link!B2:B""),MATCH($C447,IMPORTRANGE(""1NK5L1mviMn0j3D3uo53ASkIZOFRlLnqaCTnwzOG2_Wg"",""Direct Link!A2:A""),0)),XLOOKUP($C447,IMPORTRANGE(""1NK5L1mviMn0j3D"&amp;"3uo53ASkIZOFRlLnqaCTnwzOG2_Wg"",""Direct links Without Sizes!A2:A""),IMPORTRANGE(""1NK5L1mviMn0j3D3uo53ASkIZOFRlLnqaCTnwzOG2_Wg"",""Direct links Without Sizes!B2:B""))),XLOOKUP($C447,IMPORTRANGE(""1NK5L1mviMn0j3D3uo53ASkIZOFRlLnqaCTnwzOG2_Wg"",""Direct li"&amp;"nks Without Sizes!D2:D""),IMPORTRANGE(""1NK5L1mviMn0j3D3uo53ASkIZOFRlLnqaCTnwzOG2_Wg"",""Direct links Without Sizes!E2:E""))),"""")"),"")</f>
        <v/>
      </c>
      <c r="I447" s="4"/>
      <c r="J447" s="24" t="str">
        <f t="shared" si="1"/>
        <v/>
      </c>
      <c r="K447" s="25"/>
      <c r="L447" s="24" t="str">
        <f t="shared" si="2"/>
        <v/>
      </c>
      <c r="M447" s="4"/>
      <c r="N447" s="23"/>
      <c r="O447" s="23"/>
      <c r="P447" s="23"/>
      <c r="Q447" s="4" t="str">
        <f t="shared" si="4"/>
        <v/>
      </c>
      <c r="R447" s="20"/>
      <c r="S447" s="20"/>
    </row>
    <row r="448">
      <c r="A448" s="4"/>
      <c r="B448" s="4"/>
      <c r="C448" s="37"/>
      <c r="D448" s="7" t="str">
        <f>IFERROR(__xludf.DUMMYFUNCTION("iferror(iferror(INDEX(IMPORTRANGE(""12vtnxaE_Q1s4tyr10kZQx7ZF_xG0lBFae4jQEUtgsMU"",""All!B2:B""),MATCH($C448,IMPORTRANGE(""12vtnxaE_Q1s4tyr10kZQx7ZF_xG0lBFae4jQEUtgsMU"",""All!A2:A""),0)),INDEX(IMPORTRANGE(""13KC70HngS4DDi8y9E5khtSpQEPG6owaQ9z4E-tR5mnY"","&amp;"""Non-Food!B2:B""),MATCH($C448,IMPORTRANGE(""13KC70HngS4DDi8y9E5khtSpQEPG6owaQ9z4E-tR5mnY"",""Non-Food!A2:A""),0))),"""")"),"")</f>
        <v/>
      </c>
      <c r="E448" s="15"/>
      <c r="F448" s="15"/>
      <c r="G448" s="36"/>
      <c r="H448" s="23" t="str">
        <f>IFERROR(__xludf.DUMMYFUNCTION("iferror(iferror(iferror(index(IMPORTRANGE(""1NK5L1mviMn0j3D3uo53ASkIZOFRlLnqaCTnwzOG2_Wg"",""Direct Link!B2:B""),MATCH($C448,IMPORTRANGE(""1NK5L1mviMn0j3D3uo53ASkIZOFRlLnqaCTnwzOG2_Wg"",""Direct Link!A2:A""),0)),XLOOKUP($C448,IMPORTRANGE(""1NK5L1mviMn0j3D"&amp;"3uo53ASkIZOFRlLnqaCTnwzOG2_Wg"",""Direct links Without Sizes!A2:A""),IMPORTRANGE(""1NK5L1mviMn0j3D3uo53ASkIZOFRlLnqaCTnwzOG2_Wg"",""Direct links Without Sizes!B2:B""))),XLOOKUP($C448,IMPORTRANGE(""1NK5L1mviMn0j3D3uo53ASkIZOFRlLnqaCTnwzOG2_Wg"",""Direct li"&amp;"nks Without Sizes!D2:D""),IMPORTRANGE(""1NK5L1mviMn0j3D3uo53ASkIZOFRlLnqaCTnwzOG2_Wg"",""Direct links Without Sizes!E2:E""))),"""")"),"")</f>
        <v/>
      </c>
      <c r="I448" s="4"/>
      <c r="J448" s="24" t="str">
        <f t="shared" si="1"/>
        <v/>
      </c>
      <c r="K448" s="25"/>
      <c r="L448" s="24" t="str">
        <f t="shared" si="2"/>
        <v/>
      </c>
      <c r="M448" s="4"/>
      <c r="N448" s="23"/>
      <c r="O448" s="23"/>
      <c r="P448" s="23"/>
      <c r="Q448" s="4" t="str">
        <f t="shared" si="4"/>
        <v/>
      </c>
      <c r="R448" s="20"/>
      <c r="S448" s="20"/>
    </row>
    <row r="449">
      <c r="A449" s="4"/>
      <c r="B449" s="4"/>
      <c r="C449" s="37"/>
      <c r="D449" s="7" t="str">
        <f>IFERROR(__xludf.DUMMYFUNCTION("iferror(iferror(INDEX(IMPORTRANGE(""12vtnxaE_Q1s4tyr10kZQx7ZF_xG0lBFae4jQEUtgsMU"",""All!B2:B""),MATCH($C449,IMPORTRANGE(""12vtnxaE_Q1s4tyr10kZQx7ZF_xG0lBFae4jQEUtgsMU"",""All!A2:A""),0)),INDEX(IMPORTRANGE(""13KC70HngS4DDi8y9E5khtSpQEPG6owaQ9z4E-tR5mnY"","&amp;"""Non-Food!B2:B""),MATCH($C449,IMPORTRANGE(""13KC70HngS4DDi8y9E5khtSpQEPG6owaQ9z4E-tR5mnY"",""Non-Food!A2:A""),0))),"""")"),"")</f>
        <v/>
      </c>
      <c r="E449" s="15"/>
      <c r="F449" s="15"/>
      <c r="G449" s="36"/>
      <c r="H449" s="23" t="str">
        <f>IFERROR(__xludf.DUMMYFUNCTION("iferror(iferror(iferror(index(IMPORTRANGE(""1NK5L1mviMn0j3D3uo53ASkIZOFRlLnqaCTnwzOG2_Wg"",""Direct Link!B2:B""),MATCH($C449,IMPORTRANGE(""1NK5L1mviMn0j3D3uo53ASkIZOFRlLnqaCTnwzOG2_Wg"",""Direct Link!A2:A""),0)),XLOOKUP($C449,IMPORTRANGE(""1NK5L1mviMn0j3D"&amp;"3uo53ASkIZOFRlLnqaCTnwzOG2_Wg"",""Direct links Without Sizes!A2:A""),IMPORTRANGE(""1NK5L1mviMn0j3D3uo53ASkIZOFRlLnqaCTnwzOG2_Wg"",""Direct links Without Sizes!B2:B""))),XLOOKUP($C449,IMPORTRANGE(""1NK5L1mviMn0j3D3uo53ASkIZOFRlLnqaCTnwzOG2_Wg"",""Direct li"&amp;"nks Without Sizes!D2:D""),IMPORTRANGE(""1NK5L1mviMn0j3D3uo53ASkIZOFRlLnqaCTnwzOG2_Wg"",""Direct links Without Sizes!E2:E""))),"""")"),"")</f>
        <v/>
      </c>
      <c r="I449" s="4"/>
      <c r="J449" s="24" t="str">
        <f t="shared" si="1"/>
        <v/>
      </c>
      <c r="K449" s="25"/>
      <c r="L449" s="24" t="str">
        <f t="shared" si="2"/>
        <v/>
      </c>
      <c r="M449" s="4"/>
      <c r="N449" s="23"/>
      <c r="O449" s="23"/>
      <c r="P449" s="23"/>
      <c r="Q449" s="4" t="str">
        <f t="shared" si="4"/>
        <v/>
      </c>
      <c r="R449" s="20"/>
      <c r="S449" s="20"/>
    </row>
    <row r="450">
      <c r="A450" s="4"/>
      <c r="B450" s="4"/>
      <c r="C450" s="37"/>
      <c r="D450" s="7" t="str">
        <f>IFERROR(__xludf.DUMMYFUNCTION("iferror(iferror(INDEX(IMPORTRANGE(""12vtnxaE_Q1s4tyr10kZQx7ZF_xG0lBFae4jQEUtgsMU"",""All!B2:B""),MATCH($C450,IMPORTRANGE(""12vtnxaE_Q1s4tyr10kZQx7ZF_xG0lBFae4jQEUtgsMU"",""All!A2:A""),0)),INDEX(IMPORTRANGE(""13KC70HngS4DDi8y9E5khtSpQEPG6owaQ9z4E-tR5mnY"","&amp;"""Non-Food!B2:B""),MATCH($C450,IMPORTRANGE(""13KC70HngS4DDi8y9E5khtSpQEPG6owaQ9z4E-tR5mnY"",""Non-Food!A2:A""),0))),"""")"),"")</f>
        <v/>
      </c>
      <c r="E450" s="15"/>
      <c r="F450" s="15"/>
      <c r="G450" s="36"/>
      <c r="H450" s="23" t="str">
        <f>IFERROR(__xludf.DUMMYFUNCTION("iferror(iferror(iferror(index(IMPORTRANGE(""1NK5L1mviMn0j3D3uo53ASkIZOFRlLnqaCTnwzOG2_Wg"",""Direct Link!B2:B""),MATCH($C450,IMPORTRANGE(""1NK5L1mviMn0j3D3uo53ASkIZOFRlLnqaCTnwzOG2_Wg"",""Direct Link!A2:A""),0)),XLOOKUP($C450,IMPORTRANGE(""1NK5L1mviMn0j3D"&amp;"3uo53ASkIZOFRlLnqaCTnwzOG2_Wg"",""Direct links Without Sizes!A2:A""),IMPORTRANGE(""1NK5L1mviMn0j3D3uo53ASkIZOFRlLnqaCTnwzOG2_Wg"",""Direct links Without Sizes!B2:B""))),XLOOKUP($C450,IMPORTRANGE(""1NK5L1mviMn0j3D3uo53ASkIZOFRlLnqaCTnwzOG2_Wg"",""Direct li"&amp;"nks Without Sizes!D2:D""),IMPORTRANGE(""1NK5L1mviMn0j3D3uo53ASkIZOFRlLnqaCTnwzOG2_Wg"",""Direct links Without Sizes!E2:E""))),"""")"),"")</f>
        <v/>
      </c>
      <c r="I450" s="4"/>
      <c r="J450" s="24" t="str">
        <f t="shared" si="1"/>
        <v/>
      </c>
      <c r="K450" s="25"/>
      <c r="L450" s="24" t="str">
        <f t="shared" si="2"/>
        <v/>
      </c>
      <c r="M450" s="4"/>
      <c r="N450" s="23"/>
      <c r="O450" s="23"/>
      <c r="P450" s="23"/>
      <c r="Q450" s="4" t="str">
        <f t="shared" si="4"/>
        <v/>
      </c>
      <c r="R450" s="20"/>
      <c r="S450" s="20"/>
    </row>
    <row r="451">
      <c r="A451" s="4"/>
      <c r="B451" s="4"/>
      <c r="C451" s="37"/>
      <c r="D451" s="7" t="str">
        <f>IFERROR(__xludf.DUMMYFUNCTION("iferror(iferror(INDEX(IMPORTRANGE(""12vtnxaE_Q1s4tyr10kZQx7ZF_xG0lBFae4jQEUtgsMU"",""All!B2:B""),MATCH($C451,IMPORTRANGE(""12vtnxaE_Q1s4tyr10kZQx7ZF_xG0lBFae4jQEUtgsMU"",""All!A2:A""),0)),INDEX(IMPORTRANGE(""13KC70HngS4DDi8y9E5khtSpQEPG6owaQ9z4E-tR5mnY"","&amp;"""Non-Food!B2:B""),MATCH($C451,IMPORTRANGE(""13KC70HngS4DDi8y9E5khtSpQEPG6owaQ9z4E-tR5mnY"",""Non-Food!A2:A""),0))),"""")"),"")</f>
        <v/>
      </c>
      <c r="E451" s="15"/>
      <c r="F451" s="15"/>
      <c r="G451" s="36"/>
      <c r="H451" s="23" t="str">
        <f>IFERROR(__xludf.DUMMYFUNCTION("iferror(iferror(iferror(index(IMPORTRANGE(""1NK5L1mviMn0j3D3uo53ASkIZOFRlLnqaCTnwzOG2_Wg"",""Direct Link!B2:B""),MATCH($C451,IMPORTRANGE(""1NK5L1mviMn0j3D3uo53ASkIZOFRlLnqaCTnwzOG2_Wg"",""Direct Link!A2:A""),0)),XLOOKUP($C451,IMPORTRANGE(""1NK5L1mviMn0j3D"&amp;"3uo53ASkIZOFRlLnqaCTnwzOG2_Wg"",""Direct links Without Sizes!A2:A""),IMPORTRANGE(""1NK5L1mviMn0j3D3uo53ASkIZOFRlLnqaCTnwzOG2_Wg"",""Direct links Without Sizes!B2:B""))),XLOOKUP($C451,IMPORTRANGE(""1NK5L1mviMn0j3D3uo53ASkIZOFRlLnqaCTnwzOG2_Wg"",""Direct li"&amp;"nks Without Sizes!D2:D""),IMPORTRANGE(""1NK5L1mviMn0j3D3uo53ASkIZOFRlLnqaCTnwzOG2_Wg"",""Direct links Without Sizes!E2:E""))),"""")"),"")</f>
        <v/>
      </c>
      <c r="I451" s="4"/>
      <c r="J451" s="24" t="str">
        <f t="shared" si="1"/>
        <v/>
      </c>
      <c r="K451" s="25"/>
      <c r="L451" s="24" t="str">
        <f t="shared" si="2"/>
        <v/>
      </c>
      <c r="M451" s="4"/>
      <c r="N451" s="23"/>
      <c r="O451" s="23"/>
      <c r="P451" s="23"/>
      <c r="Q451" s="4" t="str">
        <f t="shared" si="4"/>
        <v/>
      </c>
      <c r="R451" s="20"/>
      <c r="S451" s="20"/>
    </row>
    <row r="452">
      <c r="A452" s="4"/>
      <c r="B452" s="4"/>
      <c r="C452" s="37"/>
      <c r="D452" s="7" t="str">
        <f>IFERROR(__xludf.DUMMYFUNCTION("iferror(iferror(INDEX(IMPORTRANGE(""12vtnxaE_Q1s4tyr10kZQx7ZF_xG0lBFae4jQEUtgsMU"",""All!B2:B""),MATCH($C452,IMPORTRANGE(""12vtnxaE_Q1s4tyr10kZQx7ZF_xG0lBFae4jQEUtgsMU"",""All!A2:A""),0)),INDEX(IMPORTRANGE(""13KC70HngS4DDi8y9E5khtSpQEPG6owaQ9z4E-tR5mnY"","&amp;"""Non-Food!B2:B""),MATCH($C452,IMPORTRANGE(""13KC70HngS4DDi8y9E5khtSpQEPG6owaQ9z4E-tR5mnY"",""Non-Food!A2:A""),0))),"""")"),"")</f>
        <v/>
      </c>
      <c r="E452" s="15"/>
      <c r="F452" s="15"/>
      <c r="G452" s="36"/>
      <c r="H452" s="23" t="str">
        <f>IFERROR(__xludf.DUMMYFUNCTION("iferror(iferror(iferror(index(IMPORTRANGE(""1NK5L1mviMn0j3D3uo53ASkIZOFRlLnqaCTnwzOG2_Wg"",""Direct Link!B2:B""),MATCH($C452,IMPORTRANGE(""1NK5L1mviMn0j3D3uo53ASkIZOFRlLnqaCTnwzOG2_Wg"",""Direct Link!A2:A""),0)),XLOOKUP($C452,IMPORTRANGE(""1NK5L1mviMn0j3D"&amp;"3uo53ASkIZOFRlLnqaCTnwzOG2_Wg"",""Direct links Without Sizes!A2:A""),IMPORTRANGE(""1NK5L1mviMn0j3D3uo53ASkIZOFRlLnqaCTnwzOG2_Wg"",""Direct links Without Sizes!B2:B""))),XLOOKUP($C452,IMPORTRANGE(""1NK5L1mviMn0j3D3uo53ASkIZOFRlLnqaCTnwzOG2_Wg"",""Direct li"&amp;"nks Without Sizes!D2:D""),IMPORTRANGE(""1NK5L1mviMn0j3D3uo53ASkIZOFRlLnqaCTnwzOG2_Wg"",""Direct links Without Sizes!E2:E""))),"""")"),"")</f>
        <v/>
      </c>
      <c r="I452" s="4"/>
      <c r="J452" s="24" t="str">
        <f t="shared" si="1"/>
        <v/>
      </c>
      <c r="K452" s="25"/>
      <c r="L452" s="24" t="str">
        <f t="shared" si="2"/>
        <v/>
      </c>
      <c r="M452" s="4"/>
      <c r="N452" s="23"/>
      <c r="O452" s="23"/>
      <c r="P452" s="23"/>
      <c r="Q452" s="4" t="str">
        <f t="shared" si="4"/>
        <v/>
      </c>
      <c r="R452" s="20"/>
      <c r="S452" s="20"/>
    </row>
    <row r="453">
      <c r="A453" s="4"/>
      <c r="B453" s="4"/>
      <c r="C453" s="37"/>
      <c r="D453" s="7" t="str">
        <f>IFERROR(__xludf.DUMMYFUNCTION("iferror(iferror(INDEX(IMPORTRANGE(""12vtnxaE_Q1s4tyr10kZQx7ZF_xG0lBFae4jQEUtgsMU"",""All!B2:B""),MATCH($C453,IMPORTRANGE(""12vtnxaE_Q1s4tyr10kZQx7ZF_xG0lBFae4jQEUtgsMU"",""All!A2:A""),0)),INDEX(IMPORTRANGE(""13KC70HngS4DDi8y9E5khtSpQEPG6owaQ9z4E-tR5mnY"","&amp;"""Non-Food!B2:B""),MATCH($C453,IMPORTRANGE(""13KC70HngS4DDi8y9E5khtSpQEPG6owaQ9z4E-tR5mnY"",""Non-Food!A2:A""),0))),"""")"),"")</f>
        <v/>
      </c>
      <c r="E453" s="15"/>
      <c r="F453" s="15"/>
      <c r="G453" s="36"/>
      <c r="H453" s="23" t="str">
        <f>IFERROR(__xludf.DUMMYFUNCTION("iferror(iferror(iferror(index(IMPORTRANGE(""1NK5L1mviMn0j3D3uo53ASkIZOFRlLnqaCTnwzOG2_Wg"",""Direct Link!B2:B""),MATCH($C453,IMPORTRANGE(""1NK5L1mviMn0j3D3uo53ASkIZOFRlLnqaCTnwzOG2_Wg"",""Direct Link!A2:A""),0)),XLOOKUP($C453,IMPORTRANGE(""1NK5L1mviMn0j3D"&amp;"3uo53ASkIZOFRlLnqaCTnwzOG2_Wg"",""Direct links Without Sizes!A2:A""),IMPORTRANGE(""1NK5L1mviMn0j3D3uo53ASkIZOFRlLnqaCTnwzOG2_Wg"",""Direct links Without Sizes!B2:B""))),XLOOKUP($C453,IMPORTRANGE(""1NK5L1mviMn0j3D3uo53ASkIZOFRlLnqaCTnwzOG2_Wg"",""Direct li"&amp;"nks Without Sizes!D2:D""),IMPORTRANGE(""1NK5L1mviMn0j3D3uo53ASkIZOFRlLnqaCTnwzOG2_Wg"",""Direct links Without Sizes!E2:E""))),"""")"),"")</f>
        <v/>
      </c>
      <c r="I453" s="4"/>
      <c r="J453" s="24" t="str">
        <f t="shared" si="1"/>
        <v/>
      </c>
      <c r="K453" s="25"/>
      <c r="L453" s="24" t="str">
        <f t="shared" si="2"/>
        <v/>
      </c>
      <c r="M453" s="4"/>
      <c r="N453" s="23"/>
      <c r="O453" s="23"/>
      <c r="P453" s="23"/>
      <c r="Q453" s="4" t="str">
        <f t="shared" si="4"/>
        <v/>
      </c>
      <c r="R453" s="20"/>
      <c r="S453" s="20"/>
    </row>
    <row r="454">
      <c r="A454" s="4"/>
      <c r="B454" s="4"/>
      <c r="C454" s="37"/>
      <c r="D454" s="7" t="str">
        <f>IFERROR(__xludf.DUMMYFUNCTION("iferror(iferror(INDEX(IMPORTRANGE(""12vtnxaE_Q1s4tyr10kZQx7ZF_xG0lBFae4jQEUtgsMU"",""All!B2:B""),MATCH($C454,IMPORTRANGE(""12vtnxaE_Q1s4tyr10kZQx7ZF_xG0lBFae4jQEUtgsMU"",""All!A2:A""),0)),INDEX(IMPORTRANGE(""13KC70HngS4DDi8y9E5khtSpQEPG6owaQ9z4E-tR5mnY"","&amp;"""Non-Food!B2:B""),MATCH($C454,IMPORTRANGE(""13KC70HngS4DDi8y9E5khtSpQEPG6owaQ9z4E-tR5mnY"",""Non-Food!A2:A""),0))),"""")"),"")</f>
        <v/>
      </c>
      <c r="E454" s="15"/>
      <c r="F454" s="15"/>
      <c r="G454" s="36"/>
      <c r="H454" s="23" t="str">
        <f>IFERROR(__xludf.DUMMYFUNCTION("iferror(iferror(iferror(index(IMPORTRANGE(""1NK5L1mviMn0j3D3uo53ASkIZOFRlLnqaCTnwzOG2_Wg"",""Direct Link!B2:B""),MATCH($C454,IMPORTRANGE(""1NK5L1mviMn0j3D3uo53ASkIZOFRlLnqaCTnwzOG2_Wg"",""Direct Link!A2:A""),0)),XLOOKUP($C454,IMPORTRANGE(""1NK5L1mviMn0j3D"&amp;"3uo53ASkIZOFRlLnqaCTnwzOG2_Wg"",""Direct links Without Sizes!A2:A""),IMPORTRANGE(""1NK5L1mviMn0j3D3uo53ASkIZOFRlLnqaCTnwzOG2_Wg"",""Direct links Without Sizes!B2:B""))),XLOOKUP($C454,IMPORTRANGE(""1NK5L1mviMn0j3D3uo53ASkIZOFRlLnqaCTnwzOG2_Wg"",""Direct li"&amp;"nks Without Sizes!D2:D""),IMPORTRANGE(""1NK5L1mviMn0j3D3uo53ASkIZOFRlLnqaCTnwzOG2_Wg"",""Direct links Without Sizes!E2:E""))),"""")"),"")</f>
        <v/>
      </c>
      <c r="I454" s="4"/>
      <c r="J454" s="24" t="str">
        <f t="shared" si="1"/>
        <v/>
      </c>
      <c r="K454" s="25"/>
      <c r="L454" s="24" t="str">
        <f t="shared" si="2"/>
        <v/>
      </c>
      <c r="M454" s="4"/>
      <c r="N454" s="23"/>
      <c r="O454" s="23"/>
      <c r="P454" s="23"/>
      <c r="Q454" s="4" t="str">
        <f t="shared" si="4"/>
        <v/>
      </c>
      <c r="R454" s="20"/>
      <c r="S454" s="20"/>
    </row>
    <row r="455">
      <c r="A455" s="4"/>
      <c r="B455" s="4"/>
      <c r="C455" s="37"/>
      <c r="D455" s="7" t="str">
        <f>IFERROR(__xludf.DUMMYFUNCTION("iferror(iferror(INDEX(IMPORTRANGE(""12vtnxaE_Q1s4tyr10kZQx7ZF_xG0lBFae4jQEUtgsMU"",""All!B2:B""),MATCH($C455,IMPORTRANGE(""12vtnxaE_Q1s4tyr10kZQx7ZF_xG0lBFae4jQEUtgsMU"",""All!A2:A""),0)),INDEX(IMPORTRANGE(""13KC70HngS4DDi8y9E5khtSpQEPG6owaQ9z4E-tR5mnY"","&amp;"""Non-Food!B2:B""),MATCH($C455,IMPORTRANGE(""13KC70HngS4DDi8y9E5khtSpQEPG6owaQ9z4E-tR5mnY"",""Non-Food!A2:A""),0))),"""")"),"")</f>
        <v/>
      </c>
      <c r="E455" s="15"/>
      <c r="F455" s="15"/>
      <c r="G455" s="36"/>
      <c r="H455" s="23" t="str">
        <f>IFERROR(__xludf.DUMMYFUNCTION("iferror(iferror(iferror(index(IMPORTRANGE(""1NK5L1mviMn0j3D3uo53ASkIZOFRlLnqaCTnwzOG2_Wg"",""Direct Link!B2:B""),MATCH($C455,IMPORTRANGE(""1NK5L1mviMn0j3D3uo53ASkIZOFRlLnqaCTnwzOG2_Wg"",""Direct Link!A2:A""),0)),XLOOKUP($C455,IMPORTRANGE(""1NK5L1mviMn0j3D"&amp;"3uo53ASkIZOFRlLnqaCTnwzOG2_Wg"",""Direct links Without Sizes!A2:A""),IMPORTRANGE(""1NK5L1mviMn0j3D3uo53ASkIZOFRlLnqaCTnwzOG2_Wg"",""Direct links Without Sizes!B2:B""))),XLOOKUP($C455,IMPORTRANGE(""1NK5L1mviMn0j3D3uo53ASkIZOFRlLnqaCTnwzOG2_Wg"",""Direct li"&amp;"nks Without Sizes!D2:D""),IMPORTRANGE(""1NK5L1mviMn0j3D3uo53ASkIZOFRlLnqaCTnwzOG2_Wg"",""Direct links Without Sizes!E2:E""))),"""")"),"")</f>
        <v/>
      </c>
      <c r="I455" s="4"/>
      <c r="J455" s="24" t="str">
        <f t="shared" si="1"/>
        <v/>
      </c>
      <c r="K455" s="25"/>
      <c r="L455" s="24" t="str">
        <f t="shared" si="2"/>
        <v/>
      </c>
      <c r="M455" s="4"/>
      <c r="N455" s="23"/>
      <c r="O455" s="23"/>
      <c r="P455" s="23"/>
      <c r="Q455" s="4" t="str">
        <f t="shared" si="4"/>
        <v/>
      </c>
      <c r="R455" s="20"/>
      <c r="S455" s="20"/>
    </row>
    <row r="456">
      <c r="A456" s="4"/>
      <c r="B456" s="4"/>
      <c r="C456" s="37"/>
      <c r="D456" s="7" t="str">
        <f>IFERROR(__xludf.DUMMYFUNCTION("iferror(iferror(INDEX(IMPORTRANGE(""12vtnxaE_Q1s4tyr10kZQx7ZF_xG0lBFae4jQEUtgsMU"",""All!B2:B""),MATCH($C456,IMPORTRANGE(""12vtnxaE_Q1s4tyr10kZQx7ZF_xG0lBFae4jQEUtgsMU"",""All!A2:A""),0)),INDEX(IMPORTRANGE(""13KC70HngS4DDi8y9E5khtSpQEPG6owaQ9z4E-tR5mnY"","&amp;"""Non-Food!B2:B""),MATCH($C456,IMPORTRANGE(""13KC70HngS4DDi8y9E5khtSpQEPG6owaQ9z4E-tR5mnY"",""Non-Food!A2:A""),0))),"""")"),"")</f>
        <v/>
      </c>
      <c r="E456" s="15"/>
      <c r="F456" s="15"/>
      <c r="G456" s="36"/>
      <c r="H456" s="23" t="str">
        <f>IFERROR(__xludf.DUMMYFUNCTION("iferror(iferror(iferror(index(IMPORTRANGE(""1NK5L1mviMn0j3D3uo53ASkIZOFRlLnqaCTnwzOG2_Wg"",""Direct Link!B2:B""),MATCH($C456,IMPORTRANGE(""1NK5L1mviMn0j3D3uo53ASkIZOFRlLnqaCTnwzOG2_Wg"",""Direct Link!A2:A""),0)),XLOOKUP($C456,IMPORTRANGE(""1NK5L1mviMn0j3D"&amp;"3uo53ASkIZOFRlLnqaCTnwzOG2_Wg"",""Direct links Without Sizes!A2:A""),IMPORTRANGE(""1NK5L1mviMn0j3D3uo53ASkIZOFRlLnqaCTnwzOG2_Wg"",""Direct links Without Sizes!B2:B""))),XLOOKUP($C456,IMPORTRANGE(""1NK5L1mviMn0j3D3uo53ASkIZOFRlLnqaCTnwzOG2_Wg"",""Direct li"&amp;"nks Without Sizes!D2:D""),IMPORTRANGE(""1NK5L1mviMn0j3D3uo53ASkIZOFRlLnqaCTnwzOG2_Wg"",""Direct links Without Sizes!E2:E""))),"""")"),"")</f>
        <v/>
      </c>
      <c r="I456" s="4"/>
      <c r="J456" s="24" t="str">
        <f t="shared" si="1"/>
        <v/>
      </c>
      <c r="K456" s="25"/>
      <c r="L456" s="24" t="str">
        <f t="shared" si="2"/>
        <v/>
      </c>
      <c r="M456" s="4"/>
      <c r="N456" s="23"/>
      <c r="O456" s="23"/>
      <c r="P456" s="23"/>
      <c r="Q456" s="4" t="str">
        <f t="shared" si="4"/>
        <v/>
      </c>
      <c r="R456" s="20"/>
      <c r="S456" s="20"/>
    </row>
    <row r="457">
      <c r="A457" s="4"/>
      <c r="B457" s="4"/>
      <c r="C457" s="37"/>
      <c r="D457" s="7" t="str">
        <f>IFERROR(__xludf.DUMMYFUNCTION("iferror(iferror(INDEX(IMPORTRANGE(""12vtnxaE_Q1s4tyr10kZQx7ZF_xG0lBFae4jQEUtgsMU"",""All!B2:B""),MATCH($C457,IMPORTRANGE(""12vtnxaE_Q1s4tyr10kZQx7ZF_xG0lBFae4jQEUtgsMU"",""All!A2:A""),0)),INDEX(IMPORTRANGE(""13KC70HngS4DDi8y9E5khtSpQEPG6owaQ9z4E-tR5mnY"","&amp;"""Non-Food!B2:B""),MATCH($C457,IMPORTRANGE(""13KC70HngS4DDi8y9E5khtSpQEPG6owaQ9z4E-tR5mnY"",""Non-Food!A2:A""),0))),"""")"),"")</f>
        <v/>
      </c>
      <c r="E457" s="15"/>
      <c r="F457" s="15"/>
      <c r="G457" s="36"/>
      <c r="H457" s="23" t="str">
        <f>IFERROR(__xludf.DUMMYFUNCTION("iferror(iferror(iferror(index(IMPORTRANGE(""1NK5L1mviMn0j3D3uo53ASkIZOFRlLnqaCTnwzOG2_Wg"",""Direct Link!B2:B""),MATCH($C457,IMPORTRANGE(""1NK5L1mviMn0j3D3uo53ASkIZOFRlLnqaCTnwzOG2_Wg"",""Direct Link!A2:A""),0)),XLOOKUP($C457,IMPORTRANGE(""1NK5L1mviMn0j3D"&amp;"3uo53ASkIZOFRlLnqaCTnwzOG2_Wg"",""Direct links Without Sizes!A2:A""),IMPORTRANGE(""1NK5L1mviMn0j3D3uo53ASkIZOFRlLnqaCTnwzOG2_Wg"",""Direct links Without Sizes!B2:B""))),XLOOKUP($C457,IMPORTRANGE(""1NK5L1mviMn0j3D3uo53ASkIZOFRlLnqaCTnwzOG2_Wg"",""Direct li"&amp;"nks Without Sizes!D2:D""),IMPORTRANGE(""1NK5L1mviMn0j3D3uo53ASkIZOFRlLnqaCTnwzOG2_Wg"",""Direct links Without Sizes!E2:E""))),"""")"),"")</f>
        <v/>
      </c>
      <c r="I457" s="4"/>
      <c r="J457" s="24" t="str">
        <f t="shared" si="1"/>
        <v/>
      </c>
      <c r="K457" s="25"/>
      <c r="L457" s="24" t="str">
        <f t="shared" si="2"/>
        <v/>
      </c>
      <c r="M457" s="4"/>
      <c r="N457" s="23"/>
      <c r="O457" s="23"/>
      <c r="P457" s="23"/>
      <c r="Q457" s="4" t="str">
        <f t="shared" si="4"/>
        <v/>
      </c>
      <c r="R457" s="20"/>
      <c r="S457" s="20"/>
    </row>
    <row r="458">
      <c r="A458" s="4"/>
      <c r="B458" s="4"/>
      <c r="C458" s="37"/>
      <c r="D458" s="7" t="str">
        <f>IFERROR(__xludf.DUMMYFUNCTION("iferror(iferror(INDEX(IMPORTRANGE(""12vtnxaE_Q1s4tyr10kZQx7ZF_xG0lBFae4jQEUtgsMU"",""All!B2:B""),MATCH($C458,IMPORTRANGE(""12vtnxaE_Q1s4tyr10kZQx7ZF_xG0lBFae4jQEUtgsMU"",""All!A2:A""),0)),INDEX(IMPORTRANGE(""13KC70HngS4DDi8y9E5khtSpQEPG6owaQ9z4E-tR5mnY"","&amp;"""Non-Food!B2:B""),MATCH($C458,IMPORTRANGE(""13KC70HngS4DDi8y9E5khtSpQEPG6owaQ9z4E-tR5mnY"",""Non-Food!A2:A""),0))),"""")"),"")</f>
        <v/>
      </c>
      <c r="E458" s="15"/>
      <c r="F458" s="15"/>
      <c r="G458" s="36"/>
      <c r="H458" s="23" t="str">
        <f>IFERROR(__xludf.DUMMYFUNCTION("iferror(iferror(iferror(index(IMPORTRANGE(""1NK5L1mviMn0j3D3uo53ASkIZOFRlLnqaCTnwzOG2_Wg"",""Direct Link!B2:B""),MATCH($C458,IMPORTRANGE(""1NK5L1mviMn0j3D3uo53ASkIZOFRlLnqaCTnwzOG2_Wg"",""Direct Link!A2:A""),0)),XLOOKUP($C458,IMPORTRANGE(""1NK5L1mviMn0j3D"&amp;"3uo53ASkIZOFRlLnqaCTnwzOG2_Wg"",""Direct links Without Sizes!A2:A""),IMPORTRANGE(""1NK5L1mviMn0j3D3uo53ASkIZOFRlLnqaCTnwzOG2_Wg"",""Direct links Without Sizes!B2:B""))),XLOOKUP($C458,IMPORTRANGE(""1NK5L1mviMn0j3D3uo53ASkIZOFRlLnqaCTnwzOG2_Wg"",""Direct li"&amp;"nks Without Sizes!D2:D""),IMPORTRANGE(""1NK5L1mviMn0j3D3uo53ASkIZOFRlLnqaCTnwzOG2_Wg"",""Direct links Without Sizes!E2:E""))),"""")"),"")</f>
        <v/>
      </c>
      <c r="I458" s="4"/>
      <c r="J458" s="24" t="str">
        <f t="shared" si="1"/>
        <v/>
      </c>
      <c r="K458" s="25"/>
      <c r="L458" s="24" t="str">
        <f t="shared" si="2"/>
        <v/>
      </c>
      <c r="M458" s="4"/>
      <c r="N458" s="23"/>
      <c r="O458" s="23"/>
      <c r="P458" s="23"/>
      <c r="Q458" s="4" t="str">
        <f t="shared" si="4"/>
        <v/>
      </c>
      <c r="R458" s="20"/>
      <c r="S458" s="20"/>
    </row>
    <row r="459">
      <c r="A459" s="4"/>
      <c r="B459" s="4"/>
      <c r="C459" s="37"/>
      <c r="D459" s="7" t="str">
        <f>IFERROR(__xludf.DUMMYFUNCTION("iferror(iferror(INDEX(IMPORTRANGE(""12vtnxaE_Q1s4tyr10kZQx7ZF_xG0lBFae4jQEUtgsMU"",""All!B2:B""),MATCH($C459,IMPORTRANGE(""12vtnxaE_Q1s4tyr10kZQx7ZF_xG0lBFae4jQEUtgsMU"",""All!A2:A""),0)),INDEX(IMPORTRANGE(""13KC70HngS4DDi8y9E5khtSpQEPG6owaQ9z4E-tR5mnY"","&amp;"""Non-Food!B2:B""),MATCH($C459,IMPORTRANGE(""13KC70HngS4DDi8y9E5khtSpQEPG6owaQ9z4E-tR5mnY"",""Non-Food!A2:A""),0))),"""")"),"")</f>
        <v/>
      </c>
      <c r="E459" s="15"/>
      <c r="F459" s="15"/>
      <c r="G459" s="36"/>
      <c r="H459" s="23" t="str">
        <f>IFERROR(__xludf.DUMMYFUNCTION("iferror(iferror(iferror(index(IMPORTRANGE(""1NK5L1mviMn0j3D3uo53ASkIZOFRlLnqaCTnwzOG2_Wg"",""Direct Link!B2:B""),MATCH($C459,IMPORTRANGE(""1NK5L1mviMn0j3D3uo53ASkIZOFRlLnqaCTnwzOG2_Wg"",""Direct Link!A2:A""),0)),XLOOKUP($C459,IMPORTRANGE(""1NK5L1mviMn0j3D"&amp;"3uo53ASkIZOFRlLnqaCTnwzOG2_Wg"",""Direct links Without Sizes!A2:A""),IMPORTRANGE(""1NK5L1mviMn0j3D3uo53ASkIZOFRlLnqaCTnwzOG2_Wg"",""Direct links Without Sizes!B2:B""))),XLOOKUP($C459,IMPORTRANGE(""1NK5L1mviMn0j3D3uo53ASkIZOFRlLnqaCTnwzOG2_Wg"",""Direct li"&amp;"nks Without Sizes!D2:D""),IMPORTRANGE(""1NK5L1mviMn0j3D3uo53ASkIZOFRlLnqaCTnwzOG2_Wg"",""Direct links Without Sizes!E2:E""))),"""")"),"")</f>
        <v/>
      </c>
      <c r="I459" s="4"/>
      <c r="J459" s="24" t="str">
        <f t="shared" si="1"/>
        <v/>
      </c>
      <c r="K459" s="25"/>
      <c r="L459" s="24" t="str">
        <f t="shared" si="2"/>
        <v/>
      </c>
      <c r="M459" s="4"/>
      <c r="N459" s="23"/>
      <c r="O459" s="23"/>
      <c r="P459" s="23"/>
      <c r="Q459" s="4" t="str">
        <f t="shared" si="4"/>
        <v/>
      </c>
      <c r="R459" s="20"/>
      <c r="S459" s="20"/>
    </row>
    <row r="460">
      <c r="A460" s="4"/>
      <c r="B460" s="4"/>
      <c r="C460" s="37"/>
      <c r="D460" s="7" t="str">
        <f>IFERROR(__xludf.DUMMYFUNCTION("iferror(iferror(INDEX(IMPORTRANGE(""12vtnxaE_Q1s4tyr10kZQx7ZF_xG0lBFae4jQEUtgsMU"",""All!B2:B""),MATCH($C460,IMPORTRANGE(""12vtnxaE_Q1s4tyr10kZQx7ZF_xG0lBFae4jQEUtgsMU"",""All!A2:A""),0)),INDEX(IMPORTRANGE(""13KC70HngS4DDi8y9E5khtSpQEPG6owaQ9z4E-tR5mnY"","&amp;"""Non-Food!B2:B""),MATCH($C460,IMPORTRANGE(""13KC70HngS4DDi8y9E5khtSpQEPG6owaQ9z4E-tR5mnY"",""Non-Food!A2:A""),0))),"""")"),"")</f>
        <v/>
      </c>
      <c r="E460" s="15"/>
      <c r="F460" s="15"/>
      <c r="G460" s="36"/>
      <c r="H460" s="23" t="str">
        <f>IFERROR(__xludf.DUMMYFUNCTION("iferror(iferror(iferror(index(IMPORTRANGE(""1NK5L1mviMn0j3D3uo53ASkIZOFRlLnqaCTnwzOG2_Wg"",""Direct Link!B2:B""),MATCH($C460,IMPORTRANGE(""1NK5L1mviMn0j3D3uo53ASkIZOFRlLnqaCTnwzOG2_Wg"",""Direct Link!A2:A""),0)),XLOOKUP($C460,IMPORTRANGE(""1NK5L1mviMn0j3D"&amp;"3uo53ASkIZOFRlLnqaCTnwzOG2_Wg"",""Direct links Without Sizes!A2:A""),IMPORTRANGE(""1NK5L1mviMn0j3D3uo53ASkIZOFRlLnqaCTnwzOG2_Wg"",""Direct links Without Sizes!B2:B""))),XLOOKUP($C460,IMPORTRANGE(""1NK5L1mviMn0j3D3uo53ASkIZOFRlLnqaCTnwzOG2_Wg"",""Direct li"&amp;"nks Without Sizes!D2:D""),IMPORTRANGE(""1NK5L1mviMn0j3D3uo53ASkIZOFRlLnqaCTnwzOG2_Wg"",""Direct links Without Sizes!E2:E""))),"""")"),"")</f>
        <v/>
      </c>
      <c r="I460" s="4"/>
      <c r="J460" s="24" t="str">
        <f t="shared" si="1"/>
        <v/>
      </c>
      <c r="K460" s="25"/>
      <c r="L460" s="24" t="str">
        <f t="shared" si="2"/>
        <v/>
      </c>
      <c r="M460" s="4"/>
      <c r="N460" s="23"/>
      <c r="O460" s="23"/>
      <c r="P460" s="23"/>
      <c r="Q460" s="4" t="str">
        <f t="shared" si="4"/>
        <v/>
      </c>
      <c r="R460" s="20"/>
      <c r="S460" s="20"/>
    </row>
    <row r="461">
      <c r="A461" s="4"/>
      <c r="B461" s="4"/>
      <c r="C461" s="37"/>
      <c r="D461" s="7" t="str">
        <f>IFERROR(__xludf.DUMMYFUNCTION("iferror(iferror(INDEX(IMPORTRANGE(""12vtnxaE_Q1s4tyr10kZQx7ZF_xG0lBFae4jQEUtgsMU"",""All!B2:B""),MATCH($C461,IMPORTRANGE(""12vtnxaE_Q1s4tyr10kZQx7ZF_xG0lBFae4jQEUtgsMU"",""All!A2:A""),0)),INDEX(IMPORTRANGE(""13KC70HngS4DDi8y9E5khtSpQEPG6owaQ9z4E-tR5mnY"","&amp;"""Non-Food!B2:B""),MATCH($C461,IMPORTRANGE(""13KC70HngS4DDi8y9E5khtSpQEPG6owaQ9z4E-tR5mnY"",""Non-Food!A2:A""),0))),"""")"),"")</f>
        <v/>
      </c>
      <c r="E461" s="15"/>
      <c r="F461" s="15"/>
      <c r="G461" s="36"/>
      <c r="H461" s="23" t="str">
        <f>IFERROR(__xludf.DUMMYFUNCTION("iferror(iferror(iferror(index(IMPORTRANGE(""1NK5L1mviMn0j3D3uo53ASkIZOFRlLnqaCTnwzOG2_Wg"",""Direct Link!B2:B""),MATCH($C461,IMPORTRANGE(""1NK5L1mviMn0j3D3uo53ASkIZOFRlLnqaCTnwzOG2_Wg"",""Direct Link!A2:A""),0)),XLOOKUP($C461,IMPORTRANGE(""1NK5L1mviMn0j3D"&amp;"3uo53ASkIZOFRlLnqaCTnwzOG2_Wg"",""Direct links Without Sizes!A2:A""),IMPORTRANGE(""1NK5L1mviMn0j3D3uo53ASkIZOFRlLnqaCTnwzOG2_Wg"",""Direct links Without Sizes!B2:B""))),XLOOKUP($C461,IMPORTRANGE(""1NK5L1mviMn0j3D3uo53ASkIZOFRlLnqaCTnwzOG2_Wg"",""Direct li"&amp;"nks Without Sizes!D2:D""),IMPORTRANGE(""1NK5L1mviMn0j3D3uo53ASkIZOFRlLnqaCTnwzOG2_Wg"",""Direct links Without Sizes!E2:E""))),"""")"),"")</f>
        <v/>
      </c>
      <c r="I461" s="4"/>
      <c r="J461" s="24" t="str">
        <f t="shared" si="1"/>
        <v/>
      </c>
      <c r="K461" s="25"/>
      <c r="L461" s="24" t="str">
        <f t="shared" si="2"/>
        <v/>
      </c>
      <c r="M461" s="4"/>
      <c r="N461" s="23"/>
      <c r="O461" s="23"/>
      <c r="P461" s="23"/>
      <c r="Q461" s="4" t="str">
        <f t="shared" si="4"/>
        <v/>
      </c>
      <c r="R461" s="20"/>
      <c r="S461" s="20"/>
    </row>
    <row r="462">
      <c r="A462" s="4"/>
      <c r="B462" s="4"/>
      <c r="C462" s="37"/>
      <c r="D462" s="7" t="str">
        <f>IFERROR(__xludf.DUMMYFUNCTION("iferror(iferror(INDEX(IMPORTRANGE(""12vtnxaE_Q1s4tyr10kZQx7ZF_xG0lBFae4jQEUtgsMU"",""All!B2:B""),MATCH($C462,IMPORTRANGE(""12vtnxaE_Q1s4tyr10kZQx7ZF_xG0lBFae4jQEUtgsMU"",""All!A2:A""),0)),INDEX(IMPORTRANGE(""13KC70HngS4DDi8y9E5khtSpQEPG6owaQ9z4E-tR5mnY"","&amp;"""Non-Food!B2:B""),MATCH($C462,IMPORTRANGE(""13KC70HngS4DDi8y9E5khtSpQEPG6owaQ9z4E-tR5mnY"",""Non-Food!A2:A""),0))),"""")"),"")</f>
        <v/>
      </c>
      <c r="E462" s="15"/>
      <c r="F462" s="15"/>
      <c r="G462" s="36"/>
      <c r="H462" s="23" t="str">
        <f>IFERROR(__xludf.DUMMYFUNCTION("iferror(iferror(iferror(index(IMPORTRANGE(""1NK5L1mviMn0j3D3uo53ASkIZOFRlLnqaCTnwzOG2_Wg"",""Direct Link!B2:B""),MATCH($C462,IMPORTRANGE(""1NK5L1mviMn0j3D3uo53ASkIZOFRlLnqaCTnwzOG2_Wg"",""Direct Link!A2:A""),0)),XLOOKUP($C462,IMPORTRANGE(""1NK5L1mviMn0j3D"&amp;"3uo53ASkIZOFRlLnqaCTnwzOG2_Wg"",""Direct links Without Sizes!A2:A""),IMPORTRANGE(""1NK5L1mviMn0j3D3uo53ASkIZOFRlLnqaCTnwzOG2_Wg"",""Direct links Without Sizes!B2:B""))),XLOOKUP($C462,IMPORTRANGE(""1NK5L1mviMn0j3D3uo53ASkIZOFRlLnqaCTnwzOG2_Wg"",""Direct li"&amp;"nks Without Sizes!D2:D""),IMPORTRANGE(""1NK5L1mviMn0j3D3uo53ASkIZOFRlLnqaCTnwzOG2_Wg"",""Direct links Without Sizes!E2:E""))),"""")"),"")</f>
        <v/>
      </c>
      <c r="I462" s="4"/>
      <c r="J462" s="24" t="str">
        <f t="shared" si="1"/>
        <v/>
      </c>
      <c r="K462" s="25"/>
      <c r="L462" s="24" t="str">
        <f t="shared" si="2"/>
        <v/>
      </c>
      <c r="M462" s="4"/>
      <c r="N462" s="23"/>
      <c r="O462" s="23"/>
      <c r="P462" s="23"/>
      <c r="Q462" s="4" t="str">
        <f t="shared" si="4"/>
        <v/>
      </c>
      <c r="R462" s="20"/>
      <c r="S462" s="20"/>
    </row>
    <row r="463">
      <c r="A463" s="4"/>
      <c r="B463" s="4"/>
      <c r="C463" s="37"/>
      <c r="D463" s="7" t="str">
        <f>IFERROR(__xludf.DUMMYFUNCTION("iferror(iferror(INDEX(IMPORTRANGE(""12vtnxaE_Q1s4tyr10kZQx7ZF_xG0lBFae4jQEUtgsMU"",""All!B2:B""),MATCH($C463,IMPORTRANGE(""12vtnxaE_Q1s4tyr10kZQx7ZF_xG0lBFae4jQEUtgsMU"",""All!A2:A""),0)),INDEX(IMPORTRANGE(""13KC70HngS4DDi8y9E5khtSpQEPG6owaQ9z4E-tR5mnY"","&amp;"""Non-Food!B2:B""),MATCH($C463,IMPORTRANGE(""13KC70HngS4DDi8y9E5khtSpQEPG6owaQ9z4E-tR5mnY"",""Non-Food!A2:A""),0))),"""")"),"")</f>
        <v/>
      </c>
      <c r="E463" s="15"/>
      <c r="F463" s="15"/>
      <c r="G463" s="36"/>
      <c r="H463" s="23" t="str">
        <f>IFERROR(__xludf.DUMMYFUNCTION("iferror(iferror(iferror(index(IMPORTRANGE(""1NK5L1mviMn0j3D3uo53ASkIZOFRlLnqaCTnwzOG2_Wg"",""Direct Link!B2:B""),MATCH($C463,IMPORTRANGE(""1NK5L1mviMn0j3D3uo53ASkIZOFRlLnqaCTnwzOG2_Wg"",""Direct Link!A2:A""),0)),XLOOKUP($C463,IMPORTRANGE(""1NK5L1mviMn0j3D"&amp;"3uo53ASkIZOFRlLnqaCTnwzOG2_Wg"",""Direct links Without Sizes!A2:A""),IMPORTRANGE(""1NK5L1mviMn0j3D3uo53ASkIZOFRlLnqaCTnwzOG2_Wg"",""Direct links Without Sizes!B2:B""))),XLOOKUP($C463,IMPORTRANGE(""1NK5L1mviMn0j3D3uo53ASkIZOFRlLnqaCTnwzOG2_Wg"",""Direct li"&amp;"nks Without Sizes!D2:D""),IMPORTRANGE(""1NK5L1mviMn0j3D3uo53ASkIZOFRlLnqaCTnwzOG2_Wg"",""Direct links Without Sizes!E2:E""))),"""")"),"")</f>
        <v/>
      </c>
      <c r="I463" s="4"/>
      <c r="J463" s="24" t="str">
        <f t="shared" si="1"/>
        <v/>
      </c>
      <c r="K463" s="25"/>
      <c r="L463" s="24" t="str">
        <f t="shared" si="2"/>
        <v/>
      </c>
      <c r="M463" s="4"/>
      <c r="N463" s="23"/>
      <c r="O463" s="23"/>
      <c r="P463" s="23"/>
      <c r="Q463" s="4" t="str">
        <f t="shared" si="4"/>
        <v/>
      </c>
      <c r="R463" s="20"/>
      <c r="S463" s="20"/>
    </row>
    <row r="464">
      <c r="A464" s="4"/>
      <c r="B464" s="4"/>
      <c r="C464" s="37"/>
      <c r="D464" s="7" t="str">
        <f>IFERROR(__xludf.DUMMYFUNCTION("iferror(iferror(INDEX(IMPORTRANGE(""12vtnxaE_Q1s4tyr10kZQx7ZF_xG0lBFae4jQEUtgsMU"",""All!B2:B""),MATCH($C464,IMPORTRANGE(""12vtnxaE_Q1s4tyr10kZQx7ZF_xG0lBFae4jQEUtgsMU"",""All!A2:A""),0)),INDEX(IMPORTRANGE(""13KC70HngS4DDi8y9E5khtSpQEPG6owaQ9z4E-tR5mnY"","&amp;"""Non-Food!B2:B""),MATCH($C464,IMPORTRANGE(""13KC70HngS4DDi8y9E5khtSpQEPG6owaQ9z4E-tR5mnY"",""Non-Food!A2:A""),0))),"""")"),"")</f>
        <v/>
      </c>
      <c r="E464" s="15"/>
      <c r="F464" s="15"/>
      <c r="G464" s="36"/>
      <c r="H464" s="23" t="str">
        <f>IFERROR(__xludf.DUMMYFUNCTION("iferror(iferror(iferror(index(IMPORTRANGE(""1NK5L1mviMn0j3D3uo53ASkIZOFRlLnqaCTnwzOG2_Wg"",""Direct Link!B2:B""),MATCH($C464,IMPORTRANGE(""1NK5L1mviMn0j3D3uo53ASkIZOFRlLnqaCTnwzOG2_Wg"",""Direct Link!A2:A""),0)),XLOOKUP($C464,IMPORTRANGE(""1NK5L1mviMn0j3D"&amp;"3uo53ASkIZOFRlLnqaCTnwzOG2_Wg"",""Direct links Without Sizes!A2:A""),IMPORTRANGE(""1NK5L1mviMn0j3D3uo53ASkIZOFRlLnqaCTnwzOG2_Wg"",""Direct links Without Sizes!B2:B""))),XLOOKUP($C464,IMPORTRANGE(""1NK5L1mviMn0j3D3uo53ASkIZOFRlLnqaCTnwzOG2_Wg"",""Direct li"&amp;"nks Without Sizes!D2:D""),IMPORTRANGE(""1NK5L1mviMn0j3D3uo53ASkIZOFRlLnqaCTnwzOG2_Wg"",""Direct links Without Sizes!E2:E""))),"""")"),"")</f>
        <v/>
      </c>
      <c r="I464" s="4"/>
      <c r="J464" s="24" t="str">
        <f t="shared" si="1"/>
        <v/>
      </c>
      <c r="K464" s="25"/>
      <c r="L464" s="24" t="str">
        <f t="shared" si="2"/>
        <v/>
      </c>
      <c r="M464" s="4"/>
      <c r="N464" s="23"/>
      <c r="O464" s="23"/>
      <c r="P464" s="23"/>
      <c r="Q464" s="4" t="str">
        <f t="shared" si="4"/>
        <v/>
      </c>
      <c r="R464" s="20"/>
      <c r="S464" s="20"/>
    </row>
    <row r="465">
      <c r="A465" s="4"/>
      <c r="B465" s="4"/>
      <c r="C465" s="37"/>
      <c r="D465" s="7" t="str">
        <f>IFERROR(__xludf.DUMMYFUNCTION("iferror(iferror(INDEX(IMPORTRANGE(""12vtnxaE_Q1s4tyr10kZQx7ZF_xG0lBFae4jQEUtgsMU"",""All!B2:B""),MATCH($C465,IMPORTRANGE(""12vtnxaE_Q1s4tyr10kZQx7ZF_xG0lBFae4jQEUtgsMU"",""All!A2:A""),0)),INDEX(IMPORTRANGE(""13KC70HngS4DDi8y9E5khtSpQEPG6owaQ9z4E-tR5mnY"","&amp;"""Non-Food!B2:B""),MATCH($C465,IMPORTRANGE(""13KC70HngS4DDi8y9E5khtSpQEPG6owaQ9z4E-tR5mnY"",""Non-Food!A2:A""),0))),"""")"),"")</f>
        <v/>
      </c>
      <c r="E465" s="15"/>
      <c r="F465" s="15"/>
      <c r="G465" s="36"/>
      <c r="H465" s="23" t="str">
        <f>IFERROR(__xludf.DUMMYFUNCTION("iferror(iferror(iferror(index(IMPORTRANGE(""1NK5L1mviMn0j3D3uo53ASkIZOFRlLnqaCTnwzOG2_Wg"",""Direct Link!B2:B""),MATCH($C465,IMPORTRANGE(""1NK5L1mviMn0j3D3uo53ASkIZOFRlLnqaCTnwzOG2_Wg"",""Direct Link!A2:A""),0)),XLOOKUP($C465,IMPORTRANGE(""1NK5L1mviMn0j3D"&amp;"3uo53ASkIZOFRlLnqaCTnwzOG2_Wg"",""Direct links Without Sizes!A2:A""),IMPORTRANGE(""1NK5L1mviMn0j3D3uo53ASkIZOFRlLnqaCTnwzOG2_Wg"",""Direct links Without Sizes!B2:B""))),XLOOKUP($C465,IMPORTRANGE(""1NK5L1mviMn0j3D3uo53ASkIZOFRlLnqaCTnwzOG2_Wg"",""Direct li"&amp;"nks Without Sizes!D2:D""),IMPORTRANGE(""1NK5L1mviMn0j3D3uo53ASkIZOFRlLnqaCTnwzOG2_Wg"",""Direct links Without Sizes!E2:E""))),"""")"),"")</f>
        <v/>
      </c>
      <c r="I465" s="4"/>
      <c r="J465" s="24" t="str">
        <f t="shared" si="1"/>
        <v/>
      </c>
      <c r="K465" s="25"/>
      <c r="L465" s="24" t="str">
        <f t="shared" si="2"/>
        <v/>
      </c>
      <c r="M465" s="4"/>
      <c r="N465" s="23"/>
      <c r="O465" s="23"/>
      <c r="P465" s="23"/>
      <c r="Q465" s="4" t="str">
        <f t="shared" si="4"/>
        <v/>
      </c>
      <c r="R465" s="20"/>
      <c r="S465" s="20"/>
    </row>
    <row r="466">
      <c r="A466" s="4"/>
      <c r="B466" s="4"/>
      <c r="C466" s="37"/>
      <c r="D466" s="7" t="str">
        <f>IFERROR(__xludf.DUMMYFUNCTION("iferror(iferror(INDEX(IMPORTRANGE(""12vtnxaE_Q1s4tyr10kZQx7ZF_xG0lBFae4jQEUtgsMU"",""All!B2:B""),MATCH($C466,IMPORTRANGE(""12vtnxaE_Q1s4tyr10kZQx7ZF_xG0lBFae4jQEUtgsMU"",""All!A2:A""),0)),INDEX(IMPORTRANGE(""13KC70HngS4DDi8y9E5khtSpQEPG6owaQ9z4E-tR5mnY"","&amp;"""Non-Food!B2:B""),MATCH($C466,IMPORTRANGE(""13KC70HngS4DDi8y9E5khtSpQEPG6owaQ9z4E-tR5mnY"",""Non-Food!A2:A""),0))),"""")"),"")</f>
        <v/>
      </c>
      <c r="E466" s="15"/>
      <c r="F466" s="15"/>
      <c r="G466" s="36"/>
      <c r="H466" s="23" t="str">
        <f>IFERROR(__xludf.DUMMYFUNCTION("iferror(iferror(iferror(index(IMPORTRANGE(""1NK5L1mviMn0j3D3uo53ASkIZOFRlLnqaCTnwzOG2_Wg"",""Direct Link!B2:B""),MATCH($C466,IMPORTRANGE(""1NK5L1mviMn0j3D3uo53ASkIZOFRlLnqaCTnwzOG2_Wg"",""Direct Link!A2:A""),0)),XLOOKUP($C466,IMPORTRANGE(""1NK5L1mviMn0j3D"&amp;"3uo53ASkIZOFRlLnqaCTnwzOG2_Wg"",""Direct links Without Sizes!A2:A""),IMPORTRANGE(""1NK5L1mviMn0j3D3uo53ASkIZOFRlLnqaCTnwzOG2_Wg"",""Direct links Without Sizes!B2:B""))),XLOOKUP($C466,IMPORTRANGE(""1NK5L1mviMn0j3D3uo53ASkIZOFRlLnqaCTnwzOG2_Wg"",""Direct li"&amp;"nks Without Sizes!D2:D""),IMPORTRANGE(""1NK5L1mviMn0j3D3uo53ASkIZOFRlLnqaCTnwzOG2_Wg"",""Direct links Without Sizes!E2:E""))),"""")"),"")</f>
        <v/>
      </c>
      <c r="I466" s="4"/>
      <c r="J466" s="24" t="str">
        <f t="shared" si="1"/>
        <v/>
      </c>
      <c r="K466" s="25"/>
      <c r="L466" s="24" t="str">
        <f t="shared" si="2"/>
        <v/>
      </c>
      <c r="M466" s="4"/>
      <c r="N466" s="23"/>
      <c r="O466" s="23"/>
      <c r="P466" s="23"/>
      <c r="Q466" s="4" t="str">
        <f t="shared" si="4"/>
        <v/>
      </c>
      <c r="R466" s="20"/>
      <c r="S466" s="20"/>
    </row>
    <row r="467">
      <c r="A467" s="4"/>
      <c r="B467" s="4"/>
      <c r="C467" s="37"/>
      <c r="D467" s="7" t="str">
        <f>IFERROR(__xludf.DUMMYFUNCTION("iferror(iferror(INDEX(IMPORTRANGE(""12vtnxaE_Q1s4tyr10kZQx7ZF_xG0lBFae4jQEUtgsMU"",""All!B2:B""),MATCH($C467,IMPORTRANGE(""12vtnxaE_Q1s4tyr10kZQx7ZF_xG0lBFae4jQEUtgsMU"",""All!A2:A""),0)),INDEX(IMPORTRANGE(""13KC70HngS4DDi8y9E5khtSpQEPG6owaQ9z4E-tR5mnY"","&amp;"""Non-Food!B2:B""),MATCH($C467,IMPORTRANGE(""13KC70HngS4DDi8y9E5khtSpQEPG6owaQ9z4E-tR5mnY"",""Non-Food!A2:A""),0))),"""")"),"")</f>
        <v/>
      </c>
      <c r="E467" s="15"/>
      <c r="F467" s="15"/>
      <c r="G467" s="36"/>
      <c r="H467" s="23" t="str">
        <f>IFERROR(__xludf.DUMMYFUNCTION("iferror(iferror(iferror(index(IMPORTRANGE(""1NK5L1mviMn0j3D3uo53ASkIZOFRlLnqaCTnwzOG2_Wg"",""Direct Link!B2:B""),MATCH($C467,IMPORTRANGE(""1NK5L1mviMn0j3D3uo53ASkIZOFRlLnqaCTnwzOG2_Wg"",""Direct Link!A2:A""),0)),XLOOKUP($C467,IMPORTRANGE(""1NK5L1mviMn0j3D"&amp;"3uo53ASkIZOFRlLnqaCTnwzOG2_Wg"",""Direct links Without Sizes!A2:A""),IMPORTRANGE(""1NK5L1mviMn0j3D3uo53ASkIZOFRlLnqaCTnwzOG2_Wg"",""Direct links Without Sizes!B2:B""))),XLOOKUP($C467,IMPORTRANGE(""1NK5L1mviMn0j3D3uo53ASkIZOFRlLnqaCTnwzOG2_Wg"",""Direct li"&amp;"nks Without Sizes!D2:D""),IMPORTRANGE(""1NK5L1mviMn0j3D3uo53ASkIZOFRlLnqaCTnwzOG2_Wg"",""Direct links Without Sizes!E2:E""))),"""")"),"")</f>
        <v/>
      </c>
      <c r="I467" s="4"/>
      <c r="J467" s="24" t="str">
        <f t="shared" si="1"/>
        <v/>
      </c>
      <c r="K467" s="25"/>
      <c r="L467" s="24" t="str">
        <f t="shared" si="2"/>
        <v/>
      </c>
      <c r="M467" s="4"/>
      <c r="N467" s="23"/>
      <c r="O467" s="23"/>
      <c r="P467" s="23"/>
      <c r="Q467" s="4" t="str">
        <f t="shared" si="4"/>
        <v/>
      </c>
      <c r="R467" s="20"/>
      <c r="S467" s="20"/>
    </row>
    <row r="468">
      <c r="A468" s="4"/>
      <c r="B468" s="4"/>
      <c r="C468" s="37"/>
      <c r="D468" s="7" t="str">
        <f>IFERROR(__xludf.DUMMYFUNCTION("iferror(iferror(INDEX(IMPORTRANGE(""12vtnxaE_Q1s4tyr10kZQx7ZF_xG0lBFae4jQEUtgsMU"",""All!B2:B""),MATCH($C468,IMPORTRANGE(""12vtnxaE_Q1s4tyr10kZQx7ZF_xG0lBFae4jQEUtgsMU"",""All!A2:A""),0)),INDEX(IMPORTRANGE(""13KC70HngS4DDi8y9E5khtSpQEPG6owaQ9z4E-tR5mnY"","&amp;"""Non-Food!B2:B""),MATCH($C468,IMPORTRANGE(""13KC70HngS4DDi8y9E5khtSpQEPG6owaQ9z4E-tR5mnY"",""Non-Food!A2:A""),0))),"""")"),"")</f>
        <v/>
      </c>
      <c r="E468" s="15"/>
      <c r="F468" s="15"/>
      <c r="G468" s="36"/>
      <c r="H468" s="23" t="str">
        <f>IFERROR(__xludf.DUMMYFUNCTION("iferror(iferror(iferror(index(IMPORTRANGE(""1NK5L1mviMn0j3D3uo53ASkIZOFRlLnqaCTnwzOG2_Wg"",""Direct Link!B2:B""),MATCH($C468,IMPORTRANGE(""1NK5L1mviMn0j3D3uo53ASkIZOFRlLnqaCTnwzOG2_Wg"",""Direct Link!A2:A""),0)),XLOOKUP($C468,IMPORTRANGE(""1NK5L1mviMn0j3D"&amp;"3uo53ASkIZOFRlLnqaCTnwzOG2_Wg"",""Direct links Without Sizes!A2:A""),IMPORTRANGE(""1NK5L1mviMn0j3D3uo53ASkIZOFRlLnqaCTnwzOG2_Wg"",""Direct links Without Sizes!B2:B""))),XLOOKUP($C468,IMPORTRANGE(""1NK5L1mviMn0j3D3uo53ASkIZOFRlLnqaCTnwzOG2_Wg"",""Direct li"&amp;"nks Without Sizes!D2:D""),IMPORTRANGE(""1NK5L1mviMn0j3D3uo53ASkIZOFRlLnqaCTnwzOG2_Wg"",""Direct links Without Sizes!E2:E""))),"""")"),"")</f>
        <v/>
      </c>
      <c r="I468" s="4"/>
      <c r="J468" s="24" t="str">
        <f t="shared" si="1"/>
        <v/>
      </c>
      <c r="K468" s="25"/>
      <c r="L468" s="24" t="str">
        <f t="shared" si="2"/>
        <v/>
      </c>
      <c r="M468" s="4"/>
      <c r="N468" s="23"/>
      <c r="O468" s="23"/>
      <c r="P468" s="23"/>
      <c r="Q468" s="4" t="str">
        <f t="shared" si="4"/>
        <v/>
      </c>
      <c r="R468" s="20"/>
      <c r="S468" s="20"/>
    </row>
    <row r="469">
      <c r="A469" s="4"/>
      <c r="B469" s="4"/>
      <c r="C469" s="37"/>
      <c r="D469" s="7" t="str">
        <f>IFERROR(__xludf.DUMMYFUNCTION("iferror(iferror(INDEX(IMPORTRANGE(""12vtnxaE_Q1s4tyr10kZQx7ZF_xG0lBFae4jQEUtgsMU"",""All!B2:B""),MATCH($C469,IMPORTRANGE(""12vtnxaE_Q1s4tyr10kZQx7ZF_xG0lBFae4jQEUtgsMU"",""All!A2:A""),0)),INDEX(IMPORTRANGE(""13KC70HngS4DDi8y9E5khtSpQEPG6owaQ9z4E-tR5mnY"","&amp;"""Non-Food!B2:B""),MATCH($C469,IMPORTRANGE(""13KC70HngS4DDi8y9E5khtSpQEPG6owaQ9z4E-tR5mnY"",""Non-Food!A2:A""),0))),"""")"),"")</f>
        <v/>
      </c>
      <c r="E469" s="15"/>
      <c r="F469" s="15"/>
      <c r="G469" s="36"/>
      <c r="H469" s="23" t="str">
        <f>IFERROR(__xludf.DUMMYFUNCTION("iferror(iferror(iferror(index(IMPORTRANGE(""1NK5L1mviMn0j3D3uo53ASkIZOFRlLnqaCTnwzOG2_Wg"",""Direct Link!B2:B""),MATCH($C469,IMPORTRANGE(""1NK5L1mviMn0j3D3uo53ASkIZOFRlLnqaCTnwzOG2_Wg"",""Direct Link!A2:A""),0)),XLOOKUP($C469,IMPORTRANGE(""1NK5L1mviMn0j3D"&amp;"3uo53ASkIZOFRlLnqaCTnwzOG2_Wg"",""Direct links Without Sizes!A2:A""),IMPORTRANGE(""1NK5L1mviMn0j3D3uo53ASkIZOFRlLnqaCTnwzOG2_Wg"",""Direct links Without Sizes!B2:B""))),XLOOKUP($C469,IMPORTRANGE(""1NK5L1mviMn0j3D3uo53ASkIZOFRlLnqaCTnwzOG2_Wg"",""Direct li"&amp;"nks Without Sizes!D2:D""),IMPORTRANGE(""1NK5L1mviMn0j3D3uo53ASkIZOFRlLnqaCTnwzOG2_Wg"",""Direct links Without Sizes!E2:E""))),"""")"),"")</f>
        <v/>
      </c>
      <c r="I469" s="4"/>
      <c r="J469" s="24" t="str">
        <f t="shared" si="1"/>
        <v/>
      </c>
      <c r="K469" s="25"/>
      <c r="L469" s="24" t="str">
        <f t="shared" si="2"/>
        <v/>
      </c>
      <c r="M469" s="4"/>
      <c r="N469" s="23"/>
      <c r="O469" s="23"/>
      <c r="P469" s="23"/>
      <c r="Q469" s="4" t="str">
        <f t="shared" si="4"/>
        <v/>
      </c>
      <c r="R469" s="20"/>
      <c r="S469" s="20"/>
    </row>
    <row r="470">
      <c r="A470" s="4"/>
      <c r="B470" s="4"/>
      <c r="C470" s="37"/>
      <c r="D470" s="7" t="str">
        <f>IFERROR(__xludf.DUMMYFUNCTION("iferror(iferror(INDEX(IMPORTRANGE(""12vtnxaE_Q1s4tyr10kZQx7ZF_xG0lBFae4jQEUtgsMU"",""All!B2:B""),MATCH($C470,IMPORTRANGE(""12vtnxaE_Q1s4tyr10kZQx7ZF_xG0lBFae4jQEUtgsMU"",""All!A2:A""),0)),INDEX(IMPORTRANGE(""13KC70HngS4DDi8y9E5khtSpQEPG6owaQ9z4E-tR5mnY"","&amp;"""Non-Food!B2:B""),MATCH($C470,IMPORTRANGE(""13KC70HngS4DDi8y9E5khtSpQEPG6owaQ9z4E-tR5mnY"",""Non-Food!A2:A""),0))),"""")"),"")</f>
        <v/>
      </c>
      <c r="E470" s="15"/>
      <c r="F470" s="15"/>
      <c r="G470" s="36"/>
      <c r="H470" s="23" t="str">
        <f>IFERROR(__xludf.DUMMYFUNCTION("iferror(iferror(iferror(index(IMPORTRANGE(""1NK5L1mviMn0j3D3uo53ASkIZOFRlLnqaCTnwzOG2_Wg"",""Direct Link!B2:B""),MATCH($C470,IMPORTRANGE(""1NK5L1mviMn0j3D3uo53ASkIZOFRlLnqaCTnwzOG2_Wg"",""Direct Link!A2:A""),0)),XLOOKUP($C470,IMPORTRANGE(""1NK5L1mviMn0j3D"&amp;"3uo53ASkIZOFRlLnqaCTnwzOG2_Wg"",""Direct links Without Sizes!A2:A""),IMPORTRANGE(""1NK5L1mviMn0j3D3uo53ASkIZOFRlLnqaCTnwzOG2_Wg"",""Direct links Without Sizes!B2:B""))),XLOOKUP($C470,IMPORTRANGE(""1NK5L1mviMn0j3D3uo53ASkIZOFRlLnqaCTnwzOG2_Wg"",""Direct li"&amp;"nks Without Sizes!D2:D""),IMPORTRANGE(""1NK5L1mviMn0j3D3uo53ASkIZOFRlLnqaCTnwzOG2_Wg"",""Direct links Without Sizes!E2:E""))),"""")"),"")</f>
        <v/>
      </c>
      <c r="I470" s="4"/>
      <c r="J470" s="24" t="str">
        <f t="shared" si="1"/>
        <v/>
      </c>
      <c r="K470" s="25"/>
      <c r="L470" s="24" t="str">
        <f t="shared" si="2"/>
        <v/>
      </c>
      <c r="M470" s="4"/>
      <c r="N470" s="23"/>
      <c r="O470" s="23"/>
      <c r="P470" s="23"/>
      <c r="Q470" s="4" t="str">
        <f t="shared" si="4"/>
        <v/>
      </c>
      <c r="R470" s="20"/>
      <c r="S470" s="20"/>
    </row>
    <row r="471">
      <c r="A471" s="4"/>
      <c r="B471" s="4"/>
      <c r="C471" s="37"/>
      <c r="D471" s="7" t="str">
        <f>IFERROR(__xludf.DUMMYFUNCTION("iferror(iferror(INDEX(IMPORTRANGE(""12vtnxaE_Q1s4tyr10kZQx7ZF_xG0lBFae4jQEUtgsMU"",""All!B2:B""),MATCH($C471,IMPORTRANGE(""12vtnxaE_Q1s4tyr10kZQx7ZF_xG0lBFae4jQEUtgsMU"",""All!A2:A""),0)),INDEX(IMPORTRANGE(""13KC70HngS4DDi8y9E5khtSpQEPG6owaQ9z4E-tR5mnY"","&amp;"""Non-Food!B2:B""),MATCH($C471,IMPORTRANGE(""13KC70HngS4DDi8y9E5khtSpQEPG6owaQ9z4E-tR5mnY"",""Non-Food!A2:A""),0))),"""")"),"")</f>
        <v/>
      </c>
      <c r="E471" s="15"/>
      <c r="F471" s="15"/>
      <c r="G471" s="36"/>
      <c r="H471" s="23" t="str">
        <f>IFERROR(__xludf.DUMMYFUNCTION("iferror(iferror(iferror(index(IMPORTRANGE(""1NK5L1mviMn0j3D3uo53ASkIZOFRlLnqaCTnwzOG2_Wg"",""Direct Link!B2:B""),MATCH($C471,IMPORTRANGE(""1NK5L1mviMn0j3D3uo53ASkIZOFRlLnqaCTnwzOG2_Wg"",""Direct Link!A2:A""),0)),XLOOKUP($C471,IMPORTRANGE(""1NK5L1mviMn0j3D"&amp;"3uo53ASkIZOFRlLnqaCTnwzOG2_Wg"",""Direct links Without Sizes!A2:A""),IMPORTRANGE(""1NK5L1mviMn0j3D3uo53ASkIZOFRlLnqaCTnwzOG2_Wg"",""Direct links Without Sizes!B2:B""))),XLOOKUP($C471,IMPORTRANGE(""1NK5L1mviMn0j3D3uo53ASkIZOFRlLnqaCTnwzOG2_Wg"",""Direct li"&amp;"nks Without Sizes!D2:D""),IMPORTRANGE(""1NK5L1mviMn0j3D3uo53ASkIZOFRlLnqaCTnwzOG2_Wg"",""Direct links Without Sizes!E2:E""))),"""")"),"")</f>
        <v/>
      </c>
      <c r="I471" s="4"/>
      <c r="J471" s="24" t="str">
        <f t="shared" si="1"/>
        <v/>
      </c>
      <c r="K471" s="25"/>
      <c r="L471" s="24" t="str">
        <f t="shared" si="2"/>
        <v/>
      </c>
      <c r="M471" s="4"/>
      <c r="N471" s="23"/>
      <c r="O471" s="23"/>
      <c r="P471" s="23"/>
      <c r="Q471" s="4" t="str">
        <f t="shared" si="4"/>
        <v/>
      </c>
      <c r="R471" s="20"/>
      <c r="S471" s="20"/>
    </row>
    <row r="472">
      <c r="A472" s="4"/>
      <c r="B472" s="4"/>
      <c r="C472" s="37"/>
      <c r="D472" s="7" t="str">
        <f>IFERROR(__xludf.DUMMYFUNCTION("iferror(iferror(INDEX(IMPORTRANGE(""12vtnxaE_Q1s4tyr10kZQx7ZF_xG0lBFae4jQEUtgsMU"",""All!B2:B""),MATCH($C472,IMPORTRANGE(""12vtnxaE_Q1s4tyr10kZQx7ZF_xG0lBFae4jQEUtgsMU"",""All!A2:A""),0)),INDEX(IMPORTRANGE(""13KC70HngS4DDi8y9E5khtSpQEPG6owaQ9z4E-tR5mnY"","&amp;"""Non-Food!B2:B""),MATCH($C472,IMPORTRANGE(""13KC70HngS4DDi8y9E5khtSpQEPG6owaQ9z4E-tR5mnY"",""Non-Food!A2:A""),0))),"""")"),"")</f>
        <v/>
      </c>
      <c r="E472" s="15"/>
      <c r="F472" s="15"/>
      <c r="G472" s="36"/>
      <c r="H472" s="23" t="str">
        <f>IFERROR(__xludf.DUMMYFUNCTION("iferror(iferror(iferror(index(IMPORTRANGE(""1NK5L1mviMn0j3D3uo53ASkIZOFRlLnqaCTnwzOG2_Wg"",""Direct Link!B2:B""),MATCH($C472,IMPORTRANGE(""1NK5L1mviMn0j3D3uo53ASkIZOFRlLnqaCTnwzOG2_Wg"",""Direct Link!A2:A""),0)),XLOOKUP($C472,IMPORTRANGE(""1NK5L1mviMn0j3D"&amp;"3uo53ASkIZOFRlLnqaCTnwzOG2_Wg"",""Direct links Without Sizes!A2:A""),IMPORTRANGE(""1NK5L1mviMn0j3D3uo53ASkIZOFRlLnqaCTnwzOG2_Wg"",""Direct links Without Sizes!B2:B""))),XLOOKUP($C472,IMPORTRANGE(""1NK5L1mviMn0j3D3uo53ASkIZOFRlLnqaCTnwzOG2_Wg"",""Direct li"&amp;"nks Without Sizes!D2:D""),IMPORTRANGE(""1NK5L1mviMn0j3D3uo53ASkIZOFRlLnqaCTnwzOG2_Wg"",""Direct links Without Sizes!E2:E""))),"""")"),"")</f>
        <v/>
      </c>
      <c r="I472" s="4"/>
      <c r="J472" s="24" t="str">
        <f t="shared" si="1"/>
        <v/>
      </c>
      <c r="K472" s="25"/>
      <c r="L472" s="24" t="str">
        <f t="shared" si="2"/>
        <v/>
      </c>
      <c r="M472" s="4"/>
      <c r="N472" s="23"/>
      <c r="O472" s="23"/>
      <c r="P472" s="23"/>
      <c r="Q472" s="4" t="str">
        <f t="shared" si="4"/>
        <v/>
      </c>
      <c r="R472" s="20"/>
      <c r="S472" s="20"/>
    </row>
    <row r="473">
      <c r="A473" s="4"/>
      <c r="B473" s="4"/>
      <c r="C473" s="37"/>
      <c r="D473" s="7" t="str">
        <f>IFERROR(__xludf.DUMMYFUNCTION("iferror(iferror(INDEX(IMPORTRANGE(""12vtnxaE_Q1s4tyr10kZQx7ZF_xG0lBFae4jQEUtgsMU"",""All!B2:B""),MATCH($C473,IMPORTRANGE(""12vtnxaE_Q1s4tyr10kZQx7ZF_xG0lBFae4jQEUtgsMU"",""All!A2:A""),0)),INDEX(IMPORTRANGE(""13KC70HngS4DDi8y9E5khtSpQEPG6owaQ9z4E-tR5mnY"","&amp;"""Non-Food!B2:B""),MATCH($C473,IMPORTRANGE(""13KC70HngS4DDi8y9E5khtSpQEPG6owaQ9z4E-tR5mnY"",""Non-Food!A2:A""),0))),"""")"),"")</f>
        <v/>
      </c>
      <c r="E473" s="15"/>
      <c r="F473" s="15"/>
      <c r="G473" s="36"/>
      <c r="H473" s="23" t="str">
        <f>IFERROR(__xludf.DUMMYFUNCTION("iferror(iferror(iferror(index(IMPORTRANGE(""1NK5L1mviMn0j3D3uo53ASkIZOFRlLnqaCTnwzOG2_Wg"",""Direct Link!B2:B""),MATCH($C473,IMPORTRANGE(""1NK5L1mviMn0j3D3uo53ASkIZOFRlLnqaCTnwzOG2_Wg"",""Direct Link!A2:A""),0)),XLOOKUP($C473,IMPORTRANGE(""1NK5L1mviMn0j3D"&amp;"3uo53ASkIZOFRlLnqaCTnwzOG2_Wg"",""Direct links Without Sizes!A2:A""),IMPORTRANGE(""1NK5L1mviMn0j3D3uo53ASkIZOFRlLnqaCTnwzOG2_Wg"",""Direct links Without Sizes!B2:B""))),XLOOKUP($C473,IMPORTRANGE(""1NK5L1mviMn0j3D3uo53ASkIZOFRlLnqaCTnwzOG2_Wg"",""Direct li"&amp;"nks Without Sizes!D2:D""),IMPORTRANGE(""1NK5L1mviMn0j3D3uo53ASkIZOFRlLnqaCTnwzOG2_Wg"",""Direct links Without Sizes!E2:E""))),"""")"),"")</f>
        <v/>
      </c>
      <c r="I473" s="4"/>
      <c r="J473" s="24" t="str">
        <f t="shared" si="1"/>
        <v/>
      </c>
      <c r="K473" s="25"/>
      <c r="L473" s="24" t="str">
        <f t="shared" si="2"/>
        <v/>
      </c>
      <c r="M473" s="4"/>
      <c r="N473" s="23"/>
      <c r="O473" s="23"/>
      <c r="P473" s="23"/>
      <c r="Q473" s="4" t="str">
        <f t="shared" si="4"/>
        <v/>
      </c>
      <c r="R473" s="20"/>
      <c r="S473" s="20"/>
    </row>
    <row r="474">
      <c r="A474" s="4"/>
      <c r="B474" s="4"/>
      <c r="C474" s="37"/>
      <c r="D474" s="7" t="str">
        <f>IFERROR(__xludf.DUMMYFUNCTION("iferror(iferror(INDEX(IMPORTRANGE(""12vtnxaE_Q1s4tyr10kZQx7ZF_xG0lBFae4jQEUtgsMU"",""All!B2:B""),MATCH($C474,IMPORTRANGE(""12vtnxaE_Q1s4tyr10kZQx7ZF_xG0lBFae4jQEUtgsMU"",""All!A2:A""),0)),INDEX(IMPORTRANGE(""13KC70HngS4DDi8y9E5khtSpQEPG6owaQ9z4E-tR5mnY"","&amp;"""Non-Food!B2:B""),MATCH($C474,IMPORTRANGE(""13KC70HngS4DDi8y9E5khtSpQEPG6owaQ9z4E-tR5mnY"",""Non-Food!A2:A""),0))),"""")"),"")</f>
        <v/>
      </c>
      <c r="E474" s="15"/>
      <c r="F474" s="15"/>
      <c r="G474" s="36"/>
      <c r="H474" s="23" t="str">
        <f>IFERROR(__xludf.DUMMYFUNCTION("iferror(iferror(iferror(index(IMPORTRANGE(""1NK5L1mviMn0j3D3uo53ASkIZOFRlLnqaCTnwzOG2_Wg"",""Direct Link!B2:B""),MATCH($C474,IMPORTRANGE(""1NK5L1mviMn0j3D3uo53ASkIZOFRlLnqaCTnwzOG2_Wg"",""Direct Link!A2:A""),0)),XLOOKUP($C474,IMPORTRANGE(""1NK5L1mviMn0j3D"&amp;"3uo53ASkIZOFRlLnqaCTnwzOG2_Wg"",""Direct links Without Sizes!A2:A""),IMPORTRANGE(""1NK5L1mviMn0j3D3uo53ASkIZOFRlLnqaCTnwzOG2_Wg"",""Direct links Without Sizes!B2:B""))),XLOOKUP($C474,IMPORTRANGE(""1NK5L1mviMn0j3D3uo53ASkIZOFRlLnqaCTnwzOG2_Wg"",""Direct li"&amp;"nks Without Sizes!D2:D""),IMPORTRANGE(""1NK5L1mviMn0j3D3uo53ASkIZOFRlLnqaCTnwzOG2_Wg"",""Direct links Without Sizes!E2:E""))),"""")"),"")</f>
        <v/>
      </c>
      <c r="I474" s="4"/>
      <c r="J474" s="24" t="str">
        <f t="shared" si="1"/>
        <v/>
      </c>
      <c r="K474" s="25"/>
      <c r="L474" s="24" t="str">
        <f t="shared" si="2"/>
        <v/>
      </c>
      <c r="M474" s="4"/>
      <c r="N474" s="23"/>
      <c r="O474" s="23"/>
      <c r="P474" s="23"/>
      <c r="Q474" s="4" t="str">
        <f t="shared" si="4"/>
        <v/>
      </c>
      <c r="R474" s="20"/>
      <c r="S474" s="20"/>
    </row>
    <row r="475">
      <c r="A475" s="4"/>
      <c r="B475" s="4"/>
      <c r="C475" s="37"/>
      <c r="D475" s="7" t="str">
        <f>IFERROR(__xludf.DUMMYFUNCTION("iferror(iferror(INDEX(IMPORTRANGE(""12vtnxaE_Q1s4tyr10kZQx7ZF_xG0lBFae4jQEUtgsMU"",""All!B2:B""),MATCH($C475,IMPORTRANGE(""12vtnxaE_Q1s4tyr10kZQx7ZF_xG0lBFae4jQEUtgsMU"",""All!A2:A""),0)),INDEX(IMPORTRANGE(""13KC70HngS4DDi8y9E5khtSpQEPG6owaQ9z4E-tR5mnY"","&amp;"""Non-Food!B2:B""),MATCH($C475,IMPORTRANGE(""13KC70HngS4DDi8y9E5khtSpQEPG6owaQ9z4E-tR5mnY"",""Non-Food!A2:A""),0))),"""")"),"")</f>
        <v/>
      </c>
      <c r="E475" s="15"/>
      <c r="F475" s="15"/>
      <c r="G475" s="36"/>
      <c r="H475" s="23" t="str">
        <f>IFERROR(__xludf.DUMMYFUNCTION("iferror(iferror(iferror(index(IMPORTRANGE(""1NK5L1mviMn0j3D3uo53ASkIZOFRlLnqaCTnwzOG2_Wg"",""Direct Link!B2:B""),MATCH($C475,IMPORTRANGE(""1NK5L1mviMn0j3D3uo53ASkIZOFRlLnqaCTnwzOG2_Wg"",""Direct Link!A2:A""),0)),XLOOKUP($C475,IMPORTRANGE(""1NK5L1mviMn0j3D"&amp;"3uo53ASkIZOFRlLnqaCTnwzOG2_Wg"",""Direct links Without Sizes!A2:A""),IMPORTRANGE(""1NK5L1mviMn0j3D3uo53ASkIZOFRlLnqaCTnwzOG2_Wg"",""Direct links Without Sizes!B2:B""))),XLOOKUP($C475,IMPORTRANGE(""1NK5L1mviMn0j3D3uo53ASkIZOFRlLnqaCTnwzOG2_Wg"",""Direct li"&amp;"nks Without Sizes!D2:D""),IMPORTRANGE(""1NK5L1mviMn0j3D3uo53ASkIZOFRlLnqaCTnwzOG2_Wg"",""Direct links Without Sizes!E2:E""))),"""")"),"")</f>
        <v/>
      </c>
      <c r="I475" s="4"/>
      <c r="J475" s="24" t="str">
        <f t="shared" si="1"/>
        <v/>
      </c>
      <c r="K475" s="25"/>
      <c r="L475" s="24" t="str">
        <f t="shared" si="2"/>
        <v/>
      </c>
      <c r="M475" s="4"/>
      <c r="N475" s="23"/>
      <c r="O475" s="23"/>
      <c r="P475" s="23"/>
      <c r="Q475" s="4" t="str">
        <f t="shared" si="4"/>
        <v/>
      </c>
      <c r="R475" s="20"/>
      <c r="S475" s="20"/>
    </row>
    <row r="476">
      <c r="A476" s="4"/>
      <c r="B476" s="4"/>
      <c r="C476" s="37"/>
      <c r="D476" s="7" t="str">
        <f>IFERROR(__xludf.DUMMYFUNCTION("iferror(iferror(INDEX(IMPORTRANGE(""12vtnxaE_Q1s4tyr10kZQx7ZF_xG0lBFae4jQEUtgsMU"",""All!B2:B""),MATCH($C476,IMPORTRANGE(""12vtnxaE_Q1s4tyr10kZQx7ZF_xG0lBFae4jQEUtgsMU"",""All!A2:A""),0)),INDEX(IMPORTRANGE(""13KC70HngS4DDi8y9E5khtSpQEPG6owaQ9z4E-tR5mnY"","&amp;"""Non-Food!B2:B""),MATCH($C476,IMPORTRANGE(""13KC70HngS4DDi8y9E5khtSpQEPG6owaQ9z4E-tR5mnY"",""Non-Food!A2:A""),0))),"""")"),"")</f>
        <v/>
      </c>
      <c r="E476" s="15"/>
      <c r="F476" s="15"/>
      <c r="G476" s="36"/>
      <c r="H476" s="23" t="str">
        <f>IFERROR(__xludf.DUMMYFUNCTION("iferror(iferror(iferror(index(IMPORTRANGE(""1NK5L1mviMn0j3D3uo53ASkIZOFRlLnqaCTnwzOG2_Wg"",""Direct Link!B2:B""),MATCH($C476,IMPORTRANGE(""1NK5L1mviMn0j3D3uo53ASkIZOFRlLnqaCTnwzOG2_Wg"",""Direct Link!A2:A""),0)),XLOOKUP($C476,IMPORTRANGE(""1NK5L1mviMn0j3D"&amp;"3uo53ASkIZOFRlLnqaCTnwzOG2_Wg"",""Direct links Without Sizes!A2:A""),IMPORTRANGE(""1NK5L1mviMn0j3D3uo53ASkIZOFRlLnqaCTnwzOG2_Wg"",""Direct links Without Sizes!B2:B""))),XLOOKUP($C476,IMPORTRANGE(""1NK5L1mviMn0j3D3uo53ASkIZOFRlLnqaCTnwzOG2_Wg"",""Direct li"&amp;"nks Without Sizes!D2:D""),IMPORTRANGE(""1NK5L1mviMn0j3D3uo53ASkIZOFRlLnqaCTnwzOG2_Wg"",""Direct links Without Sizes!E2:E""))),"""")"),"")</f>
        <v/>
      </c>
      <c r="I476" s="4"/>
      <c r="J476" s="24" t="str">
        <f t="shared" si="1"/>
        <v/>
      </c>
      <c r="K476" s="25"/>
      <c r="L476" s="24" t="str">
        <f t="shared" si="2"/>
        <v/>
      </c>
      <c r="M476" s="4"/>
      <c r="N476" s="23"/>
      <c r="O476" s="23"/>
      <c r="P476" s="23"/>
      <c r="Q476" s="4" t="str">
        <f t="shared" si="4"/>
        <v/>
      </c>
      <c r="R476" s="20"/>
      <c r="S476" s="20"/>
    </row>
    <row r="477">
      <c r="A477" s="4"/>
      <c r="B477" s="4"/>
      <c r="C477" s="37"/>
      <c r="D477" s="7" t="str">
        <f>IFERROR(__xludf.DUMMYFUNCTION("iferror(iferror(INDEX(IMPORTRANGE(""12vtnxaE_Q1s4tyr10kZQx7ZF_xG0lBFae4jQEUtgsMU"",""All!B2:B""),MATCH($C477,IMPORTRANGE(""12vtnxaE_Q1s4tyr10kZQx7ZF_xG0lBFae4jQEUtgsMU"",""All!A2:A""),0)),INDEX(IMPORTRANGE(""13KC70HngS4DDi8y9E5khtSpQEPG6owaQ9z4E-tR5mnY"","&amp;"""Non-Food!B2:B""),MATCH($C477,IMPORTRANGE(""13KC70HngS4DDi8y9E5khtSpQEPG6owaQ9z4E-tR5mnY"",""Non-Food!A2:A""),0))),"""")"),"")</f>
        <v/>
      </c>
      <c r="E477" s="15"/>
      <c r="F477" s="15"/>
      <c r="G477" s="36"/>
      <c r="H477" s="23" t="str">
        <f>IFERROR(__xludf.DUMMYFUNCTION("iferror(iferror(iferror(index(IMPORTRANGE(""1NK5L1mviMn0j3D3uo53ASkIZOFRlLnqaCTnwzOG2_Wg"",""Direct Link!B2:B""),MATCH($C477,IMPORTRANGE(""1NK5L1mviMn0j3D3uo53ASkIZOFRlLnqaCTnwzOG2_Wg"",""Direct Link!A2:A""),0)),XLOOKUP($C477,IMPORTRANGE(""1NK5L1mviMn0j3D"&amp;"3uo53ASkIZOFRlLnqaCTnwzOG2_Wg"",""Direct links Without Sizes!A2:A""),IMPORTRANGE(""1NK5L1mviMn0j3D3uo53ASkIZOFRlLnqaCTnwzOG2_Wg"",""Direct links Without Sizes!B2:B""))),XLOOKUP($C477,IMPORTRANGE(""1NK5L1mviMn0j3D3uo53ASkIZOFRlLnqaCTnwzOG2_Wg"",""Direct li"&amp;"nks Without Sizes!D2:D""),IMPORTRANGE(""1NK5L1mviMn0j3D3uo53ASkIZOFRlLnqaCTnwzOG2_Wg"",""Direct links Without Sizes!E2:E""))),"""")"),"")</f>
        <v/>
      </c>
      <c r="I477" s="4"/>
      <c r="J477" s="24" t="str">
        <f t="shared" si="1"/>
        <v/>
      </c>
      <c r="K477" s="25"/>
      <c r="L477" s="24" t="str">
        <f t="shared" si="2"/>
        <v/>
      </c>
      <c r="M477" s="4"/>
      <c r="N477" s="23"/>
      <c r="O477" s="23"/>
      <c r="P477" s="23"/>
      <c r="Q477" s="4" t="str">
        <f t="shared" si="4"/>
        <v/>
      </c>
      <c r="R477" s="20"/>
      <c r="S477" s="20"/>
    </row>
    <row r="478">
      <c r="A478" s="4"/>
      <c r="B478" s="4"/>
      <c r="C478" s="37"/>
      <c r="D478" s="7" t="str">
        <f>IFERROR(__xludf.DUMMYFUNCTION("iferror(iferror(INDEX(IMPORTRANGE(""12vtnxaE_Q1s4tyr10kZQx7ZF_xG0lBFae4jQEUtgsMU"",""All!B2:B""),MATCH($C478,IMPORTRANGE(""12vtnxaE_Q1s4tyr10kZQx7ZF_xG0lBFae4jQEUtgsMU"",""All!A2:A""),0)),INDEX(IMPORTRANGE(""13KC70HngS4DDi8y9E5khtSpQEPG6owaQ9z4E-tR5mnY"","&amp;"""Non-Food!B2:B""),MATCH($C478,IMPORTRANGE(""13KC70HngS4DDi8y9E5khtSpQEPG6owaQ9z4E-tR5mnY"",""Non-Food!A2:A""),0))),"""")"),"")</f>
        <v/>
      </c>
      <c r="E478" s="15"/>
      <c r="F478" s="15"/>
      <c r="G478" s="36"/>
      <c r="H478" s="23" t="str">
        <f>IFERROR(__xludf.DUMMYFUNCTION("iferror(iferror(iferror(index(IMPORTRANGE(""1NK5L1mviMn0j3D3uo53ASkIZOFRlLnqaCTnwzOG2_Wg"",""Direct Link!B2:B""),MATCH($C478,IMPORTRANGE(""1NK5L1mviMn0j3D3uo53ASkIZOFRlLnqaCTnwzOG2_Wg"",""Direct Link!A2:A""),0)),XLOOKUP($C478,IMPORTRANGE(""1NK5L1mviMn0j3D"&amp;"3uo53ASkIZOFRlLnqaCTnwzOG2_Wg"",""Direct links Without Sizes!A2:A""),IMPORTRANGE(""1NK5L1mviMn0j3D3uo53ASkIZOFRlLnqaCTnwzOG2_Wg"",""Direct links Without Sizes!B2:B""))),XLOOKUP($C478,IMPORTRANGE(""1NK5L1mviMn0j3D3uo53ASkIZOFRlLnqaCTnwzOG2_Wg"",""Direct li"&amp;"nks Without Sizes!D2:D""),IMPORTRANGE(""1NK5L1mviMn0j3D3uo53ASkIZOFRlLnqaCTnwzOG2_Wg"",""Direct links Without Sizes!E2:E""))),"""")"),"")</f>
        <v/>
      </c>
      <c r="I478" s="4"/>
      <c r="J478" s="24" t="str">
        <f t="shared" si="1"/>
        <v/>
      </c>
      <c r="K478" s="25"/>
      <c r="L478" s="24" t="str">
        <f t="shared" si="2"/>
        <v/>
      </c>
      <c r="M478" s="4"/>
      <c r="N478" s="23"/>
      <c r="O478" s="23"/>
      <c r="P478" s="23"/>
      <c r="Q478" s="4" t="str">
        <f t="shared" si="4"/>
        <v/>
      </c>
      <c r="R478" s="20"/>
      <c r="S478" s="20"/>
    </row>
    <row r="479">
      <c r="A479" s="4"/>
      <c r="B479" s="4"/>
      <c r="C479" s="37"/>
      <c r="D479" s="7" t="str">
        <f>IFERROR(__xludf.DUMMYFUNCTION("iferror(iferror(INDEX(IMPORTRANGE(""12vtnxaE_Q1s4tyr10kZQx7ZF_xG0lBFae4jQEUtgsMU"",""All!B2:B""),MATCH($C479,IMPORTRANGE(""12vtnxaE_Q1s4tyr10kZQx7ZF_xG0lBFae4jQEUtgsMU"",""All!A2:A""),0)),INDEX(IMPORTRANGE(""13KC70HngS4DDi8y9E5khtSpQEPG6owaQ9z4E-tR5mnY"","&amp;"""Non-Food!B2:B""),MATCH($C479,IMPORTRANGE(""13KC70HngS4DDi8y9E5khtSpQEPG6owaQ9z4E-tR5mnY"",""Non-Food!A2:A""),0))),"""")"),"")</f>
        <v/>
      </c>
      <c r="E479" s="15"/>
      <c r="F479" s="15"/>
      <c r="G479" s="36"/>
      <c r="H479" s="23" t="str">
        <f>IFERROR(__xludf.DUMMYFUNCTION("iferror(iferror(iferror(index(IMPORTRANGE(""1NK5L1mviMn0j3D3uo53ASkIZOFRlLnqaCTnwzOG2_Wg"",""Direct Link!B2:B""),MATCH($C479,IMPORTRANGE(""1NK5L1mviMn0j3D3uo53ASkIZOFRlLnqaCTnwzOG2_Wg"",""Direct Link!A2:A""),0)),XLOOKUP($C479,IMPORTRANGE(""1NK5L1mviMn0j3D"&amp;"3uo53ASkIZOFRlLnqaCTnwzOG2_Wg"",""Direct links Without Sizes!A2:A""),IMPORTRANGE(""1NK5L1mviMn0j3D3uo53ASkIZOFRlLnqaCTnwzOG2_Wg"",""Direct links Without Sizes!B2:B""))),XLOOKUP($C479,IMPORTRANGE(""1NK5L1mviMn0j3D3uo53ASkIZOFRlLnqaCTnwzOG2_Wg"",""Direct li"&amp;"nks Without Sizes!D2:D""),IMPORTRANGE(""1NK5L1mviMn0j3D3uo53ASkIZOFRlLnqaCTnwzOG2_Wg"",""Direct links Without Sizes!E2:E""))),"""")"),"")</f>
        <v/>
      </c>
      <c r="I479" s="4"/>
      <c r="J479" s="24" t="str">
        <f t="shared" si="1"/>
        <v/>
      </c>
      <c r="K479" s="25"/>
      <c r="L479" s="24" t="str">
        <f t="shared" si="2"/>
        <v/>
      </c>
      <c r="M479" s="4"/>
      <c r="N479" s="23"/>
      <c r="O479" s="23"/>
      <c r="P479" s="23"/>
      <c r="Q479" s="4" t="str">
        <f t="shared" si="4"/>
        <v/>
      </c>
      <c r="R479" s="20"/>
      <c r="S479" s="20"/>
    </row>
    <row r="480">
      <c r="A480" s="4"/>
      <c r="B480" s="4"/>
      <c r="C480" s="37"/>
      <c r="D480" s="7" t="str">
        <f>IFERROR(__xludf.DUMMYFUNCTION("iferror(iferror(INDEX(IMPORTRANGE(""12vtnxaE_Q1s4tyr10kZQx7ZF_xG0lBFae4jQEUtgsMU"",""All!B2:B""),MATCH($C480,IMPORTRANGE(""12vtnxaE_Q1s4tyr10kZQx7ZF_xG0lBFae4jQEUtgsMU"",""All!A2:A""),0)),INDEX(IMPORTRANGE(""13KC70HngS4DDi8y9E5khtSpQEPG6owaQ9z4E-tR5mnY"","&amp;"""Non-Food!B2:B""),MATCH($C480,IMPORTRANGE(""13KC70HngS4DDi8y9E5khtSpQEPG6owaQ9z4E-tR5mnY"",""Non-Food!A2:A""),0))),"""")"),"")</f>
        <v/>
      </c>
      <c r="E480" s="15"/>
      <c r="F480" s="15"/>
      <c r="G480" s="36"/>
      <c r="H480" s="23" t="str">
        <f>IFERROR(__xludf.DUMMYFUNCTION("iferror(iferror(iferror(index(IMPORTRANGE(""1NK5L1mviMn0j3D3uo53ASkIZOFRlLnqaCTnwzOG2_Wg"",""Direct Link!B2:B""),MATCH($C480,IMPORTRANGE(""1NK5L1mviMn0j3D3uo53ASkIZOFRlLnqaCTnwzOG2_Wg"",""Direct Link!A2:A""),0)),XLOOKUP($C480,IMPORTRANGE(""1NK5L1mviMn0j3D"&amp;"3uo53ASkIZOFRlLnqaCTnwzOG2_Wg"",""Direct links Without Sizes!A2:A""),IMPORTRANGE(""1NK5L1mviMn0j3D3uo53ASkIZOFRlLnqaCTnwzOG2_Wg"",""Direct links Without Sizes!B2:B""))),XLOOKUP($C480,IMPORTRANGE(""1NK5L1mviMn0j3D3uo53ASkIZOFRlLnqaCTnwzOG2_Wg"",""Direct li"&amp;"nks Without Sizes!D2:D""),IMPORTRANGE(""1NK5L1mviMn0j3D3uo53ASkIZOFRlLnqaCTnwzOG2_Wg"",""Direct links Without Sizes!E2:E""))),"""")"),"")</f>
        <v/>
      </c>
      <c r="I480" s="4"/>
      <c r="J480" s="24" t="str">
        <f t="shared" si="1"/>
        <v/>
      </c>
      <c r="K480" s="25"/>
      <c r="L480" s="24" t="str">
        <f t="shared" si="2"/>
        <v/>
      </c>
      <c r="M480" s="4"/>
      <c r="N480" s="23"/>
      <c r="O480" s="23"/>
      <c r="P480" s="23"/>
      <c r="Q480" s="4" t="str">
        <f t="shared" si="4"/>
        <v/>
      </c>
      <c r="R480" s="20"/>
      <c r="S480" s="20"/>
    </row>
    <row r="481">
      <c r="A481" s="4"/>
      <c r="B481" s="4"/>
      <c r="C481" s="37"/>
      <c r="D481" s="7" t="str">
        <f>IFERROR(__xludf.DUMMYFUNCTION("iferror(iferror(INDEX(IMPORTRANGE(""12vtnxaE_Q1s4tyr10kZQx7ZF_xG0lBFae4jQEUtgsMU"",""All!B2:B""),MATCH($C481,IMPORTRANGE(""12vtnxaE_Q1s4tyr10kZQx7ZF_xG0lBFae4jQEUtgsMU"",""All!A2:A""),0)),INDEX(IMPORTRANGE(""13KC70HngS4DDi8y9E5khtSpQEPG6owaQ9z4E-tR5mnY"","&amp;"""Non-Food!B2:B""),MATCH($C481,IMPORTRANGE(""13KC70HngS4DDi8y9E5khtSpQEPG6owaQ9z4E-tR5mnY"",""Non-Food!A2:A""),0))),"""")"),"")</f>
        <v/>
      </c>
      <c r="E481" s="15"/>
      <c r="F481" s="15"/>
      <c r="G481" s="36"/>
      <c r="H481" s="23" t="str">
        <f>IFERROR(__xludf.DUMMYFUNCTION("iferror(iferror(iferror(index(IMPORTRANGE(""1NK5L1mviMn0j3D3uo53ASkIZOFRlLnqaCTnwzOG2_Wg"",""Direct Link!B2:B""),MATCH($C481,IMPORTRANGE(""1NK5L1mviMn0j3D3uo53ASkIZOFRlLnqaCTnwzOG2_Wg"",""Direct Link!A2:A""),0)),XLOOKUP($C481,IMPORTRANGE(""1NK5L1mviMn0j3D"&amp;"3uo53ASkIZOFRlLnqaCTnwzOG2_Wg"",""Direct links Without Sizes!A2:A""),IMPORTRANGE(""1NK5L1mviMn0j3D3uo53ASkIZOFRlLnqaCTnwzOG2_Wg"",""Direct links Without Sizes!B2:B""))),XLOOKUP($C481,IMPORTRANGE(""1NK5L1mviMn0j3D3uo53ASkIZOFRlLnqaCTnwzOG2_Wg"",""Direct li"&amp;"nks Without Sizes!D2:D""),IMPORTRANGE(""1NK5L1mviMn0j3D3uo53ASkIZOFRlLnqaCTnwzOG2_Wg"",""Direct links Without Sizes!E2:E""))),"""")"),"")</f>
        <v/>
      </c>
      <c r="I481" s="4"/>
      <c r="J481" s="24" t="str">
        <f t="shared" si="1"/>
        <v/>
      </c>
      <c r="K481" s="25"/>
      <c r="L481" s="24" t="str">
        <f t="shared" si="2"/>
        <v/>
      </c>
      <c r="M481" s="4"/>
      <c r="N481" s="23"/>
      <c r="O481" s="23"/>
      <c r="P481" s="23"/>
      <c r="Q481" s="4" t="str">
        <f t="shared" si="4"/>
        <v/>
      </c>
      <c r="R481" s="20"/>
      <c r="S481" s="20"/>
    </row>
    <row r="482">
      <c r="A482" s="4"/>
      <c r="B482" s="4"/>
      <c r="C482" s="37"/>
      <c r="D482" s="7" t="str">
        <f>IFERROR(__xludf.DUMMYFUNCTION("iferror(iferror(INDEX(IMPORTRANGE(""12vtnxaE_Q1s4tyr10kZQx7ZF_xG0lBFae4jQEUtgsMU"",""All!B2:B""),MATCH($C482,IMPORTRANGE(""12vtnxaE_Q1s4tyr10kZQx7ZF_xG0lBFae4jQEUtgsMU"",""All!A2:A""),0)),INDEX(IMPORTRANGE(""13KC70HngS4DDi8y9E5khtSpQEPG6owaQ9z4E-tR5mnY"","&amp;"""Non-Food!B2:B""),MATCH($C482,IMPORTRANGE(""13KC70HngS4DDi8y9E5khtSpQEPG6owaQ9z4E-tR5mnY"",""Non-Food!A2:A""),0))),"""")"),"")</f>
        <v/>
      </c>
      <c r="E482" s="15"/>
      <c r="F482" s="15"/>
      <c r="G482" s="36"/>
      <c r="H482" s="23" t="str">
        <f>IFERROR(__xludf.DUMMYFUNCTION("iferror(iferror(iferror(index(IMPORTRANGE(""1NK5L1mviMn0j3D3uo53ASkIZOFRlLnqaCTnwzOG2_Wg"",""Direct Link!B2:B""),MATCH($C482,IMPORTRANGE(""1NK5L1mviMn0j3D3uo53ASkIZOFRlLnqaCTnwzOG2_Wg"",""Direct Link!A2:A""),0)),XLOOKUP($C482,IMPORTRANGE(""1NK5L1mviMn0j3D"&amp;"3uo53ASkIZOFRlLnqaCTnwzOG2_Wg"",""Direct links Without Sizes!A2:A""),IMPORTRANGE(""1NK5L1mviMn0j3D3uo53ASkIZOFRlLnqaCTnwzOG2_Wg"",""Direct links Without Sizes!B2:B""))),XLOOKUP($C482,IMPORTRANGE(""1NK5L1mviMn0j3D3uo53ASkIZOFRlLnqaCTnwzOG2_Wg"",""Direct li"&amp;"nks Without Sizes!D2:D""),IMPORTRANGE(""1NK5L1mviMn0j3D3uo53ASkIZOFRlLnqaCTnwzOG2_Wg"",""Direct links Without Sizes!E2:E""))),"""")"),"")</f>
        <v/>
      </c>
      <c r="I482" s="4"/>
      <c r="J482" s="24" t="str">
        <f t="shared" si="1"/>
        <v/>
      </c>
      <c r="K482" s="25"/>
      <c r="L482" s="24" t="str">
        <f t="shared" si="2"/>
        <v/>
      </c>
      <c r="M482" s="4"/>
      <c r="N482" s="23"/>
      <c r="O482" s="23"/>
      <c r="P482" s="23"/>
      <c r="Q482" s="4" t="str">
        <f t="shared" si="4"/>
        <v/>
      </c>
      <c r="R482" s="20"/>
      <c r="S482" s="20"/>
    </row>
    <row r="483">
      <c r="A483" s="4"/>
      <c r="B483" s="4"/>
      <c r="C483" s="37"/>
      <c r="D483" s="7" t="str">
        <f>IFERROR(__xludf.DUMMYFUNCTION("iferror(iferror(INDEX(IMPORTRANGE(""12vtnxaE_Q1s4tyr10kZQx7ZF_xG0lBFae4jQEUtgsMU"",""All!B2:B""),MATCH($C483,IMPORTRANGE(""12vtnxaE_Q1s4tyr10kZQx7ZF_xG0lBFae4jQEUtgsMU"",""All!A2:A""),0)),INDEX(IMPORTRANGE(""13KC70HngS4DDi8y9E5khtSpQEPG6owaQ9z4E-tR5mnY"","&amp;"""Non-Food!B2:B""),MATCH($C483,IMPORTRANGE(""13KC70HngS4DDi8y9E5khtSpQEPG6owaQ9z4E-tR5mnY"",""Non-Food!A2:A""),0))),"""")"),"")</f>
        <v/>
      </c>
      <c r="E483" s="15"/>
      <c r="F483" s="15"/>
      <c r="G483" s="36"/>
      <c r="H483" s="23" t="str">
        <f>IFERROR(__xludf.DUMMYFUNCTION("iferror(iferror(iferror(index(IMPORTRANGE(""1NK5L1mviMn0j3D3uo53ASkIZOFRlLnqaCTnwzOG2_Wg"",""Direct Link!B2:B""),MATCH($C483,IMPORTRANGE(""1NK5L1mviMn0j3D3uo53ASkIZOFRlLnqaCTnwzOG2_Wg"",""Direct Link!A2:A""),0)),XLOOKUP($C483,IMPORTRANGE(""1NK5L1mviMn0j3D"&amp;"3uo53ASkIZOFRlLnqaCTnwzOG2_Wg"",""Direct links Without Sizes!A2:A""),IMPORTRANGE(""1NK5L1mviMn0j3D3uo53ASkIZOFRlLnqaCTnwzOG2_Wg"",""Direct links Without Sizes!B2:B""))),XLOOKUP($C483,IMPORTRANGE(""1NK5L1mviMn0j3D3uo53ASkIZOFRlLnqaCTnwzOG2_Wg"",""Direct li"&amp;"nks Without Sizes!D2:D""),IMPORTRANGE(""1NK5L1mviMn0j3D3uo53ASkIZOFRlLnqaCTnwzOG2_Wg"",""Direct links Without Sizes!E2:E""))),"""")"),"")</f>
        <v/>
      </c>
      <c r="I483" s="4"/>
      <c r="J483" s="24" t="str">
        <f t="shared" si="1"/>
        <v/>
      </c>
      <c r="K483" s="25"/>
      <c r="L483" s="24" t="str">
        <f t="shared" si="2"/>
        <v/>
      </c>
      <c r="M483" s="4"/>
      <c r="N483" s="23"/>
      <c r="O483" s="23"/>
      <c r="P483" s="23"/>
      <c r="Q483" s="4" t="str">
        <f t="shared" si="4"/>
        <v/>
      </c>
      <c r="R483" s="20"/>
      <c r="S483" s="20"/>
    </row>
    <row r="484">
      <c r="A484" s="4"/>
      <c r="B484" s="4"/>
      <c r="C484" s="37"/>
      <c r="D484" s="7" t="str">
        <f>IFERROR(__xludf.DUMMYFUNCTION("iferror(iferror(INDEX(IMPORTRANGE(""12vtnxaE_Q1s4tyr10kZQx7ZF_xG0lBFae4jQEUtgsMU"",""All!B2:B""),MATCH($C484,IMPORTRANGE(""12vtnxaE_Q1s4tyr10kZQx7ZF_xG0lBFae4jQEUtgsMU"",""All!A2:A""),0)),INDEX(IMPORTRANGE(""13KC70HngS4DDi8y9E5khtSpQEPG6owaQ9z4E-tR5mnY"","&amp;"""Non-Food!B2:B""),MATCH($C484,IMPORTRANGE(""13KC70HngS4DDi8y9E5khtSpQEPG6owaQ9z4E-tR5mnY"",""Non-Food!A2:A""),0))),"""")"),"")</f>
        <v/>
      </c>
      <c r="E484" s="15"/>
      <c r="F484" s="15"/>
      <c r="G484" s="36"/>
      <c r="H484" s="23" t="str">
        <f>IFERROR(__xludf.DUMMYFUNCTION("iferror(iferror(iferror(index(IMPORTRANGE(""1NK5L1mviMn0j3D3uo53ASkIZOFRlLnqaCTnwzOG2_Wg"",""Direct Link!B2:B""),MATCH($C484,IMPORTRANGE(""1NK5L1mviMn0j3D3uo53ASkIZOFRlLnqaCTnwzOG2_Wg"",""Direct Link!A2:A""),0)),XLOOKUP($C484,IMPORTRANGE(""1NK5L1mviMn0j3D"&amp;"3uo53ASkIZOFRlLnqaCTnwzOG2_Wg"",""Direct links Without Sizes!A2:A""),IMPORTRANGE(""1NK5L1mviMn0j3D3uo53ASkIZOFRlLnqaCTnwzOG2_Wg"",""Direct links Without Sizes!B2:B""))),XLOOKUP($C484,IMPORTRANGE(""1NK5L1mviMn0j3D3uo53ASkIZOFRlLnqaCTnwzOG2_Wg"",""Direct li"&amp;"nks Without Sizes!D2:D""),IMPORTRANGE(""1NK5L1mviMn0j3D3uo53ASkIZOFRlLnqaCTnwzOG2_Wg"",""Direct links Without Sizes!E2:E""))),"""")"),"")</f>
        <v/>
      </c>
      <c r="I484" s="4"/>
      <c r="J484" s="24" t="str">
        <f t="shared" si="1"/>
        <v/>
      </c>
      <c r="K484" s="25"/>
      <c r="L484" s="24" t="str">
        <f t="shared" si="2"/>
        <v/>
      </c>
      <c r="M484" s="4"/>
      <c r="N484" s="23"/>
      <c r="O484" s="23"/>
      <c r="P484" s="23"/>
      <c r="Q484" s="4" t="str">
        <f t="shared" si="4"/>
        <v/>
      </c>
      <c r="R484" s="20"/>
      <c r="S484" s="20"/>
    </row>
    <row r="485">
      <c r="A485" s="4"/>
      <c r="B485" s="4"/>
      <c r="C485" s="37"/>
      <c r="D485" s="7" t="str">
        <f>IFERROR(__xludf.DUMMYFUNCTION("iferror(iferror(INDEX(IMPORTRANGE(""12vtnxaE_Q1s4tyr10kZQx7ZF_xG0lBFae4jQEUtgsMU"",""All!B2:B""),MATCH($C485,IMPORTRANGE(""12vtnxaE_Q1s4tyr10kZQx7ZF_xG0lBFae4jQEUtgsMU"",""All!A2:A""),0)),INDEX(IMPORTRANGE(""13KC70HngS4DDi8y9E5khtSpQEPG6owaQ9z4E-tR5mnY"","&amp;"""Non-Food!B2:B""),MATCH($C485,IMPORTRANGE(""13KC70HngS4DDi8y9E5khtSpQEPG6owaQ9z4E-tR5mnY"",""Non-Food!A2:A""),0))),"""")"),"")</f>
        <v/>
      </c>
      <c r="E485" s="15"/>
      <c r="F485" s="15"/>
      <c r="G485" s="36"/>
      <c r="H485" s="23" t="str">
        <f>IFERROR(__xludf.DUMMYFUNCTION("iferror(iferror(iferror(index(IMPORTRANGE(""1NK5L1mviMn0j3D3uo53ASkIZOFRlLnqaCTnwzOG2_Wg"",""Direct Link!B2:B""),MATCH($C485,IMPORTRANGE(""1NK5L1mviMn0j3D3uo53ASkIZOFRlLnqaCTnwzOG2_Wg"",""Direct Link!A2:A""),0)),XLOOKUP($C485,IMPORTRANGE(""1NK5L1mviMn0j3D"&amp;"3uo53ASkIZOFRlLnqaCTnwzOG2_Wg"",""Direct links Without Sizes!A2:A""),IMPORTRANGE(""1NK5L1mviMn0j3D3uo53ASkIZOFRlLnqaCTnwzOG2_Wg"",""Direct links Without Sizes!B2:B""))),XLOOKUP($C485,IMPORTRANGE(""1NK5L1mviMn0j3D3uo53ASkIZOFRlLnqaCTnwzOG2_Wg"",""Direct li"&amp;"nks Without Sizes!D2:D""),IMPORTRANGE(""1NK5L1mviMn0j3D3uo53ASkIZOFRlLnqaCTnwzOG2_Wg"",""Direct links Without Sizes!E2:E""))),"""")"),"")</f>
        <v/>
      </c>
      <c r="I485" s="4"/>
      <c r="J485" s="24" t="str">
        <f t="shared" si="1"/>
        <v/>
      </c>
      <c r="K485" s="25"/>
      <c r="L485" s="24" t="str">
        <f t="shared" si="2"/>
        <v/>
      </c>
      <c r="M485" s="4"/>
      <c r="N485" s="23"/>
      <c r="O485" s="23"/>
      <c r="P485" s="23"/>
      <c r="Q485" s="4" t="str">
        <f t="shared" si="4"/>
        <v/>
      </c>
      <c r="R485" s="20"/>
      <c r="S485" s="20"/>
    </row>
    <row r="486">
      <c r="A486" s="4"/>
      <c r="B486" s="4"/>
      <c r="C486" s="37"/>
      <c r="D486" s="7" t="str">
        <f>IFERROR(__xludf.DUMMYFUNCTION("iferror(iferror(INDEX(IMPORTRANGE(""12vtnxaE_Q1s4tyr10kZQx7ZF_xG0lBFae4jQEUtgsMU"",""All!B2:B""),MATCH($C486,IMPORTRANGE(""12vtnxaE_Q1s4tyr10kZQx7ZF_xG0lBFae4jQEUtgsMU"",""All!A2:A""),0)),INDEX(IMPORTRANGE(""13KC70HngS4DDi8y9E5khtSpQEPG6owaQ9z4E-tR5mnY"","&amp;"""Non-Food!B2:B""),MATCH($C486,IMPORTRANGE(""13KC70HngS4DDi8y9E5khtSpQEPG6owaQ9z4E-tR5mnY"",""Non-Food!A2:A""),0))),"""")"),"")</f>
        <v/>
      </c>
      <c r="E486" s="15"/>
      <c r="F486" s="15"/>
      <c r="G486" s="36"/>
      <c r="H486" s="23" t="str">
        <f>IFERROR(__xludf.DUMMYFUNCTION("iferror(iferror(iferror(index(IMPORTRANGE(""1NK5L1mviMn0j3D3uo53ASkIZOFRlLnqaCTnwzOG2_Wg"",""Direct Link!B2:B""),MATCH($C486,IMPORTRANGE(""1NK5L1mviMn0j3D3uo53ASkIZOFRlLnqaCTnwzOG2_Wg"",""Direct Link!A2:A""),0)),XLOOKUP($C486,IMPORTRANGE(""1NK5L1mviMn0j3D"&amp;"3uo53ASkIZOFRlLnqaCTnwzOG2_Wg"",""Direct links Without Sizes!A2:A""),IMPORTRANGE(""1NK5L1mviMn0j3D3uo53ASkIZOFRlLnqaCTnwzOG2_Wg"",""Direct links Without Sizes!B2:B""))),XLOOKUP($C486,IMPORTRANGE(""1NK5L1mviMn0j3D3uo53ASkIZOFRlLnqaCTnwzOG2_Wg"",""Direct li"&amp;"nks Without Sizes!D2:D""),IMPORTRANGE(""1NK5L1mviMn0j3D3uo53ASkIZOFRlLnqaCTnwzOG2_Wg"",""Direct links Without Sizes!E2:E""))),"""")"),"")</f>
        <v/>
      </c>
      <c r="I486" s="4"/>
      <c r="J486" s="24" t="str">
        <f t="shared" si="1"/>
        <v/>
      </c>
      <c r="K486" s="25"/>
      <c r="L486" s="24" t="str">
        <f t="shared" si="2"/>
        <v/>
      </c>
      <c r="M486" s="4"/>
      <c r="N486" s="23"/>
      <c r="O486" s="23"/>
      <c r="P486" s="23"/>
      <c r="Q486" s="4" t="str">
        <f t="shared" si="4"/>
        <v/>
      </c>
      <c r="R486" s="20"/>
      <c r="S486" s="20"/>
    </row>
    <row r="487">
      <c r="A487" s="4"/>
      <c r="B487" s="4"/>
      <c r="C487" s="37"/>
      <c r="D487" s="7" t="str">
        <f>IFERROR(__xludf.DUMMYFUNCTION("iferror(iferror(INDEX(IMPORTRANGE(""12vtnxaE_Q1s4tyr10kZQx7ZF_xG0lBFae4jQEUtgsMU"",""All!B2:B""),MATCH($C487,IMPORTRANGE(""12vtnxaE_Q1s4tyr10kZQx7ZF_xG0lBFae4jQEUtgsMU"",""All!A2:A""),0)),INDEX(IMPORTRANGE(""13KC70HngS4DDi8y9E5khtSpQEPG6owaQ9z4E-tR5mnY"","&amp;"""Non-Food!B2:B""),MATCH($C487,IMPORTRANGE(""13KC70HngS4DDi8y9E5khtSpQEPG6owaQ9z4E-tR5mnY"",""Non-Food!A2:A""),0))),"""")"),"")</f>
        <v/>
      </c>
      <c r="E487" s="15"/>
      <c r="F487" s="15"/>
      <c r="G487" s="36"/>
      <c r="H487" s="23" t="str">
        <f>IFERROR(__xludf.DUMMYFUNCTION("iferror(iferror(iferror(index(IMPORTRANGE(""1NK5L1mviMn0j3D3uo53ASkIZOFRlLnqaCTnwzOG2_Wg"",""Direct Link!B2:B""),MATCH($C487,IMPORTRANGE(""1NK5L1mviMn0j3D3uo53ASkIZOFRlLnqaCTnwzOG2_Wg"",""Direct Link!A2:A""),0)),XLOOKUP($C487,IMPORTRANGE(""1NK5L1mviMn0j3D"&amp;"3uo53ASkIZOFRlLnqaCTnwzOG2_Wg"",""Direct links Without Sizes!A2:A""),IMPORTRANGE(""1NK5L1mviMn0j3D3uo53ASkIZOFRlLnqaCTnwzOG2_Wg"",""Direct links Without Sizes!B2:B""))),XLOOKUP($C487,IMPORTRANGE(""1NK5L1mviMn0j3D3uo53ASkIZOFRlLnqaCTnwzOG2_Wg"",""Direct li"&amp;"nks Without Sizes!D2:D""),IMPORTRANGE(""1NK5L1mviMn0j3D3uo53ASkIZOFRlLnqaCTnwzOG2_Wg"",""Direct links Without Sizes!E2:E""))),"""")"),"")</f>
        <v/>
      </c>
      <c r="I487" s="4"/>
      <c r="J487" s="24" t="str">
        <f t="shared" si="1"/>
        <v/>
      </c>
      <c r="K487" s="25"/>
      <c r="L487" s="24" t="str">
        <f t="shared" si="2"/>
        <v/>
      </c>
      <c r="M487" s="4"/>
      <c r="N487" s="23"/>
      <c r="O487" s="23"/>
      <c r="P487" s="23"/>
      <c r="Q487" s="4" t="str">
        <f t="shared" si="4"/>
        <v/>
      </c>
      <c r="R487" s="20"/>
      <c r="S487" s="20"/>
    </row>
    <row r="488">
      <c r="A488" s="4"/>
      <c r="B488" s="4"/>
      <c r="C488" s="37"/>
      <c r="D488" s="7" t="str">
        <f>IFERROR(__xludf.DUMMYFUNCTION("iferror(iferror(INDEX(IMPORTRANGE(""12vtnxaE_Q1s4tyr10kZQx7ZF_xG0lBFae4jQEUtgsMU"",""All!B2:B""),MATCH($C488,IMPORTRANGE(""12vtnxaE_Q1s4tyr10kZQx7ZF_xG0lBFae4jQEUtgsMU"",""All!A2:A""),0)),INDEX(IMPORTRANGE(""13KC70HngS4DDi8y9E5khtSpQEPG6owaQ9z4E-tR5mnY"","&amp;"""Non-Food!B2:B""),MATCH($C488,IMPORTRANGE(""13KC70HngS4DDi8y9E5khtSpQEPG6owaQ9z4E-tR5mnY"",""Non-Food!A2:A""),0))),"""")"),"")</f>
        <v/>
      </c>
      <c r="E488" s="15"/>
      <c r="F488" s="15"/>
      <c r="G488" s="36"/>
      <c r="H488" s="23" t="str">
        <f>IFERROR(__xludf.DUMMYFUNCTION("iferror(iferror(iferror(index(IMPORTRANGE(""1NK5L1mviMn0j3D3uo53ASkIZOFRlLnqaCTnwzOG2_Wg"",""Direct Link!B2:B""),MATCH($C488,IMPORTRANGE(""1NK5L1mviMn0j3D3uo53ASkIZOFRlLnqaCTnwzOG2_Wg"",""Direct Link!A2:A""),0)),XLOOKUP($C488,IMPORTRANGE(""1NK5L1mviMn0j3D"&amp;"3uo53ASkIZOFRlLnqaCTnwzOG2_Wg"",""Direct links Without Sizes!A2:A""),IMPORTRANGE(""1NK5L1mviMn0j3D3uo53ASkIZOFRlLnqaCTnwzOG2_Wg"",""Direct links Without Sizes!B2:B""))),XLOOKUP($C488,IMPORTRANGE(""1NK5L1mviMn0j3D3uo53ASkIZOFRlLnqaCTnwzOG2_Wg"",""Direct li"&amp;"nks Without Sizes!D2:D""),IMPORTRANGE(""1NK5L1mviMn0j3D3uo53ASkIZOFRlLnqaCTnwzOG2_Wg"",""Direct links Without Sizes!E2:E""))),"""")"),"")</f>
        <v/>
      </c>
      <c r="I488" s="4"/>
      <c r="J488" s="24" t="str">
        <f t="shared" si="1"/>
        <v/>
      </c>
      <c r="K488" s="25"/>
      <c r="L488" s="24" t="str">
        <f t="shared" si="2"/>
        <v/>
      </c>
      <c r="M488" s="4"/>
      <c r="N488" s="23"/>
      <c r="O488" s="23"/>
      <c r="P488" s="23"/>
      <c r="Q488" s="4" t="str">
        <f t="shared" si="4"/>
        <v/>
      </c>
      <c r="R488" s="20"/>
      <c r="S488" s="20"/>
    </row>
    <row r="489">
      <c r="A489" s="4"/>
      <c r="B489" s="4"/>
      <c r="C489" s="37"/>
      <c r="D489" s="7" t="str">
        <f>IFERROR(__xludf.DUMMYFUNCTION("iferror(iferror(INDEX(IMPORTRANGE(""12vtnxaE_Q1s4tyr10kZQx7ZF_xG0lBFae4jQEUtgsMU"",""All!B2:B""),MATCH($C489,IMPORTRANGE(""12vtnxaE_Q1s4tyr10kZQx7ZF_xG0lBFae4jQEUtgsMU"",""All!A2:A""),0)),INDEX(IMPORTRANGE(""13KC70HngS4DDi8y9E5khtSpQEPG6owaQ9z4E-tR5mnY"","&amp;"""Non-Food!B2:B""),MATCH($C489,IMPORTRANGE(""13KC70HngS4DDi8y9E5khtSpQEPG6owaQ9z4E-tR5mnY"",""Non-Food!A2:A""),0))),"""")"),"")</f>
        <v/>
      </c>
      <c r="E489" s="15"/>
      <c r="F489" s="15"/>
      <c r="G489" s="36"/>
      <c r="H489" s="23" t="str">
        <f>IFERROR(__xludf.DUMMYFUNCTION("iferror(iferror(iferror(index(IMPORTRANGE(""1NK5L1mviMn0j3D3uo53ASkIZOFRlLnqaCTnwzOG2_Wg"",""Direct Link!B2:B""),MATCH($C489,IMPORTRANGE(""1NK5L1mviMn0j3D3uo53ASkIZOFRlLnqaCTnwzOG2_Wg"",""Direct Link!A2:A""),0)),XLOOKUP($C489,IMPORTRANGE(""1NK5L1mviMn0j3D"&amp;"3uo53ASkIZOFRlLnqaCTnwzOG2_Wg"",""Direct links Without Sizes!A2:A""),IMPORTRANGE(""1NK5L1mviMn0j3D3uo53ASkIZOFRlLnqaCTnwzOG2_Wg"",""Direct links Without Sizes!B2:B""))),XLOOKUP($C489,IMPORTRANGE(""1NK5L1mviMn0j3D3uo53ASkIZOFRlLnqaCTnwzOG2_Wg"",""Direct li"&amp;"nks Without Sizes!D2:D""),IMPORTRANGE(""1NK5L1mviMn0j3D3uo53ASkIZOFRlLnqaCTnwzOG2_Wg"",""Direct links Without Sizes!E2:E""))),"""")"),"")</f>
        <v/>
      </c>
      <c r="I489" s="4"/>
      <c r="J489" s="24" t="str">
        <f t="shared" si="1"/>
        <v/>
      </c>
      <c r="K489" s="25"/>
      <c r="L489" s="24" t="str">
        <f t="shared" si="2"/>
        <v/>
      </c>
      <c r="M489" s="4"/>
      <c r="N489" s="23"/>
      <c r="O489" s="23"/>
      <c r="P489" s="23"/>
      <c r="Q489" s="4" t="str">
        <f t="shared" si="4"/>
        <v/>
      </c>
      <c r="R489" s="20"/>
      <c r="S489" s="20"/>
    </row>
    <row r="490">
      <c r="A490" s="4"/>
      <c r="B490" s="4"/>
      <c r="C490" s="37"/>
      <c r="D490" s="7" t="str">
        <f>IFERROR(__xludf.DUMMYFUNCTION("iferror(iferror(INDEX(IMPORTRANGE(""12vtnxaE_Q1s4tyr10kZQx7ZF_xG0lBFae4jQEUtgsMU"",""All!B2:B""),MATCH($C490,IMPORTRANGE(""12vtnxaE_Q1s4tyr10kZQx7ZF_xG0lBFae4jQEUtgsMU"",""All!A2:A""),0)),INDEX(IMPORTRANGE(""13KC70HngS4DDi8y9E5khtSpQEPG6owaQ9z4E-tR5mnY"","&amp;"""Non-Food!B2:B""),MATCH($C490,IMPORTRANGE(""13KC70HngS4DDi8y9E5khtSpQEPG6owaQ9z4E-tR5mnY"",""Non-Food!A2:A""),0))),"""")"),"")</f>
        <v/>
      </c>
      <c r="E490" s="15"/>
      <c r="F490" s="15"/>
      <c r="G490" s="36"/>
      <c r="H490" s="23" t="str">
        <f>IFERROR(__xludf.DUMMYFUNCTION("iferror(iferror(iferror(index(IMPORTRANGE(""1NK5L1mviMn0j3D3uo53ASkIZOFRlLnqaCTnwzOG2_Wg"",""Direct Link!B2:B""),MATCH($C490,IMPORTRANGE(""1NK5L1mviMn0j3D3uo53ASkIZOFRlLnqaCTnwzOG2_Wg"",""Direct Link!A2:A""),0)),XLOOKUP($C490,IMPORTRANGE(""1NK5L1mviMn0j3D"&amp;"3uo53ASkIZOFRlLnqaCTnwzOG2_Wg"",""Direct links Without Sizes!A2:A""),IMPORTRANGE(""1NK5L1mviMn0j3D3uo53ASkIZOFRlLnqaCTnwzOG2_Wg"",""Direct links Without Sizes!B2:B""))),XLOOKUP($C490,IMPORTRANGE(""1NK5L1mviMn0j3D3uo53ASkIZOFRlLnqaCTnwzOG2_Wg"",""Direct li"&amp;"nks Without Sizes!D2:D""),IMPORTRANGE(""1NK5L1mviMn0j3D3uo53ASkIZOFRlLnqaCTnwzOG2_Wg"",""Direct links Without Sizes!E2:E""))),"""")"),"")</f>
        <v/>
      </c>
      <c r="I490" s="4"/>
      <c r="J490" s="24" t="str">
        <f t="shared" si="1"/>
        <v/>
      </c>
      <c r="K490" s="25"/>
      <c r="L490" s="24" t="str">
        <f t="shared" si="2"/>
        <v/>
      </c>
      <c r="M490" s="4"/>
      <c r="N490" s="23"/>
      <c r="O490" s="23"/>
      <c r="P490" s="23"/>
      <c r="Q490" s="4" t="str">
        <f t="shared" si="4"/>
        <v/>
      </c>
      <c r="R490" s="20"/>
      <c r="S490" s="20"/>
    </row>
    <row r="491">
      <c r="A491" s="4"/>
      <c r="B491" s="4"/>
      <c r="C491" s="37"/>
      <c r="D491" s="7" t="str">
        <f>IFERROR(__xludf.DUMMYFUNCTION("iferror(iferror(INDEX(IMPORTRANGE(""12vtnxaE_Q1s4tyr10kZQx7ZF_xG0lBFae4jQEUtgsMU"",""All!B2:B""),MATCH($C491,IMPORTRANGE(""12vtnxaE_Q1s4tyr10kZQx7ZF_xG0lBFae4jQEUtgsMU"",""All!A2:A""),0)),INDEX(IMPORTRANGE(""13KC70HngS4DDi8y9E5khtSpQEPG6owaQ9z4E-tR5mnY"","&amp;"""Non-Food!B2:B""),MATCH($C491,IMPORTRANGE(""13KC70HngS4DDi8y9E5khtSpQEPG6owaQ9z4E-tR5mnY"",""Non-Food!A2:A""),0))),"""")"),"")</f>
        <v/>
      </c>
      <c r="E491" s="15"/>
      <c r="F491" s="15"/>
      <c r="G491" s="36"/>
      <c r="H491" s="23" t="str">
        <f>IFERROR(__xludf.DUMMYFUNCTION("iferror(iferror(iferror(index(IMPORTRANGE(""1NK5L1mviMn0j3D3uo53ASkIZOFRlLnqaCTnwzOG2_Wg"",""Direct Link!B2:B""),MATCH($C491,IMPORTRANGE(""1NK5L1mviMn0j3D3uo53ASkIZOFRlLnqaCTnwzOG2_Wg"",""Direct Link!A2:A""),0)),XLOOKUP($C491,IMPORTRANGE(""1NK5L1mviMn0j3D"&amp;"3uo53ASkIZOFRlLnqaCTnwzOG2_Wg"",""Direct links Without Sizes!A2:A""),IMPORTRANGE(""1NK5L1mviMn0j3D3uo53ASkIZOFRlLnqaCTnwzOG2_Wg"",""Direct links Without Sizes!B2:B""))),XLOOKUP($C491,IMPORTRANGE(""1NK5L1mviMn0j3D3uo53ASkIZOFRlLnqaCTnwzOG2_Wg"",""Direct li"&amp;"nks Without Sizes!D2:D""),IMPORTRANGE(""1NK5L1mviMn0j3D3uo53ASkIZOFRlLnqaCTnwzOG2_Wg"",""Direct links Without Sizes!E2:E""))),"""")"),"")</f>
        <v/>
      </c>
      <c r="I491" s="4"/>
      <c r="J491" s="24" t="str">
        <f t="shared" si="1"/>
        <v/>
      </c>
      <c r="K491" s="25"/>
      <c r="L491" s="24" t="str">
        <f t="shared" si="2"/>
        <v/>
      </c>
      <c r="M491" s="4"/>
      <c r="N491" s="23"/>
      <c r="O491" s="23"/>
      <c r="P491" s="23"/>
      <c r="Q491" s="4" t="str">
        <f t="shared" si="4"/>
        <v/>
      </c>
      <c r="R491" s="20"/>
      <c r="S491" s="20"/>
    </row>
    <row r="492">
      <c r="A492" s="4"/>
      <c r="B492" s="4"/>
      <c r="C492" s="37"/>
      <c r="D492" s="7" t="str">
        <f>IFERROR(__xludf.DUMMYFUNCTION("iferror(iferror(INDEX(IMPORTRANGE(""12vtnxaE_Q1s4tyr10kZQx7ZF_xG0lBFae4jQEUtgsMU"",""All!B2:B""),MATCH($C492,IMPORTRANGE(""12vtnxaE_Q1s4tyr10kZQx7ZF_xG0lBFae4jQEUtgsMU"",""All!A2:A""),0)),INDEX(IMPORTRANGE(""13KC70HngS4DDi8y9E5khtSpQEPG6owaQ9z4E-tR5mnY"","&amp;"""Non-Food!B2:B""),MATCH($C492,IMPORTRANGE(""13KC70HngS4DDi8y9E5khtSpQEPG6owaQ9z4E-tR5mnY"",""Non-Food!A2:A""),0))),"""")"),"")</f>
        <v/>
      </c>
      <c r="E492" s="15"/>
      <c r="F492" s="15"/>
      <c r="G492" s="36"/>
      <c r="H492" s="23" t="str">
        <f>IFERROR(__xludf.DUMMYFUNCTION("iferror(iferror(iferror(index(IMPORTRANGE(""1NK5L1mviMn0j3D3uo53ASkIZOFRlLnqaCTnwzOG2_Wg"",""Direct Link!B2:B""),MATCH($C492,IMPORTRANGE(""1NK5L1mviMn0j3D3uo53ASkIZOFRlLnqaCTnwzOG2_Wg"",""Direct Link!A2:A""),0)),XLOOKUP($C492,IMPORTRANGE(""1NK5L1mviMn0j3D"&amp;"3uo53ASkIZOFRlLnqaCTnwzOG2_Wg"",""Direct links Without Sizes!A2:A""),IMPORTRANGE(""1NK5L1mviMn0j3D3uo53ASkIZOFRlLnqaCTnwzOG2_Wg"",""Direct links Without Sizes!B2:B""))),XLOOKUP($C492,IMPORTRANGE(""1NK5L1mviMn0j3D3uo53ASkIZOFRlLnqaCTnwzOG2_Wg"",""Direct li"&amp;"nks Without Sizes!D2:D""),IMPORTRANGE(""1NK5L1mviMn0j3D3uo53ASkIZOFRlLnqaCTnwzOG2_Wg"",""Direct links Without Sizes!E2:E""))),"""")"),"")</f>
        <v/>
      </c>
      <c r="I492" s="4"/>
      <c r="J492" s="24" t="str">
        <f t="shared" si="1"/>
        <v/>
      </c>
      <c r="K492" s="25"/>
      <c r="L492" s="24" t="str">
        <f t="shared" si="2"/>
        <v/>
      </c>
      <c r="M492" s="4"/>
      <c r="N492" s="23"/>
      <c r="O492" s="23"/>
      <c r="P492" s="23"/>
      <c r="Q492" s="4" t="str">
        <f t="shared" si="4"/>
        <v/>
      </c>
      <c r="R492" s="20"/>
      <c r="S492" s="20"/>
    </row>
    <row r="493">
      <c r="A493" s="4"/>
      <c r="B493" s="4"/>
      <c r="C493" s="37"/>
      <c r="D493" s="7" t="str">
        <f>IFERROR(__xludf.DUMMYFUNCTION("iferror(iferror(INDEX(IMPORTRANGE(""12vtnxaE_Q1s4tyr10kZQx7ZF_xG0lBFae4jQEUtgsMU"",""All!B2:B""),MATCH($C493,IMPORTRANGE(""12vtnxaE_Q1s4tyr10kZQx7ZF_xG0lBFae4jQEUtgsMU"",""All!A2:A""),0)),INDEX(IMPORTRANGE(""13KC70HngS4DDi8y9E5khtSpQEPG6owaQ9z4E-tR5mnY"","&amp;"""Non-Food!B2:B""),MATCH($C493,IMPORTRANGE(""13KC70HngS4DDi8y9E5khtSpQEPG6owaQ9z4E-tR5mnY"",""Non-Food!A2:A""),0))),"""")"),"")</f>
        <v/>
      </c>
      <c r="E493" s="15"/>
      <c r="F493" s="15"/>
      <c r="G493" s="36"/>
      <c r="H493" s="23" t="str">
        <f>IFERROR(__xludf.DUMMYFUNCTION("iferror(iferror(iferror(index(IMPORTRANGE(""1NK5L1mviMn0j3D3uo53ASkIZOFRlLnqaCTnwzOG2_Wg"",""Direct Link!B2:B""),MATCH($C493,IMPORTRANGE(""1NK5L1mviMn0j3D3uo53ASkIZOFRlLnqaCTnwzOG2_Wg"",""Direct Link!A2:A""),0)),XLOOKUP($C493,IMPORTRANGE(""1NK5L1mviMn0j3D"&amp;"3uo53ASkIZOFRlLnqaCTnwzOG2_Wg"",""Direct links Without Sizes!A2:A""),IMPORTRANGE(""1NK5L1mviMn0j3D3uo53ASkIZOFRlLnqaCTnwzOG2_Wg"",""Direct links Without Sizes!B2:B""))),XLOOKUP($C493,IMPORTRANGE(""1NK5L1mviMn0j3D3uo53ASkIZOFRlLnqaCTnwzOG2_Wg"",""Direct li"&amp;"nks Without Sizes!D2:D""),IMPORTRANGE(""1NK5L1mviMn0j3D3uo53ASkIZOFRlLnqaCTnwzOG2_Wg"",""Direct links Without Sizes!E2:E""))),"""")"),"")</f>
        <v/>
      </c>
      <c r="I493" s="4"/>
      <c r="J493" s="24" t="str">
        <f t="shared" si="1"/>
        <v/>
      </c>
      <c r="K493" s="25"/>
      <c r="L493" s="24" t="str">
        <f t="shared" si="2"/>
        <v/>
      </c>
      <c r="M493" s="4"/>
      <c r="N493" s="23"/>
      <c r="O493" s="23"/>
      <c r="P493" s="23"/>
      <c r="Q493" s="4" t="str">
        <f t="shared" si="4"/>
        <v/>
      </c>
      <c r="R493" s="20"/>
      <c r="S493" s="20"/>
    </row>
    <row r="494">
      <c r="A494" s="4"/>
      <c r="B494" s="4"/>
      <c r="C494" s="37"/>
      <c r="D494" s="7" t="str">
        <f>IFERROR(__xludf.DUMMYFUNCTION("iferror(iferror(INDEX(IMPORTRANGE(""12vtnxaE_Q1s4tyr10kZQx7ZF_xG0lBFae4jQEUtgsMU"",""All!B2:B""),MATCH($C494,IMPORTRANGE(""12vtnxaE_Q1s4tyr10kZQx7ZF_xG0lBFae4jQEUtgsMU"",""All!A2:A""),0)),INDEX(IMPORTRANGE(""13KC70HngS4DDi8y9E5khtSpQEPG6owaQ9z4E-tR5mnY"","&amp;"""Non-Food!B2:B""),MATCH($C494,IMPORTRANGE(""13KC70HngS4DDi8y9E5khtSpQEPG6owaQ9z4E-tR5mnY"",""Non-Food!A2:A""),0))),"""")"),"")</f>
        <v/>
      </c>
      <c r="E494" s="15"/>
      <c r="F494" s="15"/>
      <c r="G494" s="36"/>
      <c r="H494" s="23" t="str">
        <f>IFERROR(__xludf.DUMMYFUNCTION("iferror(iferror(iferror(index(IMPORTRANGE(""1NK5L1mviMn0j3D3uo53ASkIZOFRlLnqaCTnwzOG2_Wg"",""Direct Link!B2:B""),MATCH($C494,IMPORTRANGE(""1NK5L1mviMn0j3D3uo53ASkIZOFRlLnqaCTnwzOG2_Wg"",""Direct Link!A2:A""),0)),XLOOKUP($C494,IMPORTRANGE(""1NK5L1mviMn0j3D"&amp;"3uo53ASkIZOFRlLnqaCTnwzOG2_Wg"",""Direct links Without Sizes!A2:A""),IMPORTRANGE(""1NK5L1mviMn0j3D3uo53ASkIZOFRlLnqaCTnwzOG2_Wg"",""Direct links Without Sizes!B2:B""))),XLOOKUP($C494,IMPORTRANGE(""1NK5L1mviMn0j3D3uo53ASkIZOFRlLnqaCTnwzOG2_Wg"",""Direct li"&amp;"nks Without Sizes!D2:D""),IMPORTRANGE(""1NK5L1mviMn0j3D3uo53ASkIZOFRlLnqaCTnwzOG2_Wg"",""Direct links Without Sizes!E2:E""))),"""")"),"")</f>
        <v/>
      </c>
      <c r="I494" s="4"/>
      <c r="J494" s="24" t="str">
        <f t="shared" si="1"/>
        <v/>
      </c>
      <c r="K494" s="25"/>
      <c r="L494" s="24" t="str">
        <f t="shared" si="2"/>
        <v/>
      </c>
      <c r="M494" s="4"/>
      <c r="N494" s="23"/>
      <c r="O494" s="23"/>
      <c r="P494" s="23"/>
      <c r="Q494" s="4" t="str">
        <f t="shared" si="4"/>
        <v/>
      </c>
      <c r="R494" s="20"/>
      <c r="S494" s="20"/>
    </row>
    <row r="495">
      <c r="A495" s="4"/>
      <c r="B495" s="4"/>
      <c r="C495" s="37"/>
      <c r="D495" s="7" t="str">
        <f>IFERROR(__xludf.DUMMYFUNCTION("iferror(iferror(INDEX(IMPORTRANGE(""12vtnxaE_Q1s4tyr10kZQx7ZF_xG0lBFae4jQEUtgsMU"",""All!B2:B""),MATCH($C495,IMPORTRANGE(""12vtnxaE_Q1s4tyr10kZQx7ZF_xG0lBFae4jQEUtgsMU"",""All!A2:A""),0)),INDEX(IMPORTRANGE(""13KC70HngS4DDi8y9E5khtSpQEPG6owaQ9z4E-tR5mnY"","&amp;"""Non-Food!B2:B""),MATCH($C495,IMPORTRANGE(""13KC70HngS4DDi8y9E5khtSpQEPG6owaQ9z4E-tR5mnY"",""Non-Food!A2:A""),0))),"""")"),"")</f>
        <v/>
      </c>
      <c r="E495" s="15"/>
      <c r="F495" s="15"/>
      <c r="G495" s="36"/>
      <c r="H495" s="23" t="str">
        <f>IFERROR(__xludf.DUMMYFUNCTION("iferror(iferror(iferror(index(IMPORTRANGE(""1NK5L1mviMn0j3D3uo53ASkIZOFRlLnqaCTnwzOG2_Wg"",""Direct Link!B2:B""),MATCH($C495,IMPORTRANGE(""1NK5L1mviMn0j3D3uo53ASkIZOFRlLnqaCTnwzOG2_Wg"",""Direct Link!A2:A""),0)),XLOOKUP($C495,IMPORTRANGE(""1NK5L1mviMn0j3D"&amp;"3uo53ASkIZOFRlLnqaCTnwzOG2_Wg"",""Direct links Without Sizes!A2:A""),IMPORTRANGE(""1NK5L1mviMn0j3D3uo53ASkIZOFRlLnqaCTnwzOG2_Wg"",""Direct links Without Sizes!B2:B""))),XLOOKUP($C495,IMPORTRANGE(""1NK5L1mviMn0j3D3uo53ASkIZOFRlLnqaCTnwzOG2_Wg"",""Direct li"&amp;"nks Without Sizes!D2:D""),IMPORTRANGE(""1NK5L1mviMn0j3D3uo53ASkIZOFRlLnqaCTnwzOG2_Wg"",""Direct links Without Sizes!E2:E""))),"""")"),"")</f>
        <v/>
      </c>
      <c r="I495" s="4"/>
      <c r="J495" s="24" t="str">
        <f t="shared" si="1"/>
        <v/>
      </c>
      <c r="K495" s="25"/>
      <c r="L495" s="24" t="str">
        <f t="shared" si="2"/>
        <v/>
      </c>
      <c r="M495" s="4"/>
      <c r="N495" s="23"/>
      <c r="O495" s="23"/>
      <c r="P495" s="23"/>
      <c r="Q495" s="4" t="str">
        <f t="shared" si="4"/>
        <v/>
      </c>
      <c r="R495" s="20"/>
      <c r="S495" s="20"/>
    </row>
    <row r="496">
      <c r="A496" s="4"/>
      <c r="B496" s="4"/>
      <c r="C496" s="37"/>
      <c r="D496" s="7" t="str">
        <f>IFERROR(__xludf.DUMMYFUNCTION("iferror(iferror(INDEX(IMPORTRANGE(""12vtnxaE_Q1s4tyr10kZQx7ZF_xG0lBFae4jQEUtgsMU"",""All!B2:B""),MATCH($C496,IMPORTRANGE(""12vtnxaE_Q1s4tyr10kZQx7ZF_xG0lBFae4jQEUtgsMU"",""All!A2:A""),0)),INDEX(IMPORTRANGE(""13KC70HngS4DDi8y9E5khtSpQEPG6owaQ9z4E-tR5mnY"","&amp;"""Non-Food!B2:B""),MATCH($C496,IMPORTRANGE(""13KC70HngS4DDi8y9E5khtSpQEPG6owaQ9z4E-tR5mnY"",""Non-Food!A2:A""),0))),"""")"),"")</f>
        <v/>
      </c>
      <c r="E496" s="15"/>
      <c r="F496" s="15"/>
      <c r="G496" s="36"/>
      <c r="H496" s="23" t="str">
        <f>IFERROR(__xludf.DUMMYFUNCTION("iferror(iferror(iferror(index(IMPORTRANGE(""1NK5L1mviMn0j3D3uo53ASkIZOFRlLnqaCTnwzOG2_Wg"",""Direct Link!B2:B""),MATCH($C496,IMPORTRANGE(""1NK5L1mviMn0j3D3uo53ASkIZOFRlLnqaCTnwzOG2_Wg"",""Direct Link!A2:A""),0)),XLOOKUP($C496,IMPORTRANGE(""1NK5L1mviMn0j3D"&amp;"3uo53ASkIZOFRlLnqaCTnwzOG2_Wg"",""Direct links Without Sizes!A2:A""),IMPORTRANGE(""1NK5L1mviMn0j3D3uo53ASkIZOFRlLnqaCTnwzOG2_Wg"",""Direct links Without Sizes!B2:B""))),XLOOKUP($C496,IMPORTRANGE(""1NK5L1mviMn0j3D3uo53ASkIZOFRlLnqaCTnwzOG2_Wg"",""Direct li"&amp;"nks Without Sizes!D2:D""),IMPORTRANGE(""1NK5L1mviMn0j3D3uo53ASkIZOFRlLnqaCTnwzOG2_Wg"",""Direct links Without Sizes!E2:E""))),"""")"),"")</f>
        <v/>
      </c>
      <c r="I496" s="4"/>
      <c r="J496" s="24" t="str">
        <f t="shared" si="1"/>
        <v/>
      </c>
      <c r="K496" s="25"/>
      <c r="L496" s="24" t="str">
        <f t="shared" si="2"/>
        <v/>
      </c>
      <c r="M496" s="4"/>
      <c r="N496" s="23"/>
      <c r="O496" s="23"/>
      <c r="P496" s="23"/>
      <c r="Q496" s="4" t="str">
        <f t="shared" si="4"/>
        <v/>
      </c>
      <c r="R496" s="20"/>
      <c r="S496" s="20"/>
    </row>
    <row r="497">
      <c r="A497" s="4"/>
      <c r="B497" s="4"/>
      <c r="C497" s="37"/>
      <c r="D497" s="7" t="str">
        <f>IFERROR(__xludf.DUMMYFUNCTION("iferror(iferror(INDEX(IMPORTRANGE(""12vtnxaE_Q1s4tyr10kZQx7ZF_xG0lBFae4jQEUtgsMU"",""All!B2:B""),MATCH($C497,IMPORTRANGE(""12vtnxaE_Q1s4tyr10kZQx7ZF_xG0lBFae4jQEUtgsMU"",""All!A2:A""),0)),INDEX(IMPORTRANGE(""13KC70HngS4DDi8y9E5khtSpQEPG6owaQ9z4E-tR5mnY"","&amp;"""Non-Food!B2:B""),MATCH($C497,IMPORTRANGE(""13KC70HngS4DDi8y9E5khtSpQEPG6owaQ9z4E-tR5mnY"",""Non-Food!A2:A""),0))),"""")"),"")</f>
        <v/>
      </c>
      <c r="E497" s="15"/>
      <c r="F497" s="15"/>
      <c r="G497" s="36"/>
      <c r="H497" s="23" t="str">
        <f>IFERROR(__xludf.DUMMYFUNCTION("iferror(iferror(iferror(index(IMPORTRANGE(""1NK5L1mviMn0j3D3uo53ASkIZOFRlLnqaCTnwzOG2_Wg"",""Direct Link!B2:B""),MATCH($C497,IMPORTRANGE(""1NK5L1mviMn0j3D3uo53ASkIZOFRlLnqaCTnwzOG2_Wg"",""Direct Link!A2:A""),0)),XLOOKUP($C497,IMPORTRANGE(""1NK5L1mviMn0j3D"&amp;"3uo53ASkIZOFRlLnqaCTnwzOG2_Wg"",""Direct links Without Sizes!A2:A""),IMPORTRANGE(""1NK5L1mviMn0j3D3uo53ASkIZOFRlLnqaCTnwzOG2_Wg"",""Direct links Without Sizes!B2:B""))),XLOOKUP($C497,IMPORTRANGE(""1NK5L1mviMn0j3D3uo53ASkIZOFRlLnqaCTnwzOG2_Wg"",""Direct li"&amp;"nks Without Sizes!D2:D""),IMPORTRANGE(""1NK5L1mviMn0j3D3uo53ASkIZOFRlLnqaCTnwzOG2_Wg"",""Direct links Without Sizes!E2:E""))),"""")"),"")</f>
        <v/>
      </c>
      <c r="I497" s="4"/>
      <c r="J497" s="24" t="str">
        <f t="shared" si="1"/>
        <v/>
      </c>
      <c r="K497" s="25"/>
      <c r="L497" s="24" t="str">
        <f t="shared" si="2"/>
        <v/>
      </c>
      <c r="M497" s="4"/>
      <c r="N497" s="23"/>
      <c r="O497" s="23"/>
      <c r="P497" s="23"/>
      <c r="Q497" s="4" t="str">
        <f t="shared" si="4"/>
        <v/>
      </c>
      <c r="R497" s="20"/>
      <c r="S497" s="20"/>
    </row>
    <row r="498">
      <c r="A498" s="4"/>
      <c r="B498" s="4"/>
      <c r="C498" s="37"/>
      <c r="D498" s="7" t="str">
        <f>IFERROR(__xludf.DUMMYFUNCTION("iferror(iferror(INDEX(IMPORTRANGE(""12vtnxaE_Q1s4tyr10kZQx7ZF_xG0lBFae4jQEUtgsMU"",""All!B2:B""),MATCH($C498,IMPORTRANGE(""12vtnxaE_Q1s4tyr10kZQx7ZF_xG0lBFae4jQEUtgsMU"",""All!A2:A""),0)),INDEX(IMPORTRANGE(""13KC70HngS4DDi8y9E5khtSpQEPG6owaQ9z4E-tR5mnY"","&amp;"""Non-Food!B2:B""),MATCH($C498,IMPORTRANGE(""13KC70HngS4DDi8y9E5khtSpQEPG6owaQ9z4E-tR5mnY"",""Non-Food!A2:A""),0))),"""")"),"")</f>
        <v/>
      </c>
      <c r="E498" s="15"/>
      <c r="F498" s="15"/>
      <c r="G498" s="36"/>
      <c r="H498" s="23" t="str">
        <f>IFERROR(__xludf.DUMMYFUNCTION("iferror(iferror(iferror(index(IMPORTRANGE(""1NK5L1mviMn0j3D3uo53ASkIZOFRlLnqaCTnwzOG2_Wg"",""Direct Link!B2:B""),MATCH($C498,IMPORTRANGE(""1NK5L1mviMn0j3D3uo53ASkIZOFRlLnqaCTnwzOG2_Wg"",""Direct Link!A2:A""),0)),XLOOKUP($C498,IMPORTRANGE(""1NK5L1mviMn0j3D"&amp;"3uo53ASkIZOFRlLnqaCTnwzOG2_Wg"",""Direct links Without Sizes!A2:A""),IMPORTRANGE(""1NK5L1mviMn0j3D3uo53ASkIZOFRlLnqaCTnwzOG2_Wg"",""Direct links Without Sizes!B2:B""))),XLOOKUP($C498,IMPORTRANGE(""1NK5L1mviMn0j3D3uo53ASkIZOFRlLnqaCTnwzOG2_Wg"",""Direct li"&amp;"nks Without Sizes!D2:D""),IMPORTRANGE(""1NK5L1mviMn0j3D3uo53ASkIZOFRlLnqaCTnwzOG2_Wg"",""Direct links Without Sizes!E2:E""))),"""")"),"")</f>
        <v/>
      </c>
      <c r="I498" s="4"/>
      <c r="J498" s="24" t="str">
        <f t="shared" si="1"/>
        <v/>
      </c>
      <c r="K498" s="25"/>
      <c r="L498" s="24" t="str">
        <f t="shared" si="2"/>
        <v/>
      </c>
      <c r="M498" s="4"/>
      <c r="N498" s="23"/>
      <c r="O498" s="23"/>
      <c r="P498" s="23"/>
      <c r="Q498" s="4" t="str">
        <f t="shared" si="4"/>
        <v/>
      </c>
      <c r="R498" s="20"/>
      <c r="S498" s="20"/>
    </row>
    <row r="499">
      <c r="A499" s="4"/>
      <c r="B499" s="4"/>
      <c r="C499" s="37"/>
      <c r="D499" s="7" t="str">
        <f>IFERROR(__xludf.DUMMYFUNCTION("iferror(iferror(INDEX(IMPORTRANGE(""12vtnxaE_Q1s4tyr10kZQx7ZF_xG0lBFae4jQEUtgsMU"",""All!B2:B""),MATCH($C499,IMPORTRANGE(""12vtnxaE_Q1s4tyr10kZQx7ZF_xG0lBFae4jQEUtgsMU"",""All!A2:A""),0)),INDEX(IMPORTRANGE(""13KC70HngS4DDi8y9E5khtSpQEPG6owaQ9z4E-tR5mnY"","&amp;"""Non-Food!B2:B""),MATCH($C499,IMPORTRANGE(""13KC70HngS4DDi8y9E5khtSpQEPG6owaQ9z4E-tR5mnY"",""Non-Food!A2:A""),0))),"""")"),"")</f>
        <v/>
      </c>
      <c r="E499" s="15"/>
      <c r="F499" s="15"/>
      <c r="G499" s="36"/>
      <c r="H499" s="23" t="str">
        <f>IFERROR(__xludf.DUMMYFUNCTION("iferror(iferror(iferror(index(IMPORTRANGE(""1NK5L1mviMn0j3D3uo53ASkIZOFRlLnqaCTnwzOG2_Wg"",""Direct Link!B2:B""),MATCH($C499,IMPORTRANGE(""1NK5L1mviMn0j3D3uo53ASkIZOFRlLnqaCTnwzOG2_Wg"",""Direct Link!A2:A""),0)),XLOOKUP($C499,IMPORTRANGE(""1NK5L1mviMn0j3D"&amp;"3uo53ASkIZOFRlLnqaCTnwzOG2_Wg"",""Direct links Without Sizes!A2:A""),IMPORTRANGE(""1NK5L1mviMn0j3D3uo53ASkIZOFRlLnqaCTnwzOG2_Wg"",""Direct links Without Sizes!B2:B""))),XLOOKUP($C499,IMPORTRANGE(""1NK5L1mviMn0j3D3uo53ASkIZOFRlLnqaCTnwzOG2_Wg"",""Direct li"&amp;"nks Without Sizes!D2:D""),IMPORTRANGE(""1NK5L1mviMn0j3D3uo53ASkIZOFRlLnqaCTnwzOG2_Wg"",""Direct links Without Sizes!E2:E""))),"""")"),"")</f>
        <v/>
      </c>
      <c r="I499" s="4"/>
      <c r="J499" s="24" t="str">
        <f t="shared" si="1"/>
        <v/>
      </c>
      <c r="K499" s="25"/>
      <c r="L499" s="24" t="str">
        <f t="shared" si="2"/>
        <v/>
      </c>
      <c r="M499" s="4"/>
      <c r="N499" s="23"/>
      <c r="O499" s="23"/>
      <c r="P499" s="23"/>
      <c r="Q499" s="4" t="str">
        <f t="shared" si="4"/>
        <v/>
      </c>
      <c r="R499" s="20"/>
      <c r="S499" s="20"/>
    </row>
    <row r="500">
      <c r="A500" s="4"/>
      <c r="B500" s="4"/>
      <c r="C500" s="37"/>
      <c r="D500" s="7" t="str">
        <f>IFERROR(__xludf.DUMMYFUNCTION("iferror(iferror(INDEX(IMPORTRANGE(""12vtnxaE_Q1s4tyr10kZQx7ZF_xG0lBFae4jQEUtgsMU"",""All!B2:B""),MATCH($C500,IMPORTRANGE(""12vtnxaE_Q1s4tyr10kZQx7ZF_xG0lBFae4jQEUtgsMU"",""All!A2:A""),0)),INDEX(IMPORTRANGE(""13KC70HngS4DDi8y9E5khtSpQEPG6owaQ9z4E-tR5mnY"","&amp;"""Non-Food!B2:B""),MATCH($C500,IMPORTRANGE(""13KC70HngS4DDi8y9E5khtSpQEPG6owaQ9z4E-tR5mnY"",""Non-Food!A2:A""),0))),"""")"),"")</f>
        <v/>
      </c>
      <c r="E500" s="15"/>
      <c r="F500" s="15"/>
      <c r="G500" s="36"/>
      <c r="H500" s="23" t="str">
        <f>IFERROR(__xludf.DUMMYFUNCTION("iferror(iferror(iferror(index(IMPORTRANGE(""1NK5L1mviMn0j3D3uo53ASkIZOFRlLnqaCTnwzOG2_Wg"",""Direct Link!B2:B""),MATCH($C500,IMPORTRANGE(""1NK5L1mviMn0j3D3uo53ASkIZOFRlLnqaCTnwzOG2_Wg"",""Direct Link!A2:A""),0)),XLOOKUP($C500,IMPORTRANGE(""1NK5L1mviMn0j3D"&amp;"3uo53ASkIZOFRlLnqaCTnwzOG2_Wg"",""Direct links Without Sizes!A2:A""),IMPORTRANGE(""1NK5L1mviMn0j3D3uo53ASkIZOFRlLnqaCTnwzOG2_Wg"",""Direct links Without Sizes!B2:B""))),XLOOKUP($C500,IMPORTRANGE(""1NK5L1mviMn0j3D3uo53ASkIZOFRlLnqaCTnwzOG2_Wg"",""Direct li"&amp;"nks Without Sizes!D2:D""),IMPORTRANGE(""1NK5L1mviMn0j3D3uo53ASkIZOFRlLnqaCTnwzOG2_Wg"",""Direct links Without Sizes!E2:E""))),"""")"),"")</f>
        <v/>
      </c>
      <c r="I500" s="4"/>
      <c r="J500" s="24" t="str">
        <f t="shared" si="1"/>
        <v/>
      </c>
      <c r="K500" s="25"/>
      <c r="L500" s="24" t="str">
        <f t="shared" si="2"/>
        <v/>
      </c>
      <c r="M500" s="4"/>
      <c r="N500" s="23"/>
      <c r="O500" s="23"/>
      <c r="P500" s="23"/>
      <c r="Q500" s="4" t="str">
        <f t="shared" si="4"/>
        <v/>
      </c>
      <c r="R500" s="20"/>
      <c r="S500" s="20"/>
    </row>
    <row r="501">
      <c r="A501" s="4"/>
      <c r="B501" s="4"/>
      <c r="C501" s="37"/>
      <c r="D501" s="7" t="str">
        <f>IFERROR(__xludf.DUMMYFUNCTION("iferror(iferror(INDEX(IMPORTRANGE(""12vtnxaE_Q1s4tyr10kZQx7ZF_xG0lBFae4jQEUtgsMU"",""All!B2:B""),MATCH($C501,IMPORTRANGE(""12vtnxaE_Q1s4tyr10kZQx7ZF_xG0lBFae4jQEUtgsMU"",""All!A2:A""),0)),INDEX(IMPORTRANGE(""13KC70HngS4DDi8y9E5khtSpQEPG6owaQ9z4E-tR5mnY"","&amp;"""Non-Food!B2:B""),MATCH($C501,IMPORTRANGE(""13KC70HngS4DDi8y9E5khtSpQEPG6owaQ9z4E-tR5mnY"",""Non-Food!A2:A""),0))),"""")"),"")</f>
        <v/>
      </c>
      <c r="E501" s="15"/>
      <c r="F501" s="15"/>
      <c r="G501" s="36"/>
      <c r="H501" s="23" t="str">
        <f>IFERROR(__xludf.DUMMYFUNCTION("iferror(iferror(iferror(index(IMPORTRANGE(""1NK5L1mviMn0j3D3uo53ASkIZOFRlLnqaCTnwzOG2_Wg"",""Direct Link!B2:B""),MATCH($C501,IMPORTRANGE(""1NK5L1mviMn0j3D3uo53ASkIZOFRlLnqaCTnwzOG2_Wg"",""Direct Link!A2:A""),0)),XLOOKUP($C501,IMPORTRANGE(""1NK5L1mviMn0j3D"&amp;"3uo53ASkIZOFRlLnqaCTnwzOG2_Wg"",""Direct links Without Sizes!A2:A""),IMPORTRANGE(""1NK5L1mviMn0j3D3uo53ASkIZOFRlLnqaCTnwzOG2_Wg"",""Direct links Without Sizes!B2:B""))),XLOOKUP($C501,IMPORTRANGE(""1NK5L1mviMn0j3D3uo53ASkIZOFRlLnqaCTnwzOG2_Wg"",""Direct li"&amp;"nks Without Sizes!D2:D""),IMPORTRANGE(""1NK5L1mviMn0j3D3uo53ASkIZOFRlLnqaCTnwzOG2_Wg"",""Direct links Without Sizes!E2:E""))),"""")"),"")</f>
        <v/>
      </c>
      <c r="I501" s="4"/>
      <c r="J501" s="24" t="str">
        <f t="shared" si="1"/>
        <v/>
      </c>
      <c r="K501" s="25"/>
      <c r="L501" s="24" t="str">
        <f t="shared" si="2"/>
        <v/>
      </c>
      <c r="M501" s="4"/>
      <c r="N501" s="23"/>
      <c r="O501" s="23"/>
      <c r="P501" s="23"/>
      <c r="Q501" s="4" t="str">
        <f t="shared" si="4"/>
        <v/>
      </c>
      <c r="R501" s="20"/>
      <c r="S501" s="20"/>
    </row>
    <row r="502">
      <c r="A502" s="4"/>
      <c r="B502" s="4"/>
      <c r="C502" s="37"/>
      <c r="D502" s="7" t="str">
        <f>IFERROR(__xludf.DUMMYFUNCTION("iferror(iferror(INDEX(IMPORTRANGE(""12vtnxaE_Q1s4tyr10kZQx7ZF_xG0lBFae4jQEUtgsMU"",""All!B2:B""),MATCH($C502,IMPORTRANGE(""12vtnxaE_Q1s4tyr10kZQx7ZF_xG0lBFae4jQEUtgsMU"",""All!A2:A""),0)),INDEX(IMPORTRANGE(""13KC70HngS4DDi8y9E5khtSpQEPG6owaQ9z4E-tR5mnY"","&amp;"""Non-Food!B2:B""),MATCH($C502,IMPORTRANGE(""13KC70HngS4DDi8y9E5khtSpQEPG6owaQ9z4E-tR5mnY"",""Non-Food!A2:A""),0))),"""")"),"")</f>
        <v/>
      </c>
      <c r="E502" s="15"/>
      <c r="F502" s="15"/>
      <c r="G502" s="36"/>
      <c r="H502" s="23" t="str">
        <f>IFERROR(__xludf.DUMMYFUNCTION("iferror(iferror(iferror(index(IMPORTRANGE(""1NK5L1mviMn0j3D3uo53ASkIZOFRlLnqaCTnwzOG2_Wg"",""Direct Link!B2:B""),MATCH($C502,IMPORTRANGE(""1NK5L1mviMn0j3D3uo53ASkIZOFRlLnqaCTnwzOG2_Wg"",""Direct Link!A2:A""),0)),XLOOKUP($C502,IMPORTRANGE(""1NK5L1mviMn0j3D"&amp;"3uo53ASkIZOFRlLnqaCTnwzOG2_Wg"",""Direct links Without Sizes!A2:A""),IMPORTRANGE(""1NK5L1mviMn0j3D3uo53ASkIZOFRlLnqaCTnwzOG2_Wg"",""Direct links Without Sizes!B2:B""))),XLOOKUP($C502,IMPORTRANGE(""1NK5L1mviMn0j3D3uo53ASkIZOFRlLnqaCTnwzOG2_Wg"",""Direct li"&amp;"nks Without Sizes!D2:D""),IMPORTRANGE(""1NK5L1mviMn0j3D3uo53ASkIZOFRlLnqaCTnwzOG2_Wg"",""Direct links Without Sizes!E2:E""))),"""")"),"")</f>
        <v/>
      </c>
      <c r="I502" s="4"/>
      <c r="J502" s="24" t="str">
        <f t="shared" si="1"/>
        <v/>
      </c>
      <c r="K502" s="25"/>
      <c r="L502" s="24" t="str">
        <f t="shared" si="2"/>
        <v/>
      </c>
      <c r="M502" s="4"/>
      <c r="N502" s="23"/>
      <c r="O502" s="23"/>
      <c r="P502" s="23"/>
      <c r="Q502" s="4" t="str">
        <f t="shared" si="4"/>
        <v/>
      </c>
      <c r="R502" s="20"/>
      <c r="S502" s="20"/>
    </row>
    <row r="503">
      <c r="A503" s="4"/>
      <c r="B503" s="4"/>
      <c r="C503" s="37"/>
      <c r="D503" s="7" t="str">
        <f>IFERROR(__xludf.DUMMYFUNCTION("iferror(iferror(INDEX(IMPORTRANGE(""12vtnxaE_Q1s4tyr10kZQx7ZF_xG0lBFae4jQEUtgsMU"",""All!B2:B""),MATCH($C503,IMPORTRANGE(""12vtnxaE_Q1s4tyr10kZQx7ZF_xG0lBFae4jQEUtgsMU"",""All!A2:A""),0)),INDEX(IMPORTRANGE(""13KC70HngS4DDi8y9E5khtSpQEPG6owaQ9z4E-tR5mnY"","&amp;"""Non-Food!B2:B""),MATCH($C503,IMPORTRANGE(""13KC70HngS4DDi8y9E5khtSpQEPG6owaQ9z4E-tR5mnY"",""Non-Food!A2:A""),0))),"""")"),"")</f>
        <v/>
      </c>
      <c r="E503" s="15"/>
      <c r="F503" s="15"/>
      <c r="G503" s="36"/>
      <c r="H503" s="23" t="str">
        <f>IFERROR(__xludf.DUMMYFUNCTION("iferror(iferror(iferror(index(IMPORTRANGE(""1NK5L1mviMn0j3D3uo53ASkIZOFRlLnqaCTnwzOG2_Wg"",""Direct Link!B2:B""),MATCH($C503,IMPORTRANGE(""1NK5L1mviMn0j3D3uo53ASkIZOFRlLnqaCTnwzOG2_Wg"",""Direct Link!A2:A""),0)),XLOOKUP($C503,IMPORTRANGE(""1NK5L1mviMn0j3D"&amp;"3uo53ASkIZOFRlLnqaCTnwzOG2_Wg"",""Direct links Without Sizes!A2:A""),IMPORTRANGE(""1NK5L1mviMn0j3D3uo53ASkIZOFRlLnqaCTnwzOG2_Wg"",""Direct links Without Sizes!B2:B""))),XLOOKUP($C503,IMPORTRANGE(""1NK5L1mviMn0j3D3uo53ASkIZOFRlLnqaCTnwzOG2_Wg"",""Direct li"&amp;"nks Without Sizes!D2:D""),IMPORTRANGE(""1NK5L1mviMn0j3D3uo53ASkIZOFRlLnqaCTnwzOG2_Wg"",""Direct links Without Sizes!E2:E""))),"""")"),"")</f>
        <v/>
      </c>
      <c r="I503" s="4"/>
      <c r="J503" s="24" t="str">
        <f t="shared" si="1"/>
        <v/>
      </c>
      <c r="K503" s="25"/>
      <c r="L503" s="24" t="str">
        <f t="shared" si="2"/>
        <v/>
      </c>
      <c r="M503" s="4"/>
      <c r="N503" s="23"/>
      <c r="O503" s="23"/>
      <c r="P503" s="23"/>
      <c r="Q503" s="4" t="str">
        <f t="shared" si="4"/>
        <v/>
      </c>
      <c r="R503" s="20"/>
      <c r="S503" s="20"/>
    </row>
    <row r="504">
      <c r="A504" s="4"/>
      <c r="B504" s="4"/>
      <c r="C504" s="37"/>
      <c r="D504" s="7" t="str">
        <f>IFERROR(__xludf.DUMMYFUNCTION("iferror(iferror(INDEX(IMPORTRANGE(""12vtnxaE_Q1s4tyr10kZQx7ZF_xG0lBFae4jQEUtgsMU"",""All!B2:B""),MATCH($C504,IMPORTRANGE(""12vtnxaE_Q1s4tyr10kZQx7ZF_xG0lBFae4jQEUtgsMU"",""All!A2:A""),0)),INDEX(IMPORTRANGE(""13KC70HngS4DDi8y9E5khtSpQEPG6owaQ9z4E-tR5mnY"","&amp;"""Non-Food!B2:B""),MATCH($C504,IMPORTRANGE(""13KC70HngS4DDi8y9E5khtSpQEPG6owaQ9z4E-tR5mnY"",""Non-Food!A2:A""),0))),"""")"),"")</f>
        <v/>
      </c>
      <c r="E504" s="15"/>
      <c r="F504" s="15"/>
      <c r="G504" s="36"/>
      <c r="H504" s="23" t="str">
        <f>IFERROR(__xludf.DUMMYFUNCTION("iferror(iferror(iferror(index(IMPORTRANGE(""1NK5L1mviMn0j3D3uo53ASkIZOFRlLnqaCTnwzOG2_Wg"",""Direct Link!B2:B""),MATCH($C504,IMPORTRANGE(""1NK5L1mviMn0j3D3uo53ASkIZOFRlLnqaCTnwzOG2_Wg"",""Direct Link!A2:A""),0)),XLOOKUP($C504,IMPORTRANGE(""1NK5L1mviMn0j3D"&amp;"3uo53ASkIZOFRlLnqaCTnwzOG2_Wg"",""Direct links Without Sizes!A2:A""),IMPORTRANGE(""1NK5L1mviMn0j3D3uo53ASkIZOFRlLnqaCTnwzOG2_Wg"",""Direct links Without Sizes!B2:B""))),XLOOKUP($C504,IMPORTRANGE(""1NK5L1mviMn0j3D3uo53ASkIZOFRlLnqaCTnwzOG2_Wg"",""Direct li"&amp;"nks Without Sizes!D2:D""),IMPORTRANGE(""1NK5L1mviMn0j3D3uo53ASkIZOFRlLnqaCTnwzOG2_Wg"",""Direct links Without Sizes!E2:E""))),"""")"),"")</f>
        <v/>
      </c>
      <c r="I504" s="4"/>
      <c r="J504" s="24" t="str">
        <f t="shared" si="1"/>
        <v/>
      </c>
      <c r="K504" s="25"/>
      <c r="L504" s="24" t="str">
        <f t="shared" si="2"/>
        <v/>
      </c>
      <c r="M504" s="4"/>
      <c r="N504" s="23"/>
      <c r="O504" s="23"/>
      <c r="P504" s="23"/>
      <c r="Q504" s="4" t="str">
        <f t="shared" si="4"/>
        <v/>
      </c>
      <c r="R504" s="20"/>
      <c r="S504" s="20"/>
    </row>
    <row r="505">
      <c r="A505" s="4"/>
      <c r="B505" s="4"/>
      <c r="C505" s="37"/>
      <c r="D505" s="7" t="str">
        <f>IFERROR(__xludf.DUMMYFUNCTION("iferror(iferror(INDEX(IMPORTRANGE(""12vtnxaE_Q1s4tyr10kZQx7ZF_xG0lBFae4jQEUtgsMU"",""All!B2:B""),MATCH($C505,IMPORTRANGE(""12vtnxaE_Q1s4tyr10kZQx7ZF_xG0lBFae4jQEUtgsMU"",""All!A2:A""),0)),INDEX(IMPORTRANGE(""13KC70HngS4DDi8y9E5khtSpQEPG6owaQ9z4E-tR5mnY"","&amp;"""Non-Food!B2:B""),MATCH($C505,IMPORTRANGE(""13KC70HngS4DDi8y9E5khtSpQEPG6owaQ9z4E-tR5mnY"",""Non-Food!A2:A""),0))),"""")"),"")</f>
        <v/>
      </c>
      <c r="E505" s="15"/>
      <c r="F505" s="15"/>
      <c r="G505" s="36"/>
      <c r="H505" s="23" t="str">
        <f>IFERROR(__xludf.DUMMYFUNCTION("iferror(iferror(iferror(index(IMPORTRANGE(""1NK5L1mviMn0j3D3uo53ASkIZOFRlLnqaCTnwzOG2_Wg"",""Direct Link!B2:B""),MATCH($C505,IMPORTRANGE(""1NK5L1mviMn0j3D3uo53ASkIZOFRlLnqaCTnwzOG2_Wg"",""Direct Link!A2:A""),0)),XLOOKUP($C505,IMPORTRANGE(""1NK5L1mviMn0j3D"&amp;"3uo53ASkIZOFRlLnqaCTnwzOG2_Wg"",""Direct links Without Sizes!A2:A""),IMPORTRANGE(""1NK5L1mviMn0j3D3uo53ASkIZOFRlLnqaCTnwzOG2_Wg"",""Direct links Without Sizes!B2:B""))),XLOOKUP($C505,IMPORTRANGE(""1NK5L1mviMn0j3D3uo53ASkIZOFRlLnqaCTnwzOG2_Wg"",""Direct li"&amp;"nks Without Sizes!D2:D""),IMPORTRANGE(""1NK5L1mviMn0j3D3uo53ASkIZOFRlLnqaCTnwzOG2_Wg"",""Direct links Without Sizes!E2:E""))),"""")"),"")</f>
        <v/>
      </c>
      <c r="I505" s="4"/>
      <c r="J505" s="24" t="str">
        <f t="shared" si="1"/>
        <v/>
      </c>
      <c r="K505" s="25"/>
      <c r="L505" s="24" t="str">
        <f t="shared" si="2"/>
        <v/>
      </c>
      <c r="M505" s="4"/>
      <c r="N505" s="23"/>
      <c r="O505" s="23"/>
      <c r="P505" s="23"/>
      <c r="Q505" s="4" t="str">
        <f t="shared" si="4"/>
        <v/>
      </c>
      <c r="R505" s="20"/>
      <c r="S505" s="20"/>
    </row>
    <row r="506">
      <c r="A506" s="4"/>
      <c r="B506" s="4"/>
      <c r="C506" s="37"/>
      <c r="D506" s="7" t="str">
        <f>IFERROR(__xludf.DUMMYFUNCTION("iferror(iferror(INDEX(IMPORTRANGE(""12vtnxaE_Q1s4tyr10kZQx7ZF_xG0lBFae4jQEUtgsMU"",""All!B2:B""),MATCH($C506,IMPORTRANGE(""12vtnxaE_Q1s4tyr10kZQx7ZF_xG0lBFae4jQEUtgsMU"",""All!A2:A""),0)),INDEX(IMPORTRANGE(""13KC70HngS4DDi8y9E5khtSpQEPG6owaQ9z4E-tR5mnY"","&amp;"""Non-Food!B2:B""),MATCH($C506,IMPORTRANGE(""13KC70HngS4DDi8y9E5khtSpQEPG6owaQ9z4E-tR5mnY"",""Non-Food!A2:A""),0))),"""")"),"")</f>
        <v/>
      </c>
      <c r="E506" s="15"/>
      <c r="F506" s="15"/>
      <c r="G506" s="36"/>
      <c r="H506" s="23" t="str">
        <f>IFERROR(__xludf.DUMMYFUNCTION("iferror(iferror(iferror(index(IMPORTRANGE(""1NK5L1mviMn0j3D3uo53ASkIZOFRlLnqaCTnwzOG2_Wg"",""Direct Link!B2:B""),MATCH($C506,IMPORTRANGE(""1NK5L1mviMn0j3D3uo53ASkIZOFRlLnqaCTnwzOG2_Wg"",""Direct Link!A2:A""),0)),XLOOKUP($C506,IMPORTRANGE(""1NK5L1mviMn0j3D"&amp;"3uo53ASkIZOFRlLnqaCTnwzOG2_Wg"",""Direct links Without Sizes!A2:A""),IMPORTRANGE(""1NK5L1mviMn0j3D3uo53ASkIZOFRlLnqaCTnwzOG2_Wg"",""Direct links Without Sizes!B2:B""))),XLOOKUP($C506,IMPORTRANGE(""1NK5L1mviMn0j3D3uo53ASkIZOFRlLnqaCTnwzOG2_Wg"",""Direct li"&amp;"nks Without Sizes!D2:D""),IMPORTRANGE(""1NK5L1mviMn0j3D3uo53ASkIZOFRlLnqaCTnwzOG2_Wg"",""Direct links Without Sizes!E2:E""))),"""")"),"")</f>
        <v/>
      </c>
      <c r="I506" s="4"/>
      <c r="J506" s="24" t="str">
        <f t="shared" si="1"/>
        <v/>
      </c>
      <c r="K506" s="25"/>
      <c r="L506" s="24" t="str">
        <f t="shared" si="2"/>
        <v/>
      </c>
      <c r="M506" s="4"/>
      <c r="N506" s="23"/>
      <c r="O506" s="23"/>
      <c r="P506" s="23"/>
      <c r="Q506" s="4" t="str">
        <f t="shared" si="4"/>
        <v/>
      </c>
      <c r="R506" s="20"/>
      <c r="S506" s="20"/>
    </row>
    <row r="507">
      <c r="A507" s="4"/>
      <c r="B507" s="4"/>
      <c r="C507" s="37"/>
      <c r="D507" s="7" t="str">
        <f>IFERROR(__xludf.DUMMYFUNCTION("iferror(iferror(INDEX(IMPORTRANGE(""12vtnxaE_Q1s4tyr10kZQx7ZF_xG0lBFae4jQEUtgsMU"",""All!B2:B""),MATCH($C507,IMPORTRANGE(""12vtnxaE_Q1s4tyr10kZQx7ZF_xG0lBFae4jQEUtgsMU"",""All!A2:A""),0)),INDEX(IMPORTRANGE(""13KC70HngS4DDi8y9E5khtSpQEPG6owaQ9z4E-tR5mnY"","&amp;"""Non-Food!B2:B""),MATCH($C507,IMPORTRANGE(""13KC70HngS4DDi8y9E5khtSpQEPG6owaQ9z4E-tR5mnY"",""Non-Food!A2:A""),0))),"""")"),"")</f>
        <v/>
      </c>
      <c r="E507" s="15"/>
      <c r="F507" s="15"/>
      <c r="G507" s="36"/>
      <c r="H507" s="23" t="str">
        <f>IFERROR(__xludf.DUMMYFUNCTION("iferror(iferror(iferror(index(IMPORTRANGE(""1NK5L1mviMn0j3D3uo53ASkIZOFRlLnqaCTnwzOG2_Wg"",""Direct Link!B2:B""),MATCH($C507,IMPORTRANGE(""1NK5L1mviMn0j3D3uo53ASkIZOFRlLnqaCTnwzOG2_Wg"",""Direct Link!A2:A""),0)),XLOOKUP($C507,IMPORTRANGE(""1NK5L1mviMn0j3D"&amp;"3uo53ASkIZOFRlLnqaCTnwzOG2_Wg"",""Direct links Without Sizes!A2:A""),IMPORTRANGE(""1NK5L1mviMn0j3D3uo53ASkIZOFRlLnqaCTnwzOG2_Wg"",""Direct links Without Sizes!B2:B""))),XLOOKUP($C507,IMPORTRANGE(""1NK5L1mviMn0j3D3uo53ASkIZOFRlLnqaCTnwzOG2_Wg"",""Direct li"&amp;"nks Without Sizes!D2:D""),IMPORTRANGE(""1NK5L1mviMn0j3D3uo53ASkIZOFRlLnqaCTnwzOG2_Wg"",""Direct links Without Sizes!E2:E""))),"""")"),"")</f>
        <v/>
      </c>
      <c r="I507" s="4"/>
      <c r="J507" s="24" t="str">
        <f t="shared" si="1"/>
        <v/>
      </c>
      <c r="K507" s="25"/>
      <c r="L507" s="24" t="str">
        <f t="shared" si="2"/>
        <v/>
      </c>
      <c r="M507" s="4"/>
      <c r="N507" s="23"/>
      <c r="O507" s="23"/>
      <c r="P507" s="23"/>
      <c r="Q507" s="4" t="str">
        <f t="shared" si="4"/>
        <v/>
      </c>
      <c r="R507" s="20"/>
      <c r="S507" s="20"/>
    </row>
    <row r="508">
      <c r="A508" s="4"/>
      <c r="B508" s="4"/>
      <c r="C508" s="37"/>
      <c r="D508" s="7" t="str">
        <f>IFERROR(__xludf.DUMMYFUNCTION("iferror(iferror(INDEX(IMPORTRANGE(""12vtnxaE_Q1s4tyr10kZQx7ZF_xG0lBFae4jQEUtgsMU"",""All!B2:B""),MATCH($C508,IMPORTRANGE(""12vtnxaE_Q1s4tyr10kZQx7ZF_xG0lBFae4jQEUtgsMU"",""All!A2:A""),0)),INDEX(IMPORTRANGE(""13KC70HngS4DDi8y9E5khtSpQEPG6owaQ9z4E-tR5mnY"","&amp;"""Non-Food!B2:B""),MATCH($C508,IMPORTRANGE(""13KC70HngS4DDi8y9E5khtSpQEPG6owaQ9z4E-tR5mnY"",""Non-Food!A2:A""),0))),"""")"),"")</f>
        <v/>
      </c>
      <c r="E508" s="15"/>
      <c r="F508" s="15"/>
      <c r="G508" s="36"/>
      <c r="H508" s="23" t="str">
        <f>IFERROR(__xludf.DUMMYFUNCTION("iferror(iferror(iferror(index(IMPORTRANGE(""1NK5L1mviMn0j3D3uo53ASkIZOFRlLnqaCTnwzOG2_Wg"",""Direct Link!B2:B""),MATCH($C508,IMPORTRANGE(""1NK5L1mviMn0j3D3uo53ASkIZOFRlLnqaCTnwzOG2_Wg"",""Direct Link!A2:A""),0)),XLOOKUP($C508,IMPORTRANGE(""1NK5L1mviMn0j3D"&amp;"3uo53ASkIZOFRlLnqaCTnwzOG2_Wg"",""Direct links Without Sizes!A2:A""),IMPORTRANGE(""1NK5L1mviMn0j3D3uo53ASkIZOFRlLnqaCTnwzOG2_Wg"",""Direct links Without Sizes!B2:B""))),XLOOKUP($C508,IMPORTRANGE(""1NK5L1mviMn0j3D3uo53ASkIZOFRlLnqaCTnwzOG2_Wg"",""Direct li"&amp;"nks Without Sizes!D2:D""),IMPORTRANGE(""1NK5L1mviMn0j3D3uo53ASkIZOFRlLnqaCTnwzOG2_Wg"",""Direct links Without Sizes!E2:E""))),"""")"),"")</f>
        <v/>
      </c>
      <c r="I508" s="4"/>
      <c r="J508" s="24" t="str">
        <f t="shared" si="1"/>
        <v/>
      </c>
      <c r="K508" s="25"/>
      <c r="L508" s="24" t="str">
        <f t="shared" si="2"/>
        <v/>
      </c>
      <c r="M508" s="4"/>
      <c r="N508" s="23"/>
      <c r="O508" s="23"/>
      <c r="P508" s="23"/>
      <c r="Q508" s="4" t="str">
        <f t="shared" si="4"/>
        <v/>
      </c>
      <c r="R508" s="20"/>
      <c r="S508" s="20"/>
    </row>
    <row r="509">
      <c r="A509" s="4"/>
      <c r="B509" s="4"/>
      <c r="C509" s="37"/>
      <c r="D509" s="7" t="str">
        <f>IFERROR(__xludf.DUMMYFUNCTION("iferror(iferror(INDEX(IMPORTRANGE(""12vtnxaE_Q1s4tyr10kZQx7ZF_xG0lBFae4jQEUtgsMU"",""All!B2:B""),MATCH($C509,IMPORTRANGE(""12vtnxaE_Q1s4tyr10kZQx7ZF_xG0lBFae4jQEUtgsMU"",""All!A2:A""),0)),INDEX(IMPORTRANGE(""13KC70HngS4DDi8y9E5khtSpQEPG6owaQ9z4E-tR5mnY"","&amp;"""Non-Food!B2:B""),MATCH($C509,IMPORTRANGE(""13KC70HngS4DDi8y9E5khtSpQEPG6owaQ9z4E-tR5mnY"",""Non-Food!A2:A""),0))),"""")"),"")</f>
        <v/>
      </c>
      <c r="E509" s="15"/>
      <c r="F509" s="15"/>
      <c r="G509" s="36"/>
      <c r="H509" s="23" t="str">
        <f>IFERROR(__xludf.DUMMYFUNCTION("iferror(iferror(iferror(index(IMPORTRANGE(""1NK5L1mviMn0j3D3uo53ASkIZOFRlLnqaCTnwzOG2_Wg"",""Direct Link!B2:B""),MATCH($C509,IMPORTRANGE(""1NK5L1mviMn0j3D3uo53ASkIZOFRlLnqaCTnwzOG2_Wg"",""Direct Link!A2:A""),0)),XLOOKUP($C509,IMPORTRANGE(""1NK5L1mviMn0j3D"&amp;"3uo53ASkIZOFRlLnqaCTnwzOG2_Wg"",""Direct links Without Sizes!A2:A""),IMPORTRANGE(""1NK5L1mviMn0j3D3uo53ASkIZOFRlLnqaCTnwzOG2_Wg"",""Direct links Without Sizes!B2:B""))),XLOOKUP($C509,IMPORTRANGE(""1NK5L1mviMn0j3D3uo53ASkIZOFRlLnqaCTnwzOG2_Wg"",""Direct li"&amp;"nks Without Sizes!D2:D""),IMPORTRANGE(""1NK5L1mviMn0j3D3uo53ASkIZOFRlLnqaCTnwzOG2_Wg"",""Direct links Without Sizes!E2:E""))),"""")"),"")</f>
        <v/>
      </c>
      <c r="I509" s="4"/>
      <c r="J509" s="24" t="str">
        <f t="shared" si="1"/>
        <v/>
      </c>
      <c r="K509" s="25"/>
      <c r="L509" s="24" t="str">
        <f t="shared" si="2"/>
        <v/>
      </c>
      <c r="M509" s="4"/>
      <c r="N509" s="23"/>
      <c r="O509" s="23"/>
      <c r="P509" s="23"/>
      <c r="Q509" s="4" t="str">
        <f t="shared" si="4"/>
        <v/>
      </c>
      <c r="R509" s="20"/>
      <c r="S509" s="20"/>
    </row>
    <row r="510">
      <c r="A510" s="4"/>
      <c r="B510" s="4"/>
      <c r="C510" s="37"/>
      <c r="D510" s="7" t="str">
        <f>IFERROR(__xludf.DUMMYFUNCTION("iferror(iferror(INDEX(IMPORTRANGE(""12vtnxaE_Q1s4tyr10kZQx7ZF_xG0lBFae4jQEUtgsMU"",""All!B2:B""),MATCH($C510,IMPORTRANGE(""12vtnxaE_Q1s4tyr10kZQx7ZF_xG0lBFae4jQEUtgsMU"",""All!A2:A""),0)),INDEX(IMPORTRANGE(""13KC70HngS4DDi8y9E5khtSpQEPG6owaQ9z4E-tR5mnY"","&amp;"""Non-Food!B2:B""),MATCH($C510,IMPORTRANGE(""13KC70HngS4DDi8y9E5khtSpQEPG6owaQ9z4E-tR5mnY"",""Non-Food!A2:A""),0))),"""")"),"")</f>
        <v/>
      </c>
      <c r="E510" s="15"/>
      <c r="F510" s="15"/>
      <c r="G510" s="36"/>
      <c r="H510" s="23" t="str">
        <f>IFERROR(__xludf.DUMMYFUNCTION("iferror(iferror(iferror(index(IMPORTRANGE(""1NK5L1mviMn0j3D3uo53ASkIZOFRlLnqaCTnwzOG2_Wg"",""Direct Link!B2:B""),MATCH($C510,IMPORTRANGE(""1NK5L1mviMn0j3D3uo53ASkIZOFRlLnqaCTnwzOG2_Wg"",""Direct Link!A2:A""),0)),XLOOKUP($C510,IMPORTRANGE(""1NK5L1mviMn0j3D"&amp;"3uo53ASkIZOFRlLnqaCTnwzOG2_Wg"",""Direct links Without Sizes!A2:A""),IMPORTRANGE(""1NK5L1mviMn0j3D3uo53ASkIZOFRlLnqaCTnwzOG2_Wg"",""Direct links Without Sizes!B2:B""))),XLOOKUP($C510,IMPORTRANGE(""1NK5L1mviMn0j3D3uo53ASkIZOFRlLnqaCTnwzOG2_Wg"",""Direct li"&amp;"nks Without Sizes!D2:D""),IMPORTRANGE(""1NK5L1mviMn0j3D3uo53ASkIZOFRlLnqaCTnwzOG2_Wg"",""Direct links Without Sizes!E2:E""))),"""")"),"")</f>
        <v/>
      </c>
      <c r="I510" s="4"/>
      <c r="J510" s="24" t="str">
        <f t="shared" si="1"/>
        <v/>
      </c>
      <c r="K510" s="25"/>
      <c r="L510" s="24" t="str">
        <f t="shared" si="2"/>
        <v/>
      </c>
      <c r="M510" s="4"/>
      <c r="N510" s="23"/>
      <c r="O510" s="23"/>
      <c r="P510" s="23"/>
      <c r="Q510" s="4" t="str">
        <f t="shared" si="4"/>
        <v/>
      </c>
      <c r="R510" s="20"/>
      <c r="S510" s="20"/>
    </row>
    <row r="511">
      <c r="A511" s="4"/>
      <c r="B511" s="4"/>
      <c r="C511" s="37"/>
      <c r="D511" s="7" t="str">
        <f>IFERROR(__xludf.DUMMYFUNCTION("iferror(iferror(INDEX(IMPORTRANGE(""12vtnxaE_Q1s4tyr10kZQx7ZF_xG0lBFae4jQEUtgsMU"",""All!B2:B""),MATCH($C511,IMPORTRANGE(""12vtnxaE_Q1s4tyr10kZQx7ZF_xG0lBFae4jQEUtgsMU"",""All!A2:A""),0)),INDEX(IMPORTRANGE(""13KC70HngS4DDi8y9E5khtSpQEPG6owaQ9z4E-tR5mnY"","&amp;"""Non-Food!B2:B""),MATCH($C511,IMPORTRANGE(""13KC70HngS4DDi8y9E5khtSpQEPG6owaQ9z4E-tR5mnY"",""Non-Food!A2:A""),0))),"""")"),"")</f>
        <v/>
      </c>
      <c r="E511" s="15"/>
      <c r="F511" s="15"/>
      <c r="G511" s="36"/>
      <c r="H511" s="23" t="str">
        <f>IFERROR(__xludf.DUMMYFUNCTION("iferror(iferror(iferror(index(IMPORTRANGE(""1NK5L1mviMn0j3D3uo53ASkIZOFRlLnqaCTnwzOG2_Wg"",""Direct Link!B2:B""),MATCH($C511,IMPORTRANGE(""1NK5L1mviMn0j3D3uo53ASkIZOFRlLnqaCTnwzOG2_Wg"",""Direct Link!A2:A""),0)),XLOOKUP($C511,IMPORTRANGE(""1NK5L1mviMn0j3D"&amp;"3uo53ASkIZOFRlLnqaCTnwzOG2_Wg"",""Direct links Without Sizes!A2:A""),IMPORTRANGE(""1NK5L1mviMn0j3D3uo53ASkIZOFRlLnqaCTnwzOG2_Wg"",""Direct links Without Sizes!B2:B""))),XLOOKUP($C511,IMPORTRANGE(""1NK5L1mviMn0j3D3uo53ASkIZOFRlLnqaCTnwzOG2_Wg"",""Direct li"&amp;"nks Without Sizes!D2:D""),IMPORTRANGE(""1NK5L1mviMn0j3D3uo53ASkIZOFRlLnqaCTnwzOG2_Wg"",""Direct links Without Sizes!E2:E""))),"""")"),"")</f>
        <v/>
      </c>
      <c r="I511" s="4"/>
      <c r="J511" s="24" t="str">
        <f t="shared" si="1"/>
        <v/>
      </c>
      <c r="K511" s="25"/>
      <c r="L511" s="24" t="str">
        <f t="shared" si="2"/>
        <v/>
      </c>
      <c r="M511" s="4"/>
      <c r="N511" s="23"/>
      <c r="O511" s="23"/>
      <c r="P511" s="23"/>
      <c r="Q511" s="4" t="str">
        <f t="shared" si="4"/>
        <v/>
      </c>
      <c r="R511" s="20"/>
      <c r="S511" s="20"/>
    </row>
    <row r="512">
      <c r="A512" s="4"/>
      <c r="B512" s="4"/>
      <c r="C512" s="37"/>
      <c r="D512" s="7" t="str">
        <f>IFERROR(__xludf.DUMMYFUNCTION("iferror(iferror(INDEX(IMPORTRANGE(""12vtnxaE_Q1s4tyr10kZQx7ZF_xG0lBFae4jQEUtgsMU"",""All!B2:B""),MATCH($C512,IMPORTRANGE(""12vtnxaE_Q1s4tyr10kZQx7ZF_xG0lBFae4jQEUtgsMU"",""All!A2:A""),0)),INDEX(IMPORTRANGE(""13KC70HngS4DDi8y9E5khtSpQEPG6owaQ9z4E-tR5mnY"","&amp;"""Non-Food!B2:B""),MATCH($C512,IMPORTRANGE(""13KC70HngS4DDi8y9E5khtSpQEPG6owaQ9z4E-tR5mnY"",""Non-Food!A2:A""),0))),"""")"),"")</f>
        <v/>
      </c>
      <c r="E512" s="15"/>
      <c r="F512" s="15"/>
      <c r="G512" s="36"/>
      <c r="H512" s="23" t="str">
        <f>IFERROR(__xludf.DUMMYFUNCTION("iferror(iferror(iferror(index(IMPORTRANGE(""1NK5L1mviMn0j3D3uo53ASkIZOFRlLnqaCTnwzOG2_Wg"",""Direct Link!B2:B""),MATCH($C512,IMPORTRANGE(""1NK5L1mviMn0j3D3uo53ASkIZOFRlLnqaCTnwzOG2_Wg"",""Direct Link!A2:A""),0)),XLOOKUP($C512,IMPORTRANGE(""1NK5L1mviMn0j3D"&amp;"3uo53ASkIZOFRlLnqaCTnwzOG2_Wg"",""Direct links Without Sizes!A2:A""),IMPORTRANGE(""1NK5L1mviMn0j3D3uo53ASkIZOFRlLnqaCTnwzOG2_Wg"",""Direct links Without Sizes!B2:B""))),XLOOKUP($C512,IMPORTRANGE(""1NK5L1mviMn0j3D3uo53ASkIZOFRlLnqaCTnwzOG2_Wg"",""Direct li"&amp;"nks Without Sizes!D2:D""),IMPORTRANGE(""1NK5L1mviMn0j3D3uo53ASkIZOFRlLnqaCTnwzOG2_Wg"",""Direct links Without Sizes!E2:E""))),"""")"),"")</f>
        <v/>
      </c>
      <c r="I512" s="4"/>
      <c r="J512" s="24" t="str">
        <f t="shared" si="1"/>
        <v/>
      </c>
      <c r="K512" s="25"/>
      <c r="L512" s="24" t="str">
        <f t="shared" si="2"/>
        <v/>
      </c>
      <c r="M512" s="4"/>
      <c r="N512" s="23"/>
      <c r="O512" s="23"/>
      <c r="P512" s="23"/>
      <c r="Q512" s="4" t="str">
        <f t="shared" si="4"/>
        <v/>
      </c>
      <c r="R512" s="20"/>
      <c r="S512" s="20"/>
    </row>
    <row r="513">
      <c r="A513" s="4"/>
      <c r="B513" s="4"/>
      <c r="C513" s="37"/>
      <c r="D513" s="7" t="str">
        <f>IFERROR(__xludf.DUMMYFUNCTION("iferror(iferror(INDEX(IMPORTRANGE(""12vtnxaE_Q1s4tyr10kZQx7ZF_xG0lBFae4jQEUtgsMU"",""All!B2:B""),MATCH($C513,IMPORTRANGE(""12vtnxaE_Q1s4tyr10kZQx7ZF_xG0lBFae4jQEUtgsMU"",""All!A2:A""),0)),INDEX(IMPORTRANGE(""13KC70HngS4DDi8y9E5khtSpQEPG6owaQ9z4E-tR5mnY"","&amp;"""Non-Food!B2:B""),MATCH($C513,IMPORTRANGE(""13KC70HngS4DDi8y9E5khtSpQEPG6owaQ9z4E-tR5mnY"",""Non-Food!A2:A""),0))),"""")"),"")</f>
        <v/>
      </c>
      <c r="E513" s="15"/>
      <c r="F513" s="15"/>
      <c r="G513" s="36"/>
      <c r="H513" s="23" t="str">
        <f>IFERROR(__xludf.DUMMYFUNCTION("iferror(iferror(iferror(index(IMPORTRANGE(""1NK5L1mviMn0j3D3uo53ASkIZOFRlLnqaCTnwzOG2_Wg"",""Direct Link!B2:B""),MATCH($C513,IMPORTRANGE(""1NK5L1mviMn0j3D3uo53ASkIZOFRlLnqaCTnwzOG2_Wg"",""Direct Link!A2:A""),0)),XLOOKUP($C513,IMPORTRANGE(""1NK5L1mviMn0j3D"&amp;"3uo53ASkIZOFRlLnqaCTnwzOG2_Wg"",""Direct links Without Sizes!A2:A""),IMPORTRANGE(""1NK5L1mviMn0j3D3uo53ASkIZOFRlLnqaCTnwzOG2_Wg"",""Direct links Without Sizes!B2:B""))),XLOOKUP($C513,IMPORTRANGE(""1NK5L1mviMn0j3D3uo53ASkIZOFRlLnqaCTnwzOG2_Wg"",""Direct li"&amp;"nks Without Sizes!D2:D""),IMPORTRANGE(""1NK5L1mviMn0j3D3uo53ASkIZOFRlLnqaCTnwzOG2_Wg"",""Direct links Without Sizes!E2:E""))),"""")"),"")</f>
        <v/>
      </c>
      <c r="I513" s="4"/>
      <c r="J513" s="24" t="str">
        <f t="shared" si="1"/>
        <v/>
      </c>
      <c r="K513" s="25"/>
      <c r="L513" s="24" t="str">
        <f t="shared" si="2"/>
        <v/>
      </c>
      <c r="M513" s="4"/>
      <c r="N513" s="23"/>
      <c r="O513" s="23"/>
      <c r="P513" s="23"/>
      <c r="Q513" s="4" t="str">
        <f t="shared" si="4"/>
        <v/>
      </c>
      <c r="R513" s="20"/>
      <c r="S513" s="20"/>
    </row>
    <row r="514">
      <c r="A514" s="4"/>
      <c r="B514" s="4"/>
      <c r="C514" s="37"/>
      <c r="D514" s="7" t="str">
        <f>IFERROR(__xludf.DUMMYFUNCTION("iferror(iferror(INDEX(IMPORTRANGE(""12vtnxaE_Q1s4tyr10kZQx7ZF_xG0lBFae4jQEUtgsMU"",""All!B2:B""),MATCH($C514,IMPORTRANGE(""12vtnxaE_Q1s4tyr10kZQx7ZF_xG0lBFae4jQEUtgsMU"",""All!A2:A""),0)),INDEX(IMPORTRANGE(""13KC70HngS4DDi8y9E5khtSpQEPG6owaQ9z4E-tR5mnY"","&amp;"""Non-Food!B2:B""),MATCH($C514,IMPORTRANGE(""13KC70HngS4DDi8y9E5khtSpQEPG6owaQ9z4E-tR5mnY"",""Non-Food!A2:A""),0))),"""")"),"")</f>
        <v/>
      </c>
      <c r="E514" s="15"/>
      <c r="F514" s="15"/>
      <c r="G514" s="36"/>
      <c r="H514" s="23" t="str">
        <f>IFERROR(__xludf.DUMMYFUNCTION("iferror(iferror(iferror(index(IMPORTRANGE(""1NK5L1mviMn0j3D3uo53ASkIZOFRlLnqaCTnwzOG2_Wg"",""Direct Link!B2:B""),MATCH($C514,IMPORTRANGE(""1NK5L1mviMn0j3D3uo53ASkIZOFRlLnqaCTnwzOG2_Wg"",""Direct Link!A2:A""),0)),XLOOKUP($C514,IMPORTRANGE(""1NK5L1mviMn0j3D"&amp;"3uo53ASkIZOFRlLnqaCTnwzOG2_Wg"",""Direct links Without Sizes!A2:A""),IMPORTRANGE(""1NK5L1mviMn0j3D3uo53ASkIZOFRlLnqaCTnwzOG2_Wg"",""Direct links Without Sizes!B2:B""))),XLOOKUP($C514,IMPORTRANGE(""1NK5L1mviMn0j3D3uo53ASkIZOFRlLnqaCTnwzOG2_Wg"",""Direct li"&amp;"nks Without Sizes!D2:D""),IMPORTRANGE(""1NK5L1mviMn0j3D3uo53ASkIZOFRlLnqaCTnwzOG2_Wg"",""Direct links Without Sizes!E2:E""))),"""")"),"")</f>
        <v/>
      </c>
      <c r="I514" s="4"/>
      <c r="J514" s="24" t="str">
        <f t="shared" si="1"/>
        <v/>
      </c>
      <c r="K514" s="25"/>
      <c r="L514" s="24" t="str">
        <f t="shared" si="2"/>
        <v/>
      </c>
      <c r="M514" s="4"/>
      <c r="N514" s="23"/>
      <c r="O514" s="23"/>
      <c r="P514" s="23"/>
      <c r="Q514" s="4" t="str">
        <f t="shared" si="4"/>
        <v/>
      </c>
      <c r="R514" s="20"/>
      <c r="S514" s="20"/>
    </row>
    <row r="515">
      <c r="A515" s="4"/>
      <c r="B515" s="4"/>
      <c r="C515" s="37"/>
      <c r="D515" s="7" t="str">
        <f>IFERROR(__xludf.DUMMYFUNCTION("iferror(iferror(INDEX(IMPORTRANGE(""12vtnxaE_Q1s4tyr10kZQx7ZF_xG0lBFae4jQEUtgsMU"",""All!B2:B""),MATCH($C515,IMPORTRANGE(""12vtnxaE_Q1s4tyr10kZQx7ZF_xG0lBFae4jQEUtgsMU"",""All!A2:A""),0)),INDEX(IMPORTRANGE(""13KC70HngS4DDi8y9E5khtSpQEPG6owaQ9z4E-tR5mnY"","&amp;"""Non-Food!B2:B""),MATCH($C515,IMPORTRANGE(""13KC70HngS4DDi8y9E5khtSpQEPG6owaQ9z4E-tR5mnY"",""Non-Food!A2:A""),0))),"""")"),"")</f>
        <v/>
      </c>
      <c r="E515" s="15"/>
      <c r="F515" s="15"/>
      <c r="G515" s="36"/>
      <c r="H515" s="23" t="str">
        <f>IFERROR(__xludf.DUMMYFUNCTION("iferror(iferror(iferror(index(IMPORTRANGE(""1NK5L1mviMn0j3D3uo53ASkIZOFRlLnqaCTnwzOG2_Wg"",""Direct Link!B2:B""),MATCH($C515,IMPORTRANGE(""1NK5L1mviMn0j3D3uo53ASkIZOFRlLnqaCTnwzOG2_Wg"",""Direct Link!A2:A""),0)),XLOOKUP($C515,IMPORTRANGE(""1NK5L1mviMn0j3D"&amp;"3uo53ASkIZOFRlLnqaCTnwzOG2_Wg"",""Direct links Without Sizes!A2:A""),IMPORTRANGE(""1NK5L1mviMn0j3D3uo53ASkIZOFRlLnqaCTnwzOG2_Wg"",""Direct links Without Sizes!B2:B""))),XLOOKUP($C515,IMPORTRANGE(""1NK5L1mviMn0j3D3uo53ASkIZOFRlLnqaCTnwzOG2_Wg"",""Direct li"&amp;"nks Without Sizes!D2:D""),IMPORTRANGE(""1NK5L1mviMn0j3D3uo53ASkIZOFRlLnqaCTnwzOG2_Wg"",""Direct links Without Sizes!E2:E""))),"""")"),"")</f>
        <v/>
      </c>
      <c r="I515" s="4"/>
      <c r="J515" s="24" t="str">
        <f t="shared" si="1"/>
        <v/>
      </c>
      <c r="K515" s="25"/>
      <c r="L515" s="24" t="str">
        <f t="shared" si="2"/>
        <v/>
      </c>
      <c r="M515" s="4"/>
      <c r="N515" s="23"/>
      <c r="O515" s="23"/>
      <c r="P515" s="23"/>
      <c r="Q515" s="4" t="str">
        <f t="shared" si="4"/>
        <v/>
      </c>
      <c r="R515" s="20"/>
      <c r="S515" s="20"/>
    </row>
    <row r="516">
      <c r="A516" s="4"/>
      <c r="B516" s="4"/>
      <c r="C516" s="37"/>
      <c r="D516" s="7" t="str">
        <f>IFERROR(__xludf.DUMMYFUNCTION("iferror(iferror(INDEX(IMPORTRANGE(""12vtnxaE_Q1s4tyr10kZQx7ZF_xG0lBFae4jQEUtgsMU"",""All!B2:B""),MATCH($C516,IMPORTRANGE(""12vtnxaE_Q1s4tyr10kZQx7ZF_xG0lBFae4jQEUtgsMU"",""All!A2:A""),0)),INDEX(IMPORTRANGE(""13KC70HngS4DDi8y9E5khtSpQEPG6owaQ9z4E-tR5mnY"","&amp;"""Non-Food!B2:B""),MATCH($C516,IMPORTRANGE(""13KC70HngS4DDi8y9E5khtSpQEPG6owaQ9z4E-tR5mnY"",""Non-Food!A2:A""),0))),"""")"),"")</f>
        <v/>
      </c>
      <c r="E516" s="15"/>
      <c r="F516" s="15"/>
      <c r="G516" s="36"/>
      <c r="H516" s="23" t="str">
        <f>IFERROR(__xludf.DUMMYFUNCTION("iferror(iferror(iferror(index(IMPORTRANGE(""1NK5L1mviMn0j3D3uo53ASkIZOFRlLnqaCTnwzOG2_Wg"",""Direct Link!B2:B""),MATCH($C516,IMPORTRANGE(""1NK5L1mviMn0j3D3uo53ASkIZOFRlLnqaCTnwzOG2_Wg"",""Direct Link!A2:A""),0)),XLOOKUP($C516,IMPORTRANGE(""1NK5L1mviMn0j3D"&amp;"3uo53ASkIZOFRlLnqaCTnwzOG2_Wg"",""Direct links Without Sizes!A2:A""),IMPORTRANGE(""1NK5L1mviMn0j3D3uo53ASkIZOFRlLnqaCTnwzOG2_Wg"",""Direct links Without Sizes!B2:B""))),XLOOKUP($C516,IMPORTRANGE(""1NK5L1mviMn0j3D3uo53ASkIZOFRlLnqaCTnwzOG2_Wg"",""Direct li"&amp;"nks Without Sizes!D2:D""),IMPORTRANGE(""1NK5L1mviMn0j3D3uo53ASkIZOFRlLnqaCTnwzOG2_Wg"",""Direct links Without Sizes!E2:E""))),"""")"),"")</f>
        <v/>
      </c>
      <c r="I516" s="4"/>
      <c r="J516" s="24" t="str">
        <f t="shared" si="1"/>
        <v/>
      </c>
      <c r="K516" s="25"/>
      <c r="L516" s="24" t="str">
        <f t="shared" si="2"/>
        <v/>
      </c>
      <c r="M516" s="4"/>
      <c r="N516" s="23"/>
      <c r="O516" s="23"/>
      <c r="P516" s="23"/>
      <c r="Q516" s="4" t="str">
        <f t="shared" si="4"/>
        <v/>
      </c>
      <c r="R516" s="20"/>
      <c r="S516" s="20"/>
    </row>
    <row r="517">
      <c r="A517" s="4"/>
      <c r="B517" s="4"/>
      <c r="C517" s="37"/>
      <c r="D517" s="7" t="str">
        <f>IFERROR(__xludf.DUMMYFUNCTION("iferror(iferror(INDEX(IMPORTRANGE(""12vtnxaE_Q1s4tyr10kZQx7ZF_xG0lBFae4jQEUtgsMU"",""All!B2:B""),MATCH($C517,IMPORTRANGE(""12vtnxaE_Q1s4tyr10kZQx7ZF_xG0lBFae4jQEUtgsMU"",""All!A2:A""),0)),INDEX(IMPORTRANGE(""13KC70HngS4DDi8y9E5khtSpQEPG6owaQ9z4E-tR5mnY"","&amp;"""Non-Food!B2:B""),MATCH($C517,IMPORTRANGE(""13KC70HngS4DDi8y9E5khtSpQEPG6owaQ9z4E-tR5mnY"",""Non-Food!A2:A""),0))),"""")"),"")</f>
        <v/>
      </c>
      <c r="E517" s="15"/>
      <c r="F517" s="15"/>
      <c r="G517" s="36"/>
      <c r="H517" s="23" t="str">
        <f>IFERROR(__xludf.DUMMYFUNCTION("iferror(iferror(iferror(index(IMPORTRANGE(""1NK5L1mviMn0j3D3uo53ASkIZOFRlLnqaCTnwzOG2_Wg"",""Direct Link!B2:B""),MATCH($C517,IMPORTRANGE(""1NK5L1mviMn0j3D3uo53ASkIZOFRlLnqaCTnwzOG2_Wg"",""Direct Link!A2:A""),0)),XLOOKUP($C517,IMPORTRANGE(""1NK5L1mviMn0j3D"&amp;"3uo53ASkIZOFRlLnqaCTnwzOG2_Wg"",""Direct links Without Sizes!A2:A""),IMPORTRANGE(""1NK5L1mviMn0j3D3uo53ASkIZOFRlLnqaCTnwzOG2_Wg"",""Direct links Without Sizes!B2:B""))),XLOOKUP($C517,IMPORTRANGE(""1NK5L1mviMn0j3D3uo53ASkIZOFRlLnqaCTnwzOG2_Wg"",""Direct li"&amp;"nks Without Sizes!D2:D""),IMPORTRANGE(""1NK5L1mviMn0j3D3uo53ASkIZOFRlLnqaCTnwzOG2_Wg"",""Direct links Without Sizes!E2:E""))),"""")"),"")</f>
        <v/>
      </c>
      <c r="I517" s="4"/>
      <c r="J517" s="24" t="str">
        <f t="shared" si="1"/>
        <v/>
      </c>
      <c r="K517" s="25"/>
      <c r="L517" s="24" t="str">
        <f t="shared" si="2"/>
        <v/>
      </c>
      <c r="M517" s="4"/>
      <c r="N517" s="23"/>
      <c r="O517" s="23"/>
      <c r="P517" s="23"/>
      <c r="Q517" s="4" t="str">
        <f t="shared" si="4"/>
        <v/>
      </c>
      <c r="R517" s="20"/>
      <c r="S517" s="20"/>
    </row>
    <row r="518">
      <c r="A518" s="4"/>
      <c r="B518" s="4"/>
      <c r="C518" s="37"/>
      <c r="D518" s="7" t="str">
        <f>IFERROR(__xludf.DUMMYFUNCTION("iferror(iferror(INDEX(IMPORTRANGE(""12vtnxaE_Q1s4tyr10kZQx7ZF_xG0lBFae4jQEUtgsMU"",""All!B2:B""),MATCH($C518,IMPORTRANGE(""12vtnxaE_Q1s4tyr10kZQx7ZF_xG0lBFae4jQEUtgsMU"",""All!A2:A""),0)),INDEX(IMPORTRANGE(""13KC70HngS4DDi8y9E5khtSpQEPG6owaQ9z4E-tR5mnY"","&amp;"""Non-Food!B2:B""),MATCH($C518,IMPORTRANGE(""13KC70HngS4DDi8y9E5khtSpQEPG6owaQ9z4E-tR5mnY"",""Non-Food!A2:A""),0))),"""")"),"")</f>
        <v/>
      </c>
      <c r="E518" s="15"/>
      <c r="F518" s="15"/>
      <c r="G518" s="36"/>
      <c r="H518" s="23" t="str">
        <f>IFERROR(__xludf.DUMMYFUNCTION("iferror(iferror(iferror(index(IMPORTRANGE(""1NK5L1mviMn0j3D3uo53ASkIZOFRlLnqaCTnwzOG2_Wg"",""Direct Link!B2:B""),MATCH($C518,IMPORTRANGE(""1NK5L1mviMn0j3D3uo53ASkIZOFRlLnqaCTnwzOG2_Wg"",""Direct Link!A2:A""),0)),XLOOKUP($C518,IMPORTRANGE(""1NK5L1mviMn0j3D"&amp;"3uo53ASkIZOFRlLnqaCTnwzOG2_Wg"",""Direct links Without Sizes!A2:A""),IMPORTRANGE(""1NK5L1mviMn0j3D3uo53ASkIZOFRlLnqaCTnwzOG2_Wg"",""Direct links Without Sizes!B2:B""))),XLOOKUP($C518,IMPORTRANGE(""1NK5L1mviMn0j3D3uo53ASkIZOFRlLnqaCTnwzOG2_Wg"",""Direct li"&amp;"nks Without Sizes!D2:D""),IMPORTRANGE(""1NK5L1mviMn0j3D3uo53ASkIZOFRlLnqaCTnwzOG2_Wg"",""Direct links Without Sizes!E2:E""))),"""")"),"")</f>
        <v/>
      </c>
      <c r="I518" s="4"/>
      <c r="J518" s="24" t="str">
        <f t="shared" si="1"/>
        <v/>
      </c>
      <c r="K518" s="25"/>
      <c r="L518" s="24" t="str">
        <f t="shared" si="2"/>
        <v/>
      </c>
      <c r="M518" s="4"/>
      <c r="N518" s="23"/>
      <c r="O518" s="23"/>
      <c r="P518" s="23"/>
      <c r="Q518" s="4" t="str">
        <f t="shared" si="4"/>
        <v/>
      </c>
      <c r="R518" s="20"/>
      <c r="S518" s="20"/>
    </row>
    <row r="519">
      <c r="A519" s="4"/>
      <c r="B519" s="4"/>
      <c r="C519" s="37"/>
      <c r="D519" s="7" t="str">
        <f>IFERROR(__xludf.DUMMYFUNCTION("iferror(iferror(INDEX(IMPORTRANGE(""12vtnxaE_Q1s4tyr10kZQx7ZF_xG0lBFae4jQEUtgsMU"",""All!B2:B""),MATCH($C519,IMPORTRANGE(""12vtnxaE_Q1s4tyr10kZQx7ZF_xG0lBFae4jQEUtgsMU"",""All!A2:A""),0)),INDEX(IMPORTRANGE(""13KC70HngS4DDi8y9E5khtSpQEPG6owaQ9z4E-tR5mnY"","&amp;"""Non-Food!B2:B""),MATCH($C519,IMPORTRANGE(""13KC70HngS4DDi8y9E5khtSpQEPG6owaQ9z4E-tR5mnY"",""Non-Food!A2:A""),0))),"""")"),"")</f>
        <v/>
      </c>
      <c r="E519" s="15"/>
      <c r="F519" s="15"/>
      <c r="G519" s="36"/>
      <c r="H519" s="23" t="str">
        <f>IFERROR(__xludf.DUMMYFUNCTION("iferror(iferror(iferror(index(IMPORTRANGE(""1NK5L1mviMn0j3D3uo53ASkIZOFRlLnqaCTnwzOG2_Wg"",""Direct Link!B2:B""),MATCH($C519,IMPORTRANGE(""1NK5L1mviMn0j3D3uo53ASkIZOFRlLnqaCTnwzOG2_Wg"",""Direct Link!A2:A""),0)),XLOOKUP($C519,IMPORTRANGE(""1NK5L1mviMn0j3D"&amp;"3uo53ASkIZOFRlLnqaCTnwzOG2_Wg"",""Direct links Without Sizes!A2:A""),IMPORTRANGE(""1NK5L1mviMn0j3D3uo53ASkIZOFRlLnqaCTnwzOG2_Wg"",""Direct links Without Sizes!B2:B""))),XLOOKUP($C519,IMPORTRANGE(""1NK5L1mviMn0j3D3uo53ASkIZOFRlLnqaCTnwzOG2_Wg"",""Direct li"&amp;"nks Without Sizes!D2:D""),IMPORTRANGE(""1NK5L1mviMn0j3D3uo53ASkIZOFRlLnqaCTnwzOG2_Wg"",""Direct links Without Sizes!E2:E""))),"""")"),"")</f>
        <v/>
      </c>
      <c r="I519" s="4"/>
      <c r="J519" s="24" t="str">
        <f t="shared" si="1"/>
        <v/>
      </c>
      <c r="K519" s="25"/>
      <c r="L519" s="24" t="str">
        <f t="shared" si="2"/>
        <v/>
      </c>
      <c r="M519" s="4"/>
      <c r="N519" s="23"/>
      <c r="O519" s="23"/>
      <c r="P519" s="23"/>
      <c r="Q519" s="4" t="str">
        <f t="shared" si="4"/>
        <v/>
      </c>
      <c r="R519" s="20"/>
      <c r="S519" s="20"/>
    </row>
    <row r="520">
      <c r="A520" s="4"/>
      <c r="B520" s="4"/>
      <c r="C520" s="37"/>
      <c r="D520" s="7" t="str">
        <f>IFERROR(__xludf.DUMMYFUNCTION("iferror(iferror(INDEX(IMPORTRANGE(""12vtnxaE_Q1s4tyr10kZQx7ZF_xG0lBFae4jQEUtgsMU"",""All!B2:B""),MATCH($C520,IMPORTRANGE(""12vtnxaE_Q1s4tyr10kZQx7ZF_xG0lBFae4jQEUtgsMU"",""All!A2:A""),0)),INDEX(IMPORTRANGE(""13KC70HngS4DDi8y9E5khtSpQEPG6owaQ9z4E-tR5mnY"","&amp;"""Non-Food!B2:B""),MATCH($C520,IMPORTRANGE(""13KC70HngS4DDi8y9E5khtSpQEPG6owaQ9z4E-tR5mnY"",""Non-Food!A2:A""),0))),"""")"),"")</f>
        <v/>
      </c>
      <c r="E520" s="15"/>
      <c r="F520" s="15"/>
      <c r="G520" s="36"/>
      <c r="H520" s="23" t="str">
        <f>IFERROR(__xludf.DUMMYFUNCTION("iferror(iferror(iferror(index(IMPORTRANGE(""1NK5L1mviMn0j3D3uo53ASkIZOFRlLnqaCTnwzOG2_Wg"",""Direct Link!B2:B""),MATCH($C520,IMPORTRANGE(""1NK5L1mviMn0j3D3uo53ASkIZOFRlLnqaCTnwzOG2_Wg"",""Direct Link!A2:A""),0)),XLOOKUP($C520,IMPORTRANGE(""1NK5L1mviMn0j3D"&amp;"3uo53ASkIZOFRlLnqaCTnwzOG2_Wg"",""Direct links Without Sizes!A2:A""),IMPORTRANGE(""1NK5L1mviMn0j3D3uo53ASkIZOFRlLnqaCTnwzOG2_Wg"",""Direct links Without Sizes!B2:B""))),XLOOKUP($C520,IMPORTRANGE(""1NK5L1mviMn0j3D3uo53ASkIZOFRlLnqaCTnwzOG2_Wg"",""Direct li"&amp;"nks Without Sizes!D2:D""),IMPORTRANGE(""1NK5L1mviMn0j3D3uo53ASkIZOFRlLnqaCTnwzOG2_Wg"",""Direct links Without Sizes!E2:E""))),"""")"),"")</f>
        <v/>
      </c>
      <c r="I520" s="4"/>
      <c r="J520" s="24" t="str">
        <f t="shared" si="1"/>
        <v/>
      </c>
      <c r="K520" s="25"/>
      <c r="L520" s="24" t="str">
        <f t="shared" si="2"/>
        <v/>
      </c>
      <c r="M520" s="4"/>
      <c r="N520" s="23"/>
      <c r="O520" s="23"/>
      <c r="P520" s="23"/>
      <c r="Q520" s="4" t="str">
        <f t="shared" si="4"/>
        <v/>
      </c>
      <c r="R520" s="20"/>
      <c r="S520" s="20"/>
    </row>
    <row r="521">
      <c r="A521" s="4"/>
      <c r="B521" s="4"/>
      <c r="C521" s="37"/>
      <c r="D521" s="7" t="str">
        <f>IFERROR(__xludf.DUMMYFUNCTION("iferror(iferror(INDEX(IMPORTRANGE(""12vtnxaE_Q1s4tyr10kZQx7ZF_xG0lBFae4jQEUtgsMU"",""All!B2:B""),MATCH($C521,IMPORTRANGE(""12vtnxaE_Q1s4tyr10kZQx7ZF_xG0lBFae4jQEUtgsMU"",""All!A2:A""),0)),INDEX(IMPORTRANGE(""13KC70HngS4DDi8y9E5khtSpQEPG6owaQ9z4E-tR5mnY"","&amp;"""Non-Food!B2:B""),MATCH($C521,IMPORTRANGE(""13KC70HngS4DDi8y9E5khtSpQEPG6owaQ9z4E-tR5mnY"",""Non-Food!A2:A""),0))),"""")"),"")</f>
        <v/>
      </c>
      <c r="E521" s="15"/>
      <c r="F521" s="15"/>
      <c r="G521" s="36"/>
      <c r="H521" s="23" t="str">
        <f>IFERROR(__xludf.DUMMYFUNCTION("iferror(iferror(iferror(index(IMPORTRANGE(""1NK5L1mviMn0j3D3uo53ASkIZOFRlLnqaCTnwzOG2_Wg"",""Direct Link!B2:B""),MATCH($C521,IMPORTRANGE(""1NK5L1mviMn0j3D3uo53ASkIZOFRlLnqaCTnwzOG2_Wg"",""Direct Link!A2:A""),0)),XLOOKUP($C521,IMPORTRANGE(""1NK5L1mviMn0j3D"&amp;"3uo53ASkIZOFRlLnqaCTnwzOG2_Wg"",""Direct links Without Sizes!A2:A""),IMPORTRANGE(""1NK5L1mviMn0j3D3uo53ASkIZOFRlLnqaCTnwzOG2_Wg"",""Direct links Without Sizes!B2:B""))),XLOOKUP($C521,IMPORTRANGE(""1NK5L1mviMn0j3D3uo53ASkIZOFRlLnqaCTnwzOG2_Wg"",""Direct li"&amp;"nks Without Sizes!D2:D""),IMPORTRANGE(""1NK5L1mviMn0j3D3uo53ASkIZOFRlLnqaCTnwzOG2_Wg"",""Direct links Without Sizes!E2:E""))),"""")"),"")</f>
        <v/>
      </c>
      <c r="I521" s="4"/>
      <c r="J521" s="24" t="str">
        <f t="shared" si="1"/>
        <v/>
      </c>
      <c r="K521" s="25"/>
      <c r="L521" s="24" t="str">
        <f t="shared" si="2"/>
        <v/>
      </c>
      <c r="M521" s="4"/>
      <c r="N521" s="23"/>
      <c r="O521" s="23"/>
      <c r="P521" s="23"/>
      <c r="Q521" s="4" t="str">
        <f t="shared" si="4"/>
        <v/>
      </c>
      <c r="R521" s="20"/>
      <c r="S521" s="20"/>
    </row>
    <row r="522">
      <c r="A522" s="4"/>
      <c r="B522" s="4"/>
      <c r="C522" s="37"/>
      <c r="D522" s="7" t="str">
        <f>IFERROR(__xludf.DUMMYFUNCTION("iferror(iferror(INDEX(IMPORTRANGE(""12vtnxaE_Q1s4tyr10kZQx7ZF_xG0lBFae4jQEUtgsMU"",""All!B2:B""),MATCH($C522,IMPORTRANGE(""12vtnxaE_Q1s4tyr10kZQx7ZF_xG0lBFae4jQEUtgsMU"",""All!A2:A""),0)),INDEX(IMPORTRANGE(""13KC70HngS4DDi8y9E5khtSpQEPG6owaQ9z4E-tR5mnY"","&amp;"""Non-Food!B2:B""),MATCH($C522,IMPORTRANGE(""13KC70HngS4DDi8y9E5khtSpQEPG6owaQ9z4E-tR5mnY"",""Non-Food!A2:A""),0))),"""")"),"")</f>
        <v/>
      </c>
      <c r="E522" s="15"/>
      <c r="F522" s="15"/>
      <c r="G522" s="36"/>
      <c r="H522" s="23" t="str">
        <f>IFERROR(__xludf.DUMMYFUNCTION("iferror(iferror(iferror(index(IMPORTRANGE(""1NK5L1mviMn0j3D3uo53ASkIZOFRlLnqaCTnwzOG2_Wg"",""Direct Link!B2:B""),MATCH($C522,IMPORTRANGE(""1NK5L1mviMn0j3D3uo53ASkIZOFRlLnqaCTnwzOG2_Wg"",""Direct Link!A2:A""),0)),XLOOKUP($C522,IMPORTRANGE(""1NK5L1mviMn0j3D"&amp;"3uo53ASkIZOFRlLnqaCTnwzOG2_Wg"",""Direct links Without Sizes!A2:A""),IMPORTRANGE(""1NK5L1mviMn0j3D3uo53ASkIZOFRlLnqaCTnwzOG2_Wg"",""Direct links Without Sizes!B2:B""))),XLOOKUP($C522,IMPORTRANGE(""1NK5L1mviMn0j3D3uo53ASkIZOFRlLnqaCTnwzOG2_Wg"",""Direct li"&amp;"nks Without Sizes!D2:D""),IMPORTRANGE(""1NK5L1mviMn0j3D3uo53ASkIZOFRlLnqaCTnwzOG2_Wg"",""Direct links Without Sizes!E2:E""))),"""")"),"")</f>
        <v/>
      </c>
      <c r="I522" s="4"/>
      <c r="J522" s="24" t="str">
        <f t="shared" si="1"/>
        <v/>
      </c>
      <c r="K522" s="25"/>
      <c r="L522" s="24" t="str">
        <f t="shared" si="2"/>
        <v/>
      </c>
      <c r="M522" s="4"/>
      <c r="N522" s="23"/>
      <c r="O522" s="23"/>
      <c r="P522" s="23"/>
      <c r="Q522" s="4" t="str">
        <f t="shared" si="4"/>
        <v/>
      </c>
      <c r="R522" s="20"/>
      <c r="S522" s="20"/>
    </row>
    <row r="523">
      <c r="A523" s="4"/>
      <c r="B523" s="4"/>
      <c r="C523" s="37"/>
      <c r="D523" s="7" t="str">
        <f>IFERROR(__xludf.DUMMYFUNCTION("iferror(iferror(INDEX(IMPORTRANGE(""12vtnxaE_Q1s4tyr10kZQx7ZF_xG0lBFae4jQEUtgsMU"",""All!B2:B""),MATCH($C523,IMPORTRANGE(""12vtnxaE_Q1s4tyr10kZQx7ZF_xG0lBFae4jQEUtgsMU"",""All!A2:A""),0)),INDEX(IMPORTRANGE(""13KC70HngS4DDi8y9E5khtSpQEPG6owaQ9z4E-tR5mnY"","&amp;"""Non-Food!B2:B""),MATCH($C523,IMPORTRANGE(""13KC70HngS4DDi8y9E5khtSpQEPG6owaQ9z4E-tR5mnY"",""Non-Food!A2:A""),0))),"""")"),"")</f>
        <v/>
      </c>
      <c r="E523" s="15"/>
      <c r="F523" s="15"/>
      <c r="G523" s="36"/>
      <c r="H523" s="23" t="str">
        <f>IFERROR(__xludf.DUMMYFUNCTION("iferror(iferror(iferror(index(IMPORTRANGE(""1NK5L1mviMn0j3D3uo53ASkIZOFRlLnqaCTnwzOG2_Wg"",""Direct Link!B2:B""),MATCH($C523,IMPORTRANGE(""1NK5L1mviMn0j3D3uo53ASkIZOFRlLnqaCTnwzOG2_Wg"",""Direct Link!A2:A""),0)),XLOOKUP($C523,IMPORTRANGE(""1NK5L1mviMn0j3D"&amp;"3uo53ASkIZOFRlLnqaCTnwzOG2_Wg"",""Direct links Without Sizes!A2:A""),IMPORTRANGE(""1NK5L1mviMn0j3D3uo53ASkIZOFRlLnqaCTnwzOG2_Wg"",""Direct links Without Sizes!B2:B""))),XLOOKUP($C523,IMPORTRANGE(""1NK5L1mviMn0j3D3uo53ASkIZOFRlLnqaCTnwzOG2_Wg"",""Direct li"&amp;"nks Without Sizes!D2:D""),IMPORTRANGE(""1NK5L1mviMn0j3D3uo53ASkIZOFRlLnqaCTnwzOG2_Wg"",""Direct links Without Sizes!E2:E""))),"""")"),"")</f>
        <v/>
      </c>
      <c r="I523" s="4"/>
      <c r="J523" s="24" t="str">
        <f t="shared" si="1"/>
        <v/>
      </c>
      <c r="K523" s="25"/>
      <c r="L523" s="24" t="str">
        <f t="shared" si="2"/>
        <v/>
      </c>
      <c r="M523" s="4"/>
      <c r="N523" s="23"/>
      <c r="O523" s="23"/>
      <c r="P523" s="23"/>
      <c r="Q523" s="4" t="str">
        <f t="shared" si="4"/>
        <v/>
      </c>
      <c r="R523" s="20"/>
      <c r="S523" s="20"/>
    </row>
    <row r="524">
      <c r="A524" s="4"/>
      <c r="B524" s="4"/>
      <c r="C524" s="37"/>
      <c r="D524" s="7" t="str">
        <f>IFERROR(__xludf.DUMMYFUNCTION("iferror(iferror(INDEX(IMPORTRANGE(""12vtnxaE_Q1s4tyr10kZQx7ZF_xG0lBFae4jQEUtgsMU"",""All!B2:B""),MATCH($C524,IMPORTRANGE(""12vtnxaE_Q1s4tyr10kZQx7ZF_xG0lBFae4jQEUtgsMU"",""All!A2:A""),0)),INDEX(IMPORTRANGE(""13KC70HngS4DDi8y9E5khtSpQEPG6owaQ9z4E-tR5mnY"","&amp;"""Non-Food!B2:B""),MATCH($C524,IMPORTRANGE(""13KC70HngS4DDi8y9E5khtSpQEPG6owaQ9z4E-tR5mnY"",""Non-Food!A2:A""),0))),"""")"),"")</f>
        <v/>
      </c>
      <c r="E524" s="15"/>
      <c r="F524" s="15"/>
      <c r="G524" s="36"/>
      <c r="H524" s="23" t="str">
        <f>IFERROR(__xludf.DUMMYFUNCTION("iferror(iferror(iferror(index(IMPORTRANGE(""1NK5L1mviMn0j3D3uo53ASkIZOFRlLnqaCTnwzOG2_Wg"",""Direct Link!B2:B""),MATCH($C524,IMPORTRANGE(""1NK5L1mviMn0j3D3uo53ASkIZOFRlLnqaCTnwzOG2_Wg"",""Direct Link!A2:A""),0)),XLOOKUP($C524,IMPORTRANGE(""1NK5L1mviMn0j3D"&amp;"3uo53ASkIZOFRlLnqaCTnwzOG2_Wg"",""Direct links Without Sizes!A2:A""),IMPORTRANGE(""1NK5L1mviMn0j3D3uo53ASkIZOFRlLnqaCTnwzOG2_Wg"",""Direct links Without Sizes!B2:B""))),XLOOKUP($C524,IMPORTRANGE(""1NK5L1mviMn0j3D3uo53ASkIZOFRlLnqaCTnwzOG2_Wg"",""Direct li"&amp;"nks Without Sizes!D2:D""),IMPORTRANGE(""1NK5L1mviMn0j3D3uo53ASkIZOFRlLnqaCTnwzOG2_Wg"",""Direct links Without Sizes!E2:E""))),"""")"),"")</f>
        <v/>
      </c>
      <c r="I524" s="4"/>
      <c r="J524" s="24" t="str">
        <f t="shared" si="1"/>
        <v/>
      </c>
      <c r="K524" s="25"/>
      <c r="L524" s="24" t="str">
        <f t="shared" si="2"/>
        <v/>
      </c>
      <c r="M524" s="4"/>
      <c r="N524" s="23"/>
      <c r="O524" s="23"/>
      <c r="P524" s="23"/>
      <c r="Q524" s="4" t="str">
        <f t="shared" si="4"/>
        <v/>
      </c>
      <c r="R524" s="20"/>
      <c r="S524" s="20"/>
    </row>
    <row r="525">
      <c r="A525" s="4"/>
      <c r="B525" s="4"/>
      <c r="C525" s="37"/>
      <c r="D525" s="7" t="str">
        <f>IFERROR(__xludf.DUMMYFUNCTION("iferror(iferror(INDEX(IMPORTRANGE(""12vtnxaE_Q1s4tyr10kZQx7ZF_xG0lBFae4jQEUtgsMU"",""All!B2:B""),MATCH($C525,IMPORTRANGE(""12vtnxaE_Q1s4tyr10kZQx7ZF_xG0lBFae4jQEUtgsMU"",""All!A2:A""),0)),INDEX(IMPORTRANGE(""13KC70HngS4DDi8y9E5khtSpQEPG6owaQ9z4E-tR5mnY"","&amp;"""Non-Food!B2:B""),MATCH($C525,IMPORTRANGE(""13KC70HngS4DDi8y9E5khtSpQEPG6owaQ9z4E-tR5mnY"",""Non-Food!A2:A""),0))),"""")"),"")</f>
        <v/>
      </c>
      <c r="E525" s="15"/>
      <c r="F525" s="15"/>
      <c r="G525" s="36"/>
      <c r="H525" s="23" t="str">
        <f>IFERROR(__xludf.DUMMYFUNCTION("iferror(iferror(iferror(index(IMPORTRANGE(""1NK5L1mviMn0j3D3uo53ASkIZOFRlLnqaCTnwzOG2_Wg"",""Direct Link!B2:B""),MATCH($C525,IMPORTRANGE(""1NK5L1mviMn0j3D3uo53ASkIZOFRlLnqaCTnwzOG2_Wg"",""Direct Link!A2:A""),0)),XLOOKUP($C525,IMPORTRANGE(""1NK5L1mviMn0j3D"&amp;"3uo53ASkIZOFRlLnqaCTnwzOG2_Wg"",""Direct links Without Sizes!A2:A""),IMPORTRANGE(""1NK5L1mviMn0j3D3uo53ASkIZOFRlLnqaCTnwzOG2_Wg"",""Direct links Without Sizes!B2:B""))),XLOOKUP($C525,IMPORTRANGE(""1NK5L1mviMn0j3D3uo53ASkIZOFRlLnqaCTnwzOG2_Wg"",""Direct li"&amp;"nks Without Sizes!D2:D""),IMPORTRANGE(""1NK5L1mviMn0j3D3uo53ASkIZOFRlLnqaCTnwzOG2_Wg"",""Direct links Without Sizes!E2:E""))),"""")"),"")</f>
        <v/>
      </c>
      <c r="I525" s="4"/>
      <c r="J525" s="24" t="str">
        <f t="shared" si="1"/>
        <v/>
      </c>
      <c r="K525" s="25"/>
      <c r="L525" s="24" t="str">
        <f t="shared" si="2"/>
        <v/>
      </c>
      <c r="M525" s="4"/>
      <c r="N525" s="23"/>
      <c r="O525" s="23"/>
      <c r="P525" s="23"/>
      <c r="Q525" s="4" t="str">
        <f t="shared" si="4"/>
        <v/>
      </c>
      <c r="R525" s="20"/>
      <c r="S525" s="20"/>
    </row>
    <row r="526">
      <c r="A526" s="4"/>
      <c r="B526" s="4"/>
      <c r="C526" s="37"/>
      <c r="D526" s="7" t="str">
        <f>IFERROR(__xludf.DUMMYFUNCTION("iferror(iferror(INDEX(IMPORTRANGE(""12vtnxaE_Q1s4tyr10kZQx7ZF_xG0lBFae4jQEUtgsMU"",""All!B2:B""),MATCH($C526,IMPORTRANGE(""12vtnxaE_Q1s4tyr10kZQx7ZF_xG0lBFae4jQEUtgsMU"",""All!A2:A""),0)),INDEX(IMPORTRANGE(""13KC70HngS4DDi8y9E5khtSpQEPG6owaQ9z4E-tR5mnY"","&amp;"""Non-Food!B2:B""),MATCH($C526,IMPORTRANGE(""13KC70HngS4DDi8y9E5khtSpQEPG6owaQ9z4E-tR5mnY"",""Non-Food!A2:A""),0))),"""")"),"")</f>
        <v/>
      </c>
      <c r="E526" s="15"/>
      <c r="F526" s="15"/>
      <c r="G526" s="36"/>
      <c r="H526" s="23" t="str">
        <f>IFERROR(__xludf.DUMMYFUNCTION("iferror(iferror(iferror(index(IMPORTRANGE(""1NK5L1mviMn0j3D3uo53ASkIZOFRlLnqaCTnwzOG2_Wg"",""Direct Link!B2:B""),MATCH($C526,IMPORTRANGE(""1NK5L1mviMn0j3D3uo53ASkIZOFRlLnqaCTnwzOG2_Wg"",""Direct Link!A2:A""),0)),XLOOKUP($C526,IMPORTRANGE(""1NK5L1mviMn0j3D"&amp;"3uo53ASkIZOFRlLnqaCTnwzOG2_Wg"",""Direct links Without Sizes!A2:A""),IMPORTRANGE(""1NK5L1mviMn0j3D3uo53ASkIZOFRlLnqaCTnwzOG2_Wg"",""Direct links Without Sizes!B2:B""))),XLOOKUP($C526,IMPORTRANGE(""1NK5L1mviMn0j3D3uo53ASkIZOFRlLnqaCTnwzOG2_Wg"",""Direct li"&amp;"nks Without Sizes!D2:D""),IMPORTRANGE(""1NK5L1mviMn0j3D3uo53ASkIZOFRlLnqaCTnwzOG2_Wg"",""Direct links Without Sizes!E2:E""))),"""")"),"")</f>
        <v/>
      </c>
      <c r="I526" s="4"/>
      <c r="J526" s="24" t="str">
        <f t="shared" si="1"/>
        <v/>
      </c>
      <c r="K526" s="25"/>
      <c r="L526" s="24" t="str">
        <f t="shared" si="2"/>
        <v/>
      </c>
      <c r="M526" s="4"/>
      <c r="N526" s="23"/>
      <c r="O526" s="23"/>
      <c r="P526" s="23"/>
      <c r="Q526" s="4" t="str">
        <f t="shared" si="4"/>
        <v/>
      </c>
      <c r="R526" s="20"/>
      <c r="S526" s="20"/>
    </row>
    <row r="527">
      <c r="A527" s="4"/>
      <c r="B527" s="4"/>
      <c r="C527" s="37"/>
      <c r="D527" s="7" t="str">
        <f>IFERROR(__xludf.DUMMYFUNCTION("iferror(iferror(INDEX(IMPORTRANGE(""12vtnxaE_Q1s4tyr10kZQx7ZF_xG0lBFae4jQEUtgsMU"",""All!B2:B""),MATCH($C527,IMPORTRANGE(""12vtnxaE_Q1s4tyr10kZQx7ZF_xG0lBFae4jQEUtgsMU"",""All!A2:A""),0)),INDEX(IMPORTRANGE(""13KC70HngS4DDi8y9E5khtSpQEPG6owaQ9z4E-tR5mnY"","&amp;"""Non-Food!B2:B""),MATCH($C527,IMPORTRANGE(""13KC70HngS4DDi8y9E5khtSpQEPG6owaQ9z4E-tR5mnY"",""Non-Food!A2:A""),0))),"""")"),"")</f>
        <v/>
      </c>
      <c r="E527" s="15"/>
      <c r="F527" s="15"/>
      <c r="G527" s="36"/>
      <c r="H527" s="23" t="str">
        <f>IFERROR(__xludf.DUMMYFUNCTION("iferror(iferror(iferror(index(IMPORTRANGE(""1NK5L1mviMn0j3D3uo53ASkIZOFRlLnqaCTnwzOG2_Wg"",""Direct Link!B2:B""),MATCH($C527,IMPORTRANGE(""1NK5L1mviMn0j3D3uo53ASkIZOFRlLnqaCTnwzOG2_Wg"",""Direct Link!A2:A""),0)),XLOOKUP($C527,IMPORTRANGE(""1NK5L1mviMn0j3D"&amp;"3uo53ASkIZOFRlLnqaCTnwzOG2_Wg"",""Direct links Without Sizes!A2:A""),IMPORTRANGE(""1NK5L1mviMn0j3D3uo53ASkIZOFRlLnqaCTnwzOG2_Wg"",""Direct links Without Sizes!B2:B""))),XLOOKUP($C527,IMPORTRANGE(""1NK5L1mviMn0j3D3uo53ASkIZOFRlLnqaCTnwzOG2_Wg"",""Direct li"&amp;"nks Without Sizes!D2:D""),IMPORTRANGE(""1NK5L1mviMn0j3D3uo53ASkIZOFRlLnqaCTnwzOG2_Wg"",""Direct links Without Sizes!E2:E""))),"""")"),"")</f>
        <v/>
      </c>
      <c r="I527" s="4"/>
      <c r="J527" s="24" t="str">
        <f t="shared" si="1"/>
        <v/>
      </c>
      <c r="K527" s="25"/>
      <c r="L527" s="24" t="str">
        <f t="shared" si="2"/>
        <v/>
      </c>
      <c r="M527" s="4"/>
      <c r="N527" s="23"/>
      <c r="O527" s="23"/>
      <c r="P527" s="23"/>
      <c r="Q527" s="4" t="str">
        <f t="shared" si="4"/>
        <v/>
      </c>
      <c r="R527" s="20"/>
      <c r="S527" s="20"/>
    </row>
    <row r="528">
      <c r="A528" s="4"/>
      <c r="B528" s="4"/>
      <c r="C528" s="37"/>
      <c r="D528" s="7" t="str">
        <f>IFERROR(__xludf.DUMMYFUNCTION("iferror(iferror(INDEX(IMPORTRANGE(""12vtnxaE_Q1s4tyr10kZQx7ZF_xG0lBFae4jQEUtgsMU"",""All!B2:B""),MATCH($C528,IMPORTRANGE(""12vtnxaE_Q1s4tyr10kZQx7ZF_xG0lBFae4jQEUtgsMU"",""All!A2:A""),0)),INDEX(IMPORTRANGE(""13KC70HngS4DDi8y9E5khtSpQEPG6owaQ9z4E-tR5mnY"","&amp;"""Non-Food!B2:B""),MATCH($C528,IMPORTRANGE(""13KC70HngS4DDi8y9E5khtSpQEPG6owaQ9z4E-tR5mnY"",""Non-Food!A2:A""),0))),"""")"),"")</f>
        <v/>
      </c>
      <c r="E528" s="15"/>
      <c r="F528" s="15"/>
      <c r="G528" s="36"/>
      <c r="H528" s="23" t="str">
        <f>IFERROR(__xludf.DUMMYFUNCTION("iferror(iferror(iferror(index(IMPORTRANGE(""1NK5L1mviMn0j3D3uo53ASkIZOFRlLnqaCTnwzOG2_Wg"",""Direct Link!B2:B""),MATCH($C528,IMPORTRANGE(""1NK5L1mviMn0j3D3uo53ASkIZOFRlLnqaCTnwzOG2_Wg"",""Direct Link!A2:A""),0)),XLOOKUP($C528,IMPORTRANGE(""1NK5L1mviMn0j3D"&amp;"3uo53ASkIZOFRlLnqaCTnwzOG2_Wg"",""Direct links Without Sizes!A2:A""),IMPORTRANGE(""1NK5L1mviMn0j3D3uo53ASkIZOFRlLnqaCTnwzOG2_Wg"",""Direct links Without Sizes!B2:B""))),XLOOKUP($C528,IMPORTRANGE(""1NK5L1mviMn0j3D3uo53ASkIZOFRlLnqaCTnwzOG2_Wg"",""Direct li"&amp;"nks Without Sizes!D2:D""),IMPORTRANGE(""1NK5L1mviMn0j3D3uo53ASkIZOFRlLnqaCTnwzOG2_Wg"",""Direct links Without Sizes!E2:E""))),"""")"),"")</f>
        <v/>
      </c>
      <c r="I528" s="4"/>
      <c r="J528" s="24" t="str">
        <f t="shared" si="1"/>
        <v/>
      </c>
      <c r="K528" s="25"/>
      <c r="L528" s="24" t="str">
        <f t="shared" si="2"/>
        <v/>
      </c>
      <c r="M528" s="4"/>
      <c r="N528" s="23"/>
      <c r="O528" s="23"/>
      <c r="P528" s="23"/>
      <c r="Q528" s="4" t="str">
        <f t="shared" si="4"/>
        <v/>
      </c>
      <c r="R528" s="20"/>
      <c r="S528" s="20"/>
    </row>
    <row r="529">
      <c r="A529" s="4"/>
      <c r="B529" s="4"/>
      <c r="C529" s="37"/>
      <c r="D529" s="7" t="str">
        <f>IFERROR(__xludf.DUMMYFUNCTION("iferror(iferror(INDEX(IMPORTRANGE(""12vtnxaE_Q1s4tyr10kZQx7ZF_xG0lBFae4jQEUtgsMU"",""All!B2:B""),MATCH($C529,IMPORTRANGE(""12vtnxaE_Q1s4tyr10kZQx7ZF_xG0lBFae4jQEUtgsMU"",""All!A2:A""),0)),INDEX(IMPORTRANGE(""13KC70HngS4DDi8y9E5khtSpQEPG6owaQ9z4E-tR5mnY"","&amp;"""Non-Food!B2:B""),MATCH($C529,IMPORTRANGE(""13KC70HngS4DDi8y9E5khtSpQEPG6owaQ9z4E-tR5mnY"",""Non-Food!A2:A""),0))),"""")"),"")</f>
        <v/>
      </c>
      <c r="E529" s="15"/>
      <c r="F529" s="15"/>
      <c r="G529" s="36"/>
      <c r="H529" s="23" t="str">
        <f>IFERROR(__xludf.DUMMYFUNCTION("iferror(iferror(iferror(index(IMPORTRANGE(""1NK5L1mviMn0j3D3uo53ASkIZOFRlLnqaCTnwzOG2_Wg"",""Direct Link!B2:B""),MATCH($C529,IMPORTRANGE(""1NK5L1mviMn0j3D3uo53ASkIZOFRlLnqaCTnwzOG2_Wg"",""Direct Link!A2:A""),0)),XLOOKUP($C529,IMPORTRANGE(""1NK5L1mviMn0j3D"&amp;"3uo53ASkIZOFRlLnqaCTnwzOG2_Wg"",""Direct links Without Sizes!A2:A""),IMPORTRANGE(""1NK5L1mviMn0j3D3uo53ASkIZOFRlLnqaCTnwzOG2_Wg"",""Direct links Without Sizes!B2:B""))),XLOOKUP($C529,IMPORTRANGE(""1NK5L1mviMn0j3D3uo53ASkIZOFRlLnqaCTnwzOG2_Wg"",""Direct li"&amp;"nks Without Sizes!D2:D""),IMPORTRANGE(""1NK5L1mviMn0j3D3uo53ASkIZOFRlLnqaCTnwzOG2_Wg"",""Direct links Without Sizes!E2:E""))),"""")"),"")</f>
        <v/>
      </c>
      <c r="I529" s="4"/>
      <c r="J529" s="24" t="str">
        <f t="shared" si="1"/>
        <v/>
      </c>
      <c r="K529" s="25"/>
      <c r="L529" s="24" t="str">
        <f t="shared" si="2"/>
        <v/>
      </c>
      <c r="M529" s="4"/>
      <c r="N529" s="23"/>
      <c r="O529" s="23"/>
      <c r="P529" s="23"/>
      <c r="Q529" s="4" t="str">
        <f t="shared" si="4"/>
        <v/>
      </c>
      <c r="R529" s="20"/>
      <c r="S529" s="20"/>
    </row>
    <row r="530">
      <c r="A530" s="4"/>
      <c r="B530" s="4"/>
      <c r="C530" s="37"/>
      <c r="D530" s="7" t="str">
        <f>IFERROR(__xludf.DUMMYFUNCTION("iferror(iferror(INDEX(IMPORTRANGE(""12vtnxaE_Q1s4tyr10kZQx7ZF_xG0lBFae4jQEUtgsMU"",""All!B2:B""),MATCH($C530,IMPORTRANGE(""12vtnxaE_Q1s4tyr10kZQx7ZF_xG0lBFae4jQEUtgsMU"",""All!A2:A""),0)),INDEX(IMPORTRANGE(""13KC70HngS4DDi8y9E5khtSpQEPG6owaQ9z4E-tR5mnY"","&amp;"""Non-Food!B2:B""),MATCH($C530,IMPORTRANGE(""13KC70HngS4DDi8y9E5khtSpQEPG6owaQ9z4E-tR5mnY"",""Non-Food!A2:A""),0))),"""")"),"")</f>
        <v/>
      </c>
      <c r="E530" s="15"/>
      <c r="F530" s="15"/>
      <c r="G530" s="36"/>
      <c r="H530" s="23" t="str">
        <f>IFERROR(__xludf.DUMMYFUNCTION("iferror(iferror(iferror(index(IMPORTRANGE(""1NK5L1mviMn0j3D3uo53ASkIZOFRlLnqaCTnwzOG2_Wg"",""Direct Link!B2:B""),MATCH($C530,IMPORTRANGE(""1NK5L1mviMn0j3D3uo53ASkIZOFRlLnqaCTnwzOG2_Wg"",""Direct Link!A2:A""),0)),XLOOKUP($C530,IMPORTRANGE(""1NK5L1mviMn0j3D"&amp;"3uo53ASkIZOFRlLnqaCTnwzOG2_Wg"",""Direct links Without Sizes!A2:A""),IMPORTRANGE(""1NK5L1mviMn0j3D3uo53ASkIZOFRlLnqaCTnwzOG2_Wg"",""Direct links Without Sizes!B2:B""))),XLOOKUP($C530,IMPORTRANGE(""1NK5L1mviMn0j3D3uo53ASkIZOFRlLnqaCTnwzOG2_Wg"",""Direct li"&amp;"nks Without Sizes!D2:D""),IMPORTRANGE(""1NK5L1mviMn0j3D3uo53ASkIZOFRlLnqaCTnwzOG2_Wg"",""Direct links Without Sizes!E2:E""))),"""")"),"")</f>
        <v/>
      </c>
      <c r="I530" s="4"/>
      <c r="J530" s="24" t="str">
        <f t="shared" si="1"/>
        <v/>
      </c>
      <c r="K530" s="25"/>
      <c r="L530" s="24" t="str">
        <f t="shared" si="2"/>
        <v/>
      </c>
      <c r="M530" s="4"/>
      <c r="N530" s="23"/>
      <c r="O530" s="23"/>
      <c r="P530" s="23"/>
      <c r="Q530" s="4" t="str">
        <f t="shared" si="4"/>
        <v/>
      </c>
      <c r="R530" s="20"/>
      <c r="S530" s="20"/>
    </row>
    <row r="531">
      <c r="A531" s="4"/>
      <c r="B531" s="4"/>
      <c r="C531" s="37"/>
      <c r="D531" s="7" t="str">
        <f>IFERROR(__xludf.DUMMYFUNCTION("iferror(iferror(INDEX(IMPORTRANGE(""12vtnxaE_Q1s4tyr10kZQx7ZF_xG0lBFae4jQEUtgsMU"",""All!B2:B""),MATCH($C531,IMPORTRANGE(""12vtnxaE_Q1s4tyr10kZQx7ZF_xG0lBFae4jQEUtgsMU"",""All!A2:A""),0)),INDEX(IMPORTRANGE(""13KC70HngS4DDi8y9E5khtSpQEPG6owaQ9z4E-tR5mnY"","&amp;"""Non-Food!B2:B""),MATCH($C531,IMPORTRANGE(""13KC70HngS4DDi8y9E5khtSpQEPG6owaQ9z4E-tR5mnY"",""Non-Food!A2:A""),0))),"""")"),"")</f>
        <v/>
      </c>
      <c r="E531" s="15"/>
      <c r="F531" s="15"/>
      <c r="G531" s="36"/>
      <c r="H531" s="23" t="str">
        <f>IFERROR(__xludf.DUMMYFUNCTION("iferror(iferror(iferror(index(IMPORTRANGE(""1NK5L1mviMn0j3D3uo53ASkIZOFRlLnqaCTnwzOG2_Wg"",""Direct Link!B2:B""),MATCH($C531,IMPORTRANGE(""1NK5L1mviMn0j3D3uo53ASkIZOFRlLnqaCTnwzOG2_Wg"",""Direct Link!A2:A""),0)),XLOOKUP($C531,IMPORTRANGE(""1NK5L1mviMn0j3D"&amp;"3uo53ASkIZOFRlLnqaCTnwzOG2_Wg"",""Direct links Without Sizes!A2:A""),IMPORTRANGE(""1NK5L1mviMn0j3D3uo53ASkIZOFRlLnqaCTnwzOG2_Wg"",""Direct links Without Sizes!B2:B""))),XLOOKUP($C531,IMPORTRANGE(""1NK5L1mviMn0j3D3uo53ASkIZOFRlLnqaCTnwzOG2_Wg"",""Direct li"&amp;"nks Without Sizes!D2:D""),IMPORTRANGE(""1NK5L1mviMn0j3D3uo53ASkIZOFRlLnqaCTnwzOG2_Wg"",""Direct links Without Sizes!E2:E""))),"""")"),"")</f>
        <v/>
      </c>
      <c r="I531" s="4"/>
      <c r="J531" s="24" t="str">
        <f t="shared" si="1"/>
        <v/>
      </c>
      <c r="K531" s="25"/>
      <c r="L531" s="24" t="str">
        <f t="shared" si="2"/>
        <v/>
      </c>
      <c r="M531" s="4"/>
      <c r="N531" s="23"/>
      <c r="O531" s="23"/>
      <c r="P531" s="23"/>
      <c r="Q531" s="4" t="str">
        <f t="shared" si="4"/>
        <v/>
      </c>
      <c r="R531" s="20"/>
      <c r="S531" s="20"/>
    </row>
    <row r="532">
      <c r="A532" s="4"/>
      <c r="B532" s="4"/>
      <c r="C532" s="37"/>
      <c r="D532" s="7" t="str">
        <f>IFERROR(__xludf.DUMMYFUNCTION("iferror(iferror(INDEX(IMPORTRANGE(""12vtnxaE_Q1s4tyr10kZQx7ZF_xG0lBFae4jQEUtgsMU"",""All!B2:B""),MATCH($C532,IMPORTRANGE(""12vtnxaE_Q1s4tyr10kZQx7ZF_xG0lBFae4jQEUtgsMU"",""All!A2:A""),0)),INDEX(IMPORTRANGE(""13KC70HngS4DDi8y9E5khtSpQEPG6owaQ9z4E-tR5mnY"","&amp;"""Non-Food!B2:B""),MATCH($C532,IMPORTRANGE(""13KC70HngS4DDi8y9E5khtSpQEPG6owaQ9z4E-tR5mnY"",""Non-Food!A2:A""),0))),"""")"),"")</f>
        <v/>
      </c>
      <c r="E532" s="15"/>
      <c r="F532" s="15"/>
      <c r="G532" s="36"/>
      <c r="H532" s="23" t="str">
        <f>IFERROR(__xludf.DUMMYFUNCTION("iferror(iferror(iferror(index(IMPORTRANGE(""1NK5L1mviMn0j3D3uo53ASkIZOFRlLnqaCTnwzOG2_Wg"",""Direct Link!B2:B""),MATCH($C532,IMPORTRANGE(""1NK5L1mviMn0j3D3uo53ASkIZOFRlLnqaCTnwzOG2_Wg"",""Direct Link!A2:A""),0)),XLOOKUP($C532,IMPORTRANGE(""1NK5L1mviMn0j3D"&amp;"3uo53ASkIZOFRlLnqaCTnwzOG2_Wg"",""Direct links Without Sizes!A2:A""),IMPORTRANGE(""1NK5L1mviMn0j3D3uo53ASkIZOFRlLnqaCTnwzOG2_Wg"",""Direct links Without Sizes!B2:B""))),XLOOKUP($C532,IMPORTRANGE(""1NK5L1mviMn0j3D3uo53ASkIZOFRlLnqaCTnwzOG2_Wg"",""Direct li"&amp;"nks Without Sizes!D2:D""),IMPORTRANGE(""1NK5L1mviMn0j3D3uo53ASkIZOFRlLnqaCTnwzOG2_Wg"",""Direct links Without Sizes!E2:E""))),"""")"),"")</f>
        <v/>
      </c>
      <c r="I532" s="4"/>
      <c r="J532" s="24" t="str">
        <f t="shared" si="1"/>
        <v/>
      </c>
      <c r="K532" s="25"/>
      <c r="L532" s="24" t="str">
        <f t="shared" si="2"/>
        <v/>
      </c>
      <c r="M532" s="4"/>
      <c r="N532" s="23"/>
      <c r="O532" s="23"/>
      <c r="P532" s="23"/>
      <c r="Q532" s="4" t="str">
        <f t="shared" si="4"/>
        <v/>
      </c>
      <c r="R532" s="20"/>
      <c r="S532" s="20"/>
    </row>
    <row r="533">
      <c r="A533" s="4"/>
      <c r="B533" s="4"/>
      <c r="C533" s="37"/>
      <c r="D533" s="7" t="str">
        <f>IFERROR(__xludf.DUMMYFUNCTION("iferror(iferror(INDEX(IMPORTRANGE(""12vtnxaE_Q1s4tyr10kZQx7ZF_xG0lBFae4jQEUtgsMU"",""All!B2:B""),MATCH($C533,IMPORTRANGE(""12vtnxaE_Q1s4tyr10kZQx7ZF_xG0lBFae4jQEUtgsMU"",""All!A2:A""),0)),INDEX(IMPORTRANGE(""13KC70HngS4DDi8y9E5khtSpQEPG6owaQ9z4E-tR5mnY"","&amp;"""Non-Food!B2:B""),MATCH($C533,IMPORTRANGE(""13KC70HngS4DDi8y9E5khtSpQEPG6owaQ9z4E-tR5mnY"",""Non-Food!A2:A""),0))),"""")"),"")</f>
        <v/>
      </c>
      <c r="E533" s="15"/>
      <c r="F533" s="15"/>
      <c r="G533" s="36"/>
      <c r="H533" s="23" t="str">
        <f>IFERROR(__xludf.DUMMYFUNCTION("iferror(iferror(iferror(index(IMPORTRANGE(""1NK5L1mviMn0j3D3uo53ASkIZOFRlLnqaCTnwzOG2_Wg"",""Direct Link!B2:B""),MATCH($C533,IMPORTRANGE(""1NK5L1mviMn0j3D3uo53ASkIZOFRlLnqaCTnwzOG2_Wg"",""Direct Link!A2:A""),0)),XLOOKUP($C533,IMPORTRANGE(""1NK5L1mviMn0j3D"&amp;"3uo53ASkIZOFRlLnqaCTnwzOG2_Wg"",""Direct links Without Sizes!A2:A""),IMPORTRANGE(""1NK5L1mviMn0j3D3uo53ASkIZOFRlLnqaCTnwzOG2_Wg"",""Direct links Without Sizes!B2:B""))),XLOOKUP($C533,IMPORTRANGE(""1NK5L1mviMn0j3D3uo53ASkIZOFRlLnqaCTnwzOG2_Wg"",""Direct li"&amp;"nks Without Sizes!D2:D""),IMPORTRANGE(""1NK5L1mviMn0j3D3uo53ASkIZOFRlLnqaCTnwzOG2_Wg"",""Direct links Without Sizes!E2:E""))),"""")"),"")</f>
        <v/>
      </c>
      <c r="I533" s="4"/>
      <c r="J533" s="24" t="str">
        <f t="shared" si="1"/>
        <v/>
      </c>
      <c r="K533" s="25"/>
      <c r="L533" s="24" t="str">
        <f t="shared" si="2"/>
        <v/>
      </c>
      <c r="M533" s="4"/>
      <c r="N533" s="23"/>
      <c r="O533" s="23"/>
      <c r="P533" s="23"/>
      <c r="Q533" s="4" t="str">
        <f t="shared" si="4"/>
        <v/>
      </c>
      <c r="R533" s="20"/>
      <c r="S533" s="20"/>
    </row>
    <row r="534">
      <c r="A534" s="4"/>
      <c r="B534" s="4"/>
      <c r="C534" s="37"/>
      <c r="D534" s="7" t="str">
        <f>IFERROR(__xludf.DUMMYFUNCTION("iferror(iferror(INDEX(IMPORTRANGE(""12vtnxaE_Q1s4tyr10kZQx7ZF_xG0lBFae4jQEUtgsMU"",""All!B2:B""),MATCH($C534,IMPORTRANGE(""12vtnxaE_Q1s4tyr10kZQx7ZF_xG0lBFae4jQEUtgsMU"",""All!A2:A""),0)),INDEX(IMPORTRANGE(""13KC70HngS4DDi8y9E5khtSpQEPG6owaQ9z4E-tR5mnY"","&amp;"""Non-Food!B2:B""),MATCH($C534,IMPORTRANGE(""13KC70HngS4DDi8y9E5khtSpQEPG6owaQ9z4E-tR5mnY"",""Non-Food!A2:A""),0))),"""")"),"")</f>
        <v/>
      </c>
      <c r="E534" s="15"/>
      <c r="F534" s="15"/>
      <c r="G534" s="36"/>
      <c r="H534" s="23" t="str">
        <f>IFERROR(__xludf.DUMMYFUNCTION("iferror(iferror(iferror(index(IMPORTRANGE(""1NK5L1mviMn0j3D3uo53ASkIZOFRlLnqaCTnwzOG2_Wg"",""Direct Link!B2:B""),MATCH($C534,IMPORTRANGE(""1NK5L1mviMn0j3D3uo53ASkIZOFRlLnqaCTnwzOG2_Wg"",""Direct Link!A2:A""),0)),XLOOKUP($C534,IMPORTRANGE(""1NK5L1mviMn0j3D"&amp;"3uo53ASkIZOFRlLnqaCTnwzOG2_Wg"",""Direct links Without Sizes!A2:A""),IMPORTRANGE(""1NK5L1mviMn0j3D3uo53ASkIZOFRlLnqaCTnwzOG2_Wg"",""Direct links Without Sizes!B2:B""))),XLOOKUP($C534,IMPORTRANGE(""1NK5L1mviMn0j3D3uo53ASkIZOFRlLnqaCTnwzOG2_Wg"",""Direct li"&amp;"nks Without Sizes!D2:D""),IMPORTRANGE(""1NK5L1mviMn0j3D3uo53ASkIZOFRlLnqaCTnwzOG2_Wg"",""Direct links Without Sizes!E2:E""))),"""")"),"")</f>
        <v/>
      </c>
      <c r="I534" s="4"/>
      <c r="J534" s="24" t="str">
        <f t="shared" si="1"/>
        <v/>
      </c>
      <c r="K534" s="25"/>
      <c r="L534" s="24" t="str">
        <f t="shared" si="2"/>
        <v/>
      </c>
      <c r="M534" s="4"/>
      <c r="N534" s="23"/>
      <c r="O534" s="23"/>
      <c r="P534" s="23"/>
      <c r="Q534" s="4" t="str">
        <f t="shared" si="4"/>
        <v/>
      </c>
      <c r="R534" s="20"/>
      <c r="S534" s="20"/>
    </row>
    <row r="535">
      <c r="A535" s="4"/>
      <c r="B535" s="4"/>
      <c r="C535" s="37"/>
      <c r="D535" s="7" t="str">
        <f>IFERROR(__xludf.DUMMYFUNCTION("iferror(iferror(INDEX(IMPORTRANGE(""12vtnxaE_Q1s4tyr10kZQx7ZF_xG0lBFae4jQEUtgsMU"",""All!B2:B""),MATCH($C535,IMPORTRANGE(""12vtnxaE_Q1s4tyr10kZQx7ZF_xG0lBFae4jQEUtgsMU"",""All!A2:A""),0)),INDEX(IMPORTRANGE(""13KC70HngS4DDi8y9E5khtSpQEPG6owaQ9z4E-tR5mnY"","&amp;"""Non-Food!B2:B""),MATCH($C535,IMPORTRANGE(""13KC70HngS4DDi8y9E5khtSpQEPG6owaQ9z4E-tR5mnY"",""Non-Food!A2:A""),0))),"""")"),"")</f>
        <v/>
      </c>
      <c r="E535" s="15"/>
      <c r="F535" s="15"/>
      <c r="G535" s="36"/>
      <c r="H535" s="23" t="str">
        <f>IFERROR(__xludf.DUMMYFUNCTION("iferror(iferror(iferror(index(IMPORTRANGE(""1NK5L1mviMn0j3D3uo53ASkIZOFRlLnqaCTnwzOG2_Wg"",""Direct Link!B2:B""),MATCH($C535,IMPORTRANGE(""1NK5L1mviMn0j3D3uo53ASkIZOFRlLnqaCTnwzOG2_Wg"",""Direct Link!A2:A""),0)),XLOOKUP($C535,IMPORTRANGE(""1NK5L1mviMn0j3D"&amp;"3uo53ASkIZOFRlLnqaCTnwzOG2_Wg"",""Direct links Without Sizes!A2:A""),IMPORTRANGE(""1NK5L1mviMn0j3D3uo53ASkIZOFRlLnqaCTnwzOG2_Wg"",""Direct links Without Sizes!B2:B""))),XLOOKUP($C535,IMPORTRANGE(""1NK5L1mviMn0j3D3uo53ASkIZOFRlLnqaCTnwzOG2_Wg"",""Direct li"&amp;"nks Without Sizes!D2:D""),IMPORTRANGE(""1NK5L1mviMn0j3D3uo53ASkIZOFRlLnqaCTnwzOG2_Wg"",""Direct links Without Sizes!E2:E""))),"""")"),"")</f>
        <v/>
      </c>
      <c r="I535" s="4"/>
      <c r="J535" s="24" t="str">
        <f t="shared" si="1"/>
        <v/>
      </c>
      <c r="K535" s="25"/>
      <c r="L535" s="24" t="str">
        <f t="shared" si="2"/>
        <v/>
      </c>
      <c r="M535" s="4"/>
      <c r="N535" s="23"/>
      <c r="O535" s="23"/>
      <c r="P535" s="23"/>
      <c r="Q535" s="4" t="str">
        <f t="shared" si="4"/>
        <v/>
      </c>
      <c r="R535" s="20"/>
      <c r="S535" s="20"/>
    </row>
    <row r="536">
      <c r="A536" s="4"/>
      <c r="B536" s="4"/>
      <c r="C536" s="37"/>
      <c r="D536" s="7" t="str">
        <f>IFERROR(__xludf.DUMMYFUNCTION("iferror(iferror(INDEX(IMPORTRANGE(""12vtnxaE_Q1s4tyr10kZQx7ZF_xG0lBFae4jQEUtgsMU"",""All!B2:B""),MATCH($C536,IMPORTRANGE(""12vtnxaE_Q1s4tyr10kZQx7ZF_xG0lBFae4jQEUtgsMU"",""All!A2:A""),0)),INDEX(IMPORTRANGE(""13KC70HngS4DDi8y9E5khtSpQEPG6owaQ9z4E-tR5mnY"","&amp;"""Non-Food!B2:B""),MATCH($C536,IMPORTRANGE(""13KC70HngS4DDi8y9E5khtSpQEPG6owaQ9z4E-tR5mnY"",""Non-Food!A2:A""),0))),"""")"),"")</f>
        <v/>
      </c>
      <c r="E536" s="15"/>
      <c r="F536" s="15"/>
      <c r="G536" s="36"/>
      <c r="H536" s="23" t="str">
        <f>IFERROR(__xludf.DUMMYFUNCTION("iferror(iferror(iferror(index(IMPORTRANGE(""1NK5L1mviMn0j3D3uo53ASkIZOFRlLnqaCTnwzOG2_Wg"",""Direct Link!B2:B""),MATCH($C536,IMPORTRANGE(""1NK5L1mviMn0j3D3uo53ASkIZOFRlLnqaCTnwzOG2_Wg"",""Direct Link!A2:A""),0)),XLOOKUP($C536,IMPORTRANGE(""1NK5L1mviMn0j3D"&amp;"3uo53ASkIZOFRlLnqaCTnwzOG2_Wg"",""Direct links Without Sizes!A2:A""),IMPORTRANGE(""1NK5L1mviMn0j3D3uo53ASkIZOFRlLnqaCTnwzOG2_Wg"",""Direct links Without Sizes!B2:B""))),XLOOKUP($C536,IMPORTRANGE(""1NK5L1mviMn0j3D3uo53ASkIZOFRlLnqaCTnwzOG2_Wg"",""Direct li"&amp;"nks Without Sizes!D2:D""),IMPORTRANGE(""1NK5L1mviMn0j3D3uo53ASkIZOFRlLnqaCTnwzOG2_Wg"",""Direct links Without Sizes!E2:E""))),"""")"),"")</f>
        <v/>
      </c>
      <c r="I536" s="4"/>
      <c r="J536" s="24" t="str">
        <f t="shared" si="1"/>
        <v/>
      </c>
      <c r="K536" s="25"/>
      <c r="L536" s="24" t="str">
        <f t="shared" si="2"/>
        <v/>
      </c>
      <c r="M536" s="4"/>
      <c r="N536" s="23"/>
      <c r="O536" s="23"/>
      <c r="P536" s="23"/>
      <c r="Q536" s="4" t="str">
        <f t="shared" si="4"/>
        <v/>
      </c>
      <c r="R536" s="20"/>
      <c r="S536" s="20"/>
    </row>
    <row r="537">
      <c r="A537" s="4"/>
      <c r="B537" s="4"/>
      <c r="C537" s="37"/>
      <c r="D537" s="7" t="str">
        <f>IFERROR(__xludf.DUMMYFUNCTION("iferror(iferror(INDEX(IMPORTRANGE(""12vtnxaE_Q1s4tyr10kZQx7ZF_xG0lBFae4jQEUtgsMU"",""All!B2:B""),MATCH($C537,IMPORTRANGE(""12vtnxaE_Q1s4tyr10kZQx7ZF_xG0lBFae4jQEUtgsMU"",""All!A2:A""),0)),INDEX(IMPORTRANGE(""13KC70HngS4DDi8y9E5khtSpQEPG6owaQ9z4E-tR5mnY"","&amp;"""Non-Food!B2:B""),MATCH($C537,IMPORTRANGE(""13KC70HngS4DDi8y9E5khtSpQEPG6owaQ9z4E-tR5mnY"",""Non-Food!A2:A""),0))),"""")"),"")</f>
        <v/>
      </c>
      <c r="E537" s="15"/>
      <c r="F537" s="15"/>
      <c r="G537" s="36"/>
      <c r="H537" s="23" t="str">
        <f>IFERROR(__xludf.DUMMYFUNCTION("iferror(iferror(iferror(index(IMPORTRANGE(""1NK5L1mviMn0j3D3uo53ASkIZOFRlLnqaCTnwzOG2_Wg"",""Direct Link!B2:B""),MATCH($C537,IMPORTRANGE(""1NK5L1mviMn0j3D3uo53ASkIZOFRlLnqaCTnwzOG2_Wg"",""Direct Link!A2:A""),0)),XLOOKUP($C537,IMPORTRANGE(""1NK5L1mviMn0j3D"&amp;"3uo53ASkIZOFRlLnqaCTnwzOG2_Wg"",""Direct links Without Sizes!A2:A""),IMPORTRANGE(""1NK5L1mviMn0j3D3uo53ASkIZOFRlLnqaCTnwzOG2_Wg"",""Direct links Without Sizes!B2:B""))),XLOOKUP($C537,IMPORTRANGE(""1NK5L1mviMn0j3D3uo53ASkIZOFRlLnqaCTnwzOG2_Wg"",""Direct li"&amp;"nks Without Sizes!D2:D""),IMPORTRANGE(""1NK5L1mviMn0j3D3uo53ASkIZOFRlLnqaCTnwzOG2_Wg"",""Direct links Without Sizes!E2:E""))),"""")"),"")</f>
        <v/>
      </c>
      <c r="I537" s="4"/>
      <c r="J537" s="24" t="str">
        <f t="shared" si="1"/>
        <v/>
      </c>
      <c r="K537" s="25"/>
      <c r="L537" s="24" t="str">
        <f t="shared" si="2"/>
        <v/>
      </c>
      <c r="M537" s="4"/>
      <c r="N537" s="23"/>
      <c r="O537" s="23"/>
      <c r="P537" s="23"/>
      <c r="Q537" s="4" t="str">
        <f t="shared" si="4"/>
        <v/>
      </c>
      <c r="R537" s="20"/>
      <c r="S537" s="20"/>
    </row>
    <row r="538">
      <c r="A538" s="4"/>
      <c r="B538" s="4"/>
      <c r="C538" s="37"/>
      <c r="D538" s="7" t="str">
        <f>IFERROR(__xludf.DUMMYFUNCTION("iferror(iferror(INDEX(IMPORTRANGE(""12vtnxaE_Q1s4tyr10kZQx7ZF_xG0lBFae4jQEUtgsMU"",""All!B2:B""),MATCH($C538,IMPORTRANGE(""12vtnxaE_Q1s4tyr10kZQx7ZF_xG0lBFae4jQEUtgsMU"",""All!A2:A""),0)),INDEX(IMPORTRANGE(""13KC70HngS4DDi8y9E5khtSpQEPG6owaQ9z4E-tR5mnY"","&amp;"""Non-Food!B2:B""),MATCH($C538,IMPORTRANGE(""13KC70HngS4DDi8y9E5khtSpQEPG6owaQ9z4E-tR5mnY"",""Non-Food!A2:A""),0))),"""")"),"")</f>
        <v/>
      </c>
      <c r="E538" s="15"/>
      <c r="F538" s="15"/>
      <c r="G538" s="36"/>
      <c r="H538" s="23" t="str">
        <f>IFERROR(__xludf.DUMMYFUNCTION("iferror(iferror(iferror(index(IMPORTRANGE(""1NK5L1mviMn0j3D3uo53ASkIZOFRlLnqaCTnwzOG2_Wg"",""Direct Link!B2:B""),MATCH($C538,IMPORTRANGE(""1NK5L1mviMn0j3D3uo53ASkIZOFRlLnqaCTnwzOG2_Wg"",""Direct Link!A2:A""),0)),XLOOKUP($C538,IMPORTRANGE(""1NK5L1mviMn0j3D"&amp;"3uo53ASkIZOFRlLnqaCTnwzOG2_Wg"",""Direct links Without Sizes!A2:A""),IMPORTRANGE(""1NK5L1mviMn0j3D3uo53ASkIZOFRlLnqaCTnwzOG2_Wg"",""Direct links Without Sizes!B2:B""))),XLOOKUP($C538,IMPORTRANGE(""1NK5L1mviMn0j3D3uo53ASkIZOFRlLnqaCTnwzOG2_Wg"",""Direct li"&amp;"nks Without Sizes!D2:D""),IMPORTRANGE(""1NK5L1mviMn0j3D3uo53ASkIZOFRlLnqaCTnwzOG2_Wg"",""Direct links Without Sizes!E2:E""))),"""")"),"")</f>
        <v/>
      </c>
      <c r="I538" s="4"/>
      <c r="J538" s="24" t="str">
        <f t="shared" si="1"/>
        <v/>
      </c>
      <c r="K538" s="25"/>
      <c r="L538" s="24" t="str">
        <f t="shared" si="2"/>
        <v/>
      </c>
      <c r="M538" s="4"/>
      <c r="N538" s="23"/>
      <c r="O538" s="23"/>
      <c r="P538" s="23"/>
      <c r="Q538" s="4" t="str">
        <f t="shared" si="4"/>
        <v/>
      </c>
      <c r="R538" s="20"/>
      <c r="S538" s="20"/>
    </row>
    <row r="539">
      <c r="A539" s="4"/>
      <c r="B539" s="4"/>
      <c r="C539" s="37"/>
      <c r="D539" s="7" t="str">
        <f>IFERROR(__xludf.DUMMYFUNCTION("iferror(iferror(INDEX(IMPORTRANGE(""12vtnxaE_Q1s4tyr10kZQx7ZF_xG0lBFae4jQEUtgsMU"",""All!B2:B""),MATCH($C539,IMPORTRANGE(""12vtnxaE_Q1s4tyr10kZQx7ZF_xG0lBFae4jQEUtgsMU"",""All!A2:A""),0)),INDEX(IMPORTRANGE(""13KC70HngS4DDi8y9E5khtSpQEPG6owaQ9z4E-tR5mnY"","&amp;"""Non-Food!B2:B""),MATCH($C539,IMPORTRANGE(""13KC70HngS4DDi8y9E5khtSpQEPG6owaQ9z4E-tR5mnY"",""Non-Food!A2:A""),0))),"""")"),"")</f>
        <v/>
      </c>
      <c r="E539" s="15"/>
      <c r="F539" s="15"/>
      <c r="G539" s="36"/>
      <c r="H539" s="23" t="str">
        <f>IFERROR(__xludf.DUMMYFUNCTION("iferror(iferror(iferror(index(IMPORTRANGE(""1NK5L1mviMn0j3D3uo53ASkIZOFRlLnqaCTnwzOG2_Wg"",""Direct Link!B2:B""),MATCH($C539,IMPORTRANGE(""1NK5L1mviMn0j3D3uo53ASkIZOFRlLnqaCTnwzOG2_Wg"",""Direct Link!A2:A""),0)),XLOOKUP($C539,IMPORTRANGE(""1NK5L1mviMn0j3D"&amp;"3uo53ASkIZOFRlLnqaCTnwzOG2_Wg"",""Direct links Without Sizes!A2:A""),IMPORTRANGE(""1NK5L1mviMn0j3D3uo53ASkIZOFRlLnqaCTnwzOG2_Wg"",""Direct links Without Sizes!B2:B""))),XLOOKUP($C539,IMPORTRANGE(""1NK5L1mviMn0j3D3uo53ASkIZOFRlLnqaCTnwzOG2_Wg"",""Direct li"&amp;"nks Without Sizes!D2:D""),IMPORTRANGE(""1NK5L1mviMn0j3D3uo53ASkIZOFRlLnqaCTnwzOG2_Wg"",""Direct links Without Sizes!E2:E""))),"""")"),"")</f>
        <v/>
      </c>
      <c r="I539" s="4"/>
      <c r="J539" s="24" t="str">
        <f t="shared" si="1"/>
        <v/>
      </c>
      <c r="K539" s="25"/>
      <c r="L539" s="24" t="str">
        <f t="shared" si="2"/>
        <v/>
      </c>
      <c r="M539" s="4"/>
      <c r="N539" s="23"/>
      <c r="O539" s="23"/>
      <c r="P539" s="23"/>
      <c r="Q539" s="4" t="str">
        <f t="shared" si="4"/>
        <v/>
      </c>
      <c r="R539" s="20"/>
      <c r="S539" s="20"/>
    </row>
    <row r="540">
      <c r="A540" s="4"/>
      <c r="B540" s="4"/>
      <c r="C540" s="37"/>
      <c r="D540" s="7" t="str">
        <f>IFERROR(__xludf.DUMMYFUNCTION("iferror(iferror(INDEX(IMPORTRANGE(""12vtnxaE_Q1s4tyr10kZQx7ZF_xG0lBFae4jQEUtgsMU"",""All!B2:B""),MATCH($C540,IMPORTRANGE(""12vtnxaE_Q1s4tyr10kZQx7ZF_xG0lBFae4jQEUtgsMU"",""All!A2:A""),0)),INDEX(IMPORTRANGE(""13KC70HngS4DDi8y9E5khtSpQEPG6owaQ9z4E-tR5mnY"","&amp;"""Non-Food!B2:B""),MATCH($C540,IMPORTRANGE(""13KC70HngS4DDi8y9E5khtSpQEPG6owaQ9z4E-tR5mnY"",""Non-Food!A2:A""),0))),"""")"),"")</f>
        <v/>
      </c>
      <c r="E540" s="15"/>
      <c r="F540" s="15"/>
      <c r="G540" s="36"/>
      <c r="H540" s="23" t="str">
        <f>IFERROR(__xludf.DUMMYFUNCTION("iferror(iferror(iferror(index(IMPORTRANGE(""1NK5L1mviMn0j3D3uo53ASkIZOFRlLnqaCTnwzOG2_Wg"",""Direct Link!B2:B""),MATCH($C540,IMPORTRANGE(""1NK5L1mviMn0j3D3uo53ASkIZOFRlLnqaCTnwzOG2_Wg"",""Direct Link!A2:A""),0)),XLOOKUP($C540,IMPORTRANGE(""1NK5L1mviMn0j3D"&amp;"3uo53ASkIZOFRlLnqaCTnwzOG2_Wg"",""Direct links Without Sizes!A2:A""),IMPORTRANGE(""1NK5L1mviMn0j3D3uo53ASkIZOFRlLnqaCTnwzOG2_Wg"",""Direct links Without Sizes!B2:B""))),XLOOKUP($C540,IMPORTRANGE(""1NK5L1mviMn0j3D3uo53ASkIZOFRlLnqaCTnwzOG2_Wg"",""Direct li"&amp;"nks Without Sizes!D2:D""),IMPORTRANGE(""1NK5L1mviMn0j3D3uo53ASkIZOFRlLnqaCTnwzOG2_Wg"",""Direct links Without Sizes!E2:E""))),"""")"),"")</f>
        <v/>
      </c>
      <c r="I540" s="4"/>
      <c r="J540" s="24" t="str">
        <f t="shared" si="1"/>
        <v/>
      </c>
      <c r="K540" s="25"/>
      <c r="L540" s="24" t="str">
        <f t="shared" si="2"/>
        <v/>
      </c>
      <c r="M540" s="4"/>
      <c r="N540" s="23"/>
      <c r="O540" s="23"/>
      <c r="P540" s="23"/>
      <c r="Q540" s="4" t="str">
        <f t="shared" si="4"/>
        <v/>
      </c>
      <c r="R540" s="20"/>
      <c r="S540" s="20"/>
    </row>
    <row r="541">
      <c r="A541" s="4"/>
      <c r="B541" s="4"/>
      <c r="C541" s="37"/>
      <c r="D541" s="7" t="str">
        <f>IFERROR(__xludf.DUMMYFUNCTION("iferror(iferror(INDEX(IMPORTRANGE(""12vtnxaE_Q1s4tyr10kZQx7ZF_xG0lBFae4jQEUtgsMU"",""All!B2:B""),MATCH($C541,IMPORTRANGE(""12vtnxaE_Q1s4tyr10kZQx7ZF_xG0lBFae4jQEUtgsMU"",""All!A2:A""),0)),INDEX(IMPORTRANGE(""13KC70HngS4DDi8y9E5khtSpQEPG6owaQ9z4E-tR5mnY"","&amp;"""Non-Food!B2:B""),MATCH($C541,IMPORTRANGE(""13KC70HngS4DDi8y9E5khtSpQEPG6owaQ9z4E-tR5mnY"",""Non-Food!A2:A""),0))),"""")"),"")</f>
        <v/>
      </c>
      <c r="E541" s="15"/>
      <c r="F541" s="15"/>
      <c r="G541" s="36"/>
      <c r="H541" s="23" t="str">
        <f>IFERROR(__xludf.DUMMYFUNCTION("iferror(iferror(iferror(index(IMPORTRANGE(""1NK5L1mviMn0j3D3uo53ASkIZOFRlLnqaCTnwzOG2_Wg"",""Direct Link!B2:B""),MATCH($C541,IMPORTRANGE(""1NK5L1mviMn0j3D3uo53ASkIZOFRlLnqaCTnwzOG2_Wg"",""Direct Link!A2:A""),0)),XLOOKUP($C541,IMPORTRANGE(""1NK5L1mviMn0j3D"&amp;"3uo53ASkIZOFRlLnqaCTnwzOG2_Wg"",""Direct links Without Sizes!A2:A""),IMPORTRANGE(""1NK5L1mviMn0j3D3uo53ASkIZOFRlLnqaCTnwzOG2_Wg"",""Direct links Without Sizes!B2:B""))),XLOOKUP($C541,IMPORTRANGE(""1NK5L1mviMn0j3D3uo53ASkIZOFRlLnqaCTnwzOG2_Wg"",""Direct li"&amp;"nks Without Sizes!D2:D""),IMPORTRANGE(""1NK5L1mviMn0j3D3uo53ASkIZOFRlLnqaCTnwzOG2_Wg"",""Direct links Without Sizes!E2:E""))),"""")"),"")</f>
        <v/>
      </c>
      <c r="I541" s="4"/>
      <c r="J541" s="24" t="str">
        <f t="shared" si="1"/>
        <v/>
      </c>
      <c r="K541" s="25"/>
      <c r="L541" s="24" t="str">
        <f t="shared" si="2"/>
        <v/>
      </c>
      <c r="M541" s="4"/>
      <c r="N541" s="23"/>
      <c r="O541" s="23"/>
      <c r="P541" s="23"/>
      <c r="Q541" s="4" t="str">
        <f t="shared" si="4"/>
        <v/>
      </c>
      <c r="R541" s="20"/>
      <c r="S541" s="20"/>
    </row>
    <row r="542">
      <c r="A542" s="4"/>
      <c r="B542" s="4"/>
      <c r="C542" s="37"/>
      <c r="D542" s="7" t="str">
        <f>IFERROR(__xludf.DUMMYFUNCTION("iferror(iferror(INDEX(IMPORTRANGE(""12vtnxaE_Q1s4tyr10kZQx7ZF_xG0lBFae4jQEUtgsMU"",""All!B2:B""),MATCH($C542,IMPORTRANGE(""12vtnxaE_Q1s4tyr10kZQx7ZF_xG0lBFae4jQEUtgsMU"",""All!A2:A""),0)),INDEX(IMPORTRANGE(""13KC70HngS4DDi8y9E5khtSpQEPG6owaQ9z4E-tR5mnY"","&amp;"""Non-Food!B2:B""),MATCH($C542,IMPORTRANGE(""13KC70HngS4DDi8y9E5khtSpQEPG6owaQ9z4E-tR5mnY"",""Non-Food!A2:A""),0))),"""")"),"")</f>
        <v/>
      </c>
      <c r="E542" s="15"/>
      <c r="F542" s="15"/>
      <c r="G542" s="36"/>
      <c r="H542" s="23" t="str">
        <f>IFERROR(__xludf.DUMMYFUNCTION("iferror(iferror(iferror(index(IMPORTRANGE(""1NK5L1mviMn0j3D3uo53ASkIZOFRlLnqaCTnwzOG2_Wg"",""Direct Link!B2:B""),MATCH($C542,IMPORTRANGE(""1NK5L1mviMn0j3D3uo53ASkIZOFRlLnqaCTnwzOG2_Wg"",""Direct Link!A2:A""),0)),XLOOKUP($C542,IMPORTRANGE(""1NK5L1mviMn0j3D"&amp;"3uo53ASkIZOFRlLnqaCTnwzOG2_Wg"",""Direct links Without Sizes!A2:A""),IMPORTRANGE(""1NK5L1mviMn0j3D3uo53ASkIZOFRlLnqaCTnwzOG2_Wg"",""Direct links Without Sizes!B2:B""))),XLOOKUP($C542,IMPORTRANGE(""1NK5L1mviMn0j3D3uo53ASkIZOFRlLnqaCTnwzOG2_Wg"",""Direct li"&amp;"nks Without Sizes!D2:D""),IMPORTRANGE(""1NK5L1mviMn0j3D3uo53ASkIZOFRlLnqaCTnwzOG2_Wg"",""Direct links Without Sizes!E2:E""))),"""")"),"")</f>
        <v/>
      </c>
      <c r="I542" s="4"/>
      <c r="J542" s="24" t="str">
        <f t="shared" si="1"/>
        <v/>
      </c>
      <c r="K542" s="25"/>
      <c r="L542" s="24" t="str">
        <f t="shared" si="2"/>
        <v/>
      </c>
      <c r="M542" s="4"/>
      <c r="N542" s="23"/>
      <c r="O542" s="23"/>
      <c r="P542" s="23"/>
      <c r="Q542" s="4" t="str">
        <f t="shared" si="4"/>
        <v/>
      </c>
      <c r="R542" s="20"/>
      <c r="S542" s="20"/>
    </row>
    <row r="543">
      <c r="A543" s="4"/>
      <c r="B543" s="4"/>
      <c r="C543" s="37"/>
      <c r="D543" s="7" t="str">
        <f>IFERROR(__xludf.DUMMYFUNCTION("iferror(iferror(INDEX(IMPORTRANGE(""12vtnxaE_Q1s4tyr10kZQx7ZF_xG0lBFae4jQEUtgsMU"",""All!B2:B""),MATCH($C543,IMPORTRANGE(""12vtnxaE_Q1s4tyr10kZQx7ZF_xG0lBFae4jQEUtgsMU"",""All!A2:A""),0)),INDEX(IMPORTRANGE(""13KC70HngS4DDi8y9E5khtSpQEPG6owaQ9z4E-tR5mnY"","&amp;"""Non-Food!B2:B""),MATCH($C543,IMPORTRANGE(""13KC70HngS4DDi8y9E5khtSpQEPG6owaQ9z4E-tR5mnY"",""Non-Food!A2:A""),0))),"""")"),"")</f>
        <v/>
      </c>
      <c r="E543" s="15"/>
      <c r="F543" s="15"/>
      <c r="G543" s="36"/>
      <c r="H543" s="23" t="str">
        <f>IFERROR(__xludf.DUMMYFUNCTION("iferror(iferror(iferror(index(IMPORTRANGE(""1NK5L1mviMn0j3D3uo53ASkIZOFRlLnqaCTnwzOG2_Wg"",""Direct Link!B2:B""),MATCH($C543,IMPORTRANGE(""1NK5L1mviMn0j3D3uo53ASkIZOFRlLnqaCTnwzOG2_Wg"",""Direct Link!A2:A""),0)),XLOOKUP($C543,IMPORTRANGE(""1NK5L1mviMn0j3D"&amp;"3uo53ASkIZOFRlLnqaCTnwzOG2_Wg"",""Direct links Without Sizes!A2:A""),IMPORTRANGE(""1NK5L1mviMn0j3D3uo53ASkIZOFRlLnqaCTnwzOG2_Wg"",""Direct links Without Sizes!B2:B""))),XLOOKUP($C543,IMPORTRANGE(""1NK5L1mviMn0j3D3uo53ASkIZOFRlLnqaCTnwzOG2_Wg"",""Direct li"&amp;"nks Without Sizes!D2:D""),IMPORTRANGE(""1NK5L1mviMn0j3D3uo53ASkIZOFRlLnqaCTnwzOG2_Wg"",""Direct links Without Sizes!E2:E""))),"""")"),"")</f>
        <v/>
      </c>
      <c r="I543" s="4"/>
      <c r="J543" s="24" t="str">
        <f t="shared" si="1"/>
        <v/>
      </c>
      <c r="K543" s="25"/>
      <c r="L543" s="24" t="str">
        <f t="shared" si="2"/>
        <v/>
      </c>
      <c r="M543" s="4"/>
      <c r="N543" s="23"/>
      <c r="O543" s="23"/>
      <c r="P543" s="23"/>
      <c r="Q543" s="4" t="str">
        <f t="shared" si="4"/>
        <v/>
      </c>
      <c r="R543" s="20"/>
      <c r="S543" s="20"/>
    </row>
    <row r="544">
      <c r="A544" s="4"/>
      <c r="B544" s="4"/>
      <c r="C544" s="37"/>
      <c r="D544" s="7" t="str">
        <f>IFERROR(__xludf.DUMMYFUNCTION("iferror(iferror(INDEX(IMPORTRANGE(""12vtnxaE_Q1s4tyr10kZQx7ZF_xG0lBFae4jQEUtgsMU"",""All!B2:B""),MATCH($C544,IMPORTRANGE(""12vtnxaE_Q1s4tyr10kZQx7ZF_xG0lBFae4jQEUtgsMU"",""All!A2:A""),0)),INDEX(IMPORTRANGE(""13KC70HngS4DDi8y9E5khtSpQEPG6owaQ9z4E-tR5mnY"","&amp;"""Non-Food!B2:B""),MATCH($C544,IMPORTRANGE(""13KC70HngS4DDi8y9E5khtSpQEPG6owaQ9z4E-tR5mnY"",""Non-Food!A2:A""),0))),"""")"),"")</f>
        <v/>
      </c>
      <c r="E544" s="15"/>
      <c r="F544" s="15"/>
      <c r="G544" s="36"/>
      <c r="H544" s="23" t="str">
        <f>IFERROR(__xludf.DUMMYFUNCTION("iferror(iferror(iferror(index(IMPORTRANGE(""1NK5L1mviMn0j3D3uo53ASkIZOFRlLnqaCTnwzOG2_Wg"",""Direct Link!B2:B""),MATCH($C544,IMPORTRANGE(""1NK5L1mviMn0j3D3uo53ASkIZOFRlLnqaCTnwzOG2_Wg"",""Direct Link!A2:A""),0)),XLOOKUP($C544,IMPORTRANGE(""1NK5L1mviMn0j3D"&amp;"3uo53ASkIZOFRlLnqaCTnwzOG2_Wg"",""Direct links Without Sizes!A2:A""),IMPORTRANGE(""1NK5L1mviMn0j3D3uo53ASkIZOFRlLnqaCTnwzOG2_Wg"",""Direct links Without Sizes!B2:B""))),XLOOKUP($C544,IMPORTRANGE(""1NK5L1mviMn0j3D3uo53ASkIZOFRlLnqaCTnwzOG2_Wg"",""Direct li"&amp;"nks Without Sizes!D2:D""),IMPORTRANGE(""1NK5L1mviMn0j3D3uo53ASkIZOFRlLnqaCTnwzOG2_Wg"",""Direct links Without Sizes!E2:E""))),"""")"),"")</f>
        <v/>
      </c>
      <c r="I544" s="4"/>
      <c r="J544" s="24" t="str">
        <f t="shared" si="1"/>
        <v/>
      </c>
      <c r="K544" s="25"/>
      <c r="L544" s="24" t="str">
        <f t="shared" si="2"/>
        <v/>
      </c>
      <c r="M544" s="4"/>
      <c r="N544" s="23"/>
      <c r="O544" s="23"/>
      <c r="P544" s="23"/>
      <c r="Q544" s="4" t="str">
        <f t="shared" si="4"/>
        <v/>
      </c>
      <c r="R544" s="20"/>
      <c r="S544" s="20"/>
    </row>
    <row r="545">
      <c r="A545" s="4"/>
      <c r="B545" s="4"/>
      <c r="C545" s="37"/>
      <c r="D545" s="7" t="str">
        <f>IFERROR(__xludf.DUMMYFUNCTION("iferror(iferror(INDEX(IMPORTRANGE(""12vtnxaE_Q1s4tyr10kZQx7ZF_xG0lBFae4jQEUtgsMU"",""All!B2:B""),MATCH($C545,IMPORTRANGE(""12vtnxaE_Q1s4tyr10kZQx7ZF_xG0lBFae4jQEUtgsMU"",""All!A2:A""),0)),INDEX(IMPORTRANGE(""13KC70HngS4DDi8y9E5khtSpQEPG6owaQ9z4E-tR5mnY"","&amp;"""Non-Food!B2:B""),MATCH($C545,IMPORTRANGE(""13KC70HngS4DDi8y9E5khtSpQEPG6owaQ9z4E-tR5mnY"",""Non-Food!A2:A""),0))),"""")"),"")</f>
        <v/>
      </c>
      <c r="E545" s="15"/>
      <c r="F545" s="15"/>
      <c r="G545" s="36"/>
      <c r="H545" s="23" t="str">
        <f>IFERROR(__xludf.DUMMYFUNCTION("iferror(iferror(iferror(index(IMPORTRANGE(""1NK5L1mviMn0j3D3uo53ASkIZOFRlLnqaCTnwzOG2_Wg"",""Direct Link!B2:B""),MATCH($C545,IMPORTRANGE(""1NK5L1mviMn0j3D3uo53ASkIZOFRlLnqaCTnwzOG2_Wg"",""Direct Link!A2:A""),0)),XLOOKUP($C545,IMPORTRANGE(""1NK5L1mviMn0j3D"&amp;"3uo53ASkIZOFRlLnqaCTnwzOG2_Wg"",""Direct links Without Sizes!A2:A""),IMPORTRANGE(""1NK5L1mviMn0j3D3uo53ASkIZOFRlLnqaCTnwzOG2_Wg"",""Direct links Without Sizes!B2:B""))),XLOOKUP($C545,IMPORTRANGE(""1NK5L1mviMn0j3D3uo53ASkIZOFRlLnqaCTnwzOG2_Wg"",""Direct li"&amp;"nks Without Sizes!D2:D""),IMPORTRANGE(""1NK5L1mviMn0j3D3uo53ASkIZOFRlLnqaCTnwzOG2_Wg"",""Direct links Without Sizes!E2:E""))),"""")"),"")</f>
        <v/>
      </c>
      <c r="I545" s="4"/>
      <c r="J545" s="24" t="str">
        <f t="shared" si="1"/>
        <v/>
      </c>
      <c r="K545" s="25"/>
      <c r="L545" s="24" t="str">
        <f t="shared" si="2"/>
        <v/>
      </c>
      <c r="M545" s="4"/>
      <c r="N545" s="23"/>
      <c r="O545" s="23"/>
      <c r="P545" s="23"/>
      <c r="Q545" s="4" t="str">
        <f t="shared" si="4"/>
        <v/>
      </c>
      <c r="R545" s="20"/>
      <c r="S545" s="20"/>
    </row>
    <row r="546">
      <c r="A546" s="4"/>
      <c r="B546" s="4"/>
      <c r="C546" s="37"/>
      <c r="D546" s="7" t="str">
        <f>IFERROR(__xludf.DUMMYFUNCTION("iferror(iferror(INDEX(IMPORTRANGE(""12vtnxaE_Q1s4tyr10kZQx7ZF_xG0lBFae4jQEUtgsMU"",""All!B2:B""),MATCH($C546,IMPORTRANGE(""12vtnxaE_Q1s4tyr10kZQx7ZF_xG0lBFae4jQEUtgsMU"",""All!A2:A""),0)),INDEX(IMPORTRANGE(""13KC70HngS4DDi8y9E5khtSpQEPG6owaQ9z4E-tR5mnY"","&amp;"""Non-Food!B2:B""),MATCH($C546,IMPORTRANGE(""13KC70HngS4DDi8y9E5khtSpQEPG6owaQ9z4E-tR5mnY"",""Non-Food!A2:A""),0))),"""")"),"")</f>
        <v/>
      </c>
      <c r="E546" s="15"/>
      <c r="F546" s="15"/>
      <c r="G546" s="36"/>
      <c r="H546" s="23" t="str">
        <f>IFERROR(__xludf.DUMMYFUNCTION("iferror(iferror(iferror(index(IMPORTRANGE(""1NK5L1mviMn0j3D3uo53ASkIZOFRlLnqaCTnwzOG2_Wg"",""Direct Link!B2:B""),MATCH($C546,IMPORTRANGE(""1NK5L1mviMn0j3D3uo53ASkIZOFRlLnqaCTnwzOG2_Wg"",""Direct Link!A2:A""),0)),XLOOKUP($C546,IMPORTRANGE(""1NK5L1mviMn0j3D"&amp;"3uo53ASkIZOFRlLnqaCTnwzOG2_Wg"",""Direct links Without Sizes!A2:A""),IMPORTRANGE(""1NK5L1mviMn0j3D3uo53ASkIZOFRlLnqaCTnwzOG2_Wg"",""Direct links Without Sizes!B2:B""))),XLOOKUP($C546,IMPORTRANGE(""1NK5L1mviMn0j3D3uo53ASkIZOFRlLnqaCTnwzOG2_Wg"",""Direct li"&amp;"nks Without Sizes!D2:D""),IMPORTRANGE(""1NK5L1mviMn0j3D3uo53ASkIZOFRlLnqaCTnwzOG2_Wg"",""Direct links Without Sizes!E2:E""))),"""")"),"")</f>
        <v/>
      </c>
      <c r="I546" s="4"/>
      <c r="J546" s="24" t="str">
        <f t="shared" si="1"/>
        <v/>
      </c>
      <c r="K546" s="25"/>
      <c r="L546" s="24" t="str">
        <f t="shared" si="2"/>
        <v/>
      </c>
      <c r="M546" s="4"/>
      <c r="N546" s="23"/>
      <c r="O546" s="23"/>
      <c r="P546" s="23"/>
      <c r="Q546" s="4" t="str">
        <f t="shared" si="4"/>
        <v/>
      </c>
      <c r="R546" s="20"/>
      <c r="S546" s="20"/>
    </row>
    <row r="547">
      <c r="A547" s="4"/>
      <c r="B547" s="4"/>
      <c r="C547" s="37"/>
      <c r="D547" s="7" t="str">
        <f>IFERROR(__xludf.DUMMYFUNCTION("iferror(iferror(INDEX(IMPORTRANGE(""12vtnxaE_Q1s4tyr10kZQx7ZF_xG0lBFae4jQEUtgsMU"",""All!B2:B""),MATCH($C547,IMPORTRANGE(""12vtnxaE_Q1s4tyr10kZQx7ZF_xG0lBFae4jQEUtgsMU"",""All!A2:A""),0)),INDEX(IMPORTRANGE(""13KC70HngS4DDi8y9E5khtSpQEPG6owaQ9z4E-tR5mnY"","&amp;"""Non-Food!B2:B""),MATCH($C547,IMPORTRANGE(""13KC70HngS4DDi8y9E5khtSpQEPG6owaQ9z4E-tR5mnY"",""Non-Food!A2:A""),0))),"""")"),"")</f>
        <v/>
      </c>
      <c r="E547" s="15"/>
      <c r="F547" s="15"/>
      <c r="G547" s="36"/>
      <c r="H547" s="23" t="str">
        <f>IFERROR(__xludf.DUMMYFUNCTION("iferror(iferror(iferror(index(IMPORTRANGE(""1NK5L1mviMn0j3D3uo53ASkIZOFRlLnqaCTnwzOG2_Wg"",""Direct Link!B2:B""),MATCH($C547,IMPORTRANGE(""1NK5L1mviMn0j3D3uo53ASkIZOFRlLnqaCTnwzOG2_Wg"",""Direct Link!A2:A""),0)),XLOOKUP($C547,IMPORTRANGE(""1NK5L1mviMn0j3D"&amp;"3uo53ASkIZOFRlLnqaCTnwzOG2_Wg"",""Direct links Without Sizes!A2:A""),IMPORTRANGE(""1NK5L1mviMn0j3D3uo53ASkIZOFRlLnqaCTnwzOG2_Wg"",""Direct links Without Sizes!B2:B""))),XLOOKUP($C547,IMPORTRANGE(""1NK5L1mviMn0j3D3uo53ASkIZOFRlLnqaCTnwzOG2_Wg"",""Direct li"&amp;"nks Without Sizes!D2:D""),IMPORTRANGE(""1NK5L1mviMn0j3D3uo53ASkIZOFRlLnqaCTnwzOG2_Wg"",""Direct links Without Sizes!E2:E""))),"""")"),"")</f>
        <v/>
      </c>
      <c r="I547" s="4"/>
      <c r="J547" s="24" t="str">
        <f t="shared" si="1"/>
        <v/>
      </c>
      <c r="K547" s="25"/>
      <c r="L547" s="24" t="str">
        <f t="shared" si="2"/>
        <v/>
      </c>
      <c r="M547" s="4"/>
      <c r="N547" s="23"/>
      <c r="O547" s="23"/>
      <c r="P547" s="23"/>
      <c r="Q547" s="4" t="str">
        <f t="shared" si="4"/>
        <v/>
      </c>
      <c r="R547" s="20"/>
      <c r="S547" s="20"/>
    </row>
    <row r="548">
      <c r="A548" s="4"/>
      <c r="B548" s="4"/>
      <c r="C548" s="37"/>
      <c r="D548" s="7" t="str">
        <f>IFERROR(__xludf.DUMMYFUNCTION("iferror(iferror(INDEX(IMPORTRANGE(""12vtnxaE_Q1s4tyr10kZQx7ZF_xG0lBFae4jQEUtgsMU"",""All!B2:B""),MATCH($C548,IMPORTRANGE(""12vtnxaE_Q1s4tyr10kZQx7ZF_xG0lBFae4jQEUtgsMU"",""All!A2:A""),0)),INDEX(IMPORTRANGE(""13KC70HngS4DDi8y9E5khtSpQEPG6owaQ9z4E-tR5mnY"","&amp;"""Non-Food!B2:B""),MATCH($C548,IMPORTRANGE(""13KC70HngS4DDi8y9E5khtSpQEPG6owaQ9z4E-tR5mnY"",""Non-Food!A2:A""),0))),"""")"),"")</f>
        <v/>
      </c>
      <c r="E548" s="15"/>
      <c r="F548" s="15"/>
      <c r="G548" s="36"/>
      <c r="H548" s="23" t="str">
        <f>IFERROR(__xludf.DUMMYFUNCTION("iferror(iferror(iferror(index(IMPORTRANGE(""1NK5L1mviMn0j3D3uo53ASkIZOFRlLnqaCTnwzOG2_Wg"",""Direct Link!B2:B""),MATCH($C548,IMPORTRANGE(""1NK5L1mviMn0j3D3uo53ASkIZOFRlLnqaCTnwzOG2_Wg"",""Direct Link!A2:A""),0)),XLOOKUP($C548,IMPORTRANGE(""1NK5L1mviMn0j3D"&amp;"3uo53ASkIZOFRlLnqaCTnwzOG2_Wg"",""Direct links Without Sizes!A2:A""),IMPORTRANGE(""1NK5L1mviMn0j3D3uo53ASkIZOFRlLnqaCTnwzOG2_Wg"",""Direct links Without Sizes!B2:B""))),XLOOKUP($C548,IMPORTRANGE(""1NK5L1mviMn0j3D3uo53ASkIZOFRlLnqaCTnwzOG2_Wg"",""Direct li"&amp;"nks Without Sizes!D2:D""),IMPORTRANGE(""1NK5L1mviMn0j3D3uo53ASkIZOFRlLnqaCTnwzOG2_Wg"",""Direct links Without Sizes!E2:E""))),"""")"),"")</f>
        <v/>
      </c>
      <c r="I548" s="4"/>
      <c r="J548" s="24" t="str">
        <f t="shared" si="1"/>
        <v/>
      </c>
      <c r="K548" s="25"/>
      <c r="L548" s="24" t="str">
        <f t="shared" si="2"/>
        <v/>
      </c>
      <c r="M548" s="4"/>
      <c r="N548" s="23"/>
      <c r="O548" s="23"/>
      <c r="P548" s="23"/>
      <c r="Q548" s="4" t="str">
        <f t="shared" si="4"/>
        <v/>
      </c>
      <c r="R548" s="20"/>
      <c r="S548" s="20"/>
    </row>
    <row r="549">
      <c r="A549" s="4"/>
      <c r="B549" s="4"/>
      <c r="C549" s="37"/>
      <c r="D549" s="7" t="str">
        <f>IFERROR(__xludf.DUMMYFUNCTION("iferror(iferror(INDEX(IMPORTRANGE(""12vtnxaE_Q1s4tyr10kZQx7ZF_xG0lBFae4jQEUtgsMU"",""All!B2:B""),MATCH($C549,IMPORTRANGE(""12vtnxaE_Q1s4tyr10kZQx7ZF_xG0lBFae4jQEUtgsMU"",""All!A2:A""),0)),INDEX(IMPORTRANGE(""13KC70HngS4DDi8y9E5khtSpQEPG6owaQ9z4E-tR5mnY"","&amp;"""Non-Food!B2:B""),MATCH($C549,IMPORTRANGE(""13KC70HngS4DDi8y9E5khtSpQEPG6owaQ9z4E-tR5mnY"",""Non-Food!A2:A""),0))),"""")"),"")</f>
        <v/>
      </c>
      <c r="E549" s="15"/>
      <c r="F549" s="15"/>
      <c r="G549" s="36"/>
      <c r="H549" s="23" t="str">
        <f>IFERROR(__xludf.DUMMYFUNCTION("iferror(iferror(iferror(index(IMPORTRANGE(""1NK5L1mviMn0j3D3uo53ASkIZOFRlLnqaCTnwzOG2_Wg"",""Direct Link!B2:B""),MATCH($C549,IMPORTRANGE(""1NK5L1mviMn0j3D3uo53ASkIZOFRlLnqaCTnwzOG2_Wg"",""Direct Link!A2:A""),0)),XLOOKUP($C549,IMPORTRANGE(""1NK5L1mviMn0j3D"&amp;"3uo53ASkIZOFRlLnqaCTnwzOG2_Wg"",""Direct links Without Sizes!A2:A""),IMPORTRANGE(""1NK5L1mviMn0j3D3uo53ASkIZOFRlLnqaCTnwzOG2_Wg"",""Direct links Without Sizes!B2:B""))),XLOOKUP($C549,IMPORTRANGE(""1NK5L1mviMn0j3D3uo53ASkIZOFRlLnqaCTnwzOG2_Wg"",""Direct li"&amp;"nks Without Sizes!D2:D""),IMPORTRANGE(""1NK5L1mviMn0j3D3uo53ASkIZOFRlLnqaCTnwzOG2_Wg"",""Direct links Without Sizes!E2:E""))),"""")"),"")</f>
        <v/>
      </c>
      <c r="I549" s="4"/>
      <c r="J549" s="24" t="str">
        <f t="shared" si="1"/>
        <v/>
      </c>
      <c r="K549" s="25"/>
      <c r="L549" s="24" t="str">
        <f t="shared" si="2"/>
        <v/>
      </c>
      <c r="M549" s="4"/>
      <c r="N549" s="23"/>
      <c r="O549" s="23"/>
      <c r="P549" s="23"/>
      <c r="Q549" s="4" t="str">
        <f t="shared" si="4"/>
        <v/>
      </c>
      <c r="R549" s="20"/>
      <c r="S549" s="20"/>
    </row>
    <row r="550">
      <c r="A550" s="4"/>
      <c r="B550" s="4"/>
      <c r="C550" s="37"/>
      <c r="D550" s="7" t="str">
        <f>IFERROR(__xludf.DUMMYFUNCTION("iferror(iferror(INDEX(IMPORTRANGE(""12vtnxaE_Q1s4tyr10kZQx7ZF_xG0lBFae4jQEUtgsMU"",""All!B2:B""),MATCH($C550,IMPORTRANGE(""12vtnxaE_Q1s4tyr10kZQx7ZF_xG0lBFae4jQEUtgsMU"",""All!A2:A""),0)),INDEX(IMPORTRANGE(""13KC70HngS4DDi8y9E5khtSpQEPG6owaQ9z4E-tR5mnY"","&amp;"""Non-Food!B2:B""),MATCH($C550,IMPORTRANGE(""13KC70HngS4DDi8y9E5khtSpQEPG6owaQ9z4E-tR5mnY"",""Non-Food!A2:A""),0))),"""")"),"")</f>
        <v/>
      </c>
      <c r="E550" s="15"/>
      <c r="F550" s="15"/>
      <c r="G550" s="36"/>
      <c r="H550" s="23" t="str">
        <f>IFERROR(__xludf.DUMMYFUNCTION("iferror(iferror(iferror(index(IMPORTRANGE(""1NK5L1mviMn0j3D3uo53ASkIZOFRlLnqaCTnwzOG2_Wg"",""Direct Link!B2:B""),MATCH($C550,IMPORTRANGE(""1NK5L1mviMn0j3D3uo53ASkIZOFRlLnqaCTnwzOG2_Wg"",""Direct Link!A2:A""),0)),XLOOKUP($C550,IMPORTRANGE(""1NK5L1mviMn0j3D"&amp;"3uo53ASkIZOFRlLnqaCTnwzOG2_Wg"",""Direct links Without Sizes!A2:A""),IMPORTRANGE(""1NK5L1mviMn0j3D3uo53ASkIZOFRlLnqaCTnwzOG2_Wg"",""Direct links Without Sizes!B2:B""))),XLOOKUP($C550,IMPORTRANGE(""1NK5L1mviMn0j3D3uo53ASkIZOFRlLnqaCTnwzOG2_Wg"",""Direct li"&amp;"nks Without Sizes!D2:D""),IMPORTRANGE(""1NK5L1mviMn0j3D3uo53ASkIZOFRlLnqaCTnwzOG2_Wg"",""Direct links Without Sizes!E2:E""))),"""")"),"")</f>
        <v/>
      </c>
      <c r="I550" s="4"/>
      <c r="J550" s="24" t="str">
        <f t="shared" si="1"/>
        <v/>
      </c>
      <c r="K550" s="25"/>
      <c r="L550" s="24" t="str">
        <f t="shared" si="2"/>
        <v/>
      </c>
      <c r="M550" s="4"/>
      <c r="N550" s="23"/>
      <c r="O550" s="23"/>
      <c r="P550" s="23"/>
      <c r="Q550" s="4" t="str">
        <f t="shared" si="4"/>
        <v/>
      </c>
      <c r="R550" s="20"/>
      <c r="S550" s="20"/>
    </row>
    <row r="551">
      <c r="A551" s="4"/>
      <c r="B551" s="4"/>
      <c r="C551" s="37"/>
      <c r="D551" s="7" t="str">
        <f>IFERROR(__xludf.DUMMYFUNCTION("iferror(iferror(INDEX(IMPORTRANGE(""12vtnxaE_Q1s4tyr10kZQx7ZF_xG0lBFae4jQEUtgsMU"",""All!B2:B""),MATCH($C551,IMPORTRANGE(""12vtnxaE_Q1s4tyr10kZQx7ZF_xG0lBFae4jQEUtgsMU"",""All!A2:A""),0)),INDEX(IMPORTRANGE(""13KC70HngS4DDi8y9E5khtSpQEPG6owaQ9z4E-tR5mnY"","&amp;"""Non-Food!B2:B""),MATCH($C551,IMPORTRANGE(""13KC70HngS4DDi8y9E5khtSpQEPG6owaQ9z4E-tR5mnY"",""Non-Food!A2:A""),0))),"""")"),"")</f>
        <v/>
      </c>
      <c r="E551" s="15"/>
      <c r="F551" s="15"/>
      <c r="G551" s="36"/>
      <c r="H551" s="23" t="str">
        <f>IFERROR(__xludf.DUMMYFUNCTION("iferror(iferror(iferror(index(IMPORTRANGE(""1NK5L1mviMn0j3D3uo53ASkIZOFRlLnqaCTnwzOG2_Wg"",""Direct Link!B2:B""),MATCH($C551,IMPORTRANGE(""1NK5L1mviMn0j3D3uo53ASkIZOFRlLnqaCTnwzOG2_Wg"",""Direct Link!A2:A""),0)),XLOOKUP($C551,IMPORTRANGE(""1NK5L1mviMn0j3D"&amp;"3uo53ASkIZOFRlLnqaCTnwzOG2_Wg"",""Direct links Without Sizes!A2:A""),IMPORTRANGE(""1NK5L1mviMn0j3D3uo53ASkIZOFRlLnqaCTnwzOG2_Wg"",""Direct links Without Sizes!B2:B""))),XLOOKUP($C551,IMPORTRANGE(""1NK5L1mviMn0j3D3uo53ASkIZOFRlLnqaCTnwzOG2_Wg"",""Direct li"&amp;"nks Without Sizes!D2:D""),IMPORTRANGE(""1NK5L1mviMn0j3D3uo53ASkIZOFRlLnqaCTnwzOG2_Wg"",""Direct links Without Sizes!E2:E""))),"""")"),"")</f>
        <v/>
      </c>
      <c r="I551" s="4"/>
      <c r="J551" s="24" t="str">
        <f t="shared" si="1"/>
        <v/>
      </c>
      <c r="K551" s="25"/>
      <c r="L551" s="24" t="str">
        <f t="shared" si="2"/>
        <v/>
      </c>
      <c r="M551" s="4"/>
      <c r="N551" s="23"/>
      <c r="O551" s="23"/>
      <c r="P551" s="23"/>
      <c r="Q551" s="4" t="str">
        <f t="shared" si="4"/>
        <v/>
      </c>
      <c r="R551" s="20"/>
      <c r="S551" s="20"/>
    </row>
    <row r="552">
      <c r="A552" s="4"/>
      <c r="B552" s="4"/>
      <c r="C552" s="37"/>
      <c r="D552" s="7" t="str">
        <f>IFERROR(__xludf.DUMMYFUNCTION("iferror(iferror(INDEX(IMPORTRANGE(""12vtnxaE_Q1s4tyr10kZQx7ZF_xG0lBFae4jQEUtgsMU"",""All!B2:B""),MATCH($C552,IMPORTRANGE(""12vtnxaE_Q1s4tyr10kZQx7ZF_xG0lBFae4jQEUtgsMU"",""All!A2:A""),0)),INDEX(IMPORTRANGE(""13KC70HngS4DDi8y9E5khtSpQEPG6owaQ9z4E-tR5mnY"","&amp;"""Non-Food!B2:B""),MATCH($C552,IMPORTRANGE(""13KC70HngS4DDi8y9E5khtSpQEPG6owaQ9z4E-tR5mnY"",""Non-Food!A2:A""),0))),"""")"),"")</f>
        <v/>
      </c>
      <c r="E552" s="15"/>
      <c r="F552" s="15"/>
      <c r="G552" s="36"/>
      <c r="H552" s="23" t="str">
        <f>IFERROR(__xludf.DUMMYFUNCTION("iferror(iferror(iferror(index(IMPORTRANGE(""1NK5L1mviMn0j3D3uo53ASkIZOFRlLnqaCTnwzOG2_Wg"",""Direct Link!B2:B""),MATCH($C552,IMPORTRANGE(""1NK5L1mviMn0j3D3uo53ASkIZOFRlLnqaCTnwzOG2_Wg"",""Direct Link!A2:A""),0)),XLOOKUP($C552,IMPORTRANGE(""1NK5L1mviMn0j3D"&amp;"3uo53ASkIZOFRlLnqaCTnwzOG2_Wg"",""Direct links Without Sizes!A2:A""),IMPORTRANGE(""1NK5L1mviMn0j3D3uo53ASkIZOFRlLnqaCTnwzOG2_Wg"",""Direct links Without Sizes!B2:B""))),XLOOKUP($C552,IMPORTRANGE(""1NK5L1mviMn0j3D3uo53ASkIZOFRlLnqaCTnwzOG2_Wg"",""Direct li"&amp;"nks Without Sizes!D2:D""),IMPORTRANGE(""1NK5L1mviMn0j3D3uo53ASkIZOFRlLnqaCTnwzOG2_Wg"",""Direct links Without Sizes!E2:E""))),"""")"),"")</f>
        <v/>
      </c>
      <c r="I552" s="4"/>
      <c r="J552" s="24" t="str">
        <f t="shared" si="1"/>
        <v/>
      </c>
      <c r="K552" s="25"/>
      <c r="L552" s="24" t="str">
        <f t="shared" si="2"/>
        <v/>
      </c>
      <c r="M552" s="4"/>
      <c r="N552" s="23"/>
      <c r="O552" s="23"/>
      <c r="P552" s="23"/>
      <c r="Q552" s="4" t="str">
        <f t="shared" si="4"/>
        <v/>
      </c>
      <c r="R552" s="20"/>
      <c r="S552" s="20"/>
    </row>
    <row r="553">
      <c r="A553" s="4"/>
      <c r="B553" s="4"/>
      <c r="C553" s="37"/>
      <c r="D553" s="7" t="str">
        <f>IFERROR(__xludf.DUMMYFUNCTION("iferror(iferror(INDEX(IMPORTRANGE(""12vtnxaE_Q1s4tyr10kZQx7ZF_xG0lBFae4jQEUtgsMU"",""All!B2:B""),MATCH($C553,IMPORTRANGE(""12vtnxaE_Q1s4tyr10kZQx7ZF_xG0lBFae4jQEUtgsMU"",""All!A2:A""),0)),INDEX(IMPORTRANGE(""13KC70HngS4DDi8y9E5khtSpQEPG6owaQ9z4E-tR5mnY"","&amp;"""Non-Food!B2:B""),MATCH($C553,IMPORTRANGE(""13KC70HngS4DDi8y9E5khtSpQEPG6owaQ9z4E-tR5mnY"",""Non-Food!A2:A""),0))),"""")"),"")</f>
        <v/>
      </c>
      <c r="E553" s="15"/>
      <c r="F553" s="15"/>
      <c r="G553" s="36"/>
      <c r="H553" s="23" t="str">
        <f>IFERROR(__xludf.DUMMYFUNCTION("iferror(iferror(iferror(index(IMPORTRANGE(""1NK5L1mviMn0j3D3uo53ASkIZOFRlLnqaCTnwzOG2_Wg"",""Direct Link!B2:B""),MATCH($C553,IMPORTRANGE(""1NK5L1mviMn0j3D3uo53ASkIZOFRlLnqaCTnwzOG2_Wg"",""Direct Link!A2:A""),0)),XLOOKUP($C553,IMPORTRANGE(""1NK5L1mviMn0j3D"&amp;"3uo53ASkIZOFRlLnqaCTnwzOG2_Wg"",""Direct links Without Sizes!A2:A""),IMPORTRANGE(""1NK5L1mviMn0j3D3uo53ASkIZOFRlLnqaCTnwzOG2_Wg"",""Direct links Without Sizes!B2:B""))),XLOOKUP($C553,IMPORTRANGE(""1NK5L1mviMn0j3D3uo53ASkIZOFRlLnqaCTnwzOG2_Wg"",""Direct li"&amp;"nks Without Sizes!D2:D""),IMPORTRANGE(""1NK5L1mviMn0j3D3uo53ASkIZOFRlLnqaCTnwzOG2_Wg"",""Direct links Without Sizes!E2:E""))),"""")"),"")</f>
        <v/>
      </c>
      <c r="I553" s="4"/>
      <c r="J553" s="24" t="str">
        <f t="shared" si="1"/>
        <v/>
      </c>
      <c r="K553" s="25"/>
      <c r="L553" s="24" t="str">
        <f t="shared" si="2"/>
        <v/>
      </c>
      <c r="M553" s="4"/>
      <c r="N553" s="23"/>
      <c r="O553" s="23"/>
      <c r="P553" s="23"/>
      <c r="Q553" s="4" t="str">
        <f t="shared" si="4"/>
        <v/>
      </c>
      <c r="R553" s="20"/>
      <c r="S553" s="20"/>
    </row>
    <row r="554">
      <c r="A554" s="4"/>
      <c r="B554" s="4"/>
      <c r="C554" s="37"/>
      <c r="D554" s="7" t="str">
        <f>IFERROR(__xludf.DUMMYFUNCTION("iferror(iferror(INDEX(IMPORTRANGE(""12vtnxaE_Q1s4tyr10kZQx7ZF_xG0lBFae4jQEUtgsMU"",""All!B2:B""),MATCH($C554,IMPORTRANGE(""12vtnxaE_Q1s4tyr10kZQx7ZF_xG0lBFae4jQEUtgsMU"",""All!A2:A""),0)),INDEX(IMPORTRANGE(""13KC70HngS4DDi8y9E5khtSpQEPG6owaQ9z4E-tR5mnY"","&amp;"""Non-Food!B2:B""),MATCH($C554,IMPORTRANGE(""13KC70HngS4DDi8y9E5khtSpQEPG6owaQ9z4E-tR5mnY"",""Non-Food!A2:A""),0))),"""")"),"")</f>
        <v/>
      </c>
      <c r="E554" s="15"/>
      <c r="F554" s="15"/>
      <c r="G554" s="36"/>
      <c r="H554" s="23" t="str">
        <f>IFERROR(__xludf.DUMMYFUNCTION("iferror(iferror(iferror(index(IMPORTRANGE(""1NK5L1mviMn0j3D3uo53ASkIZOFRlLnqaCTnwzOG2_Wg"",""Direct Link!B2:B""),MATCH($C554,IMPORTRANGE(""1NK5L1mviMn0j3D3uo53ASkIZOFRlLnqaCTnwzOG2_Wg"",""Direct Link!A2:A""),0)),XLOOKUP($C554,IMPORTRANGE(""1NK5L1mviMn0j3D"&amp;"3uo53ASkIZOFRlLnqaCTnwzOG2_Wg"",""Direct links Without Sizes!A2:A""),IMPORTRANGE(""1NK5L1mviMn0j3D3uo53ASkIZOFRlLnqaCTnwzOG2_Wg"",""Direct links Without Sizes!B2:B""))),XLOOKUP($C554,IMPORTRANGE(""1NK5L1mviMn0j3D3uo53ASkIZOFRlLnqaCTnwzOG2_Wg"",""Direct li"&amp;"nks Without Sizes!D2:D""),IMPORTRANGE(""1NK5L1mviMn0j3D3uo53ASkIZOFRlLnqaCTnwzOG2_Wg"",""Direct links Without Sizes!E2:E""))),"""")"),"")</f>
        <v/>
      </c>
      <c r="I554" s="4"/>
      <c r="J554" s="24" t="str">
        <f t="shared" si="1"/>
        <v/>
      </c>
      <c r="K554" s="25"/>
      <c r="L554" s="24" t="str">
        <f t="shared" si="2"/>
        <v/>
      </c>
      <c r="M554" s="4"/>
      <c r="N554" s="23"/>
      <c r="O554" s="23"/>
      <c r="P554" s="23"/>
      <c r="Q554" s="4" t="str">
        <f t="shared" si="4"/>
        <v/>
      </c>
      <c r="R554" s="20"/>
      <c r="S554" s="20"/>
    </row>
    <row r="555">
      <c r="A555" s="4"/>
      <c r="B555" s="4"/>
      <c r="C555" s="37"/>
      <c r="D555" s="7" t="str">
        <f>IFERROR(__xludf.DUMMYFUNCTION("iferror(iferror(INDEX(IMPORTRANGE(""12vtnxaE_Q1s4tyr10kZQx7ZF_xG0lBFae4jQEUtgsMU"",""All!B2:B""),MATCH($C555,IMPORTRANGE(""12vtnxaE_Q1s4tyr10kZQx7ZF_xG0lBFae4jQEUtgsMU"",""All!A2:A""),0)),INDEX(IMPORTRANGE(""13KC70HngS4DDi8y9E5khtSpQEPG6owaQ9z4E-tR5mnY"","&amp;"""Non-Food!B2:B""),MATCH($C555,IMPORTRANGE(""13KC70HngS4DDi8y9E5khtSpQEPG6owaQ9z4E-tR5mnY"",""Non-Food!A2:A""),0))),"""")"),"")</f>
        <v/>
      </c>
      <c r="E555" s="15"/>
      <c r="F555" s="15"/>
      <c r="G555" s="36"/>
      <c r="H555" s="23" t="str">
        <f>IFERROR(__xludf.DUMMYFUNCTION("iferror(iferror(iferror(index(IMPORTRANGE(""1NK5L1mviMn0j3D3uo53ASkIZOFRlLnqaCTnwzOG2_Wg"",""Direct Link!B2:B""),MATCH($C555,IMPORTRANGE(""1NK5L1mviMn0j3D3uo53ASkIZOFRlLnqaCTnwzOG2_Wg"",""Direct Link!A2:A""),0)),XLOOKUP($C555,IMPORTRANGE(""1NK5L1mviMn0j3D"&amp;"3uo53ASkIZOFRlLnqaCTnwzOG2_Wg"",""Direct links Without Sizes!A2:A""),IMPORTRANGE(""1NK5L1mviMn0j3D3uo53ASkIZOFRlLnqaCTnwzOG2_Wg"",""Direct links Without Sizes!B2:B""))),XLOOKUP($C555,IMPORTRANGE(""1NK5L1mviMn0j3D3uo53ASkIZOFRlLnqaCTnwzOG2_Wg"",""Direct li"&amp;"nks Without Sizes!D2:D""),IMPORTRANGE(""1NK5L1mviMn0j3D3uo53ASkIZOFRlLnqaCTnwzOG2_Wg"",""Direct links Without Sizes!E2:E""))),"""")"),"")</f>
        <v/>
      </c>
      <c r="I555" s="4"/>
      <c r="J555" s="24" t="str">
        <f t="shared" si="1"/>
        <v/>
      </c>
      <c r="K555" s="25"/>
      <c r="L555" s="24" t="str">
        <f t="shared" si="2"/>
        <v/>
      </c>
      <c r="M555" s="4"/>
      <c r="N555" s="23"/>
      <c r="O555" s="23"/>
      <c r="P555" s="23"/>
      <c r="Q555" s="4" t="str">
        <f t="shared" si="4"/>
        <v/>
      </c>
      <c r="R555" s="20"/>
      <c r="S555" s="20"/>
    </row>
    <row r="556">
      <c r="A556" s="4"/>
      <c r="B556" s="4"/>
      <c r="C556" s="37"/>
      <c r="D556" s="7" t="str">
        <f>IFERROR(__xludf.DUMMYFUNCTION("iferror(iferror(INDEX(IMPORTRANGE(""12vtnxaE_Q1s4tyr10kZQx7ZF_xG0lBFae4jQEUtgsMU"",""All!B2:B""),MATCH($C556,IMPORTRANGE(""12vtnxaE_Q1s4tyr10kZQx7ZF_xG0lBFae4jQEUtgsMU"",""All!A2:A""),0)),INDEX(IMPORTRANGE(""13KC70HngS4DDi8y9E5khtSpQEPG6owaQ9z4E-tR5mnY"","&amp;"""Non-Food!B2:B""),MATCH($C556,IMPORTRANGE(""13KC70HngS4DDi8y9E5khtSpQEPG6owaQ9z4E-tR5mnY"",""Non-Food!A2:A""),0))),"""")"),"")</f>
        <v/>
      </c>
      <c r="E556" s="15"/>
      <c r="F556" s="15"/>
      <c r="G556" s="36"/>
      <c r="H556" s="23" t="str">
        <f>IFERROR(__xludf.DUMMYFUNCTION("iferror(iferror(iferror(index(IMPORTRANGE(""1NK5L1mviMn0j3D3uo53ASkIZOFRlLnqaCTnwzOG2_Wg"",""Direct Link!B2:B""),MATCH($C556,IMPORTRANGE(""1NK5L1mviMn0j3D3uo53ASkIZOFRlLnqaCTnwzOG2_Wg"",""Direct Link!A2:A""),0)),XLOOKUP($C556,IMPORTRANGE(""1NK5L1mviMn0j3D"&amp;"3uo53ASkIZOFRlLnqaCTnwzOG2_Wg"",""Direct links Without Sizes!A2:A""),IMPORTRANGE(""1NK5L1mviMn0j3D3uo53ASkIZOFRlLnqaCTnwzOG2_Wg"",""Direct links Without Sizes!B2:B""))),XLOOKUP($C556,IMPORTRANGE(""1NK5L1mviMn0j3D3uo53ASkIZOFRlLnqaCTnwzOG2_Wg"",""Direct li"&amp;"nks Without Sizes!D2:D""),IMPORTRANGE(""1NK5L1mviMn0j3D3uo53ASkIZOFRlLnqaCTnwzOG2_Wg"",""Direct links Without Sizes!E2:E""))),"""")"),"")</f>
        <v/>
      </c>
      <c r="I556" s="4"/>
      <c r="J556" s="24" t="str">
        <f t="shared" si="1"/>
        <v/>
      </c>
      <c r="K556" s="25"/>
      <c r="L556" s="24" t="str">
        <f t="shared" si="2"/>
        <v/>
      </c>
      <c r="M556" s="4"/>
      <c r="N556" s="23"/>
      <c r="O556" s="23"/>
      <c r="P556" s="23"/>
      <c r="Q556" s="4" t="str">
        <f t="shared" si="4"/>
        <v/>
      </c>
      <c r="R556" s="20"/>
      <c r="S556" s="20"/>
    </row>
    <row r="557">
      <c r="A557" s="4"/>
      <c r="B557" s="4"/>
      <c r="C557" s="37"/>
      <c r="D557" s="7" t="str">
        <f>IFERROR(__xludf.DUMMYFUNCTION("iferror(iferror(INDEX(IMPORTRANGE(""12vtnxaE_Q1s4tyr10kZQx7ZF_xG0lBFae4jQEUtgsMU"",""All!B2:B""),MATCH($C557,IMPORTRANGE(""12vtnxaE_Q1s4tyr10kZQx7ZF_xG0lBFae4jQEUtgsMU"",""All!A2:A""),0)),INDEX(IMPORTRANGE(""13KC70HngS4DDi8y9E5khtSpQEPG6owaQ9z4E-tR5mnY"","&amp;"""Non-Food!B2:B""),MATCH($C557,IMPORTRANGE(""13KC70HngS4DDi8y9E5khtSpQEPG6owaQ9z4E-tR5mnY"",""Non-Food!A2:A""),0))),"""")"),"")</f>
        <v/>
      </c>
      <c r="E557" s="15"/>
      <c r="F557" s="15"/>
      <c r="G557" s="36"/>
      <c r="H557" s="23" t="str">
        <f>IFERROR(__xludf.DUMMYFUNCTION("iferror(iferror(iferror(index(IMPORTRANGE(""1NK5L1mviMn0j3D3uo53ASkIZOFRlLnqaCTnwzOG2_Wg"",""Direct Link!B2:B""),MATCH($C557,IMPORTRANGE(""1NK5L1mviMn0j3D3uo53ASkIZOFRlLnqaCTnwzOG2_Wg"",""Direct Link!A2:A""),0)),XLOOKUP($C557,IMPORTRANGE(""1NK5L1mviMn0j3D"&amp;"3uo53ASkIZOFRlLnqaCTnwzOG2_Wg"",""Direct links Without Sizes!A2:A""),IMPORTRANGE(""1NK5L1mviMn0j3D3uo53ASkIZOFRlLnqaCTnwzOG2_Wg"",""Direct links Without Sizes!B2:B""))),XLOOKUP($C557,IMPORTRANGE(""1NK5L1mviMn0j3D3uo53ASkIZOFRlLnqaCTnwzOG2_Wg"",""Direct li"&amp;"nks Without Sizes!D2:D""),IMPORTRANGE(""1NK5L1mviMn0j3D3uo53ASkIZOFRlLnqaCTnwzOG2_Wg"",""Direct links Without Sizes!E2:E""))),"""")"),"")</f>
        <v/>
      </c>
      <c r="I557" s="4"/>
      <c r="J557" s="24" t="str">
        <f t="shared" si="1"/>
        <v/>
      </c>
      <c r="K557" s="25"/>
      <c r="L557" s="24" t="str">
        <f t="shared" si="2"/>
        <v/>
      </c>
      <c r="M557" s="4"/>
      <c r="N557" s="23"/>
      <c r="O557" s="23"/>
      <c r="P557" s="23"/>
      <c r="Q557" s="4" t="str">
        <f t="shared" si="4"/>
        <v/>
      </c>
      <c r="R557" s="20"/>
      <c r="S557" s="20"/>
    </row>
    <row r="558">
      <c r="A558" s="4"/>
      <c r="B558" s="4"/>
      <c r="C558" s="37"/>
      <c r="D558" s="7" t="str">
        <f>IFERROR(__xludf.DUMMYFUNCTION("iferror(iferror(INDEX(IMPORTRANGE(""12vtnxaE_Q1s4tyr10kZQx7ZF_xG0lBFae4jQEUtgsMU"",""All!B2:B""),MATCH($C558,IMPORTRANGE(""12vtnxaE_Q1s4tyr10kZQx7ZF_xG0lBFae4jQEUtgsMU"",""All!A2:A""),0)),INDEX(IMPORTRANGE(""13KC70HngS4DDi8y9E5khtSpQEPG6owaQ9z4E-tR5mnY"","&amp;"""Non-Food!B2:B""),MATCH($C558,IMPORTRANGE(""13KC70HngS4DDi8y9E5khtSpQEPG6owaQ9z4E-tR5mnY"",""Non-Food!A2:A""),0))),"""")"),"")</f>
        <v/>
      </c>
      <c r="E558" s="15"/>
      <c r="F558" s="15"/>
      <c r="G558" s="36"/>
      <c r="H558" s="23" t="str">
        <f>IFERROR(__xludf.DUMMYFUNCTION("iferror(iferror(iferror(index(IMPORTRANGE(""1NK5L1mviMn0j3D3uo53ASkIZOFRlLnqaCTnwzOG2_Wg"",""Direct Link!B2:B""),MATCH($C558,IMPORTRANGE(""1NK5L1mviMn0j3D3uo53ASkIZOFRlLnqaCTnwzOG2_Wg"",""Direct Link!A2:A""),0)),XLOOKUP($C558,IMPORTRANGE(""1NK5L1mviMn0j3D"&amp;"3uo53ASkIZOFRlLnqaCTnwzOG2_Wg"",""Direct links Without Sizes!A2:A""),IMPORTRANGE(""1NK5L1mviMn0j3D3uo53ASkIZOFRlLnqaCTnwzOG2_Wg"",""Direct links Without Sizes!B2:B""))),XLOOKUP($C558,IMPORTRANGE(""1NK5L1mviMn0j3D3uo53ASkIZOFRlLnqaCTnwzOG2_Wg"",""Direct li"&amp;"nks Without Sizes!D2:D""),IMPORTRANGE(""1NK5L1mviMn0j3D3uo53ASkIZOFRlLnqaCTnwzOG2_Wg"",""Direct links Without Sizes!E2:E""))),"""")"),"")</f>
        <v/>
      </c>
      <c r="I558" s="4"/>
      <c r="J558" s="24" t="str">
        <f t="shared" si="1"/>
        <v/>
      </c>
      <c r="K558" s="25"/>
      <c r="L558" s="24" t="str">
        <f t="shared" si="2"/>
        <v/>
      </c>
      <c r="M558" s="4"/>
      <c r="N558" s="23"/>
      <c r="O558" s="23"/>
      <c r="P558" s="23"/>
      <c r="Q558" s="4" t="str">
        <f t="shared" si="4"/>
        <v/>
      </c>
      <c r="R558" s="20"/>
      <c r="S558" s="20"/>
    </row>
    <row r="559">
      <c r="A559" s="4"/>
      <c r="B559" s="4"/>
      <c r="C559" s="37"/>
      <c r="D559" s="7" t="str">
        <f>IFERROR(__xludf.DUMMYFUNCTION("iferror(iferror(INDEX(IMPORTRANGE(""12vtnxaE_Q1s4tyr10kZQx7ZF_xG0lBFae4jQEUtgsMU"",""All!B2:B""),MATCH($C559,IMPORTRANGE(""12vtnxaE_Q1s4tyr10kZQx7ZF_xG0lBFae4jQEUtgsMU"",""All!A2:A""),0)),INDEX(IMPORTRANGE(""13KC70HngS4DDi8y9E5khtSpQEPG6owaQ9z4E-tR5mnY"","&amp;"""Non-Food!B2:B""),MATCH($C559,IMPORTRANGE(""13KC70HngS4DDi8y9E5khtSpQEPG6owaQ9z4E-tR5mnY"",""Non-Food!A2:A""),0))),"""")"),"")</f>
        <v/>
      </c>
      <c r="E559" s="15"/>
      <c r="F559" s="15"/>
      <c r="G559" s="36"/>
      <c r="H559" s="23" t="str">
        <f>IFERROR(__xludf.DUMMYFUNCTION("iferror(iferror(iferror(index(IMPORTRANGE(""1NK5L1mviMn0j3D3uo53ASkIZOFRlLnqaCTnwzOG2_Wg"",""Direct Link!B2:B""),MATCH($C559,IMPORTRANGE(""1NK5L1mviMn0j3D3uo53ASkIZOFRlLnqaCTnwzOG2_Wg"",""Direct Link!A2:A""),0)),XLOOKUP($C559,IMPORTRANGE(""1NK5L1mviMn0j3D"&amp;"3uo53ASkIZOFRlLnqaCTnwzOG2_Wg"",""Direct links Without Sizes!A2:A""),IMPORTRANGE(""1NK5L1mviMn0j3D3uo53ASkIZOFRlLnqaCTnwzOG2_Wg"",""Direct links Without Sizes!B2:B""))),XLOOKUP($C559,IMPORTRANGE(""1NK5L1mviMn0j3D3uo53ASkIZOFRlLnqaCTnwzOG2_Wg"",""Direct li"&amp;"nks Without Sizes!D2:D""),IMPORTRANGE(""1NK5L1mviMn0j3D3uo53ASkIZOFRlLnqaCTnwzOG2_Wg"",""Direct links Without Sizes!E2:E""))),"""")"),"")</f>
        <v/>
      </c>
      <c r="I559" s="4"/>
      <c r="J559" s="24" t="str">
        <f t="shared" si="1"/>
        <v/>
      </c>
      <c r="K559" s="25"/>
      <c r="L559" s="24" t="str">
        <f t="shared" si="2"/>
        <v/>
      </c>
      <c r="M559" s="4"/>
      <c r="N559" s="23"/>
      <c r="O559" s="23"/>
      <c r="P559" s="23"/>
      <c r="Q559" s="4" t="str">
        <f t="shared" si="4"/>
        <v/>
      </c>
      <c r="R559" s="20"/>
      <c r="S559" s="20"/>
    </row>
    <row r="560">
      <c r="A560" s="4"/>
      <c r="B560" s="4"/>
      <c r="C560" s="37"/>
      <c r="D560" s="7" t="str">
        <f>IFERROR(__xludf.DUMMYFUNCTION("iferror(iferror(INDEX(IMPORTRANGE(""12vtnxaE_Q1s4tyr10kZQx7ZF_xG0lBFae4jQEUtgsMU"",""All!B2:B""),MATCH($C560,IMPORTRANGE(""12vtnxaE_Q1s4tyr10kZQx7ZF_xG0lBFae4jQEUtgsMU"",""All!A2:A""),0)),INDEX(IMPORTRANGE(""13KC70HngS4DDi8y9E5khtSpQEPG6owaQ9z4E-tR5mnY"","&amp;"""Non-Food!B2:B""),MATCH($C560,IMPORTRANGE(""13KC70HngS4DDi8y9E5khtSpQEPG6owaQ9z4E-tR5mnY"",""Non-Food!A2:A""),0))),"""")"),"")</f>
        <v/>
      </c>
      <c r="E560" s="15"/>
      <c r="F560" s="15"/>
      <c r="G560" s="36"/>
      <c r="H560" s="23" t="str">
        <f>IFERROR(__xludf.DUMMYFUNCTION("iferror(iferror(iferror(index(IMPORTRANGE(""1NK5L1mviMn0j3D3uo53ASkIZOFRlLnqaCTnwzOG2_Wg"",""Direct Link!B2:B""),MATCH($C560,IMPORTRANGE(""1NK5L1mviMn0j3D3uo53ASkIZOFRlLnqaCTnwzOG2_Wg"",""Direct Link!A2:A""),0)),XLOOKUP($C560,IMPORTRANGE(""1NK5L1mviMn0j3D"&amp;"3uo53ASkIZOFRlLnqaCTnwzOG2_Wg"",""Direct links Without Sizes!A2:A""),IMPORTRANGE(""1NK5L1mviMn0j3D3uo53ASkIZOFRlLnqaCTnwzOG2_Wg"",""Direct links Without Sizes!B2:B""))),XLOOKUP($C560,IMPORTRANGE(""1NK5L1mviMn0j3D3uo53ASkIZOFRlLnqaCTnwzOG2_Wg"",""Direct li"&amp;"nks Without Sizes!D2:D""),IMPORTRANGE(""1NK5L1mviMn0j3D3uo53ASkIZOFRlLnqaCTnwzOG2_Wg"",""Direct links Without Sizes!E2:E""))),"""")"),"")</f>
        <v/>
      </c>
      <c r="I560" s="4"/>
      <c r="J560" s="24" t="str">
        <f t="shared" si="1"/>
        <v/>
      </c>
      <c r="K560" s="25"/>
      <c r="L560" s="24" t="str">
        <f t="shared" si="2"/>
        <v/>
      </c>
      <c r="M560" s="4"/>
      <c r="N560" s="23"/>
      <c r="O560" s="23"/>
      <c r="P560" s="23"/>
      <c r="Q560" s="4" t="str">
        <f t="shared" si="4"/>
        <v/>
      </c>
      <c r="R560" s="20"/>
      <c r="S560" s="20"/>
    </row>
    <row r="561">
      <c r="A561" s="4"/>
      <c r="B561" s="4"/>
      <c r="C561" s="37"/>
      <c r="D561" s="7" t="str">
        <f>IFERROR(__xludf.DUMMYFUNCTION("iferror(iferror(INDEX(IMPORTRANGE(""12vtnxaE_Q1s4tyr10kZQx7ZF_xG0lBFae4jQEUtgsMU"",""All!B2:B""),MATCH($C561,IMPORTRANGE(""12vtnxaE_Q1s4tyr10kZQx7ZF_xG0lBFae4jQEUtgsMU"",""All!A2:A""),0)),INDEX(IMPORTRANGE(""13KC70HngS4DDi8y9E5khtSpQEPG6owaQ9z4E-tR5mnY"","&amp;"""Non-Food!B2:B""),MATCH($C561,IMPORTRANGE(""13KC70HngS4DDi8y9E5khtSpQEPG6owaQ9z4E-tR5mnY"",""Non-Food!A2:A""),0))),"""")"),"")</f>
        <v/>
      </c>
      <c r="E561" s="15"/>
      <c r="F561" s="15"/>
      <c r="G561" s="36"/>
      <c r="H561" s="23" t="str">
        <f>IFERROR(__xludf.DUMMYFUNCTION("iferror(iferror(iferror(index(IMPORTRANGE(""1NK5L1mviMn0j3D3uo53ASkIZOFRlLnqaCTnwzOG2_Wg"",""Direct Link!B2:B""),MATCH($C561,IMPORTRANGE(""1NK5L1mviMn0j3D3uo53ASkIZOFRlLnqaCTnwzOG2_Wg"",""Direct Link!A2:A""),0)),XLOOKUP($C561,IMPORTRANGE(""1NK5L1mviMn0j3D"&amp;"3uo53ASkIZOFRlLnqaCTnwzOG2_Wg"",""Direct links Without Sizes!A2:A""),IMPORTRANGE(""1NK5L1mviMn0j3D3uo53ASkIZOFRlLnqaCTnwzOG2_Wg"",""Direct links Without Sizes!B2:B""))),XLOOKUP($C561,IMPORTRANGE(""1NK5L1mviMn0j3D3uo53ASkIZOFRlLnqaCTnwzOG2_Wg"",""Direct li"&amp;"nks Without Sizes!D2:D""),IMPORTRANGE(""1NK5L1mviMn0j3D3uo53ASkIZOFRlLnqaCTnwzOG2_Wg"",""Direct links Without Sizes!E2:E""))),"""")"),"")</f>
        <v/>
      </c>
      <c r="I561" s="4"/>
      <c r="J561" s="24" t="str">
        <f t="shared" si="1"/>
        <v/>
      </c>
      <c r="K561" s="25"/>
      <c r="L561" s="24" t="str">
        <f t="shared" si="2"/>
        <v/>
      </c>
      <c r="M561" s="4"/>
      <c r="N561" s="23"/>
      <c r="O561" s="23"/>
      <c r="P561" s="23"/>
      <c r="Q561" s="4" t="str">
        <f t="shared" si="4"/>
        <v/>
      </c>
      <c r="R561" s="20"/>
      <c r="S561" s="20"/>
    </row>
    <row r="562">
      <c r="A562" s="4"/>
      <c r="B562" s="4"/>
      <c r="C562" s="37"/>
      <c r="D562" s="7" t="str">
        <f>IFERROR(__xludf.DUMMYFUNCTION("iferror(iferror(INDEX(IMPORTRANGE(""12vtnxaE_Q1s4tyr10kZQx7ZF_xG0lBFae4jQEUtgsMU"",""All!B2:B""),MATCH($C562,IMPORTRANGE(""12vtnxaE_Q1s4tyr10kZQx7ZF_xG0lBFae4jQEUtgsMU"",""All!A2:A""),0)),INDEX(IMPORTRANGE(""13KC70HngS4DDi8y9E5khtSpQEPG6owaQ9z4E-tR5mnY"","&amp;"""Non-Food!B2:B""),MATCH($C562,IMPORTRANGE(""13KC70HngS4DDi8y9E5khtSpQEPG6owaQ9z4E-tR5mnY"",""Non-Food!A2:A""),0))),"""")"),"")</f>
        <v/>
      </c>
      <c r="E562" s="15"/>
      <c r="F562" s="15"/>
      <c r="G562" s="36"/>
      <c r="H562" s="23" t="str">
        <f>IFERROR(__xludf.DUMMYFUNCTION("iferror(iferror(iferror(index(IMPORTRANGE(""1NK5L1mviMn0j3D3uo53ASkIZOFRlLnqaCTnwzOG2_Wg"",""Direct Link!B2:B""),MATCH($C562,IMPORTRANGE(""1NK5L1mviMn0j3D3uo53ASkIZOFRlLnqaCTnwzOG2_Wg"",""Direct Link!A2:A""),0)),XLOOKUP($C562,IMPORTRANGE(""1NK5L1mviMn0j3D"&amp;"3uo53ASkIZOFRlLnqaCTnwzOG2_Wg"",""Direct links Without Sizes!A2:A""),IMPORTRANGE(""1NK5L1mviMn0j3D3uo53ASkIZOFRlLnqaCTnwzOG2_Wg"",""Direct links Without Sizes!B2:B""))),XLOOKUP($C562,IMPORTRANGE(""1NK5L1mviMn0j3D3uo53ASkIZOFRlLnqaCTnwzOG2_Wg"",""Direct li"&amp;"nks Without Sizes!D2:D""),IMPORTRANGE(""1NK5L1mviMn0j3D3uo53ASkIZOFRlLnqaCTnwzOG2_Wg"",""Direct links Without Sizes!E2:E""))),"""")"),"")</f>
        <v/>
      </c>
      <c r="I562" s="4"/>
      <c r="J562" s="24" t="str">
        <f t="shared" si="1"/>
        <v/>
      </c>
      <c r="K562" s="25"/>
      <c r="L562" s="24" t="str">
        <f t="shared" si="2"/>
        <v/>
      </c>
      <c r="M562" s="4"/>
      <c r="N562" s="23"/>
      <c r="O562" s="23"/>
      <c r="P562" s="23"/>
      <c r="Q562" s="4" t="str">
        <f t="shared" si="4"/>
        <v/>
      </c>
      <c r="R562" s="20"/>
      <c r="S562" s="20"/>
    </row>
    <row r="563">
      <c r="A563" s="4"/>
      <c r="B563" s="4"/>
      <c r="C563" s="37"/>
      <c r="D563" s="7" t="str">
        <f>IFERROR(__xludf.DUMMYFUNCTION("iferror(iferror(INDEX(IMPORTRANGE(""12vtnxaE_Q1s4tyr10kZQx7ZF_xG0lBFae4jQEUtgsMU"",""All!B2:B""),MATCH($C563,IMPORTRANGE(""12vtnxaE_Q1s4tyr10kZQx7ZF_xG0lBFae4jQEUtgsMU"",""All!A2:A""),0)),INDEX(IMPORTRANGE(""13KC70HngS4DDi8y9E5khtSpQEPG6owaQ9z4E-tR5mnY"","&amp;"""Non-Food!B2:B""),MATCH($C563,IMPORTRANGE(""13KC70HngS4DDi8y9E5khtSpQEPG6owaQ9z4E-tR5mnY"",""Non-Food!A2:A""),0))),"""")"),"")</f>
        <v/>
      </c>
      <c r="E563" s="15"/>
      <c r="F563" s="15"/>
      <c r="G563" s="36"/>
      <c r="H563" s="23" t="str">
        <f>IFERROR(__xludf.DUMMYFUNCTION("iferror(iferror(iferror(index(IMPORTRANGE(""1NK5L1mviMn0j3D3uo53ASkIZOFRlLnqaCTnwzOG2_Wg"",""Direct Link!B2:B""),MATCH($C563,IMPORTRANGE(""1NK5L1mviMn0j3D3uo53ASkIZOFRlLnqaCTnwzOG2_Wg"",""Direct Link!A2:A""),0)),XLOOKUP($C563,IMPORTRANGE(""1NK5L1mviMn0j3D"&amp;"3uo53ASkIZOFRlLnqaCTnwzOG2_Wg"",""Direct links Without Sizes!A2:A""),IMPORTRANGE(""1NK5L1mviMn0j3D3uo53ASkIZOFRlLnqaCTnwzOG2_Wg"",""Direct links Without Sizes!B2:B""))),XLOOKUP($C563,IMPORTRANGE(""1NK5L1mviMn0j3D3uo53ASkIZOFRlLnqaCTnwzOG2_Wg"",""Direct li"&amp;"nks Without Sizes!D2:D""),IMPORTRANGE(""1NK5L1mviMn0j3D3uo53ASkIZOFRlLnqaCTnwzOG2_Wg"",""Direct links Without Sizes!E2:E""))),"""")"),"")</f>
        <v/>
      </c>
      <c r="I563" s="4"/>
      <c r="J563" s="24" t="str">
        <f t="shared" si="1"/>
        <v/>
      </c>
      <c r="K563" s="25"/>
      <c r="L563" s="24" t="str">
        <f t="shared" si="2"/>
        <v/>
      </c>
      <c r="M563" s="4"/>
      <c r="N563" s="23"/>
      <c r="O563" s="23"/>
      <c r="P563" s="23"/>
      <c r="Q563" s="4" t="str">
        <f t="shared" si="4"/>
        <v/>
      </c>
      <c r="R563" s="20"/>
      <c r="S563" s="20"/>
    </row>
    <row r="564">
      <c r="A564" s="4"/>
      <c r="B564" s="4"/>
      <c r="C564" s="37"/>
      <c r="D564" s="7" t="str">
        <f>IFERROR(__xludf.DUMMYFUNCTION("iferror(iferror(INDEX(IMPORTRANGE(""12vtnxaE_Q1s4tyr10kZQx7ZF_xG0lBFae4jQEUtgsMU"",""All!B2:B""),MATCH($C564,IMPORTRANGE(""12vtnxaE_Q1s4tyr10kZQx7ZF_xG0lBFae4jQEUtgsMU"",""All!A2:A""),0)),INDEX(IMPORTRANGE(""13KC70HngS4DDi8y9E5khtSpQEPG6owaQ9z4E-tR5mnY"","&amp;"""Non-Food!B2:B""),MATCH($C564,IMPORTRANGE(""13KC70HngS4DDi8y9E5khtSpQEPG6owaQ9z4E-tR5mnY"",""Non-Food!A2:A""),0))),"""")"),"")</f>
        <v/>
      </c>
      <c r="E564" s="15"/>
      <c r="F564" s="15"/>
      <c r="G564" s="36"/>
      <c r="H564" s="23" t="str">
        <f>IFERROR(__xludf.DUMMYFUNCTION("iferror(iferror(iferror(index(IMPORTRANGE(""1NK5L1mviMn0j3D3uo53ASkIZOFRlLnqaCTnwzOG2_Wg"",""Direct Link!B2:B""),MATCH($C564,IMPORTRANGE(""1NK5L1mviMn0j3D3uo53ASkIZOFRlLnqaCTnwzOG2_Wg"",""Direct Link!A2:A""),0)),XLOOKUP($C564,IMPORTRANGE(""1NK5L1mviMn0j3D"&amp;"3uo53ASkIZOFRlLnqaCTnwzOG2_Wg"",""Direct links Without Sizes!A2:A""),IMPORTRANGE(""1NK5L1mviMn0j3D3uo53ASkIZOFRlLnqaCTnwzOG2_Wg"",""Direct links Without Sizes!B2:B""))),XLOOKUP($C564,IMPORTRANGE(""1NK5L1mviMn0j3D3uo53ASkIZOFRlLnqaCTnwzOG2_Wg"",""Direct li"&amp;"nks Without Sizes!D2:D""),IMPORTRANGE(""1NK5L1mviMn0j3D3uo53ASkIZOFRlLnqaCTnwzOG2_Wg"",""Direct links Without Sizes!E2:E""))),"""")"),"")</f>
        <v/>
      </c>
      <c r="I564" s="4"/>
      <c r="J564" s="24" t="str">
        <f t="shared" si="1"/>
        <v/>
      </c>
      <c r="K564" s="25"/>
      <c r="L564" s="24" t="str">
        <f t="shared" si="2"/>
        <v/>
      </c>
      <c r="M564" s="4"/>
      <c r="N564" s="23"/>
      <c r="O564" s="23"/>
      <c r="P564" s="23"/>
      <c r="Q564" s="4" t="str">
        <f t="shared" si="4"/>
        <v/>
      </c>
      <c r="R564" s="20"/>
      <c r="S564" s="20"/>
    </row>
    <row r="565">
      <c r="A565" s="4"/>
      <c r="B565" s="4"/>
      <c r="C565" s="37"/>
      <c r="D565" s="7" t="str">
        <f>IFERROR(__xludf.DUMMYFUNCTION("iferror(iferror(INDEX(IMPORTRANGE(""12vtnxaE_Q1s4tyr10kZQx7ZF_xG0lBFae4jQEUtgsMU"",""All!B2:B""),MATCH($C565,IMPORTRANGE(""12vtnxaE_Q1s4tyr10kZQx7ZF_xG0lBFae4jQEUtgsMU"",""All!A2:A""),0)),INDEX(IMPORTRANGE(""13KC70HngS4DDi8y9E5khtSpQEPG6owaQ9z4E-tR5mnY"","&amp;"""Non-Food!B2:B""),MATCH($C565,IMPORTRANGE(""13KC70HngS4DDi8y9E5khtSpQEPG6owaQ9z4E-tR5mnY"",""Non-Food!A2:A""),0))),"""")"),"")</f>
        <v/>
      </c>
      <c r="E565" s="15"/>
      <c r="F565" s="15"/>
      <c r="G565" s="36"/>
      <c r="H565" s="23" t="str">
        <f>IFERROR(__xludf.DUMMYFUNCTION("iferror(iferror(iferror(index(IMPORTRANGE(""1NK5L1mviMn0j3D3uo53ASkIZOFRlLnqaCTnwzOG2_Wg"",""Direct Link!B2:B""),MATCH($C565,IMPORTRANGE(""1NK5L1mviMn0j3D3uo53ASkIZOFRlLnqaCTnwzOG2_Wg"",""Direct Link!A2:A""),0)),XLOOKUP($C565,IMPORTRANGE(""1NK5L1mviMn0j3D"&amp;"3uo53ASkIZOFRlLnqaCTnwzOG2_Wg"",""Direct links Without Sizes!A2:A""),IMPORTRANGE(""1NK5L1mviMn0j3D3uo53ASkIZOFRlLnqaCTnwzOG2_Wg"",""Direct links Without Sizes!B2:B""))),XLOOKUP($C565,IMPORTRANGE(""1NK5L1mviMn0j3D3uo53ASkIZOFRlLnqaCTnwzOG2_Wg"",""Direct li"&amp;"nks Without Sizes!D2:D""),IMPORTRANGE(""1NK5L1mviMn0j3D3uo53ASkIZOFRlLnqaCTnwzOG2_Wg"",""Direct links Without Sizes!E2:E""))),"""")"),"")</f>
        <v/>
      </c>
      <c r="I565" s="4"/>
      <c r="J565" s="24" t="str">
        <f t="shared" si="1"/>
        <v/>
      </c>
      <c r="K565" s="25"/>
      <c r="L565" s="24" t="str">
        <f t="shared" si="2"/>
        <v/>
      </c>
      <c r="M565" s="4"/>
      <c r="N565" s="23"/>
      <c r="O565" s="23"/>
      <c r="P565" s="23"/>
      <c r="Q565" s="4" t="str">
        <f t="shared" si="4"/>
        <v/>
      </c>
      <c r="R565" s="20"/>
      <c r="S565" s="20"/>
    </row>
    <row r="566">
      <c r="A566" s="4"/>
      <c r="B566" s="4"/>
      <c r="C566" s="37"/>
      <c r="D566" s="7" t="str">
        <f>IFERROR(__xludf.DUMMYFUNCTION("iferror(iferror(INDEX(IMPORTRANGE(""12vtnxaE_Q1s4tyr10kZQx7ZF_xG0lBFae4jQEUtgsMU"",""All!B2:B""),MATCH($C566,IMPORTRANGE(""12vtnxaE_Q1s4tyr10kZQx7ZF_xG0lBFae4jQEUtgsMU"",""All!A2:A""),0)),INDEX(IMPORTRANGE(""13KC70HngS4DDi8y9E5khtSpQEPG6owaQ9z4E-tR5mnY"","&amp;"""Non-Food!B2:B""),MATCH($C566,IMPORTRANGE(""13KC70HngS4DDi8y9E5khtSpQEPG6owaQ9z4E-tR5mnY"",""Non-Food!A2:A""),0))),"""")"),"")</f>
        <v/>
      </c>
      <c r="E566" s="15"/>
      <c r="F566" s="15"/>
      <c r="G566" s="36"/>
      <c r="H566" s="23" t="str">
        <f>IFERROR(__xludf.DUMMYFUNCTION("iferror(iferror(iferror(index(IMPORTRANGE(""1NK5L1mviMn0j3D3uo53ASkIZOFRlLnqaCTnwzOG2_Wg"",""Direct Link!B2:B""),MATCH($C566,IMPORTRANGE(""1NK5L1mviMn0j3D3uo53ASkIZOFRlLnqaCTnwzOG2_Wg"",""Direct Link!A2:A""),0)),XLOOKUP($C566,IMPORTRANGE(""1NK5L1mviMn0j3D"&amp;"3uo53ASkIZOFRlLnqaCTnwzOG2_Wg"",""Direct links Without Sizes!A2:A""),IMPORTRANGE(""1NK5L1mviMn0j3D3uo53ASkIZOFRlLnqaCTnwzOG2_Wg"",""Direct links Without Sizes!B2:B""))),XLOOKUP($C566,IMPORTRANGE(""1NK5L1mviMn0j3D3uo53ASkIZOFRlLnqaCTnwzOG2_Wg"",""Direct li"&amp;"nks Without Sizes!D2:D""),IMPORTRANGE(""1NK5L1mviMn0j3D3uo53ASkIZOFRlLnqaCTnwzOG2_Wg"",""Direct links Without Sizes!E2:E""))),"""")"),"")</f>
        <v/>
      </c>
      <c r="I566" s="4"/>
      <c r="J566" s="24" t="str">
        <f t="shared" si="1"/>
        <v/>
      </c>
      <c r="K566" s="25"/>
      <c r="L566" s="24" t="str">
        <f t="shared" si="2"/>
        <v/>
      </c>
      <c r="M566" s="4"/>
      <c r="N566" s="23"/>
      <c r="O566" s="23"/>
      <c r="P566" s="23"/>
      <c r="Q566" s="4" t="str">
        <f t="shared" si="4"/>
        <v/>
      </c>
      <c r="R566" s="20"/>
      <c r="S566" s="20"/>
    </row>
    <row r="567">
      <c r="A567" s="4"/>
      <c r="B567" s="4"/>
      <c r="C567" s="37"/>
      <c r="D567" s="7" t="str">
        <f>IFERROR(__xludf.DUMMYFUNCTION("iferror(iferror(INDEX(IMPORTRANGE(""12vtnxaE_Q1s4tyr10kZQx7ZF_xG0lBFae4jQEUtgsMU"",""All!B2:B""),MATCH($C567,IMPORTRANGE(""12vtnxaE_Q1s4tyr10kZQx7ZF_xG0lBFae4jQEUtgsMU"",""All!A2:A""),0)),INDEX(IMPORTRANGE(""13KC70HngS4DDi8y9E5khtSpQEPG6owaQ9z4E-tR5mnY"","&amp;"""Non-Food!B2:B""),MATCH($C567,IMPORTRANGE(""13KC70HngS4DDi8y9E5khtSpQEPG6owaQ9z4E-tR5mnY"",""Non-Food!A2:A""),0))),"""")"),"")</f>
        <v/>
      </c>
      <c r="E567" s="15"/>
      <c r="F567" s="15"/>
      <c r="G567" s="36"/>
      <c r="H567" s="23" t="str">
        <f>IFERROR(__xludf.DUMMYFUNCTION("iferror(iferror(iferror(index(IMPORTRANGE(""1NK5L1mviMn0j3D3uo53ASkIZOFRlLnqaCTnwzOG2_Wg"",""Direct Link!B2:B""),MATCH($C567,IMPORTRANGE(""1NK5L1mviMn0j3D3uo53ASkIZOFRlLnqaCTnwzOG2_Wg"",""Direct Link!A2:A""),0)),XLOOKUP($C567,IMPORTRANGE(""1NK5L1mviMn0j3D"&amp;"3uo53ASkIZOFRlLnqaCTnwzOG2_Wg"",""Direct links Without Sizes!A2:A""),IMPORTRANGE(""1NK5L1mviMn0j3D3uo53ASkIZOFRlLnqaCTnwzOG2_Wg"",""Direct links Without Sizes!B2:B""))),XLOOKUP($C567,IMPORTRANGE(""1NK5L1mviMn0j3D3uo53ASkIZOFRlLnqaCTnwzOG2_Wg"",""Direct li"&amp;"nks Without Sizes!D2:D""),IMPORTRANGE(""1NK5L1mviMn0j3D3uo53ASkIZOFRlLnqaCTnwzOG2_Wg"",""Direct links Without Sizes!E2:E""))),"""")"),"")</f>
        <v/>
      </c>
      <c r="I567" s="4"/>
      <c r="J567" s="24" t="str">
        <f t="shared" si="1"/>
        <v/>
      </c>
      <c r="K567" s="25"/>
      <c r="L567" s="24" t="str">
        <f t="shared" si="2"/>
        <v/>
      </c>
      <c r="M567" s="4"/>
      <c r="N567" s="23"/>
      <c r="O567" s="23"/>
      <c r="P567" s="23"/>
      <c r="Q567" s="4" t="str">
        <f t="shared" si="4"/>
        <v/>
      </c>
      <c r="R567" s="20"/>
      <c r="S567" s="20"/>
    </row>
    <row r="568">
      <c r="A568" s="4"/>
      <c r="B568" s="4"/>
      <c r="C568" s="37"/>
      <c r="D568" s="7" t="str">
        <f>IFERROR(__xludf.DUMMYFUNCTION("iferror(iferror(INDEX(IMPORTRANGE(""12vtnxaE_Q1s4tyr10kZQx7ZF_xG0lBFae4jQEUtgsMU"",""All!B2:B""),MATCH($C568,IMPORTRANGE(""12vtnxaE_Q1s4tyr10kZQx7ZF_xG0lBFae4jQEUtgsMU"",""All!A2:A""),0)),INDEX(IMPORTRANGE(""13KC70HngS4DDi8y9E5khtSpQEPG6owaQ9z4E-tR5mnY"","&amp;"""Non-Food!B2:B""),MATCH($C568,IMPORTRANGE(""13KC70HngS4DDi8y9E5khtSpQEPG6owaQ9z4E-tR5mnY"",""Non-Food!A2:A""),0))),"""")"),"")</f>
        <v/>
      </c>
      <c r="E568" s="15"/>
      <c r="F568" s="15"/>
      <c r="G568" s="36"/>
      <c r="H568" s="23" t="str">
        <f>IFERROR(__xludf.DUMMYFUNCTION("iferror(iferror(iferror(index(IMPORTRANGE(""1NK5L1mviMn0j3D3uo53ASkIZOFRlLnqaCTnwzOG2_Wg"",""Direct Link!B2:B""),MATCH($C568,IMPORTRANGE(""1NK5L1mviMn0j3D3uo53ASkIZOFRlLnqaCTnwzOG2_Wg"",""Direct Link!A2:A""),0)),XLOOKUP($C568,IMPORTRANGE(""1NK5L1mviMn0j3D"&amp;"3uo53ASkIZOFRlLnqaCTnwzOG2_Wg"",""Direct links Without Sizes!A2:A""),IMPORTRANGE(""1NK5L1mviMn0j3D3uo53ASkIZOFRlLnqaCTnwzOG2_Wg"",""Direct links Without Sizes!B2:B""))),XLOOKUP($C568,IMPORTRANGE(""1NK5L1mviMn0j3D3uo53ASkIZOFRlLnqaCTnwzOG2_Wg"",""Direct li"&amp;"nks Without Sizes!D2:D""),IMPORTRANGE(""1NK5L1mviMn0j3D3uo53ASkIZOFRlLnqaCTnwzOG2_Wg"",""Direct links Without Sizes!E2:E""))),"""")"),"")</f>
        <v/>
      </c>
      <c r="I568" s="4"/>
      <c r="J568" s="24" t="str">
        <f t="shared" si="1"/>
        <v/>
      </c>
      <c r="K568" s="25"/>
      <c r="L568" s="24" t="str">
        <f t="shared" si="2"/>
        <v/>
      </c>
      <c r="M568" s="4"/>
      <c r="N568" s="23"/>
      <c r="O568" s="23"/>
      <c r="P568" s="23"/>
      <c r="Q568" s="4" t="str">
        <f t="shared" si="4"/>
        <v/>
      </c>
      <c r="R568" s="20"/>
      <c r="S568" s="20"/>
    </row>
    <row r="569">
      <c r="A569" s="4"/>
      <c r="B569" s="4"/>
      <c r="C569" s="37"/>
      <c r="D569" s="7" t="str">
        <f>IFERROR(__xludf.DUMMYFUNCTION("iferror(iferror(INDEX(IMPORTRANGE(""12vtnxaE_Q1s4tyr10kZQx7ZF_xG0lBFae4jQEUtgsMU"",""All!B2:B""),MATCH($C569,IMPORTRANGE(""12vtnxaE_Q1s4tyr10kZQx7ZF_xG0lBFae4jQEUtgsMU"",""All!A2:A""),0)),INDEX(IMPORTRANGE(""13KC70HngS4DDi8y9E5khtSpQEPG6owaQ9z4E-tR5mnY"","&amp;"""Non-Food!B2:B""),MATCH($C569,IMPORTRANGE(""13KC70HngS4DDi8y9E5khtSpQEPG6owaQ9z4E-tR5mnY"",""Non-Food!A2:A""),0))),"""")"),"")</f>
        <v/>
      </c>
      <c r="E569" s="15"/>
      <c r="F569" s="15"/>
      <c r="G569" s="36"/>
      <c r="H569" s="23" t="str">
        <f>IFERROR(__xludf.DUMMYFUNCTION("iferror(iferror(iferror(index(IMPORTRANGE(""1NK5L1mviMn0j3D3uo53ASkIZOFRlLnqaCTnwzOG2_Wg"",""Direct Link!B2:B""),MATCH($C569,IMPORTRANGE(""1NK5L1mviMn0j3D3uo53ASkIZOFRlLnqaCTnwzOG2_Wg"",""Direct Link!A2:A""),0)),XLOOKUP($C569,IMPORTRANGE(""1NK5L1mviMn0j3D"&amp;"3uo53ASkIZOFRlLnqaCTnwzOG2_Wg"",""Direct links Without Sizes!A2:A""),IMPORTRANGE(""1NK5L1mviMn0j3D3uo53ASkIZOFRlLnqaCTnwzOG2_Wg"",""Direct links Without Sizes!B2:B""))),XLOOKUP($C569,IMPORTRANGE(""1NK5L1mviMn0j3D3uo53ASkIZOFRlLnqaCTnwzOG2_Wg"",""Direct li"&amp;"nks Without Sizes!D2:D""),IMPORTRANGE(""1NK5L1mviMn0j3D3uo53ASkIZOFRlLnqaCTnwzOG2_Wg"",""Direct links Without Sizes!E2:E""))),"""")"),"")</f>
        <v/>
      </c>
      <c r="I569" s="4"/>
      <c r="J569" s="24" t="str">
        <f t="shared" si="1"/>
        <v/>
      </c>
      <c r="K569" s="25"/>
      <c r="L569" s="24" t="str">
        <f t="shared" si="2"/>
        <v/>
      </c>
      <c r="M569" s="4"/>
      <c r="N569" s="23"/>
      <c r="O569" s="23"/>
      <c r="P569" s="23"/>
      <c r="Q569" s="4" t="str">
        <f t="shared" si="4"/>
        <v/>
      </c>
      <c r="R569" s="20"/>
      <c r="S569" s="20"/>
    </row>
    <row r="570">
      <c r="A570" s="4"/>
      <c r="B570" s="4"/>
      <c r="C570" s="37"/>
      <c r="D570" s="7" t="str">
        <f>IFERROR(__xludf.DUMMYFUNCTION("iferror(iferror(INDEX(IMPORTRANGE(""12vtnxaE_Q1s4tyr10kZQx7ZF_xG0lBFae4jQEUtgsMU"",""All!B2:B""),MATCH($C570,IMPORTRANGE(""12vtnxaE_Q1s4tyr10kZQx7ZF_xG0lBFae4jQEUtgsMU"",""All!A2:A""),0)),INDEX(IMPORTRANGE(""13KC70HngS4DDi8y9E5khtSpQEPG6owaQ9z4E-tR5mnY"","&amp;"""Non-Food!B2:B""),MATCH($C570,IMPORTRANGE(""13KC70HngS4DDi8y9E5khtSpQEPG6owaQ9z4E-tR5mnY"",""Non-Food!A2:A""),0))),"""")"),"")</f>
        <v/>
      </c>
      <c r="E570" s="15"/>
      <c r="F570" s="15"/>
      <c r="G570" s="36"/>
      <c r="H570" s="23" t="str">
        <f>IFERROR(__xludf.DUMMYFUNCTION("iferror(iferror(iferror(index(IMPORTRANGE(""1NK5L1mviMn0j3D3uo53ASkIZOFRlLnqaCTnwzOG2_Wg"",""Direct Link!B2:B""),MATCH($C570,IMPORTRANGE(""1NK5L1mviMn0j3D3uo53ASkIZOFRlLnqaCTnwzOG2_Wg"",""Direct Link!A2:A""),0)),XLOOKUP($C570,IMPORTRANGE(""1NK5L1mviMn0j3D"&amp;"3uo53ASkIZOFRlLnqaCTnwzOG2_Wg"",""Direct links Without Sizes!A2:A""),IMPORTRANGE(""1NK5L1mviMn0j3D3uo53ASkIZOFRlLnqaCTnwzOG2_Wg"",""Direct links Without Sizes!B2:B""))),XLOOKUP($C570,IMPORTRANGE(""1NK5L1mviMn0j3D3uo53ASkIZOFRlLnqaCTnwzOG2_Wg"",""Direct li"&amp;"nks Without Sizes!D2:D""),IMPORTRANGE(""1NK5L1mviMn0j3D3uo53ASkIZOFRlLnqaCTnwzOG2_Wg"",""Direct links Without Sizes!E2:E""))),"""")"),"")</f>
        <v/>
      </c>
      <c r="I570" s="4"/>
      <c r="J570" s="24" t="str">
        <f t="shared" si="1"/>
        <v/>
      </c>
      <c r="K570" s="25"/>
      <c r="L570" s="24" t="str">
        <f t="shared" si="2"/>
        <v/>
      </c>
      <c r="M570" s="4"/>
      <c r="N570" s="23"/>
      <c r="O570" s="23"/>
      <c r="P570" s="23"/>
      <c r="Q570" s="4" t="str">
        <f t="shared" si="4"/>
        <v/>
      </c>
      <c r="R570" s="20"/>
      <c r="S570" s="20"/>
    </row>
    <row r="571">
      <c r="A571" s="4"/>
      <c r="B571" s="4"/>
      <c r="C571" s="37"/>
      <c r="D571" s="7" t="str">
        <f>IFERROR(__xludf.DUMMYFUNCTION("iferror(iferror(INDEX(IMPORTRANGE(""12vtnxaE_Q1s4tyr10kZQx7ZF_xG0lBFae4jQEUtgsMU"",""All!B2:B""),MATCH($C571,IMPORTRANGE(""12vtnxaE_Q1s4tyr10kZQx7ZF_xG0lBFae4jQEUtgsMU"",""All!A2:A""),0)),INDEX(IMPORTRANGE(""13KC70HngS4DDi8y9E5khtSpQEPG6owaQ9z4E-tR5mnY"","&amp;"""Non-Food!B2:B""),MATCH($C571,IMPORTRANGE(""13KC70HngS4DDi8y9E5khtSpQEPG6owaQ9z4E-tR5mnY"",""Non-Food!A2:A""),0))),"""")"),"")</f>
        <v/>
      </c>
      <c r="E571" s="15"/>
      <c r="F571" s="15"/>
      <c r="G571" s="36"/>
      <c r="H571" s="23" t="str">
        <f>IFERROR(__xludf.DUMMYFUNCTION("iferror(iferror(iferror(index(IMPORTRANGE(""1NK5L1mviMn0j3D3uo53ASkIZOFRlLnqaCTnwzOG2_Wg"",""Direct Link!B2:B""),MATCH($C571,IMPORTRANGE(""1NK5L1mviMn0j3D3uo53ASkIZOFRlLnqaCTnwzOG2_Wg"",""Direct Link!A2:A""),0)),XLOOKUP($C571,IMPORTRANGE(""1NK5L1mviMn0j3D"&amp;"3uo53ASkIZOFRlLnqaCTnwzOG2_Wg"",""Direct links Without Sizes!A2:A""),IMPORTRANGE(""1NK5L1mviMn0j3D3uo53ASkIZOFRlLnqaCTnwzOG2_Wg"",""Direct links Without Sizes!B2:B""))),XLOOKUP($C571,IMPORTRANGE(""1NK5L1mviMn0j3D3uo53ASkIZOFRlLnqaCTnwzOG2_Wg"",""Direct li"&amp;"nks Without Sizes!D2:D""),IMPORTRANGE(""1NK5L1mviMn0j3D3uo53ASkIZOFRlLnqaCTnwzOG2_Wg"",""Direct links Without Sizes!E2:E""))),"""")"),"")</f>
        <v/>
      </c>
      <c r="I571" s="4"/>
      <c r="J571" s="24" t="str">
        <f t="shared" si="1"/>
        <v/>
      </c>
      <c r="K571" s="25"/>
      <c r="L571" s="24" t="str">
        <f t="shared" si="2"/>
        <v/>
      </c>
      <c r="M571" s="4"/>
      <c r="N571" s="23"/>
      <c r="O571" s="23"/>
      <c r="P571" s="23"/>
      <c r="Q571" s="4" t="str">
        <f t="shared" si="4"/>
        <v/>
      </c>
      <c r="R571" s="20"/>
      <c r="S571" s="20"/>
    </row>
    <row r="572">
      <c r="A572" s="4"/>
      <c r="B572" s="4"/>
      <c r="C572" s="37"/>
      <c r="D572" s="7" t="str">
        <f>IFERROR(__xludf.DUMMYFUNCTION("iferror(iferror(INDEX(IMPORTRANGE(""12vtnxaE_Q1s4tyr10kZQx7ZF_xG0lBFae4jQEUtgsMU"",""All!B2:B""),MATCH($C572,IMPORTRANGE(""12vtnxaE_Q1s4tyr10kZQx7ZF_xG0lBFae4jQEUtgsMU"",""All!A2:A""),0)),INDEX(IMPORTRANGE(""13KC70HngS4DDi8y9E5khtSpQEPG6owaQ9z4E-tR5mnY"","&amp;"""Non-Food!B2:B""),MATCH($C572,IMPORTRANGE(""13KC70HngS4DDi8y9E5khtSpQEPG6owaQ9z4E-tR5mnY"",""Non-Food!A2:A""),0))),"""")"),"")</f>
        <v/>
      </c>
      <c r="E572" s="15"/>
      <c r="F572" s="15"/>
      <c r="G572" s="36"/>
      <c r="H572" s="23" t="str">
        <f>IFERROR(__xludf.DUMMYFUNCTION("iferror(iferror(iferror(index(IMPORTRANGE(""1NK5L1mviMn0j3D3uo53ASkIZOFRlLnqaCTnwzOG2_Wg"",""Direct Link!B2:B""),MATCH($C572,IMPORTRANGE(""1NK5L1mviMn0j3D3uo53ASkIZOFRlLnqaCTnwzOG2_Wg"",""Direct Link!A2:A""),0)),XLOOKUP($C572,IMPORTRANGE(""1NK5L1mviMn0j3D"&amp;"3uo53ASkIZOFRlLnqaCTnwzOG2_Wg"",""Direct links Without Sizes!A2:A""),IMPORTRANGE(""1NK5L1mviMn0j3D3uo53ASkIZOFRlLnqaCTnwzOG2_Wg"",""Direct links Without Sizes!B2:B""))),XLOOKUP($C572,IMPORTRANGE(""1NK5L1mviMn0j3D3uo53ASkIZOFRlLnqaCTnwzOG2_Wg"",""Direct li"&amp;"nks Without Sizes!D2:D""),IMPORTRANGE(""1NK5L1mviMn0j3D3uo53ASkIZOFRlLnqaCTnwzOG2_Wg"",""Direct links Without Sizes!E2:E""))),"""")"),"")</f>
        <v/>
      </c>
      <c r="I572" s="4"/>
      <c r="J572" s="24" t="str">
        <f t="shared" si="1"/>
        <v/>
      </c>
      <c r="K572" s="25"/>
      <c r="L572" s="24" t="str">
        <f t="shared" si="2"/>
        <v/>
      </c>
      <c r="M572" s="4"/>
      <c r="N572" s="23"/>
      <c r="O572" s="23"/>
      <c r="P572" s="23"/>
      <c r="Q572" s="4" t="str">
        <f t="shared" si="4"/>
        <v/>
      </c>
      <c r="R572" s="20"/>
      <c r="S572" s="20"/>
    </row>
    <row r="573">
      <c r="A573" s="4"/>
      <c r="B573" s="4"/>
      <c r="C573" s="37"/>
      <c r="D573" s="7" t="str">
        <f>IFERROR(__xludf.DUMMYFUNCTION("iferror(iferror(INDEX(IMPORTRANGE(""12vtnxaE_Q1s4tyr10kZQx7ZF_xG0lBFae4jQEUtgsMU"",""All!B2:B""),MATCH($C573,IMPORTRANGE(""12vtnxaE_Q1s4tyr10kZQx7ZF_xG0lBFae4jQEUtgsMU"",""All!A2:A""),0)),INDEX(IMPORTRANGE(""13KC70HngS4DDi8y9E5khtSpQEPG6owaQ9z4E-tR5mnY"","&amp;"""Non-Food!B2:B""),MATCH($C573,IMPORTRANGE(""13KC70HngS4DDi8y9E5khtSpQEPG6owaQ9z4E-tR5mnY"",""Non-Food!A2:A""),0))),"""")"),"")</f>
        <v/>
      </c>
      <c r="E573" s="15"/>
      <c r="F573" s="15"/>
      <c r="G573" s="36"/>
      <c r="H573" s="23" t="str">
        <f>IFERROR(__xludf.DUMMYFUNCTION("iferror(iferror(iferror(index(IMPORTRANGE(""1NK5L1mviMn0j3D3uo53ASkIZOFRlLnqaCTnwzOG2_Wg"",""Direct Link!B2:B""),MATCH($C573,IMPORTRANGE(""1NK5L1mviMn0j3D3uo53ASkIZOFRlLnqaCTnwzOG2_Wg"",""Direct Link!A2:A""),0)),XLOOKUP($C573,IMPORTRANGE(""1NK5L1mviMn0j3D"&amp;"3uo53ASkIZOFRlLnqaCTnwzOG2_Wg"",""Direct links Without Sizes!A2:A""),IMPORTRANGE(""1NK5L1mviMn0j3D3uo53ASkIZOFRlLnqaCTnwzOG2_Wg"",""Direct links Without Sizes!B2:B""))),XLOOKUP($C573,IMPORTRANGE(""1NK5L1mviMn0j3D3uo53ASkIZOFRlLnqaCTnwzOG2_Wg"",""Direct li"&amp;"nks Without Sizes!D2:D""),IMPORTRANGE(""1NK5L1mviMn0j3D3uo53ASkIZOFRlLnqaCTnwzOG2_Wg"",""Direct links Without Sizes!E2:E""))),"""")"),"")</f>
        <v/>
      </c>
      <c r="I573" s="4"/>
      <c r="J573" s="24" t="str">
        <f t="shared" si="1"/>
        <v/>
      </c>
      <c r="K573" s="25"/>
      <c r="L573" s="24" t="str">
        <f t="shared" si="2"/>
        <v/>
      </c>
      <c r="M573" s="4"/>
      <c r="N573" s="23"/>
      <c r="O573" s="23"/>
      <c r="P573" s="23"/>
      <c r="Q573" s="4" t="str">
        <f t="shared" si="4"/>
        <v/>
      </c>
      <c r="R573" s="20"/>
      <c r="S573" s="20"/>
    </row>
    <row r="574">
      <c r="A574" s="4"/>
      <c r="B574" s="4"/>
      <c r="C574" s="37"/>
      <c r="D574" s="7" t="str">
        <f>IFERROR(__xludf.DUMMYFUNCTION("iferror(iferror(INDEX(IMPORTRANGE(""12vtnxaE_Q1s4tyr10kZQx7ZF_xG0lBFae4jQEUtgsMU"",""All!B2:B""),MATCH($C574,IMPORTRANGE(""12vtnxaE_Q1s4tyr10kZQx7ZF_xG0lBFae4jQEUtgsMU"",""All!A2:A""),0)),INDEX(IMPORTRANGE(""13KC70HngS4DDi8y9E5khtSpQEPG6owaQ9z4E-tR5mnY"","&amp;"""Non-Food!B2:B""),MATCH($C574,IMPORTRANGE(""13KC70HngS4DDi8y9E5khtSpQEPG6owaQ9z4E-tR5mnY"",""Non-Food!A2:A""),0))),"""")"),"")</f>
        <v/>
      </c>
      <c r="E574" s="15"/>
      <c r="F574" s="15"/>
      <c r="G574" s="36"/>
      <c r="H574" s="23" t="str">
        <f>IFERROR(__xludf.DUMMYFUNCTION("iferror(iferror(iferror(index(IMPORTRANGE(""1NK5L1mviMn0j3D3uo53ASkIZOFRlLnqaCTnwzOG2_Wg"",""Direct Link!B2:B""),MATCH($C574,IMPORTRANGE(""1NK5L1mviMn0j3D3uo53ASkIZOFRlLnqaCTnwzOG2_Wg"",""Direct Link!A2:A""),0)),XLOOKUP($C574,IMPORTRANGE(""1NK5L1mviMn0j3D"&amp;"3uo53ASkIZOFRlLnqaCTnwzOG2_Wg"",""Direct links Without Sizes!A2:A""),IMPORTRANGE(""1NK5L1mviMn0j3D3uo53ASkIZOFRlLnqaCTnwzOG2_Wg"",""Direct links Without Sizes!B2:B""))),XLOOKUP($C574,IMPORTRANGE(""1NK5L1mviMn0j3D3uo53ASkIZOFRlLnqaCTnwzOG2_Wg"",""Direct li"&amp;"nks Without Sizes!D2:D""),IMPORTRANGE(""1NK5L1mviMn0j3D3uo53ASkIZOFRlLnqaCTnwzOG2_Wg"",""Direct links Without Sizes!E2:E""))),"""")"),"")</f>
        <v/>
      </c>
      <c r="I574" s="4"/>
      <c r="J574" s="24" t="str">
        <f t="shared" si="1"/>
        <v/>
      </c>
      <c r="K574" s="25"/>
      <c r="L574" s="24" t="str">
        <f t="shared" si="2"/>
        <v/>
      </c>
      <c r="M574" s="4"/>
      <c r="N574" s="23"/>
      <c r="O574" s="23"/>
      <c r="P574" s="23"/>
      <c r="Q574" s="4" t="str">
        <f t="shared" si="4"/>
        <v/>
      </c>
      <c r="R574" s="20"/>
      <c r="S574" s="20"/>
    </row>
    <row r="575">
      <c r="A575" s="4"/>
      <c r="B575" s="4"/>
      <c r="C575" s="37"/>
      <c r="D575" s="7" t="str">
        <f>IFERROR(__xludf.DUMMYFUNCTION("iferror(iferror(INDEX(IMPORTRANGE(""12vtnxaE_Q1s4tyr10kZQx7ZF_xG0lBFae4jQEUtgsMU"",""All!B2:B""),MATCH($C575,IMPORTRANGE(""12vtnxaE_Q1s4tyr10kZQx7ZF_xG0lBFae4jQEUtgsMU"",""All!A2:A""),0)),INDEX(IMPORTRANGE(""13KC70HngS4DDi8y9E5khtSpQEPG6owaQ9z4E-tR5mnY"","&amp;"""Non-Food!B2:B""),MATCH($C575,IMPORTRANGE(""13KC70HngS4DDi8y9E5khtSpQEPG6owaQ9z4E-tR5mnY"",""Non-Food!A2:A""),0))),"""")"),"")</f>
        <v/>
      </c>
      <c r="E575" s="15"/>
      <c r="F575" s="15"/>
      <c r="G575" s="36"/>
      <c r="H575" s="23" t="str">
        <f>IFERROR(__xludf.DUMMYFUNCTION("iferror(iferror(iferror(index(IMPORTRANGE(""1NK5L1mviMn0j3D3uo53ASkIZOFRlLnqaCTnwzOG2_Wg"",""Direct Link!B2:B""),MATCH($C575,IMPORTRANGE(""1NK5L1mviMn0j3D3uo53ASkIZOFRlLnqaCTnwzOG2_Wg"",""Direct Link!A2:A""),0)),XLOOKUP($C575,IMPORTRANGE(""1NK5L1mviMn0j3D"&amp;"3uo53ASkIZOFRlLnqaCTnwzOG2_Wg"",""Direct links Without Sizes!A2:A""),IMPORTRANGE(""1NK5L1mviMn0j3D3uo53ASkIZOFRlLnqaCTnwzOG2_Wg"",""Direct links Without Sizes!B2:B""))),XLOOKUP($C575,IMPORTRANGE(""1NK5L1mviMn0j3D3uo53ASkIZOFRlLnqaCTnwzOG2_Wg"",""Direct li"&amp;"nks Without Sizes!D2:D""),IMPORTRANGE(""1NK5L1mviMn0j3D3uo53ASkIZOFRlLnqaCTnwzOG2_Wg"",""Direct links Without Sizes!E2:E""))),"""")"),"")</f>
        <v/>
      </c>
      <c r="I575" s="4"/>
      <c r="J575" s="24" t="str">
        <f t="shared" si="1"/>
        <v/>
      </c>
      <c r="K575" s="25"/>
      <c r="L575" s="24" t="str">
        <f t="shared" si="2"/>
        <v/>
      </c>
      <c r="M575" s="4"/>
      <c r="N575" s="23"/>
      <c r="O575" s="23"/>
      <c r="P575" s="23"/>
      <c r="Q575" s="4" t="str">
        <f t="shared" si="4"/>
        <v/>
      </c>
      <c r="R575" s="20"/>
      <c r="S575" s="20"/>
    </row>
    <row r="576">
      <c r="A576" s="4"/>
      <c r="B576" s="4"/>
      <c r="C576" s="37"/>
      <c r="D576" s="7" t="str">
        <f>IFERROR(__xludf.DUMMYFUNCTION("iferror(iferror(INDEX(IMPORTRANGE(""12vtnxaE_Q1s4tyr10kZQx7ZF_xG0lBFae4jQEUtgsMU"",""All!B2:B""),MATCH($C576,IMPORTRANGE(""12vtnxaE_Q1s4tyr10kZQx7ZF_xG0lBFae4jQEUtgsMU"",""All!A2:A""),0)),INDEX(IMPORTRANGE(""13KC70HngS4DDi8y9E5khtSpQEPG6owaQ9z4E-tR5mnY"","&amp;"""Non-Food!B2:B""),MATCH($C576,IMPORTRANGE(""13KC70HngS4DDi8y9E5khtSpQEPG6owaQ9z4E-tR5mnY"",""Non-Food!A2:A""),0))),"""")"),"")</f>
        <v/>
      </c>
      <c r="E576" s="15"/>
      <c r="F576" s="15"/>
      <c r="G576" s="36"/>
      <c r="H576" s="23" t="str">
        <f>IFERROR(__xludf.DUMMYFUNCTION("iferror(iferror(iferror(index(IMPORTRANGE(""1NK5L1mviMn0j3D3uo53ASkIZOFRlLnqaCTnwzOG2_Wg"",""Direct Link!B2:B""),MATCH($C576,IMPORTRANGE(""1NK5L1mviMn0j3D3uo53ASkIZOFRlLnqaCTnwzOG2_Wg"",""Direct Link!A2:A""),0)),XLOOKUP($C576,IMPORTRANGE(""1NK5L1mviMn0j3D"&amp;"3uo53ASkIZOFRlLnqaCTnwzOG2_Wg"",""Direct links Without Sizes!A2:A""),IMPORTRANGE(""1NK5L1mviMn0j3D3uo53ASkIZOFRlLnqaCTnwzOG2_Wg"",""Direct links Without Sizes!B2:B""))),XLOOKUP($C576,IMPORTRANGE(""1NK5L1mviMn0j3D3uo53ASkIZOFRlLnqaCTnwzOG2_Wg"",""Direct li"&amp;"nks Without Sizes!D2:D""),IMPORTRANGE(""1NK5L1mviMn0j3D3uo53ASkIZOFRlLnqaCTnwzOG2_Wg"",""Direct links Without Sizes!E2:E""))),"""")"),"")</f>
        <v/>
      </c>
      <c r="I576" s="4"/>
      <c r="J576" s="24" t="str">
        <f t="shared" si="1"/>
        <v/>
      </c>
      <c r="K576" s="25"/>
      <c r="L576" s="24" t="str">
        <f t="shared" si="2"/>
        <v/>
      </c>
      <c r="M576" s="4"/>
      <c r="N576" s="23"/>
      <c r="O576" s="23"/>
      <c r="P576" s="23"/>
      <c r="Q576" s="4" t="str">
        <f t="shared" si="4"/>
        <v/>
      </c>
      <c r="R576" s="20"/>
      <c r="S576" s="20"/>
    </row>
    <row r="577">
      <c r="A577" s="4"/>
      <c r="B577" s="4"/>
      <c r="C577" s="37"/>
      <c r="D577" s="7" t="str">
        <f>IFERROR(__xludf.DUMMYFUNCTION("iferror(iferror(INDEX(IMPORTRANGE(""12vtnxaE_Q1s4tyr10kZQx7ZF_xG0lBFae4jQEUtgsMU"",""All!B2:B""),MATCH($C577,IMPORTRANGE(""12vtnxaE_Q1s4tyr10kZQx7ZF_xG0lBFae4jQEUtgsMU"",""All!A2:A""),0)),INDEX(IMPORTRANGE(""13KC70HngS4DDi8y9E5khtSpQEPG6owaQ9z4E-tR5mnY"","&amp;"""Non-Food!B2:B""),MATCH($C577,IMPORTRANGE(""13KC70HngS4DDi8y9E5khtSpQEPG6owaQ9z4E-tR5mnY"",""Non-Food!A2:A""),0))),"""")"),"")</f>
        <v/>
      </c>
      <c r="E577" s="15"/>
      <c r="F577" s="15"/>
      <c r="G577" s="36"/>
      <c r="H577" s="23" t="str">
        <f>IFERROR(__xludf.DUMMYFUNCTION("iferror(iferror(iferror(index(IMPORTRANGE(""1NK5L1mviMn0j3D3uo53ASkIZOFRlLnqaCTnwzOG2_Wg"",""Direct Link!B2:B""),MATCH($C577,IMPORTRANGE(""1NK5L1mviMn0j3D3uo53ASkIZOFRlLnqaCTnwzOG2_Wg"",""Direct Link!A2:A""),0)),XLOOKUP($C577,IMPORTRANGE(""1NK5L1mviMn0j3D"&amp;"3uo53ASkIZOFRlLnqaCTnwzOG2_Wg"",""Direct links Without Sizes!A2:A""),IMPORTRANGE(""1NK5L1mviMn0j3D3uo53ASkIZOFRlLnqaCTnwzOG2_Wg"",""Direct links Without Sizes!B2:B""))),XLOOKUP($C577,IMPORTRANGE(""1NK5L1mviMn0j3D3uo53ASkIZOFRlLnqaCTnwzOG2_Wg"",""Direct li"&amp;"nks Without Sizes!D2:D""),IMPORTRANGE(""1NK5L1mviMn0j3D3uo53ASkIZOFRlLnqaCTnwzOG2_Wg"",""Direct links Without Sizes!E2:E""))),"""")"),"")</f>
        <v/>
      </c>
      <c r="I577" s="4"/>
      <c r="J577" s="24" t="str">
        <f t="shared" si="1"/>
        <v/>
      </c>
      <c r="K577" s="25"/>
      <c r="L577" s="24" t="str">
        <f t="shared" si="2"/>
        <v/>
      </c>
      <c r="M577" s="4"/>
      <c r="N577" s="23"/>
      <c r="O577" s="23"/>
      <c r="P577" s="23"/>
      <c r="Q577" s="4" t="str">
        <f t="shared" si="4"/>
        <v/>
      </c>
      <c r="R577" s="20"/>
      <c r="S577" s="20"/>
    </row>
    <row r="578">
      <c r="A578" s="4"/>
      <c r="B578" s="4"/>
      <c r="C578" s="37"/>
      <c r="D578" s="7" t="str">
        <f>IFERROR(__xludf.DUMMYFUNCTION("iferror(iferror(INDEX(IMPORTRANGE(""12vtnxaE_Q1s4tyr10kZQx7ZF_xG0lBFae4jQEUtgsMU"",""All!B2:B""),MATCH($C578,IMPORTRANGE(""12vtnxaE_Q1s4tyr10kZQx7ZF_xG0lBFae4jQEUtgsMU"",""All!A2:A""),0)),INDEX(IMPORTRANGE(""13KC70HngS4DDi8y9E5khtSpQEPG6owaQ9z4E-tR5mnY"","&amp;"""Non-Food!B2:B""),MATCH($C578,IMPORTRANGE(""13KC70HngS4DDi8y9E5khtSpQEPG6owaQ9z4E-tR5mnY"",""Non-Food!A2:A""),0))),"""")"),"")</f>
        <v/>
      </c>
      <c r="E578" s="15"/>
      <c r="F578" s="15"/>
      <c r="G578" s="36"/>
      <c r="H578" s="23" t="str">
        <f>IFERROR(__xludf.DUMMYFUNCTION("iferror(iferror(iferror(index(IMPORTRANGE(""1NK5L1mviMn0j3D3uo53ASkIZOFRlLnqaCTnwzOG2_Wg"",""Direct Link!B2:B""),MATCH($C578,IMPORTRANGE(""1NK5L1mviMn0j3D3uo53ASkIZOFRlLnqaCTnwzOG2_Wg"",""Direct Link!A2:A""),0)),XLOOKUP($C578,IMPORTRANGE(""1NK5L1mviMn0j3D"&amp;"3uo53ASkIZOFRlLnqaCTnwzOG2_Wg"",""Direct links Without Sizes!A2:A""),IMPORTRANGE(""1NK5L1mviMn0j3D3uo53ASkIZOFRlLnqaCTnwzOG2_Wg"",""Direct links Without Sizes!B2:B""))),XLOOKUP($C578,IMPORTRANGE(""1NK5L1mviMn0j3D3uo53ASkIZOFRlLnqaCTnwzOG2_Wg"",""Direct li"&amp;"nks Without Sizes!D2:D""),IMPORTRANGE(""1NK5L1mviMn0j3D3uo53ASkIZOFRlLnqaCTnwzOG2_Wg"",""Direct links Without Sizes!E2:E""))),"""")"),"")</f>
        <v/>
      </c>
      <c r="I578" s="4"/>
      <c r="J578" s="24" t="str">
        <f t="shared" si="1"/>
        <v/>
      </c>
      <c r="K578" s="25"/>
      <c r="L578" s="24" t="str">
        <f t="shared" si="2"/>
        <v/>
      </c>
      <c r="M578" s="4"/>
      <c r="N578" s="23"/>
      <c r="O578" s="23"/>
      <c r="P578" s="23"/>
      <c r="Q578" s="4" t="str">
        <f t="shared" si="4"/>
        <v/>
      </c>
      <c r="R578" s="20"/>
      <c r="S578" s="20"/>
    </row>
    <row r="579">
      <c r="A579" s="4"/>
      <c r="B579" s="4"/>
      <c r="C579" s="37"/>
      <c r="D579" s="7" t="str">
        <f>IFERROR(__xludf.DUMMYFUNCTION("iferror(iferror(INDEX(IMPORTRANGE(""12vtnxaE_Q1s4tyr10kZQx7ZF_xG0lBFae4jQEUtgsMU"",""All!B2:B""),MATCH($C579,IMPORTRANGE(""12vtnxaE_Q1s4tyr10kZQx7ZF_xG0lBFae4jQEUtgsMU"",""All!A2:A""),0)),INDEX(IMPORTRANGE(""13KC70HngS4DDi8y9E5khtSpQEPG6owaQ9z4E-tR5mnY"","&amp;"""Non-Food!B2:B""),MATCH($C579,IMPORTRANGE(""13KC70HngS4DDi8y9E5khtSpQEPG6owaQ9z4E-tR5mnY"",""Non-Food!A2:A""),0))),"""")"),"")</f>
        <v/>
      </c>
      <c r="E579" s="15"/>
      <c r="F579" s="15"/>
      <c r="G579" s="36"/>
      <c r="H579" s="23" t="str">
        <f>IFERROR(__xludf.DUMMYFUNCTION("iferror(iferror(iferror(index(IMPORTRANGE(""1NK5L1mviMn0j3D3uo53ASkIZOFRlLnqaCTnwzOG2_Wg"",""Direct Link!B2:B""),MATCH($C579,IMPORTRANGE(""1NK5L1mviMn0j3D3uo53ASkIZOFRlLnqaCTnwzOG2_Wg"",""Direct Link!A2:A""),0)),XLOOKUP($C579,IMPORTRANGE(""1NK5L1mviMn0j3D"&amp;"3uo53ASkIZOFRlLnqaCTnwzOG2_Wg"",""Direct links Without Sizes!A2:A""),IMPORTRANGE(""1NK5L1mviMn0j3D3uo53ASkIZOFRlLnqaCTnwzOG2_Wg"",""Direct links Without Sizes!B2:B""))),XLOOKUP($C579,IMPORTRANGE(""1NK5L1mviMn0j3D3uo53ASkIZOFRlLnqaCTnwzOG2_Wg"",""Direct li"&amp;"nks Without Sizes!D2:D""),IMPORTRANGE(""1NK5L1mviMn0j3D3uo53ASkIZOFRlLnqaCTnwzOG2_Wg"",""Direct links Without Sizes!E2:E""))),"""")"),"")</f>
        <v/>
      </c>
      <c r="I579" s="4"/>
      <c r="J579" s="24" t="str">
        <f t="shared" si="1"/>
        <v/>
      </c>
      <c r="K579" s="25"/>
      <c r="L579" s="24" t="str">
        <f t="shared" si="2"/>
        <v/>
      </c>
      <c r="M579" s="4"/>
      <c r="N579" s="23"/>
      <c r="O579" s="23"/>
      <c r="P579" s="23"/>
      <c r="Q579" s="4" t="str">
        <f t="shared" si="4"/>
        <v/>
      </c>
      <c r="R579" s="20"/>
      <c r="S579" s="20"/>
    </row>
    <row r="580">
      <c r="A580" s="4"/>
      <c r="B580" s="4"/>
      <c r="C580" s="37"/>
      <c r="D580" s="7" t="str">
        <f>IFERROR(__xludf.DUMMYFUNCTION("iferror(iferror(INDEX(IMPORTRANGE(""12vtnxaE_Q1s4tyr10kZQx7ZF_xG0lBFae4jQEUtgsMU"",""All!B2:B""),MATCH($C580,IMPORTRANGE(""12vtnxaE_Q1s4tyr10kZQx7ZF_xG0lBFae4jQEUtgsMU"",""All!A2:A""),0)),INDEX(IMPORTRANGE(""13KC70HngS4DDi8y9E5khtSpQEPG6owaQ9z4E-tR5mnY"","&amp;"""Non-Food!B2:B""),MATCH($C580,IMPORTRANGE(""13KC70HngS4DDi8y9E5khtSpQEPG6owaQ9z4E-tR5mnY"",""Non-Food!A2:A""),0))),"""")"),"")</f>
        <v/>
      </c>
      <c r="E580" s="15"/>
      <c r="F580" s="15"/>
      <c r="G580" s="36"/>
      <c r="H580" s="23" t="str">
        <f>IFERROR(__xludf.DUMMYFUNCTION("iferror(iferror(iferror(index(IMPORTRANGE(""1NK5L1mviMn0j3D3uo53ASkIZOFRlLnqaCTnwzOG2_Wg"",""Direct Link!B2:B""),MATCH($C580,IMPORTRANGE(""1NK5L1mviMn0j3D3uo53ASkIZOFRlLnqaCTnwzOG2_Wg"",""Direct Link!A2:A""),0)),XLOOKUP($C580,IMPORTRANGE(""1NK5L1mviMn0j3D"&amp;"3uo53ASkIZOFRlLnqaCTnwzOG2_Wg"",""Direct links Without Sizes!A2:A""),IMPORTRANGE(""1NK5L1mviMn0j3D3uo53ASkIZOFRlLnqaCTnwzOG2_Wg"",""Direct links Without Sizes!B2:B""))),XLOOKUP($C580,IMPORTRANGE(""1NK5L1mviMn0j3D3uo53ASkIZOFRlLnqaCTnwzOG2_Wg"",""Direct li"&amp;"nks Without Sizes!D2:D""),IMPORTRANGE(""1NK5L1mviMn0j3D3uo53ASkIZOFRlLnqaCTnwzOG2_Wg"",""Direct links Without Sizes!E2:E""))),"""")"),"")</f>
        <v/>
      </c>
      <c r="I580" s="4"/>
      <c r="J580" s="24" t="str">
        <f t="shared" si="1"/>
        <v/>
      </c>
      <c r="K580" s="25"/>
      <c r="L580" s="24" t="str">
        <f t="shared" si="2"/>
        <v/>
      </c>
      <c r="M580" s="4"/>
      <c r="N580" s="23"/>
      <c r="O580" s="23"/>
      <c r="P580" s="23"/>
      <c r="Q580" s="4" t="str">
        <f t="shared" si="4"/>
        <v/>
      </c>
      <c r="R580" s="20"/>
      <c r="S580" s="20"/>
    </row>
    <row r="581">
      <c r="A581" s="4"/>
      <c r="B581" s="4"/>
      <c r="C581" s="37"/>
      <c r="D581" s="7" t="str">
        <f>IFERROR(__xludf.DUMMYFUNCTION("iferror(iferror(INDEX(IMPORTRANGE(""12vtnxaE_Q1s4tyr10kZQx7ZF_xG0lBFae4jQEUtgsMU"",""All!B2:B""),MATCH($C581,IMPORTRANGE(""12vtnxaE_Q1s4tyr10kZQx7ZF_xG0lBFae4jQEUtgsMU"",""All!A2:A""),0)),INDEX(IMPORTRANGE(""13KC70HngS4DDi8y9E5khtSpQEPG6owaQ9z4E-tR5mnY"","&amp;"""Non-Food!B2:B""),MATCH($C581,IMPORTRANGE(""13KC70HngS4DDi8y9E5khtSpQEPG6owaQ9z4E-tR5mnY"",""Non-Food!A2:A""),0))),"""")"),"")</f>
        <v/>
      </c>
      <c r="E581" s="15"/>
      <c r="F581" s="15"/>
      <c r="G581" s="36"/>
      <c r="H581" s="23" t="str">
        <f>IFERROR(__xludf.DUMMYFUNCTION("iferror(iferror(iferror(index(IMPORTRANGE(""1NK5L1mviMn0j3D3uo53ASkIZOFRlLnqaCTnwzOG2_Wg"",""Direct Link!B2:B""),MATCH($C581,IMPORTRANGE(""1NK5L1mviMn0j3D3uo53ASkIZOFRlLnqaCTnwzOG2_Wg"",""Direct Link!A2:A""),0)),XLOOKUP($C581,IMPORTRANGE(""1NK5L1mviMn0j3D"&amp;"3uo53ASkIZOFRlLnqaCTnwzOG2_Wg"",""Direct links Without Sizes!A2:A""),IMPORTRANGE(""1NK5L1mviMn0j3D3uo53ASkIZOFRlLnqaCTnwzOG2_Wg"",""Direct links Without Sizes!B2:B""))),XLOOKUP($C581,IMPORTRANGE(""1NK5L1mviMn0j3D3uo53ASkIZOFRlLnqaCTnwzOG2_Wg"",""Direct li"&amp;"nks Without Sizes!D2:D""),IMPORTRANGE(""1NK5L1mviMn0j3D3uo53ASkIZOFRlLnqaCTnwzOG2_Wg"",""Direct links Without Sizes!E2:E""))),"""")"),"")</f>
        <v/>
      </c>
      <c r="I581" s="4"/>
      <c r="J581" s="24" t="str">
        <f t="shared" si="1"/>
        <v/>
      </c>
      <c r="K581" s="25"/>
      <c r="L581" s="24" t="str">
        <f t="shared" si="2"/>
        <v/>
      </c>
      <c r="M581" s="4"/>
      <c r="N581" s="23"/>
      <c r="O581" s="23"/>
      <c r="P581" s="23"/>
      <c r="Q581" s="4" t="str">
        <f t="shared" si="4"/>
        <v/>
      </c>
      <c r="R581" s="20"/>
      <c r="S581" s="20"/>
    </row>
    <row r="582">
      <c r="A582" s="4"/>
      <c r="B582" s="4"/>
      <c r="C582" s="37"/>
      <c r="D582" s="7" t="str">
        <f>IFERROR(__xludf.DUMMYFUNCTION("iferror(iferror(INDEX(IMPORTRANGE(""12vtnxaE_Q1s4tyr10kZQx7ZF_xG0lBFae4jQEUtgsMU"",""All!B2:B""),MATCH($C582,IMPORTRANGE(""12vtnxaE_Q1s4tyr10kZQx7ZF_xG0lBFae4jQEUtgsMU"",""All!A2:A""),0)),INDEX(IMPORTRANGE(""13KC70HngS4DDi8y9E5khtSpQEPG6owaQ9z4E-tR5mnY"","&amp;"""Non-Food!B2:B""),MATCH($C582,IMPORTRANGE(""13KC70HngS4DDi8y9E5khtSpQEPG6owaQ9z4E-tR5mnY"",""Non-Food!A2:A""),0))),"""")"),"")</f>
        <v/>
      </c>
      <c r="E582" s="15"/>
      <c r="F582" s="15"/>
      <c r="G582" s="36"/>
      <c r="H582" s="23" t="str">
        <f>IFERROR(__xludf.DUMMYFUNCTION("iferror(iferror(iferror(index(IMPORTRANGE(""1NK5L1mviMn0j3D3uo53ASkIZOFRlLnqaCTnwzOG2_Wg"",""Direct Link!B2:B""),MATCH($C582,IMPORTRANGE(""1NK5L1mviMn0j3D3uo53ASkIZOFRlLnqaCTnwzOG2_Wg"",""Direct Link!A2:A""),0)),XLOOKUP($C582,IMPORTRANGE(""1NK5L1mviMn0j3D"&amp;"3uo53ASkIZOFRlLnqaCTnwzOG2_Wg"",""Direct links Without Sizes!A2:A""),IMPORTRANGE(""1NK5L1mviMn0j3D3uo53ASkIZOFRlLnqaCTnwzOG2_Wg"",""Direct links Without Sizes!B2:B""))),XLOOKUP($C582,IMPORTRANGE(""1NK5L1mviMn0j3D3uo53ASkIZOFRlLnqaCTnwzOG2_Wg"",""Direct li"&amp;"nks Without Sizes!D2:D""),IMPORTRANGE(""1NK5L1mviMn0j3D3uo53ASkIZOFRlLnqaCTnwzOG2_Wg"",""Direct links Without Sizes!E2:E""))),"""")"),"")</f>
        <v/>
      </c>
      <c r="I582" s="4"/>
      <c r="J582" s="24" t="str">
        <f t="shared" si="1"/>
        <v/>
      </c>
      <c r="K582" s="25"/>
      <c r="L582" s="24" t="str">
        <f t="shared" si="2"/>
        <v/>
      </c>
      <c r="M582" s="4"/>
      <c r="N582" s="23"/>
      <c r="O582" s="23"/>
      <c r="P582" s="23"/>
      <c r="Q582" s="4" t="str">
        <f t="shared" si="4"/>
        <v/>
      </c>
      <c r="R582" s="20"/>
      <c r="S582" s="20"/>
    </row>
    <row r="583">
      <c r="A583" s="4"/>
      <c r="B583" s="4"/>
      <c r="C583" s="37"/>
      <c r="D583" s="7" t="str">
        <f>IFERROR(__xludf.DUMMYFUNCTION("iferror(iferror(INDEX(IMPORTRANGE(""12vtnxaE_Q1s4tyr10kZQx7ZF_xG0lBFae4jQEUtgsMU"",""All!B2:B""),MATCH($C583,IMPORTRANGE(""12vtnxaE_Q1s4tyr10kZQx7ZF_xG0lBFae4jQEUtgsMU"",""All!A2:A""),0)),INDEX(IMPORTRANGE(""13KC70HngS4DDi8y9E5khtSpQEPG6owaQ9z4E-tR5mnY"","&amp;"""Non-Food!B2:B""),MATCH($C583,IMPORTRANGE(""13KC70HngS4DDi8y9E5khtSpQEPG6owaQ9z4E-tR5mnY"",""Non-Food!A2:A""),0))),"""")"),"")</f>
        <v/>
      </c>
      <c r="E583" s="15"/>
      <c r="F583" s="15"/>
      <c r="G583" s="36"/>
      <c r="H583" s="23" t="str">
        <f>IFERROR(__xludf.DUMMYFUNCTION("iferror(iferror(iferror(index(IMPORTRANGE(""1NK5L1mviMn0j3D3uo53ASkIZOFRlLnqaCTnwzOG2_Wg"",""Direct Link!B2:B""),MATCH($C583,IMPORTRANGE(""1NK5L1mviMn0j3D3uo53ASkIZOFRlLnqaCTnwzOG2_Wg"",""Direct Link!A2:A""),0)),XLOOKUP($C583,IMPORTRANGE(""1NK5L1mviMn0j3D"&amp;"3uo53ASkIZOFRlLnqaCTnwzOG2_Wg"",""Direct links Without Sizes!A2:A""),IMPORTRANGE(""1NK5L1mviMn0j3D3uo53ASkIZOFRlLnqaCTnwzOG2_Wg"",""Direct links Without Sizes!B2:B""))),XLOOKUP($C583,IMPORTRANGE(""1NK5L1mviMn0j3D3uo53ASkIZOFRlLnqaCTnwzOG2_Wg"",""Direct li"&amp;"nks Without Sizes!D2:D""),IMPORTRANGE(""1NK5L1mviMn0j3D3uo53ASkIZOFRlLnqaCTnwzOG2_Wg"",""Direct links Without Sizes!E2:E""))),"""")"),"")</f>
        <v/>
      </c>
      <c r="I583" s="4"/>
      <c r="J583" s="24" t="str">
        <f t="shared" si="1"/>
        <v/>
      </c>
      <c r="K583" s="25"/>
      <c r="L583" s="24" t="str">
        <f t="shared" si="2"/>
        <v/>
      </c>
      <c r="M583" s="4"/>
      <c r="N583" s="23"/>
      <c r="O583" s="23"/>
      <c r="P583" s="23"/>
      <c r="Q583" s="4" t="str">
        <f t="shared" si="4"/>
        <v/>
      </c>
      <c r="R583" s="20"/>
      <c r="S583" s="20"/>
    </row>
    <row r="584">
      <c r="A584" s="4"/>
      <c r="B584" s="4"/>
      <c r="C584" s="37"/>
      <c r="D584" s="7" t="str">
        <f>IFERROR(__xludf.DUMMYFUNCTION("iferror(iferror(INDEX(IMPORTRANGE(""12vtnxaE_Q1s4tyr10kZQx7ZF_xG0lBFae4jQEUtgsMU"",""All!B2:B""),MATCH($C584,IMPORTRANGE(""12vtnxaE_Q1s4tyr10kZQx7ZF_xG0lBFae4jQEUtgsMU"",""All!A2:A""),0)),INDEX(IMPORTRANGE(""13KC70HngS4DDi8y9E5khtSpQEPG6owaQ9z4E-tR5mnY"","&amp;"""Non-Food!B2:B""),MATCH($C584,IMPORTRANGE(""13KC70HngS4DDi8y9E5khtSpQEPG6owaQ9z4E-tR5mnY"",""Non-Food!A2:A""),0))),"""")"),"")</f>
        <v/>
      </c>
      <c r="E584" s="15"/>
      <c r="F584" s="15"/>
      <c r="G584" s="36"/>
      <c r="H584" s="23" t="str">
        <f>IFERROR(__xludf.DUMMYFUNCTION("iferror(iferror(iferror(index(IMPORTRANGE(""1NK5L1mviMn0j3D3uo53ASkIZOFRlLnqaCTnwzOG2_Wg"",""Direct Link!B2:B""),MATCH($C584,IMPORTRANGE(""1NK5L1mviMn0j3D3uo53ASkIZOFRlLnqaCTnwzOG2_Wg"",""Direct Link!A2:A""),0)),XLOOKUP($C584,IMPORTRANGE(""1NK5L1mviMn0j3D"&amp;"3uo53ASkIZOFRlLnqaCTnwzOG2_Wg"",""Direct links Without Sizes!A2:A""),IMPORTRANGE(""1NK5L1mviMn0j3D3uo53ASkIZOFRlLnqaCTnwzOG2_Wg"",""Direct links Without Sizes!B2:B""))),XLOOKUP($C584,IMPORTRANGE(""1NK5L1mviMn0j3D3uo53ASkIZOFRlLnqaCTnwzOG2_Wg"",""Direct li"&amp;"nks Without Sizes!D2:D""),IMPORTRANGE(""1NK5L1mviMn0j3D3uo53ASkIZOFRlLnqaCTnwzOG2_Wg"",""Direct links Without Sizes!E2:E""))),"""")"),"")</f>
        <v/>
      </c>
      <c r="I584" s="4"/>
      <c r="J584" s="24" t="str">
        <f t="shared" si="1"/>
        <v/>
      </c>
      <c r="K584" s="25"/>
      <c r="L584" s="24" t="str">
        <f t="shared" si="2"/>
        <v/>
      </c>
      <c r="M584" s="4"/>
      <c r="N584" s="23"/>
      <c r="O584" s="23"/>
      <c r="P584" s="23"/>
      <c r="Q584" s="4" t="str">
        <f t="shared" si="4"/>
        <v/>
      </c>
      <c r="R584" s="20"/>
      <c r="S584" s="20"/>
    </row>
    <row r="585">
      <c r="A585" s="4"/>
      <c r="B585" s="4"/>
      <c r="C585" s="37"/>
      <c r="D585" s="7" t="str">
        <f>IFERROR(__xludf.DUMMYFUNCTION("iferror(iferror(INDEX(IMPORTRANGE(""12vtnxaE_Q1s4tyr10kZQx7ZF_xG0lBFae4jQEUtgsMU"",""All!B2:B""),MATCH($C585,IMPORTRANGE(""12vtnxaE_Q1s4tyr10kZQx7ZF_xG0lBFae4jQEUtgsMU"",""All!A2:A""),0)),INDEX(IMPORTRANGE(""13KC70HngS4DDi8y9E5khtSpQEPG6owaQ9z4E-tR5mnY"","&amp;"""Non-Food!B2:B""),MATCH($C585,IMPORTRANGE(""13KC70HngS4DDi8y9E5khtSpQEPG6owaQ9z4E-tR5mnY"",""Non-Food!A2:A""),0))),"""")"),"")</f>
        <v/>
      </c>
      <c r="E585" s="15"/>
      <c r="F585" s="15"/>
      <c r="G585" s="36"/>
      <c r="H585" s="23" t="str">
        <f>IFERROR(__xludf.DUMMYFUNCTION("iferror(iferror(iferror(index(IMPORTRANGE(""1NK5L1mviMn0j3D3uo53ASkIZOFRlLnqaCTnwzOG2_Wg"",""Direct Link!B2:B""),MATCH($C585,IMPORTRANGE(""1NK5L1mviMn0j3D3uo53ASkIZOFRlLnqaCTnwzOG2_Wg"",""Direct Link!A2:A""),0)),XLOOKUP($C585,IMPORTRANGE(""1NK5L1mviMn0j3D"&amp;"3uo53ASkIZOFRlLnqaCTnwzOG2_Wg"",""Direct links Without Sizes!A2:A""),IMPORTRANGE(""1NK5L1mviMn0j3D3uo53ASkIZOFRlLnqaCTnwzOG2_Wg"",""Direct links Without Sizes!B2:B""))),XLOOKUP($C585,IMPORTRANGE(""1NK5L1mviMn0j3D3uo53ASkIZOFRlLnqaCTnwzOG2_Wg"",""Direct li"&amp;"nks Without Sizes!D2:D""),IMPORTRANGE(""1NK5L1mviMn0j3D3uo53ASkIZOFRlLnqaCTnwzOG2_Wg"",""Direct links Without Sizes!E2:E""))),"""")"),"")</f>
        <v/>
      </c>
      <c r="I585" s="4"/>
      <c r="J585" s="24" t="str">
        <f t="shared" si="1"/>
        <v/>
      </c>
      <c r="K585" s="25"/>
      <c r="L585" s="24" t="str">
        <f t="shared" si="2"/>
        <v/>
      </c>
      <c r="M585" s="4"/>
      <c r="N585" s="23"/>
      <c r="O585" s="23"/>
      <c r="P585" s="23"/>
      <c r="Q585" s="4" t="str">
        <f t="shared" si="4"/>
        <v/>
      </c>
      <c r="R585" s="20"/>
      <c r="S585" s="20"/>
    </row>
    <row r="586">
      <c r="A586" s="4"/>
      <c r="B586" s="4"/>
      <c r="C586" s="37"/>
      <c r="D586" s="7" t="str">
        <f>IFERROR(__xludf.DUMMYFUNCTION("iferror(iferror(INDEX(IMPORTRANGE(""12vtnxaE_Q1s4tyr10kZQx7ZF_xG0lBFae4jQEUtgsMU"",""All!B2:B""),MATCH($C586,IMPORTRANGE(""12vtnxaE_Q1s4tyr10kZQx7ZF_xG0lBFae4jQEUtgsMU"",""All!A2:A""),0)),INDEX(IMPORTRANGE(""13KC70HngS4DDi8y9E5khtSpQEPG6owaQ9z4E-tR5mnY"","&amp;"""Non-Food!B2:B""),MATCH($C586,IMPORTRANGE(""13KC70HngS4DDi8y9E5khtSpQEPG6owaQ9z4E-tR5mnY"",""Non-Food!A2:A""),0))),"""")"),"")</f>
        <v/>
      </c>
      <c r="E586" s="15"/>
      <c r="F586" s="15"/>
      <c r="G586" s="36"/>
      <c r="H586" s="23" t="str">
        <f>IFERROR(__xludf.DUMMYFUNCTION("iferror(iferror(iferror(index(IMPORTRANGE(""1NK5L1mviMn0j3D3uo53ASkIZOFRlLnqaCTnwzOG2_Wg"",""Direct Link!B2:B""),MATCH($C586,IMPORTRANGE(""1NK5L1mviMn0j3D3uo53ASkIZOFRlLnqaCTnwzOG2_Wg"",""Direct Link!A2:A""),0)),XLOOKUP($C586,IMPORTRANGE(""1NK5L1mviMn0j3D"&amp;"3uo53ASkIZOFRlLnqaCTnwzOG2_Wg"",""Direct links Without Sizes!A2:A""),IMPORTRANGE(""1NK5L1mviMn0j3D3uo53ASkIZOFRlLnqaCTnwzOG2_Wg"",""Direct links Without Sizes!B2:B""))),XLOOKUP($C586,IMPORTRANGE(""1NK5L1mviMn0j3D3uo53ASkIZOFRlLnqaCTnwzOG2_Wg"",""Direct li"&amp;"nks Without Sizes!D2:D""),IMPORTRANGE(""1NK5L1mviMn0j3D3uo53ASkIZOFRlLnqaCTnwzOG2_Wg"",""Direct links Without Sizes!E2:E""))),"""")"),"")</f>
        <v/>
      </c>
      <c r="I586" s="4"/>
      <c r="J586" s="24" t="str">
        <f t="shared" si="1"/>
        <v/>
      </c>
      <c r="K586" s="25"/>
      <c r="L586" s="24" t="str">
        <f t="shared" si="2"/>
        <v/>
      </c>
      <c r="M586" s="4"/>
      <c r="N586" s="23"/>
      <c r="O586" s="23"/>
      <c r="P586" s="23"/>
      <c r="Q586" s="4" t="str">
        <f t="shared" si="4"/>
        <v/>
      </c>
      <c r="R586" s="20"/>
      <c r="S586" s="20"/>
    </row>
    <row r="587">
      <c r="A587" s="4"/>
      <c r="B587" s="4"/>
      <c r="C587" s="37"/>
      <c r="D587" s="7" t="str">
        <f>IFERROR(__xludf.DUMMYFUNCTION("iferror(iferror(INDEX(IMPORTRANGE(""12vtnxaE_Q1s4tyr10kZQx7ZF_xG0lBFae4jQEUtgsMU"",""All!B2:B""),MATCH($C587,IMPORTRANGE(""12vtnxaE_Q1s4tyr10kZQx7ZF_xG0lBFae4jQEUtgsMU"",""All!A2:A""),0)),INDEX(IMPORTRANGE(""13KC70HngS4DDi8y9E5khtSpQEPG6owaQ9z4E-tR5mnY"","&amp;"""Non-Food!B2:B""),MATCH($C587,IMPORTRANGE(""13KC70HngS4DDi8y9E5khtSpQEPG6owaQ9z4E-tR5mnY"",""Non-Food!A2:A""),0))),"""")"),"")</f>
        <v/>
      </c>
      <c r="E587" s="15"/>
      <c r="F587" s="15"/>
      <c r="G587" s="36"/>
      <c r="H587" s="23" t="str">
        <f>IFERROR(__xludf.DUMMYFUNCTION("iferror(iferror(iferror(index(IMPORTRANGE(""1NK5L1mviMn0j3D3uo53ASkIZOFRlLnqaCTnwzOG2_Wg"",""Direct Link!B2:B""),MATCH($C587,IMPORTRANGE(""1NK5L1mviMn0j3D3uo53ASkIZOFRlLnqaCTnwzOG2_Wg"",""Direct Link!A2:A""),0)),XLOOKUP($C587,IMPORTRANGE(""1NK5L1mviMn0j3D"&amp;"3uo53ASkIZOFRlLnqaCTnwzOG2_Wg"",""Direct links Without Sizes!A2:A""),IMPORTRANGE(""1NK5L1mviMn0j3D3uo53ASkIZOFRlLnqaCTnwzOG2_Wg"",""Direct links Without Sizes!B2:B""))),XLOOKUP($C587,IMPORTRANGE(""1NK5L1mviMn0j3D3uo53ASkIZOFRlLnqaCTnwzOG2_Wg"",""Direct li"&amp;"nks Without Sizes!D2:D""),IMPORTRANGE(""1NK5L1mviMn0j3D3uo53ASkIZOFRlLnqaCTnwzOG2_Wg"",""Direct links Without Sizes!E2:E""))),"""")"),"")</f>
        <v/>
      </c>
      <c r="I587" s="4"/>
      <c r="J587" s="24" t="str">
        <f t="shared" si="1"/>
        <v/>
      </c>
      <c r="K587" s="25"/>
      <c r="L587" s="24" t="str">
        <f t="shared" si="2"/>
        <v/>
      </c>
      <c r="M587" s="4"/>
      <c r="N587" s="23"/>
      <c r="O587" s="23"/>
      <c r="P587" s="23"/>
      <c r="Q587" s="4" t="str">
        <f t="shared" si="4"/>
        <v/>
      </c>
      <c r="R587" s="20"/>
      <c r="S587" s="20"/>
    </row>
    <row r="588">
      <c r="A588" s="4"/>
      <c r="B588" s="4"/>
      <c r="C588" s="37"/>
      <c r="D588" s="7" t="str">
        <f>IFERROR(__xludf.DUMMYFUNCTION("iferror(iferror(INDEX(IMPORTRANGE(""12vtnxaE_Q1s4tyr10kZQx7ZF_xG0lBFae4jQEUtgsMU"",""All!B2:B""),MATCH($C588,IMPORTRANGE(""12vtnxaE_Q1s4tyr10kZQx7ZF_xG0lBFae4jQEUtgsMU"",""All!A2:A""),0)),INDEX(IMPORTRANGE(""13KC70HngS4DDi8y9E5khtSpQEPG6owaQ9z4E-tR5mnY"","&amp;"""Non-Food!B2:B""),MATCH($C588,IMPORTRANGE(""13KC70HngS4DDi8y9E5khtSpQEPG6owaQ9z4E-tR5mnY"",""Non-Food!A2:A""),0))),"""")"),"")</f>
        <v/>
      </c>
      <c r="E588" s="15"/>
      <c r="F588" s="15"/>
      <c r="G588" s="36"/>
      <c r="H588" s="23" t="str">
        <f>IFERROR(__xludf.DUMMYFUNCTION("iferror(iferror(iferror(index(IMPORTRANGE(""1NK5L1mviMn0j3D3uo53ASkIZOFRlLnqaCTnwzOG2_Wg"",""Direct Link!B2:B""),MATCH($C588,IMPORTRANGE(""1NK5L1mviMn0j3D3uo53ASkIZOFRlLnqaCTnwzOG2_Wg"",""Direct Link!A2:A""),0)),XLOOKUP($C588,IMPORTRANGE(""1NK5L1mviMn0j3D"&amp;"3uo53ASkIZOFRlLnqaCTnwzOG2_Wg"",""Direct links Without Sizes!A2:A""),IMPORTRANGE(""1NK5L1mviMn0j3D3uo53ASkIZOFRlLnqaCTnwzOG2_Wg"",""Direct links Without Sizes!B2:B""))),XLOOKUP($C588,IMPORTRANGE(""1NK5L1mviMn0j3D3uo53ASkIZOFRlLnqaCTnwzOG2_Wg"",""Direct li"&amp;"nks Without Sizes!D2:D""),IMPORTRANGE(""1NK5L1mviMn0j3D3uo53ASkIZOFRlLnqaCTnwzOG2_Wg"",""Direct links Without Sizes!E2:E""))),"""")"),"")</f>
        <v/>
      </c>
      <c r="I588" s="4"/>
      <c r="J588" s="24" t="str">
        <f t="shared" si="1"/>
        <v/>
      </c>
      <c r="K588" s="25"/>
      <c r="L588" s="24" t="str">
        <f t="shared" si="2"/>
        <v/>
      </c>
      <c r="M588" s="4"/>
      <c r="N588" s="23"/>
      <c r="O588" s="23"/>
      <c r="P588" s="23"/>
      <c r="Q588" s="4" t="str">
        <f t="shared" si="4"/>
        <v/>
      </c>
      <c r="R588" s="20"/>
      <c r="S588" s="20"/>
    </row>
    <row r="589">
      <c r="A589" s="4"/>
      <c r="B589" s="4"/>
      <c r="C589" s="37"/>
      <c r="D589" s="7" t="str">
        <f>IFERROR(__xludf.DUMMYFUNCTION("iferror(iferror(INDEX(IMPORTRANGE(""12vtnxaE_Q1s4tyr10kZQx7ZF_xG0lBFae4jQEUtgsMU"",""All!B2:B""),MATCH($C589,IMPORTRANGE(""12vtnxaE_Q1s4tyr10kZQx7ZF_xG0lBFae4jQEUtgsMU"",""All!A2:A""),0)),INDEX(IMPORTRANGE(""13KC70HngS4DDi8y9E5khtSpQEPG6owaQ9z4E-tR5mnY"","&amp;"""Non-Food!B2:B""),MATCH($C589,IMPORTRANGE(""13KC70HngS4DDi8y9E5khtSpQEPG6owaQ9z4E-tR5mnY"",""Non-Food!A2:A""),0))),"""")"),"")</f>
        <v/>
      </c>
      <c r="E589" s="15"/>
      <c r="F589" s="15"/>
      <c r="G589" s="36"/>
      <c r="H589" s="23" t="str">
        <f>IFERROR(__xludf.DUMMYFUNCTION("iferror(iferror(iferror(index(IMPORTRANGE(""1NK5L1mviMn0j3D3uo53ASkIZOFRlLnqaCTnwzOG2_Wg"",""Direct Link!B2:B""),MATCH($C589,IMPORTRANGE(""1NK5L1mviMn0j3D3uo53ASkIZOFRlLnqaCTnwzOG2_Wg"",""Direct Link!A2:A""),0)),XLOOKUP($C589,IMPORTRANGE(""1NK5L1mviMn0j3D"&amp;"3uo53ASkIZOFRlLnqaCTnwzOG2_Wg"",""Direct links Without Sizes!A2:A""),IMPORTRANGE(""1NK5L1mviMn0j3D3uo53ASkIZOFRlLnqaCTnwzOG2_Wg"",""Direct links Without Sizes!B2:B""))),XLOOKUP($C589,IMPORTRANGE(""1NK5L1mviMn0j3D3uo53ASkIZOFRlLnqaCTnwzOG2_Wg"",""Direct li"&amp;"nks Without Sizes!D2:D""),IMPORTRANGE(""1NK5L1mviMn0j3D3uo53ASkIZOFRlLnqaCTnwzOG2_Wg"",""Direct links Without Sizes!E2:E""))),"""")"),"")</f>
        <v/>
      </c>
      <c r="I589" s="4"/>
      <c r="J589" s="24" t="str">
        <f t="shared" si="1"/>
        <v/>
      </c>
      <c r="K589" s="25"/>
      <c r="L589" s="24" t="str">
        <f t="shared" si="2"/>
        <v/>
      </c>
      <c r="M589" s="4"/>
      <c r="N589" s="23"/>
      <c r="O589" s="23"/>
      <c r="P589" s="23"/>
      <c r="Q589" s="4" t="str">
        <f t="shared" si="4"/>
        <v/>
      </c>
      <c r="R589" s="20"/>
      <c r="S589" s="20"/>
    </row>
    <row r="590">
      <c r="A590" s="4"/>
      <c r="B590" s="4"/>
      <c r="C590" s="37"/>
      <c r="D590" s="7" t="str">
        <f>IFERROR(__xludf.DUMMYFUNCTION("iferror(iferror(INDEX(IMPORTRANGE(""12vtnxaE_Q1s4tyr10kZQx7ZF_xG0lBFae4jQEUtgsMU"",""All!B2:B""),MATCH($C590,IMPORTRANGE(""12vtnxaE_Q1s4tyr10kZQx7ZF_xG0lBFae4jQEUtgsMU"",""All!A2:A""),0)),INDEX(IMPORTRANGE(""13KC70HngS4DDi8y9E5khtSpQEPG6owaQ9z4E-tR5mnY"","&amp;"""Non-Food!B2:B""),MATCH($C590,IMPORTRANGE(""13KC70HngS4DDi8y9E5khtSpQEPG6owaQ9z4E-tR5mnY"",""Non-Food!A2:A""),0))),"""")"),"")</f>
        <v/>
      </c>
      <c r="E590" s="15"/>
      <c r="F590" s="15"/>
      <c r="G590" s="36"/>
      <c r="H590" s="23" t="str">
        <f>IFERROR(__xludf.DUMMYFUNCTION("iferror(iferror(iferror(index(IMPORTRANGE(""1NK5L1mviMn0j3D3uo53ASkIZOFRlLnqaCTnwzOG2_Wg"",""Direct Link!B2:B""),MATCH($C590,IMPORTRANGE(""1NK5L1mviMn0j3D3uo53ASkIZOFRlLnqaCTnwzOG2_Wg"",""Direct Link!A2:A""),0)),XLOOKUP($C590,IMPORTRANGE(""1NK5L1mviMn0j3D"&amp;"3uo53ASkIZOFRlLnqaCTnwzOG2_Wg"",""Direct links Without Sizes!A2:A""),IMPORTRANGE(""1NK5L1mviMn0j3D3uo53ASkIZOFRlLnqaCTnwzOG2_Wg"",""Direct links Without Sizes!B2:B""))),XLOOKUP($C590,IMPORTRANGE(""1NK5L1mviMn0j3D3uo53ASkIZOFRlLnqaCTnwzOG2_Wg"",""Direct li"&amp;"nks Without Sizes!D2:D""),IMPORTRANGE(""1NK5L1mviMn0j3D3uo53ASkIZOFRlLnqaCTnwzOG2_Wg"",""Direct links Without Sizes!E2:E""))),"""")"),"")</f>
        <v/>
      </c>
      <c r="I590" s="4"/>
      <c r="J590" s="24" t="str">
        <f t="shared" si="1"/>
        <v/>
      </c>
      <c r="K590" s="25"/>
      <c r="L590" s="24" t="str">
        <f t="shared" si="2"/>
        <v/>
      </c>
      <c r="M590" s="4"/>
      <c r="N590" s="23"/>
      <c r="O590" s="23"/>
      <c r="P590" s="23"/>
      <c r="Q590" s="4" t="str">
        <f t="shared" si="4"/>
        <v/>
      </c>
      <c r="R590" s="20"/>
      <c r="S590" s="20"/>
    </row>
    <row r="591">
      <c r="A591" s="4"/>
      <c r="B591" s="4"/>
      <c r="C591" s="37"/>
      <c r="D591" s="7" t="str">
        <f>IFERROR(__xludf.DUMMYFUNCTION("iferror(iferror(INDEX(IMPORTRANGE(""12vtnxaE_Q1s4tyr10kZQx7ZF_xG0lBFae4jQEUtgsMU"",""All!B2:B""),MATCH($C591,IMPORTRANGE(""12vtnxaE_Q1s4tyr10kZQx7ZF_xG0lBFae4jQEUtgsMU"",""All!A2:A""),0)),INDEX(IMPORTRANGE(""13KC70HngS4DDi8y9E5khtSpQEPG6owaQ9z4E-tR5mnY"","&amp;"""Non-Food!B2:B""),MATCH($C591,IMPORTRANGE(""13KC70HngS4DDi8y9E5khtSpQEPG6owaQ9z4E-tR5mnY"",""Non-Food!A2:A""),0))),"""")"),"")</f>
        <v/>
      </c>
      <c r="E591" s="15"/>
      <c r="F591" s="15"/>
      <c r="G591" s="36"/>
      <c r="H591" s="23" t="str">
        <f>IFERROR(__xludf.DUMMYFUNCTION("iferror(iferror(iferror(index(IMPORTRANGE(""1NK5L1mviMn0j3D3uo53ASkIZOFRlLnqaCTnwzOG2_Wg"",""Direct Link!B2:B""),MATCH($C591,IMPORTRANGE(""1NK5L1mviMn0j3D3uo53ASkIZOFRlLnqaCTnwzOG2_Wg"",""Direct Link!A2:A""),0)),XLOOKUP($C591,IMPORTRANGE(""1NK5L1mviMn0j3D"&amp;"3uo53ASkIZOFRlLnqaCTnwzOG2_Wg"",""Direct links Without Sizes!A2:A""),IMPORTRANGE(""1NK5L1mviMn0j3D3uo53ASkIZOFRlLnqaCTnwzOG2_Wg"",""Direct links Without Sizes!B2:B""))),XLOOKUP($C591,IMPORTRANGE(""1NK5L1mviMn0j3D3uo53ASkIZOFRlLnqaCTnwzOG2_Wg"",""Direct li"&amp;"nks Without Sizes!D2:D""),IMPORTRANGE(""1NK5L1mviMn0j3D3uo53ASkIZOFRlLnqaCTnwzOG2_Wg"",""Direct links Without Sizes!E2:E""))),"""")"),"")</f>
        <v/>
      </c>
      <c r="I591" s="4"/>
      <c r="J591" s="24" t="str">
        <f t="shared" si="1"/>
        <v/>
      </c>
      <c r="K591" s="25"/>
      <c r="L591" s="24" t="str">
        <f t="shared" si="2"/>
        <v/>
      </c>
      <c r="M591" s="4"/>
      <c r="N591" s="23"/>
      <c r="O591" s="23"/>
      <c r="P591" s="23"/>
      <c r="Q591" s="4" t="str">
        <f t="shared" si="4"/>
        <v/>
      </c>
      <c r="R591" s="20"/>
      <c r="S591" s="20"/>
    </row>
    <row r="592">
      <c r="A592" s="4"/>
      <c r="B592" s="4"/>
      <c r="C592" s="37"/>
      <c r="D592" s="7" t="str">
        <f>IFERROR(__xludf.DUMMYFUNCTION("iferror(iferror(INDEX(IMPORTRANGE(""12vtnxaE_Q1s4tyr10kZQx7ZF_xG0lBFae4jQEUtgsMU"",""All!B2:B""),MATCH($C592,IMPORTRANGE(""12vtnxaE_Q1s4tyr10kZQx7ZF_xG0lBFae4jQEUtgsMU"",""All!A2:A""),0)),INDEX(IMPORTRANGE(""13KC70HngS4DDi8y9E5khtSpQEPG6owaQ9z4E-tR5mnY"","&amp;"""Non-Food!B2:B""),MATCH($C592,IMPORTRANGE(""13KC70HngS4DDi8y9E5khtSpQEPG6owaQ9z4E-tR5mnY"",""Non-Food!A2:A""),0))),"""")"),"")</f>
        <v/>
      </c>
      <c r="E592" s="15"/>
      <c r="F592" s="15"/>
      <c r="G592" s="36"/>
      <c r="H592" s="23" t="str">
        <f>IFERROR(__xludf.DUMMYFUNCTION("iferror(iferror(iferror(index(IMPORTRANGE(""1NK5L1mviMn0j3D3uo53ASkIZOFRlLnqaCTnwzOG2_Wg"",""Direct Link!B2:B""),MATCH($C592,IMPORTRANGE(""1NK5L1mviMn0j3D3uo53ASkIZOFRlLnqaCTnwzOG2_Wg"",""Direct Link!A2:A""),0)),XLOOKUP($C592,IMPORTRANGE(""1NK5L1mviMn0j3D"&amp;"3uo53ASkIZOFRlLnqaCTnwzOG2_Wg"",""Direct links Without Sizes!A2:A""),IMPORTRANGE(""1NK5L1mviMn0j3D3uo53ASkIZOFRlLnqaCTnwzOG2_Wg"",""Direct links Without Sizes!B2:B""))),XLOOKUP($C592,IMPORTRANGE(""1NK5L1mviMn0j3D3uo53ASkIZOFRlLnqaCTnwzOG2_Wg"",""Direct li"&amp;"nks Without Sizes!D2:D""),IMPORTRANGE(""1NK5L1mviMn0j3D3uo53ASkIZOFRlLnqaCTnwzOG2_Wg"",""Direct links Without Sizes!E2:E""))),"""")"),"")</f>
        <v/>
      </c>
      <c r="I592" s="4"/>
      <c r="J592" s="24" t="str">
        <f t="shared" si="1"/>
        <v/>
      </c>
      <c r="K592" s="25"/>
      <c r="L592" s="24" t="str">
        <f t="shared" si="2"/>
        <v/>
      </c>
      <c r="M592" s="4"/>
      <c r="N592" s="23"/>
      <c r="O592" s="23"/>
      <c r="P592" s="23"/>
      <c r="Q592" s="4" t="str">
        <f t="shared" si="4"/>
        <v/>
      </c>
      <c r="R592" s="20"/>
      <c r="S592" s="20"/>
    </row>
    <row r="593">
      <c r="A593" s="4"/>
      <c r="B593" s="4"/>
      <c r="C593" s="37"/>
      <c r="D593" s="7" t="str">
        <f>IFERROR(__xludf.DUMMYFUNCTION("iferror(iferror(INDEX(IMPORTRANGE(""12vtnxaE_Q1s4tyr10kZQx7ZF_xG0lBFae4jQEUtgsMU"",""All!B2:B""),MATCH($C593,IMPORTRANGE(""12vtnxaE_Q1s4tyr10kZQx7ZF_xG0lBFae4jQEUtgsMU"",""All!A2:A""),0)),INDEX(IMPORTRANGE(""13KC70HngS4DDi8y9E5khtSpQEPG6owaQ9z4E-tR5mnY"","&amp;"""Non-Food!B2:B""),MATCH($C593,IMPORTRANGE(""13KC70HngS4DDi8y9E5khtSpQEPG6owaQ9z4E-tR5mnY"",""Non-Food!A2:A""),0))),"""")"),"")</f>
        <v/>
      </c>
      <c r="E593" s="15"/>
      <c r="F593" s="15"/>
      <c r="G593" s="36"/>
      <c r="H593" s="23" t="str">
        <f>IFERROR(__xludf.DUMMYFUNCTION("iferror(iferror(iferror(index(IMPORTRANGE(""1NK5L1mviMn0j3D3uo53ASkIZOFRlLnqaCTnwzOG2_Wg"",""Direct Link!B2:B""),MATCH($C593,IMPORTRANGE(""1NK5L1mviMn0j3D3uo53ASkIZOFRlLnqaCTnwzOG2_Wg"",""Direct Link!A2:A""),0)),XLOOKUP($C593,IMPORTRANGE(""1NK5L1mviMn0j3D"&amp;"3uo53ASkIZOFRlLnqaCTnwzOG2_Wg"",""Direct links Without Sizes!A2:A""),IMPORTRANGE(""1NK5L1mviMn0j3D3uo53ASkIZOFRlLnqaCTnwzOG2_Wg"",""Direct links Without Sizes!B2:B""))),XLOOKUP($C593,IMPORTRANGE(""1NK5L1mviMn0j3D3uo53ASkIZOFRlLnqaCTnwzOG2_Wg"",""Direct li"&amp;"nks Without Sizes!D2:D""),IMPORTRANGE(""1NK5L1mviMn0j3D3uo53ASkIZOFRlLnqaCTnwzOG2_Wg"",""Direct links Without Sizes!E2:E""))),"""")"),"")</f>
        <v/>
      </c>
      <c r="I593" s="4"/>
      <c r="J593" s="24" t="str">
        <f t="shared" si="1"/>
        <v/>
      </c>
      <c r="K593" s="25"/>
      <c r="L593" s="24" t="str">
        <f t="shared" si="2"/>
        <v/>
      </c>
      <c r="M593" s="4"/>
      <c r="N593" s="23"/>
      <c r="O593" s="23"/>
      <c r="P593" s="23"/>
      <c r="Q593" s="4" t="str">
        <f t="shared" si="4"/>
        <v/>
      </c>
      <c r="R593" s="20"/>
      <c r="S593" s="20"/>
    </row>
    <row r="594">
      <c r="A594" s="4"/>
      <c r="B594" s="4"/>
      <c r="C594" s="37"/>
      <c r="D594" s="7" t="str">
        <f>IFERROR(__xludf.DUMMYFUNCTION("iferror(iferror(INDEX(IMPORTRANGE(""12vtnxaE_Q1s4tyr10kZQx7ZF_xG0lBFae4jQEUtgsMU"",""All!B2:B""),MATCH($C594,IMPORTRANGE(""12vtnxaE_Q1s4tyr10kZQx7ZF_xG0lBFae4jQEUtgsMU"",""All!A2:A""),0)),INDEX(IMPORTRANGE(""13KC70HngS4DDi8y9E5khtSpQEPG6owaQ9z4E-tR5mnY"","&amp;"""Non-Food!B2:B""),MATCH($C594,IMPORTRANGE(""13KC70HngS4DDi8y9E5khtSpQEPG6owaQ9z4E-tR5mnY"",""Non-Food!A2:A""),0))),"""")"),"")</f>
        <v/>
      </c>
      <c r="E594" s="15"/>
      <c r="F594" s="15"/>
      <c r="G594" s="36"/>
      <c r="H594" s="23" t="str">
        <f>IFERROR(__xludf.DUMMYFUNCTION("iferror(iferror(iferror(index(IMPORTRANGE(""1NK5L1mviMn0j3D3uo53ASkIZOFRlLnqaCTnwzOG2_Wg"",""Direct Link!B2:B""),MATCH($C594,IMPORTRANGE(""1NK5L1mviMn0j3D3uo53ASkIZOFRlLnqaCTnwzOG2_Wg"",""Direct Link!A2:A""),0)),XLOOKUP($C594,IMPORTRANGE(""1NK5L1mviMn0j3D"&amp;"3uo53ASkIZOFRlLnqaCTnwzOG2_Wg"",""Direct links Without Sizes!A2:A""),IMPORTRANGE(""1NK5L1mviMn0j3D3uo53ASkIZOFRlLnqaCTnwzOG2_Wg"",""Direct links Without Sizes!B2:B""))),XLOOKUP($C594,IMPORTRANGE(""1NK5L1mviMn0j3D3uo53ASkIZOFRlLnqaCTnwzOG2_Wg"",""Direct li"&amp;"nks Without Sizes!D2:D""),IMPORTRANGE(""1NK5L1mviMn0j3D3uo53ASkIZOFRlLnqaCTnwzOG2_Wg"",""Direct links Without Sizes!E2:E""))),"""")"),"")</f>
        <v/>
      </c>
      <c r="I594" s="4"/>
      <c r="J594" s="24" t="str">
        <f t="shared" si="1"/>
        <v/>
      </c>
      <c r="K594" s="25"/>
      <c r="L594" s="24" t="str">
        <f t="shared" si="2"/>
        <v/>
      </c>
      <c r="M594" s="4"/>
      <c r="N594" s="23"/>
      <c r="O594" s="23"/>
      <c r="P594" s="23"/>
      <c r="Q594" s="4" t="str">
        <f t="shared" si="4"/>
        <v/>
      </c>
      <c r="R594" s="20"/>
      <c r="S594" s="20"/>
    </row>
    <row r="595">
      <c r="A595" s="4"/>
      <c r="B595" s="4"/>
      <c r="C595" s="37"/>
      <c r="D595" s="7" t="str">
        <f>IFERROR(__xludf.DUMMYFUNCTION("iferror(iferror(INDEX(IMPORTRANGE(""12vtnxaE_Q1s4tyr10kZQx7ZF_xG0lBFae4jQEUtgsMU"",""All!B2:B""),MATCH($C595,IMPORTRANGE(""12vtnxaE_Q1s4tyr10kZQx7ZF_xG0lBFae4jQEUtgsMU"",""All!A2:A""),0)),INDEX(IMPORTRANGE(""13KC70HngS4DDi8y9E5khtSpQEPG6owaQ9z4E-tR5mnY"","&amp;"""Non-Food!B2:B""),MATCH($C595,IMPORTRANGE(""13KC70HngS4DDi8y9E5khtSpQEPG6owaQ9z4E-tR5mnY"",""Non-Food!A2:A""),0))),"""")"),"")</f>
        <v/>
      </c>
      <c r="E595" s="15"/>
      <c r="F595" s="15"/>
      <c r="G595" s="36"/>
      <c r="H595" s="23" t="str">
        <f>IFERROR(__xludf.DUMMYFUNCTION("iferror(iferror(iferror(index(IMPORTRANGE(""1NK5L1mviMn0j3D3uo53ASkIZOFRlLnqaCTnwzOG2_Wg"",""Direct Link!B2:B""),MATCH($C595,IMPORTRANGE(""1NK5L1mviMn0j3D3uo53ASkIZOFRlLnqaCTnwzOG2_Wg"",""Direct Link!A2:A""),0)),XLOOKUP($C595,IMPORTRANGE(""1NK5L1mviMn0j3D"&amp;"3uo53ASkIZOFRlLnqaCTnwzOG2_Wg"",""Direct links Without Sizes!A2:A""),IMPORTRANGE(""1NK5L1mviMn0j3D3uo53ASkIZOFRlLnqaCTnwzOG2_Wg"",""Direct links Without Sizes!B2:B""))),XLOOKUP($C595,IMPORTRANGE(""1NK5L1mviMn0j3D3uo53ASkIZOFRlLnqaCTnwzOG2_Wg"",""Direct li"&amp;"nks Without Sizes!D2:D""),IMPORTRANGE(""1NK5L1mviMn0j3D3uo53ASkIZOFRlLnqaCTnwzOG2_Wg"",""Direct links Without Sizes!E2:E""))),"""")"),"")</f>
        <v/>
      </c>
      <c r="I595" s="4"/>
      <c r="J595" s="24" t="str">
        <f t="shared" si="1"/>
        <v/>
      </c>
      <c r="K595" s="25"/>
      <c r="L595" s="24" t="str">
        <f t="shared" si="2"/>
        <v/>
      </c>
      <c r="M595" s="4"/>
      <c r="N595" s="23"/>
      <c r="O595" s="23"/>
      <c r="P595" s="23"/>
      <c r="Q595" s="4" t="str">
        <f t="shared" si="4"/>
        <v/>
      </c>
      <c r="R595" s="20"/>
      <c r="S595" s="20"/>
    </row>
    <row r="596">
      <c r="A596" s="4"/>
      <c r="B596" s="4"/>
      <c r="C596" s="37"/>
      <c r="D596" s="7" t="str">
        <f>IFERROR(__xludf.DUMMYFUNCTION("iferror(iferror(INDEX(IMPORTRANGE(""12vtnxaE_Q1s4tyr10kZQx7ZF_xG0lBFae4jQEUtgsMU"",""All!B2:B""),MATCH($C596,IMPORTRANGE(""12vtnxaE_Q1s4tyr10kZQx7ZF_xG0lBFae4jQEUtgsMU"",""All!A2:A""),0)),INDEX(IMPORTRANGE(""13KC70HngS4DDi8y9E5khtSpQEPG6owaQ9z4E-tR5mnY"","&amp;"""Non-Food!B2:B""),MATCH($C596,IMPORTRANGE(""13KC70HngS4DDi8y9E5khtSpQEPG6owaQ9z4E-tR5mnY"",""Non-Food!A2:A""),0))),"""")"),"")</f>
        <v/>
      </c>
      <c r="E596" s="15"/>
      <c r="F596" s="15"/>
      <c r="G596" s="36"/>
      <c r="H596" s="23" t="str">
        <f>IFERROR(__xludf.DUMMYFUNCTION("iferror(iferror(iferror(index(IMPORTRANGE(""1NK5L1mviMn0j3D3uo53ASkIZOFRlLnqaCTnwzOG2_Wg"",""Direct Link!B2:B""),MATCH($C596,IMPORTRANGE(""1NK5L1mviMn0j3D3uo53ASkIZOFRlLnqaCTnwzOG2_Wg"",""Direct Link!A2:A""),0)),XLOOKUP($C596,IMPORTRANGE(""1NK5L1mviMn0j3D"&amp;"3uo53ASkIZOFRlLnqaCTnwzOG2_Wg"",""Direct links Without Sizes!A2:A""),IMPORTRANGE(""1NK5L1mviMn0j3D3uo53ASkIZOFRlLnqaCTnwzOG2_Wg"",""Direct links Without Sizes!B2:B""))),XLOOKUP($C596,IMPORTRANGE(""1NK5L1mviMn0j3D3uo53ASkIZOFRlLnqaCTnwzOG2_Wg"",""Direct li"&amp;"nks Without Sizes!D2:D""),IMPORTRANGE(""1NK5L1mviMn0j3D3uo53ASkIZOFRlLnqaCTnwzOG2_Wg"",""Direct links Without Sizes!E2:E""))),"""")"),"")</f>
        <v/>
      </c>
      <c r="I596" s="4"/>
      <c r="J596" s="24" t="str">
        <f t="shared" si="1"/>
        <v/>
      </c>
      <c r="K596" s="25"/>
      <c r="L596" s="24" t="str">
        <f t="shared" si="2"/>
        <v/>
      </c>
      <c r="M596" s="4"/>
      <c r="N596" s="23"/>
      <c r="O596" s="23"/>
      <c r="P596" s="23"/>
      <c r="Q596" s="4" t="str">
        <f t="shared" si="4"/>
        <v/>
      </c>
      <c r="R596" s="20"/>
      <c r="S596" s="20"/>
    </row>
    <row r="597">
      <c r="A597" s="4"/>
      <c r="B597" s="4"/>
      <c r="C597" s="37"/>
      <c r="D597" s="7" t="str">
        <f>IFERROR(__xludf.DUMMYFUNCTION("iferror(iferror(INDEX(IMPORTRANGE(""12vtnxaE_Q1s4tyr10kZQx7ZF_xG0lBFae4jQEUtgsMU"",""All!B2:B""),MATCH($C597,IMPORTRANGE(""12vtnxaE_Q1s4tyr10kZQx7ZF_xG0lBFae4jQEUtgsMU"",""All!A2:A""),0)),INDEX(IMPORTRANGE(""13KC70HngS4DDi8y9E5khtSpQEPG6owaQ9z4E-tR5mnY"","&amp;"""Non-Food!B2:B""),MATCH($C597,IMPORTRANGE(""13KC70HngS4DDi8y9E5khtSpQEPG6owaQ9z4E-tR5mnY"",""Non-Food!A2:A""),0))),"""")"),"")</f>
        <v/>
      </c>
      <c r="E597" s="15"/>
      <c r="F597" s="15"/>
      <c r="G597" s="36"/>
      <c r="H597" s="23" t="str">
        <f>IFERROR(__xludf.DUMMYFUNCTION("iferror(iferror(iferror(index(IMPORTRANGE(""1NK5L1mviMn0j3D3uo53ASkIZOFRlLnqaCTnwzOG2_Wg"",""Direct Link!B2:B""),MATCH($C597,IMPORTRANGE(""1NK5L1mviMn0j3D3uo53ASkIZOFRlLnqaCTnwzOG2_Wg"",""Direct Link!A2:A""),0)),XLOOKUP($C597,IMPORTRANGE(""1NK5L1mviMn0j3D"&amp;"3uo53ASkIZOFRlLnqaCTnwzOG2_Wg"",""Direct links Without Sizes!A2:A""),IMPORTRANGE(""1NK5L1mviMn0j3D3uo53ASkIZOFRlLnqaCTnwzOG2_Wg"",""Direct links Without Sizes!B2:B""))),XLOOKUP($C597,IMPORTRANGE(""1NK5L1mviMn0j3D3uo53ASkIZOFRlLnqaCTnwzOG2_Wg"",""Direct li"&amp;"nks Without Sizes!D2:D""),IMPORTRANGE(""1NK5L1mviMn0j3D3uo53ASkIZOFRlLnqaCTnwzOG2_Wg"",""Direct links Without Sizes!E2:E""))),"""")"),"")</f>
        <v/>
      </c>
      <c r="I597" s="4"/>
      <c r="J597" s="24" t="str">
        <f t="shared" si="1"/>
        <v/>
      </c>
      <c r="K597" s="25"/>
      <c r="L597" s="24" t="str">
        <f t="shared" si="2"/>
        <v/>
      </c>
      <c r="M597" s="4"/>
      <c r="N597" s="23"/>
      <c r="O597" s="23"/>
      <c r="P597" s="23"/>
      <c r="Q597" s="4" t="str">
        <f t="shared" si="4"/>
        <v/>
      </c>
      <c r="R597" s="20"/>
      <c r="S597" s="20"/>
    </row>
    <row r="598">
      <c r="A598" s="4"/>
      <c r="B598" s="4"/>
      <c r="C598" s="37"/>
      <c r="D598" s="7" t="str">
        <f>IFERROR(__xludf.DUMMYFUNCTION("iferror(iferror(INDEX(IMPORTRANGE(""12vtnxaE_Q1s4tyr10kZQx7ZF_xG0lBFae4jQEUtgsMU"",""All!B2:B""),MATCH($C598,IMPORTRANGE(""12vtnxaE_Q1s4tyr10kZQx7ZF_xG0lBFae4jQEUtgsMU"",""All!A2:A""),0)),INDEX(IMPORTRANGE(""13KC70HngS4DDi8y9E5khtSpQEPG6owaQ9z4E-tR5mnY"","&amp;"""Non-Food!B2:B""),MATCH($C598,IMPORTRANGE(""13KC70HngS4DDi8y9E5khtSpQEPG6owaQ9z4E-tR5mnY"",""Non-Food!A2:A""),0))),"""")"),"")</f>
        <v/>
      </c>
      <c r="E598" s="15"/>
      <c r="F598" s="15"/>
      <c r="G598" s="36"/>
      <c r="H598" s="23" t="str">
        <f>IFERROR(__xludf.DUMMYFUNCTION("iferror(iferror(iferror(index(IMPORTRANGE(""1NK5L1mviMn0j3D3uo53ASkIZOFRlLnqaCTnwzOG2_Wg"",""Direct Link!B2:B""),MATCH($C598,IMPORTRANGE(""1NK5L1mviMn0j3D3uo53ASkIZOFRlLnqaCTnwzOG2_Wg"",""Direct Link!A2:A""),0)),XLOOKUP($C598,IMPORTRANGE(""1NK5L1mviMn0j3D"&amp;"3uo53ASkIZOFRlLnqaCTnwzOG2_Wg"",""Direct links Without Sizes!A2:A""),IMPORTRANGE(""1NK5L1mviMn0j3D3uo53ASkIZOFRlLnqaCTnwzOG2_Wg"",""Direct links Without Sizes!B2:B""))),XLOOKUP($C598,IMPORTRANGE(""1NK5L1mviMn0j3D3uo53ASkIZOFRlLnqaCTnwzOG2_Wg"",""Direct li"&amp;"nks Without Sizes!D2:D""),IMPORTRANGE(""1NK5L1mviMn0j3D3uo53ASkIZOFRlLnqaCTnwzOG2_Wg"",""Direct links Without Sizes!E2:E""))),"""")"),"")</f>
        <v/>
      </c>
      <c r="I598" s="4"/>
      <c r="J598" s="24" t="str">
        <f t="shared" si="1"/>
        <v/>
      </c>
      <c r="K598" s="25"/>
      <c r="L598" s="24" t="str">
        <f t="shared" si="2"/>
        <v/>
      </c>
      <c r="M598" s="4"/>
      <c r="N598" s="23"/>
      <c r="O598" s="23"/>
      <c r="P598" s="23"/>
      <c r="Q598" s="4" t="str">
        <f t="shared" si="4"/>
        <v/>
      </c>
      <c r="R598" s="20"/>
      <c r="S598" s="20"/>
    </row>
    <row r="599">
      <c r="A599" s="4"/>
      <c r="B599" s="4"/>
      <c r="C599" s="37"/>
      <c r="D599" s="7" t="str">
        <f>IFERROR(__xludf.DUMMYFUNCTION("iferror(iferror(INDEX(IMPORTRANGE(""12vtnxaE_Q1s4tyr10kZQx7ZF_xG0lBFae4jQEUtgsMU"",""All!B2:B""),MATCH($C599,IMPORTRANGE(""12vtnxaE_Q1s4tyr10kZQx7ZF_xG0lBFae4jQEUtgsMU"",""All!A2:A""),0)),INDEX(IMPORTRANGE(""13KC70HngS4DDi8y9E5khtSpQEPG6owaQ9z4E-tR5mnY"","&amp;"""Non-Food!B2:B""),MATCH($C599,IMPORTRANGE(""13KC70HngS4DDi8y9E5khtSpQEPG6owaQ9z4E-tR5mnY"",""Non-Food!A2:A""),0))),"""")"),"")</f>
        <v/>
      </c>
      <c r="E599" s="15"/>
      <c r="F599" s="15"/>
      <c r="G599" s="36"/>
      <c r="H599" s="23" t="str">
        <f>IFERROR(__xludf.DUMMYFUNCTION("iferror(iferror(iferror(index(IMPORTRANGE(""1NK5L1mviMn0j3D3uo53ASkIZOFRlLnqaCTnwzOG2_Wg"",""Direct Link!B2:B""),MATCH($C599,IMPORTRANGE(""1NK5L1mviMn0j3D3uo53ASkIZOFRlLnqaCTnwzOG2_Wg"",""Direct Link!A2:A""),0)),XLOOKUP($C599,IMPORTRANGE(""1NK5L1mviMn0j3D"&amp;"3uo53ASkIZOFRlLnqaCTnwzOG2_Wg"",""Direct links Without Sizes!A2:A""),IMPORTRANGE(""1NK5L1mviMn0j3D3uo53ASkIZOFRlLnqaCTnwzOG2_Wg"",""Direct links Without Sizes!B2:B""))),XLOOKUP($C599,IMPORTRANGE(""1NK5L1mviMn0j3D3uo53ASkIZOFRlLnqaCTnwzOG2_Wg"",""Direct li"&amp;"nks Without Sizes!D2:D""),IMPORTRANGE(""1NK5L1mviMn0j3D3uo53ASkIZOFRlLnqaCTnwzOG2_Wg"",""Direct links Without Sizes!E2:E""))),"""")"),"")</f>
        <v/>
      </c>
      <c r="I599" s="4"/>
      <c r="J599" s="24" t="str">
        <f t="shared" si="1"/>
        <v/>
      </c>
      <c r="K599" s="25"/>
      <c r="L599" s="24" t="str">
        <f t="shared" si="2"/>
        <v/>
      </c>
      <c r="M599" s="4"/>
      <c r="N599" s="23"/>
      <c r="O599" s="23"/>
      <c r="P599" s="23"/>
      <c r="Q599" s="4" t="str">
        <f t="shared" si="4"/>
        <v/>
      </c>
      <c r="R599" s="20"/>
      <c r="S599" s="20"/>
    </row>
    <row r="600">
      <c r="A600" s="4"/>
      <c r="B600" s="4"/>
      <c r="C600" s="37"/>
      <c r="D600" s="7" t="str">
        <f>IFERROR(__xludf.DUMMYFUNCTION("iferror(iferror(INDEX(IMPORTRANGE(""12vtnxaE_Q1s4tyr10kZQx7ZF_xG0lBFae4jQEUtgsMU"",""All!B2:B""),MATCH($C600,IMPORTRANGE(""12vtnxaE_Q1s4tyr10kZQx7ZF_xG0lBFae4jQEUtgsMU"",""All!A2:A""),0)),INDEX(IMPORTRANGE(""13KC70HngS4DDi8y9E5khtSpQEPG6owaQ9z4E-tR5mnY"","&amp;"""Non-Food!B2:B""),MATCH($C600,IMPORTRANGE(""13KC70HngS4DDi8y9E5khtSpQEPG6owaQ9z4E-tR5mnY"",""Non-Food!A2:A""),0))),"""")"),"")</f>
        <v/>
      </c>
      <c r="E600" s="15"/>
      <c r="F600" s="15"/>
      <c r="G600" s="36"/>
      <c r="H600" s="23" t="str">
        <f>IFERROR(__xludf.DUMMYFUNCTION("iferror(iferror(iferror(index(IMPORTRANGE(""1NK5L1mviMn0j3D3uo53ASkIZOFRlLnqaCTnwzOG2_Wg"",""Direct Link!B2:B""),MATCH($C600,IMPORTRANGE(""1NK5L1mviMn0j3D3uo53ASkIZOFRlLnqaCTnwzOG2_Wg"",""Direct Link!A2:A""),0)),XLOOKUP($C600,IMPORTRANGE(""1NK5L1mviMn0j3D"&amp;"3uo53ASkIZOFRlLnqaCTnwzOG2_Wg"",""Direct links Without Sizes!A2:A""),IMPORTRANGE(""1NK5L1mviMn0j3D3uo53ASkIZOFRlLnqaCTnwzOG2_Wg"",""Direct links Without Sizes!B2:B""))),XLOOKUP($C600,IMPORTRANGE(""1NK5L1mviMn0j3D3uo53ASkIZOFRlLnqaCTnwzOG2_Wg"",""Direct li"&amp;"nks Without Sizes!D2:D""),IMPORTRANGE(""1NK5L1mviMn0j3D3uo53ASkIZOFRlLnqaCTnwzOG2_Wg"",""Direct links Without Sizes!E2:E""))),"""")"),"")</f>
        <v/>
      </c>
      <c r="I600" s="4"/>
      <c r="J600" s="24" t="str">
        <f t="shared" si="1"/>
        <v/>
      </c>
      <c r="K600" s="25"/>
      <c r="L600" s="24" t="str">
        <f t="shared" si="2"/>
        <v/>
      </c>
      <c r="M600" s="4"/>
      <c r="N600" s="23"/>
      <c r="O600" s="23"/>
      <c r="P600" s="23"/>
      <c r="Q600" s="4" t="str">
        <f t="shared" si="4"/>
        <v/>
      </c>
      <c r="R600" s="20"/>
      <c r="S600" s="20"/>
    </row>
    <row r="601">
      <c r="A601" s="4"/>
      <c r="B601" s="4"/>
      <c r="C601" s="37"/>
      <c r="D601" s="7" t="str">
        <f>IFERROR(__xludf.DUMMYFUNCTION("iferror(iferror(INDEX(IMPORTRANGE(""12vtnxaE_Q1s4tyr10kZQx7ZF_xG0lBFae4jQEUtgsMU"",""All!B2:B""),MATCH($C601,IMPORTRANGE(""12vtnxaE_Q1s4tyr10kZQx7ZF_xG0lBFae4jQEUtgsMU"",""All!A2:A""),0)),INDEX(IMPORTRANGE(""13KC70HngS4DDi8y9E5khtSpQEPG6owaQ9z4E-tR5mnY"","&amp;"""Non-Food!B2:B""),MATCH($C601,IMPORTRANGE(""13KC70HngS4DDi8y9E5khtSpQEPG6owaQ9z4E-tR5mnY"",""Non-Food!A2:A""),0))),"""")"),"")</f>
        <v/>
      </c>
      <c r="E601" s="15"/>
      <c r="F601" s="15"/>
      <c r="G601" s="36"/>
      <c r="H601" s="23" t="str">
        <f>IFERROR(__xludf.DUMMYFUNCTION("iferror(iferror(iferror(index(IMPORTRANGE(""1NK5L1mviMn0j3D3uo53ASkIZOFRlLnqaCTnwzOG2_Wg"",""Direct Link!B2:B""),MATCH($C601,IMPORTRANGE(""1NK5L1mviMn0j3D3uo53ASkIZOFRlLnqaCTnwzOG2_Wg"",""Direct Link!A2:A""),0)),XLOOKUP($C601,IMPORTRANGE(""1NK5L1mviMn0j3D"&amp;"3uo53ASkIZOFRlLnqaCTnwzOG2_Wg"",""Direct links Without Sizes!A2:A""),IMPORTRANGE(""1NK5L1mviMn0j3D3uo53ASkIZOFRlLnqaCTnwzOG2_Wg"",""Direct links Without Sizes!B2:B""))),XLOOKUP($C601,IMPORTRANGE(""1NK5L1mviMn0j3D3uo53ASkIZOFRlLnqaCTnwzOG2_Wg"",""Direct li"&amp;"nks Without Sizes!D2:D""),IMPORTRANGE(""1NK5L1mviMn0j3D3uo53ASkIZOFRlLnqaCTnwzOG2_Wg"",""Direct links Without Sizes!E2:E""))),"""")"),"")</f>
        <v/>
      </c>
      <c r="I601" s="4"/>
      <c r="J601" s="24" t="str">
        <f t="shared" si="1"/>
        <v/>
      </c>
      <c r="K601" s="25"/>
      <c r="L601" s="24" t="str">
        <f t="shared" si="2"/>
        <v/>
      </c>
      <c r="M601" s="4"/>
      <c r="N601" s="23"/>
      <c r="O601" s="23"/>
      <c r="P601" s="23"/>
      <c r="Q601" s="4" t="str">
        <f t="shared" si="4"/>
        <v/>
      </c>
      <c r="R601" s="20"/>
      <c r="S601" s="20"/>
    </row>
    <row r="602">
      <c r="A602" s="4"/>
      <c r="B602" s="4"/>
      <c r="C602" s="37"/>
      <c r="D602" s="7" t="str">
        <f>IFERROR(__xludf.DUMMYFUNCTION("iferror(iferror(INDEX(IMPORTRANGE(""12vtnxaE_Q1s4tyr10kZQx7ZF_xG0lBFae4jQEUtgsMU"",""All!B2:B""),MATCH($C602,IMPORTRANGE(""12vtnxaE_Q1s4tyr10kZQx7ZF_xG0lBFae4jQEUtgsMU"",""All!A2:A""),0)),INDEX(IMPORTRANGE(""13KC70HngS4DDi8y9E5khtSpQEPG6owaQ9z4E-tR5mnY"","&amp;"""Non-Food!B2:B""),MATCH($C602,IMPORTRANGE(""13KC70HngS4DDi8y9E5khtSpQEPG6owaQ9z4E-tR5mnY"",""Non-Food!A2:A""),0))),"""")"),"")</f>
        <v/>
      </c>
      <c r="E602" s="15"/>
      <c r="F602" s="15"/>
      <c r="G602" s="36"/>
      <c r="H602" s="23" t="str">
        <f>IFERROR(__xludf.DUMMYFUNCTION("iferror(iferror(iferror(index(IMPORTRANGE(""1NK5L1mviMn0j3D3uo53ASkIZOFRlLnqaCTnwzOG2_Wg"",""Direct Link!B2:B""),MATCH($C602,IMPORTRANGE(""1NK5L1mviMn0j3D3uo53ASkIZOFRlLnqaCTnwzOG2_Wg"",""Direct Link!A2:A""),0)),XLOOKUP($C602,IMPORTRANGE(""1NK5L1mviMn0j3D"&amp;"3uo53ASkIZOFRlLnqaCTnwzOG2_Wg"",""Direct links Without Sizes!A2:A""),IMPORTRANGE(""1NK5L1mviMn0j3D3uo53ASkIZOFRlLnqaCTnwzOG2_Wg"",""Direct links Without Sizes!B2:B""))),XLOOKUP($C602,IMPORTRANGE(""1NK5L1mviMn0j3D3uo53ASkIZOFRlLnqaCTnwzOG2_Wg"",""Direct li"&amp;"nks Without Sizes!D2:D""),IMPORTRANGE(""1NK5L1mviMn0j3D3uo53ASkIZOFRlLnqaCTnwzOG2_Wg"",""Direct links Without Sizes!E2:E""))),"""")"),"")</f>
        <v/>
      </c>
      <c r="I602" s="4"/>
      <c r="J602" s="24" t="str">
        <f t="shared" si="1"/>
        <v/>
      </c>
      <c r="K602" s="25"/>
      <c r="L602" s="24" t="str">
        <f t="shared" si="2"/>
        <v/>
      </c>
      <c r="M602" s="4"/>
      <c r="N602" s="23"/>
      <c r="O602" s="23"/>
      <c r="P602" s="23"/>
      <c r="Q602" s="4" t="str">
        <f t="shared" si="4"/>
        <v/>
      </c>
      <c r="R602" s="20"/>
      <c r="S602" s="20"/>
    </row>
    <row r="603">
      <c r="A603" s="4"/>
      <c r="B603" s="4"/>
      <c r="C603" s="37"/>
      <c r="D603" s="7" t="str">
        <f>IFERROR(__xludf.DUMMYFUNCTION("iferror(iferror(INDEX(IMPORTRANGE(""12vtnxaE_Q1s4tyr10kZQx7ZF_xG0lBFae4jQEUtgsMU"",""All!B2:B""),MATCH($C603,IMPORTRANGE(""12vtnxaE_Q1s4tyr10kZQx7ZF_xG0lBFae4jQEUtgsMU"",""All!A2:A""),0)),INDEX(IMPORTRANGE(""13KC70HngS4DDi8y9E5khtSpQEPG6owaQ9z4E-tR5mnY"","&amp;"""Non-Food!B2:B""),MATCH($C603,IMPORTRANGE(""13KC70HngS4DDi8y9E5khtSpQEPG6owaQ9z4E-tR5mnY"",""Non-Food!A2:A""),0))),"""")"),"")</f>
        <v/>
      </c>
      <c r="E603" s="15"/>
      <c r="F603" s="15"/>
      <c r="G603" s="36"/>
      <c r="H603" s="23" t="str">
        <f>IFERROR(__xludf.DUMMYFUNCTION("iferror(iferror(iferror(index(IMPORTRANGE(""1NK5L1mviMn0j3D3uo53ASkIZOFRlLnqaCTnwzOG2_Wg"",""Direct Link!B2:B""),MATCH($C603,IMPORTRANGE(""1NK5L1mviMn0j3D3uo53ASkIZOFRlLnqaCTnwzOG2_Wg"",""Direct Link!A2:A""),0)),XLOOKUP($C603,IMPORTRANGE(""1NK5L1mviMn0j3D"&amp;"3uo53ASkIZOFRlLnqaCTnwzOG2_Wg"",""Direct links Without Sizes!A2:A""),IMPORTRANGE(""1NK5L1mviMn0j3D3uo53ASkIZOFRlLnqaCTnwzOG2_Wg"",""Direct links Without Sizes!B2:B""))),XLOOKUP($C603,IMPORTRANGE(""1NK5L1mviMn0j3D3uo53ASkIZOFRlLnqaCTnwzOG2_Wg"",""Direct li"&amp;"nks Without Sizes!D2:D""),IMPORTRANGE(""1NK5L1mviMn0j3D3uo53ASkIZOFRlLnqaCTnwzOG2_Wg"",""Direct links Without Sizes!E2:E""))),"""")"),"")</f>
        <v/>
      </c>
      <c r="I603" s="4"/>
      <c r="J603" s="24" t="str">
        <f t="shared" si="1"/>
        <v/>
      </c>
      <c r="K603" s="25"/>
      <c r="L603" s="24" t="str">
        <f t="shared" si="2"/>
        <v/>
      </c>
      <c r="M603" s="4"/>
      <c r="N603" s="23"/>
      <c r="O603" s="23"/>
      <c r="P603" s="23"/>
      <c r="Q603" s="4" t="str">
        <f t="shared" si="4"/>
        <v/>
      </c>
      <c r="R603" s="20"/>
      <c r="S603" s="20"/>
    </row>
    <row r="604">
      <c r="A604" s="4"/>
      <c r="B604" s="4"/>
      <c r="C604" s="37"/>
      <c r="D604" s="7" t="str">
        <f>IFERROR(__xludf.DUMMYFUNCTION("iferror(iferror(INDEX(IMPORTRANGE(""12vtnxaE_Q1s4tyr10kZQx7ZF_xG0lBFae4jQEUtgsMU"",""All!B2:B""),MATCH($C604,IMPORTRANGE(""12vtnxaE_Q1s4tyr10kZQx7ZF_xG0lBFae4jQEUtgsMU"",""All!A2:A""),0)),INDEX(IMPORTRANGE(""13KC70HngS4DDi8y9E5khtSpQEPG6owaQ9z4E-tR5mnY"","&amp;"""Non-Food!B2:B""),MATCH($C604,IMPORTRANGE(""13KC70HngS4DDi8y9E5khtSpQEPG6owaQ9z4E-tR5mnY"",""Non-Food!A2:A""),0))),"""")"),"")</f>
        <v/>
      </c>
      <c r="E604" s="15"/>
      <c r="F604" s="15"/>
      <c r="G604" s="36"/>
      <c r="H604" s="23" t="str">
        <f>IFERROR(__xludf.DUMMYFUNCTION("iferror(iferror(iferror(index(IMPORTRANGE(""1NK5L1mviMn0j3D3uo53ASkIZOFRlLnqaCTnwzOG2_Wg"",""Direct Link!B2:B""),MATCH($C604,IMPORTRANGE(""1NK5L1mviMn0j3D3uo53ASkIZOFRlLnqaCTnwzOG2_Wg"",""Direct Link!A2:A""),0)),XLOOKUP($C604,IMPORTRANGE(""1NK5L1mviMn0j3D"&amp;"3uo53ASkIZOFRlLnqaCTnwzOG2_Wg"",""Direct links Without Sizes!A2:A""),IMPORTRANGE(""1NK5L1mviMn0j3D3uo53ASkIZOFRlLnqaCTnwzOG2_Wg"",""Direct links Without Sizes!B2:B""))),XLOOKUP($C604,IMPORTRANGE(""1NK5L1mviMn0j3D3uo53ASkIZOFRlLnqaCTnwzOG2_Wg"",""Direct li"&amp;"nks Without Sizes!D2:D""),IMPORTRANGE(""1NK5L1mviMn0j3D3uo53ASkIZOFRlLnqaCTnwzOG2_Wg"",""Direct links Without Sizes!E2:E""))),"""")"),"")</f>
        <v/>
      </c>
      <c r="I604" s="4"/>
      <c r="J604" s="24" t="str">
        <f t="shared" si="1"/>
        <v/>
      </c>
      <c r="K604" s="25"/>
      <c r="L604" s="24" t="str">
        <f t="shared" si="2"/>
        <v/>
      </c>
      <c r="M604" s="4"/>
      <c r="N604" s="23"/>
      <c r="O604" s="23"/>
      <c r="P604" s="23"/>
      <c r="Q604" s="4" t="str">
        <f t="shared" si="4"/>
        <v/>
      </c>
      <c r="R604" s="20"/>
      <c r="S604" s="20"/>
    </row>
    <row r="605">
      <c r="A605" s="4"/>
      <c r="B605" s="4"/>
      <c r="C605" s="37"/>
      <c r="D605" s="7" t="str">
        <f>IFERROR(__xludf.DUMMYFUNCTION("iferror(iferror(INDEX(IMPORTRANGE(""12vtnxaE_Q1s4tyr10kZQx7ZF_xG0lBFae4jQEUtgsMU"",""All!B2:B""),MATCH($C605,IMPORTRANGE(""12vtnxaE_Q1s4tyr10kZQx7ZF_xG0lBFae4jQEUtgsMU"",""All!A2:A""),0)),INDEX(IMPORTRANGE(""13KC70HngS4DDi8y9E5khtSpQEPG6owaQ9z4E-tR5mnY"","&amp;"""Non-Food!B2:B""),MATCH($C605,IMPORTRANGE(""13KC70HngS4DDi8y9E5khtSpQEPG6owaQ9z4E-tR5mnY"",""Non-Food!A2:A""),0))),"""")"),"")</f>
        <v/>
      </c>
      <c r="E605" s="15"/>
      <c r="F605" s="15"/>
      <c r="G605" s="36"/>
      <c r="H605" s="23" t="str">
        <f>IFERROR(__xludf.DUMMYFUNCTION("iferror(iferror(iferror(index(IMPORTRANGE(""1NK5L1mviMn0j3D3uo53ASkIZOFRlLnqaCTnwzOG2_Wg"",""Direct Link!B2:B""),MATCH($C605,IMPORTRANGE(""1NK5L1mviMn0j3D3uo53ASkIZOFRlLnqaCTnwzOG2_Wg"",""Direct Link!A2:A""),0)),XLOOKUP($C605,IMPORTRANGE(""1NK5L1mviMn0j3D"&amp;"3uo53ASkIZOFRlLnqaCTnwzOG2_Wg"",""Direct links Without Sizes!A2:A""),IMPORTRANGE(""1NK5L1mviMn0j3D3uo53ASkIZOFRlLnqaCTnwzOG2_Wg"",""Direct links Without Sizes!B2:B""))),XLOOKUP($C605,IMPORTRANGE(""1NK5L1mviMn0j3D3uo53ASkIZOFRlLnqaCTnwzOG2_Wg"",""Direct li"&amp;"nks Without Sizes!D2:D""),IMPORTRANGE(""1NK5L1mviMn0j3D3uo53ASkIZOFRlLnqaCTnwzOG2_Wg"",""Direct links Without Sizes!E2:E""))),"""")"),"")</f>
        <v/>
      </c>
      <c r="I605" s="4"/>
      <c r="J605" s="24" t="str">
        <f t="shared" si="1"/>
        <v/>
      </c>
      <c r="K605" s="25"/>
      <c r="L605" s="24" t="str">
        <f t="shared" si="2"/>
        <v/>
      </c>
      <c r="M605" s="4"/>
      <c r="N605" s="23"/>
      <c r="O605" s="23"/>
      <c r="P605" s="23"/>
      <c r="Q605" s="4" t="str">
        <f t="shared" si="4"/>
        <v/>
      </c>
      <c r="R605" s="20"/>
      <c r="S605" s="20"/>
    </row>
    <row r="606">
      <c r="A606" s="4"/>
      <c r="B606" s="4"/>
      <c r="C606" s="37"/>
      <c r="D606" s="7" t="str">
        <f>IFERROR(__xludf.DUMMYFUNCTION("iferror(iferror(INDEX(IMPORTRANGE(""12vtnxaE_Q1s4tyr10kZQx7ZF_xG0lBFae4jQEUtgsMU"",""All!B2:B""),MATCH($C606,IMPORTRANGE(""12vtnxaE_Q1s4tyr10kZQx7ZF_xG0lBFae4jQEUtgsMU"",""All!A2:A""),0)),INDEX(IMPORTRANGE(""13KC70HngS4DDi8y9E5khtSpQEPG6owaQ9z4E-tR5mnY"","&amp;"""Non-Food!B2:B""),MATCH($C606,IMPORTRANGE(""13KC70HngS4DDi8y9E5khtSpQEPG6owaQ9z4E-tR5mnY"",""Non-Food!A2:A""),0))),"""")"),"")</f>
        <v/>
      </c>
      <c r="E606" s="15"/>
      <c r="F606" s="15"/>
      <c r="G606" s="36"/>
      <c r="H606" s="23" t="str">
        <f>IFERROR(__xludf.DUMMYFUNCTION("iferror(iferror(iferror(index(IMPORTRANGE(""1NK5L1mviMn0j3D3uo53ASkIZOFRlLnqaCTnwzOG2_Wg"",""Direct Link!B2:B""),MATCH($C606,IMPORTRANGE(""1NK5L1mviMn0j3D3uo53ASkIZOFRlLnqaCTnwzOG2_Wg"",""Direct Link!A2:A""),0)),XLOOKUP($C606,IMPORTRANGE(""1NK5L1mviMn0j3D"&amp;"3uo53ASkIZOFRlLnqaCTnwzOG2_Wg"",""Direct links Without Sizes!A2:A""),IMPORTRANGE(""1NK5L1mviMn0j3D3uo53ASkIZOFRlLnqaCTnwzOG2_Wg"",""Direct links Without Sizes!B2:B""))),XLOOKUP($C606,IMPORTRANGE(""1NK5L1mviMn0j3D3uo53ASkIZOFRlLnqaCTnwzOG2_Wg"",""Direct li"&amp;"nks Without Sizes!D2:D""),IMPORTRANGE(""1NK5L1mviMn0j3D3uo53ASkIZOFRlLnqaCTnwzOG2_Wg"",""Direct links Without Sizes!E2:E""))),"""")"),"")</f>
        <v/>
      </c>
      <c r="I606" s="4"/>
      <c r="J606" s="24" t="str">
        <f t="shared" si="1"/>
        <v/>
      </c>
      <c r="K606" s="25"/>
      <c r="L606" s="24" t="str">
        <f t="shared" si="2"/>
        <v/>
      </c>
      <c r="M606" s="4"/>
      <c r="N606" s="23"/>
      <c r="O606" s="23"/>
      <c r="P606" s="23"/>
      <c r="Q606" s="4" t="str">
        <f t="shared" si="4"/>
        <v/>
      </c>
      <c r="R606" s="20"/>
      <c r="S606" s="20"/>
    </row>
    <row r="607">
      <c r="A607" s="4"/>
      <c r="B607" s="4"/>
      <c r="C607" s="37"/>
      <c r="D607" s="7" t="str">
        <f>IFERROR(__xludf.DUMMYFUNCTION("iferror(iferror(INDEX(IMPORTRANGE(""12vtnxaE_Q1s4tyr10kZQx7ZF_xG0lBFae4jQEUtgsMU"",""All!B2:B""),MATCH($C607,IMPORTRANGE(""12vtnxaE_Q1s4tyr10kZQx7ZF_xG0lBFae4jQEUtgsMU"",""All!A2:A""),0)),INDEX(IMPORTRANGE(""13KC70HngS4DDi8y9E5khtSpQEPG6owaQ9z4E-tR5mnY"","&amp;"""Non-Food!B2:B""),MATCH($C607,IMPORTRANGE(""13KC70HngS4DDi8y9E5khtSpQEPG6owaQ9z4E-tR5mnY"",""Non-Food!A2:A""),0))),"""")"),"")</f>
        <v/>
      </c>
      <c r="E607" s="15"/>
      <c r="F607" s="15"/>
      <c r="G607" s="36"/>
      <c r="H607" s="23" t="str">
        <f>IFERROR(__xludf.DUMMYFUNCTION("iferror(iferror(iferror(index(IMPORTRANGE(""1NK5L1mviMn0j3D3uo53ASkIZOFRlLnqaCTnwzOG2_Wg"",""Direct Link!B2:B""),MATCH($C607,IMPORTRANGE(""1NK5L1mviMn0j3D3uo53ASkIZOFRlLnqaCTnwzOG2_Wg"",""Direct Link!A2:A""),0)),XLOOKUP($C607,IMPORTRANGE(""1NK5L1mviMn0j3D"&amp;"3uo53ASkIZOFRlLnqaCTnwzOG2_Wg"",""Direct links Without Sizes!A2:A""),IMPORTRANGE(""1NK5L1mviMn0j3D3uo53ASkIZOFRlLnqaCTnwzOG2_Wg"",""Direct links Without Sizes!B2:B""))),XLOOKUP($C607,IMPORTRANGE(""1NK5L1mviMn0j3D3uo53ASkIZOFRlLnqaCTnwzOG2_Wg"",""Direct li"&amp;"nks Without Sizes!D2:D""),IMPORTRANGE(""1NK5L1mviMn0j3D3uo53ASkIZOFRlLnqaCTnwzOG2_Wg"",""Direct links Without Sizes!E2:E""))),"""")"),"")</f>
        <v/>
      </c>
      <c r="I607" s="4"/>
      <c r="J607" s="24" t="str">
        <f t="shared" si="1"/>
        <v/>
      </c>
      <c r="K607" s="25"/>
      <c r="L607" s="24" t="str">
        <f t="shared" si="2"/>
        <v/>
      </c>
      <c r="M607" s="4"/>
      <c r="N607" s="23"/>
      <c r="O607" s="23"/>
      <c r="P607" s="23"/>
      <c r="Q607" s="4" t="str">
        <f t="shared" si="4"/>
        <v/>
      </c>
      <c r="R607" s="20"/>
      <c r="S607" s="20"/>
    </row>
    <row r="608">
      <c r="A608" s="4"/>
      <c r="B608" s="4"/>
      <c r="C608" s="37"/>
      <c r="D608" s="7" t="str">
        <f>IFERROR(__xludf.DUMMYFUNCTION("iferror(iferror(INDEX(IMPORTRANGE(""12vtnxaE_Q1s4tyr10kZQx7ZF_xG0lBFae4jQEUtgsMU"",""All!B2:B""),MATCH($C608,IMPORTRANGE(""12vtnxaE_Q1s4tyr10kZQx7ZF_xG0lBFae4jQEUtgsMU"",""All!A2:A""),0)),INDEX(IMPORTRANGE(""13KC70HngS4DDi8y9E5khtSpQEPG6owaQ9z4E-tR5mnY"","&amp;"""Non-Food!B2:B""),MATCH($C608,IMPORTRANGE(""13KC70HngS4DDi8y9E5khtSpQEPG6owaQ9z4E-tR5mnY"",""Non-Food!A2:A""),0))),"""")"),"")</f>
        <v/>
      </c>
      <c r="E608" s="15"/>
      <c r="F608" s="15"/>
      <c r="G608" s="36"/>
      <c r="H608" s="23" t="str">
        <f>IFERROR(__xludf.DUMMYFUNCTION("iferror(iferror(iferror(index(IMPORTRANGE(""1NK5L1mviMn0j3D3uo53ASkIZOFRlLnqaCTnwzOG2_Wg"",""Direct Link!B2:B""),MATCH($C608,IMPORTRANGE(""1NK5L1mviMn0j3D3uo53ASkIZOFRlLnqaCTnwzOG2_Wg"",""Direct Link!A2:A""),0)),XLOOKUP($C608,IMPORTRANGE(""1NK5L1mviMn0j3D"&amp;"3uo53ASkIZOFRlLnqaCTnwzOG2_Wg"",""Direct links Without Sizes!A2:A""),IMPORTRANGE(""1NK5L1mviMn0j3D3uo53ASkIZOFRlLnqaCTnwzOG2_Wg"",""Direct links Without Sizes!B2:B""))),XLOOKUP($C608,IMPORTRANGE(""1NK5L1mviMn0j3D3uo53ASkIZOFRlLnqaCTnwzOG2_Wg"",""Direct li"&amp;"nks Without Sizes!D2:D""),IMPORTRANGE(""1NK5L1mviMn0j3D3uo53ASkIZOFRlLnqaCTnwzOG2_Wg"",""Direct links Without Sizes!E2:E""))),"""")"),"")</f>
        <v/>
      </c>
      <c r="I608" s="4"/>
      <c r="J608" s="24" t="str">
        <f t="shared" si="1"/>
        <v/>
      </c>
      <c r="K608" s="25"/>
      <c r="L608" s="24" t="str">
        <f t="shared" si="2"/>
        <v/>
      </c>
      <c r="M608" s="4"/>
      <c r="N608" s="23"/>
      <c r="O608" s="23"/>
      <c r="P608" s="23"/>
      <c r="Q608" s="4" t="str">
        <f t="shared" si="4"/>
        <v/>
      </c>
      <c r="R608" s="20"/>
      <c r="S608" s="20"/>
    </row>
    <row r="609">
      <c r="A609" s="4"/>
      <c r="B609" s="4"/>
      <c r="C609" s="37"/>
      <c r="D609" s="7" t="str">
        <f>IFERROR(__xludf.DUMMYFUNCTION("iferror(iferror(INDEX(IMPORTRANGE(""12vtnxaE_Q1s4tyr10kZQx7ZF_xG0lBFae4jQEUtgsMU"",""All!B2:B""),MATCH($C609,IMPORTRANGE(""12vtnxaE_Q1s4tyr10kZQx7ZF_xG0lBFae4jQEUtgsMU"",""All!A2:A""),0)),INDEX(IMPORTRANGE(""13KC70HngS4DDi8y9E5khtSpQEPG6owaQ9z4E-tR5mnY"","&amp;"""Non-Food!B2:B""),MATCH($C609,IMPORTRANGE(""13KC70HngS4DDi8y9E5khtSpQEPG6owaQ9z4E-tR5mnY"",""Non-Food!A2:A""),0))),"""")"),"")</f>
        <v/>
      </c>
      <c r="E609" s="15"/>
      <c r="F609" s="15"/>
      <c r="G609" s="36"/>
      <c r="H609" s="23" t="str">
        <f>IFERROR(__xludf.DUMMYFUNCTION("iferror(iferror(iferror(index(IMPORTRANGE(""1NK5L1mviMn0j3D3uo53ASkIZOFRlLnqaCTnwzOG2_Wg"",""Direct Link!B2:B""),MATCH($C609,IMPORTRANGE(""1NK5L1mviMn0j3D3uo53ASkIZOFRlLnqaCTnwzOG2_Wg"",""Direct Link!A2:A""),0)),XLOOKUP($C609,IMPORTRANGE(""1NK5L1mviMn0j3D"&amp;"3uo53ASkIZOFRlLnqaCTnwzOG2_Wg"",""Direct links Without Sizes!A2:A""),IMPORTRANGE(""1NK5L1mviMn0j3D3uo53ASkIZOFRlLnqaCTnwzOG2_Wg"",""Direct links Without Sizes!B2:B""))),XLOOKUP($C609,IMPORTRANGE(""1NK5L1mviMn0j3D3uo53ASkIZOFRlLnqaCTnwzOG2_Wg"",""Direct li"&amp;"nks Without Sizes!D2:D""),IMPORTRANGE(""1NK5L1mviMn0j3D3uo53ASkIZOFRlLnqaCTnwzOG2_Wg"",""Direct links Without Sizes!E2:E""))),"""")"),"")</f>
        <v/>
      </c>
      <c r="I609" s="4"/>
      <c r="J609" s="24" t="str">
        <f t="shared" si="1"/>
        <v/>
      </c>
      <c r="K609" s="25"/>
      <c r="L609" s="24" t="str">
        <f t="shared" si="2"/>
        <v/>
      </c>
      <c r="M609" s="4"/>
      <c r="N609" s="23"/>
      <c r="O609" s="23"/>
      <c r="P609" s="23"/>
      <c r="Q609" s="4" t="str">
        <f t="shared" si="4"/>
        <v/>
      </c>
      <c r="R609" s="20"/>
      <c r="S609" s="20"/>
    </row>
    <row r="610">
      <c r="A610" s="4"/>
      <c r="B610" s="4"/>
      <c r="C610" s="37"/>
      <c r="D610" s="7" t="str">
        <f>IFERROR(__xludf.DUMMYFUNCTION("iferror(iferror(INDEX(IMPORTRANGE(""12vtnxaE_Q1s4tyr10kZQx7ZF_xG0lBFae4jQEUtgsMU"",""All!B2:B""),MATCH($C610,IMPORTRANGE(""12vtnxaE_Q1s4tyr10kZQx7ZF_xG0lBFae4jQEUtgsMU"",""All!A2:A""),0)),INDEX(IMPORTRANGE(""13KC70HngS4DDi8y9E5khtSpQEPG6owaQ9z4E-tR5mnY"","&amp;"""Non-Food!B2:B""),MATCH($C610,IMPORTRANGE(""13KC70HngS4DDi8y9E5khtSpQEPG6owaQ9z4E-tR5mnY"",""Non-Food!A2:A""),0))),"""")"),"")</f>
        <v/>
      </c>
      <c r="E610" s="15"/>
      <c r="F610" s="15"/>
      <c r="G610" s="36"/>
      <c r="H610" s="23" t="str">
        <f>IFERROR(__xludf.DUMMYFUNCTION("iferror(iferror(iferror(index(IMPORTRANGE(""1NK5L1mviMn0j3D3uo53ASkIZOFRlLnqaCTnwzOG2_Wg"",""Direct Link!B2:B""),MATCH($C610,IMPORTRANGE(""1NK5L1mviMn0j3D3uo53ASkIZOFRlLnqaCTnwzOG2_Wg"",""Direct Link!A2:A""),0)),XLOOKUP($C610,IMPORTRANGE(""1NK5L1mviMn0j3D"&amp;"3uo53ASkIZOFRlLnqaCTnwzOG2_Wg"",""Direct links Without Sizes!A2:A""),IMPORTRANGE(""1NK5L1mviMn0j3D3uo53ASkIZOFRlLnqaCTnwzOG2_Wg"",""Direct links Without Sizes!B2:B""))),XLOOKUP($C610,IMPORTRANGE(""1NK5L1mviMn0j3D3uo53ASkIZOFRlLnqaCTnwzOG2_Wg"",""Direct li"&amp;"nks Without Sizes!D2:D""),IMPORTRANGE(""1NK5L1mviMn0j3D3uo53ASkIZOFRlLnqaCTnwzOG2_Wg"",""Direct links Without Sizes!E2:E""))),"""")"),"")</f>
        <v/>
      </c>
      <c r="I610" s="4"/>
      <c r="J610" s="24" t="str">
        <f t="shared" si="1"/>
        <v/>
      </c>
      <c r="K610" s="25"/>
      <c r="L610" s="24" t="str">
        <f t="shared" si="2"/>
        <v/>
      </c>
      <c r="M610" s="4"/>
      <c r="N610" s="23"/>
      <c r="O610" s="23"/>
      <c r="P610" s="23"/>
      <c r="Q610" s="4" t="str">
        <f t="shared" si="4"/>
        <v/>
      </c>
      <c r="R610" s="20"/>
      <c r="S610" s="20"/>
    </row>
    <row r="611">
      <c r="A611" s="4"/>
      <c r="B611" s="4"/>
      <c r="C611" s="37"/>
      <c r="D611" s="7" t="str">
        <f>IFERROR(__xludf.DUMMYFUNCTION("iferror(iferror(INDEX(IMPORTRANGE(""12vtnxaE_Q1s4tyr10kZQx7ZF_xG0lBFae4jQEUtgsMU"",""All!B2:B""),MATCH($C611,IMPORTRANGE(""12vtnxaE_Q1s4tyr10kZQx7ZF_xG0lBFae4jQEUtgsMU"",""All!A2:A""),0)),INDEX(IMPORTRANGE(""13KC70HngS4DDi8y9E5khtSpQEPG6owaQ9z4E-tR5mnY"","&amp;"""Non-Food!B2:B""),MATCH($C611,IMPORTRANGE(""13KC70HngS4DDi8y9E5khtSpQEPG6owaQ9z4E-tR5mnY"",""Non-Food!A2:A""),0))),"""")"),"")</f>
        <v/>
      </c>
      <c r="E611" s="15"/>
      <c r="F611" s="15"/>
      <c r="G611" s="36"/>
      <c r="H611" s="23" t="str">
        <f>IFERROR(__xludf.DUMMYFUNCTION("iferror(iferror(iferror(index(IMPORTRANGE(""1NK5L1mviMn0j3D3uo53ASkIZOFRlLnqaCTnwzOG2_Wg"",""Direct Link!B2:B""),MATCH($C611,IMPORTRANGE(""1NK5L1mviMn0j3D3uo53ASkIZOFRlLnqaCTnwzOG2_Wg"",""Direct Link!A2:A""),0)),XLOOKUP($C611,IMPORTRANGE(""1NK5L1mviMn0j3D"&amp;"3uo53ASkIZOFRlLnqaCTnwzOG2_Wg"",""Direct links Without Sizes!A2:A""),IMPORTRANGE(""1NK5L1mviMn0j3D3uo53ASkIZOFRlLnqaCTnwzOG2_Wg"",""Direct links Without Sizes!B2:B""))),XLOOKUP($C611,IMPORTRANGE(""1NK5L1mviMn0j3D3uo53ASkIZOFRlLnqaCTnwzOG2_Wg"",""Direct li"&amp;"nks Without Sizes!D2:D""),IMPORTRANGE(""1NK5L1mviMn0j3D3uo53ASkIZOFRlLnqaCTnwzOG2_Wg"",""Direct links Without Sizes!E2:E""))),"""")"),"")</f>
        <v/>
      </c>
      <c r="I611" s="4"/>
      <c r="J611" s="24" t="str">
        <f t="shared" si="1"/>
        <v/>
      </c>
      <c r="K611" s="25"/>
      <c r="L611" s="24" t="str">
        <f t="shared" si="2"/>
        <v/>
      </c>
      <c r="M611" s="4"/>
      <c r="N611" s="23"/>
      <c r="O611" s="23"/>
      <c r="P611" s="23"/>
      <c r="Q611" s="4" t="str">
        <f t="shared" si="4"/>
        <v/>
      </c>
      <c r="R611" s="20"/>
      <c r="S611" s="20"/>
    </row>
    <row r="612">
      <c r="A612" s="4"/>
      <c r="B612" s="4"/>
      <c r="C612" s="37"/>
      <c r="D612" s="7" t="str">
        <f>IFERROR(__xludf.DUMMYFUNCTION("iferror(iferror(INDEX(IMPORTRANGE(""12vtnxaE_Q1s4tyr10kZQx7ZF_xG0lBFae4jQEUtgsMU"",""All!B2:B""),MATCH($C612,IMPORTRANGE(""12vtnxaE_Q1s4tyr10kZQx7ZF_xG0lBFae4jQEUtgsMU"",""All!A2:A""),0)),INDEX(IMPORTRANGE(""13KC70HngS4DDi8y9E5khtSpQEPG6owaQ9z4E-tR5mnY"","&amp;"""Non-Food!B2:B""),MATCH($C612,IMPORTRANGE(""13KC70HngS4DDi8y9E5khtSpQEPG6owaQ9z4E-tR5mnY"",""Non-Food!A2:A""),0))),"""")"),"")</f>
        <v/>
      </c>
      <c r="E612" s="15"/>
      <c r="F612" s="15"/>
      <c r="G612" s="36"/>
      <c r="H612" s="23" t="str">
        <f>IFERROR(__xludf.DUMMYFUNCTION("iferror(iferror(iferror(index(IMPORTRANGE(""1NK5L1mviMn0j3D3uo53ASkIZOFRlLnqaCTnwzOG2_Wg"",""Direct Link!B2:B""),MATCH($C612,IMPORTRANGE(""1NK5L1mviMn0j3D3uo53ASkIZOFRlLnqaCTnwzOG2_Wg"",""Direct Link!A2:A""),0)),XLOOKUP($C612,IMPORTRANGE(""1NK5L1mviMn0j3D"&amp;"3uo53ASkIZOFRlLnqaCTnwzOG2_Wg"",""Direct links Without Sizes!A2:A""),IMPORTRANGE(""1NK5L1mviMn0j3D3uo53ASkIZOFRlLnqaCTnwzOG2_Wg"",""Direct links Without Sizes!B2:B""))),XLOOKUP($C612,IMPORTRANGE(""1NK5L1mviMn0j3D3uo53ASkIZOFRlLnqaCTnwzOG2_Wg"",""Direct li"&amp;"nks Without Sizes!D2:D""),IMPORTRANGE(""1NK5L1mviMn0j3D3uo53ASkIZOFRlLnqaCTnwzOG2_Wg"",""Direct links Without Sizes!E2:E""))),"""")"),"")</f>
        <v/>
      </c>
      <c r="I612" s="4"/>
      <c r="J612" s="24" t="str">
        <f t="shared" si="1"/>
        <v/>
      </c>
      <c r="K612" s="25"/>
      <c r="L612" s="24" t="str">
        <f t="shared" si="2"/>
        <v/>
      </c>
      <c r="M612" s="4"/>
      <c r="N612" s="23"/>
      <c r="O612" s="23"/>
      <c r="P612" s="23"/>
      <c r="Q612" s="4" t="str">
        <f t="shared" si="4"/>
        <v/>
      </c>
      <c r="R612" s="20"/>
      <c r="S612" s="20"/>
    </row>
    <row r="613">
      <c r="A613" s="4"/>
      <c r="B613" s="4"/>
      <c r="C613" s="37"/>
      <c r="D613" s="7" t="str">
        <f>IFERROR(__xludf.DUMMYFUNCTION("iferror(iferror(INDEX(IMPORTRANGE(""12vtnxaE_Q1s4tyr10kZQx7ZF_xG0lBFae4jQEUtgsMU"",""All!B2:B""),MATCH($C613,IMPORTRANGE(""12vtnxaE_Q1s4tyr10kZQx7ZF_xG0lBFae4jQEUtgsMU"",""All!A2:A""),0)),INDEX(IMPORTRANGE(""13KC70HngS4DDi8y9E5khtSpQEPG6owaQ9z4E-tR5mnY"","&amp;"""Non-Food!B2:B""),MATCH($C613,IMPORTRANGE(""13KC70HngS4DDi8y9E5khtSpQEPG6owaQ9z4E-tR5mnY"",""Non-Food!A2:A""),0))),"""")"),"")</f>
        <v/>
      </c>
      <c r="E613" s="15"/>
      <c r="F613" s="15"/>
      <c r="G613" s="36"/>
      <c r="H613" s="23" t="str">
        <f>IFERROR(__xludf.DUMMYFUNCTION("iferror(iferror(iferror(index(IMPORTRANGE(""1NK5L1mviMn0j3D3uo53ASkIZOFRlLnqaCTnwzOG2_Wg"",""Direct Link!B2:B""),MATCH($C613,IMPORTRANGE(""1NK5L1mviMn0j3D3uo53ASkIZOFRlLnqaCTnwzOG2_Wg"",""Direct Link!A2:A""),0)),XLOOKUP($C613,IMPORTRANGE(""1NK5L1mviMn0j3D"&amp;"3uo53ASkIZOFRlLnqaCTnwzOG2_Wg"",""Direct links Without Sizes!A2:A""),IMPORTRANGE(""1NK5L1mviMn0j3D3uo53ASkIZOFRlLnqaCTnwzOG2_Wg"",""Direct links Without Sizes!B2:B""))),XLOOKUP($C613,IMPORTRANGE(""1NK5L1mviMn0j3D3uo53ASkIZOFRlLnqaCTnwzOG2_Wg"",""Direct li"&amp;"nks Without Sizes!D2:D""),IMPORTRANGE(""1NK5L1mviMn0j3D3uo53ASkIZOFRlLnqaCTnwzOG2_Wg"",""Direct links Without Sizes!E2:E""))),"""")"),"")</f>
        <v/>
      </c>
      <c r="I613" s="4"/>
      <c r="J613" s="24" t="str">
        <f t="shared" si="1"/>
        <v/>
      </c>
      <c r="K613" s="25"/>
      <c r="L613" s="24" t="str">
        <f t="shared" si="2"/>
        <v/>
      </c>
      <c r="M613" s="4"/>
      <c r="N613" s="23"/>
      <c r="O613" s="23"/>
      <c r="P613" s="23"/>
      <c r="Q613" s="4" t="str">
        <f t="shared" si="4"/>
        <v/>
      </c>
      <c r="R613" s="20"/>
      <c r="S613" s="20"/>
    </row>
    <row r="614">
      <c r="A614" s="4"/>
      <c r="B614" s="4"/>
      <c r="C614" s="37"/>
      <c r="D614" s="7" t="str">
        <f>IFERROR(__xludf.DUMMYFUNCTION("iferror(iferror(INDEX(IMPORTRANGE(""12vtnxaE_Q1s4tyr10kZQx7ZF_xG0lBFae4jQEUtgsMU"",""All!B2:B""),MATCH($C614,IMPORTRANGE(""12vtnxaE_Q1s4tyr10kZQx7ZF_xG0lBFae4jQEUtgsMU"",""All!A2:A""),0)),INDEX(IMPORTRANGE(""13KC70HngS4DDi8y9E5khtSpQEPG6owaQ9z4E-tR5mnY"","&amp;"""Non-Food!B2:B""),MATCH($C614,IMPORTRANGE(""13KC70HngS4DDi8y9E5khtSpQEPG6owaQ9z4E-tR5mnY"",""Non-Food!A2:A""),0))),"""")"),"")</f>
        <v/>
      </c>
      <c r="E614" s="15"/>
      <c r="F614" s="15"/>
      <c r="G614" s="36"/>
      <c r="H614" s="23" t="str">
        <f>IFERROR(__xludf.DUMMYFUNCTION("iferror(iferror(iferror(index(IMPORTRANGE(""1NK5L1mviMn0j3D3uo53ASkIZOFRlLnqaCTnwzOG2_Wg"",""Direct Link!B2:B""),MATCH($C614,IMPORTRANGE(""1NK5L1mviMn0j3D3uo53ASkIZOFRlLnqaCTnwzOG2_Wg"",""Direct Link!A2:A""),0)),XLOOKUP($C614,IMPORTRANGE(""1NK5L1mviMn0j3D"&amp;"3uo53ASkIZOFRlLnqaCTnwzOG2_Wg"",""Direct links Without Sizes!A2:A""),IMPORTRANGE(""1NK5L1mviMn0j3D3uo53ASkIZOFRlLnqaCTnwzOG2_Wg"",""Direct links Without Sizes!B2:B""))),XLOOKUP($C614,IMPORTRANGE(""1NK5L1mviMn0j3D3uo53ASkIZOFRlLnqaCTnwzOG2_Wg"",""Direct li"&amp;"nks Without Sizes!D2:D""),IMPORTRANGE(""1NK5L1mviMn0j3D3uo53ASkIZOFRlLnqaCTnwzOG2_Wg"",""Direct links Without Sizes!E2:E""))),"""")"),"")</f>
        <v/>
      </c>
      <c r="I614" s="4"/>
      <c r="J614" s="24" t="str">
        <f t="shared" si="1"/>
        <v/>
      </c>
      <c r="K614" s="25"/>
      <c r="L614" s="24" t="str">
        <f t="shared" si="2"/>
        <v/>
      </c>
      <c r="M614" s="4"/>
      <c r="N614" s="23"/>
      <c r="O614" s="23"/>
      <c r="P614" s="23"/>
      <c r="Q614" s="4" t="str">
        <f t="shared" si="4"/>
        <v/>
      </c>
      <c r="R614" s="20"/>
      <c r="S614" s="20"/>
    </row>
    <row r="615">
      <c r="A615" s="4"/>
      <c r="B615" s="4"/>
      <c r="C615" s="37"/>
      <c r="D615" s="7" t="str">
        <f>IFERROR(__xludf.DUMMYFUNCTION("iferror(iferror(INDEX(IMPORTRANGE(""12vtnxaE_Q1s4tyr10kZQx7ZF_xG0lBFae4jQEUtgsMU"",""All!B2:B""),MATCH($C615,IMPORTRANGE(""12vtnxaE_Q1s4tyr10kZQx7ZF_xG0lBFae4jQEUtgsMU"",""All!A2:A""),0)),INDEX(IMPORTRANGE(""13KC70HngS4DDi8y9E5khtSpQEPG6owaQ9z4E-tR5mnY"","&amp;"""Non-Food!B2:B""),MATCH($C615,IMPORTRANGE(""13KC70HngS4DDi8y9E5khtSpQEPG6owaQ9z4E-tR5mnY"",""Non-Food!A2:A""),0))),"""")"),"")</f>
        <v/>
      </c>
      <c r="E615" s="15"/>
      <c r="F615" s="15"/>
      <c r="G615" s="36"/>
      <c r="H615" s="23" t="str">
        <f>IFERROR(__xludf.DUMMYFUNCTION("iferror(iferror(iferror(index(IMPORTRANGE(""1NK5L1mviMn0j3D3uo53ASkIZOFRlLnqaCTnwzOG2_Wg"",""Direct Link!B2:B""),MATCH($C615,IMPORTRANGE(""1NK5L1mviMn0j3D3uo53ASkIZOFRlLnqaCTnwzOG2_Wg"",""Direct Link!A2:A""),0)),XLOOKUP($C615,IMPORTRANGE(""1NK5L1mviMn0j3D"&amp;"3uo53ASkIZOFRlLnqaCTnwzOG2_Wg"",""Direct links Without Sizes!A2:A""),IMPORTRANGE(""1NK5L1mviMn0j3D3uo53ASkIZOFRlLnqaCTnwzOG2_Wg"",""Direct links Without Sizes!B2:B""))),XLOOKUP($C615,IMPORTRANGE(""1NK5L1mviMn0j3D3uo53ASkIZOFRlLnqaCTnwzOG2_Wg"",""Direct li"&amp;"nks Without Sizes!D2:D""),IMPORTRANGE(""1NK5L1mviMn0j3D3uo53ASkIZOFRlLnqaCTnwzOG2_Wg"",""Direct links Without Sizes!E2:E""))),"""")"),"")</f>
        <v/>
      </c>
      <c r="I615" s="4"/>
      <c r="J615" s="24" t="str">
        <f t="shared" si="1"/>
        <v/>
      </c>
      <c r="K615" s="25"/>
      <c r="L615" s="24" t="str">
        <f t="shared" si="2"/>
        <v/>
      </c>
      <c r="M615" s="4"/>
      <c r="N615" s="23"/>
      <c r="O615" s="23"/>
      <c r="P615" s="23"/>
      <c r="Q615" s="4" t="str">
        <f t="shared" si="4"/>
        <v/>
      </c>
      <c r="R615" s="20"/>
      <c r="S615" s="20"/>
    </row>
    <row r="616">
      <c r="A616" s="4"/>
      <c r="B616" s="4"/>
      <c r="C616" s="37"/>
      <c r="D616" s="7" t="str">
        <f>IFERROR(__xludf.DUMMYFUNCTION("iferror(iferror(INDEX(IMPORTRANGE(""12vtnxaE_Q1s4tyr10kZQx7ZF_xG0lBFae4jQEUtgsMU"",""All!B2:B""),MATCH($C616,IMPORTRANGE(""12vtnxaE_Q1s4tyr10kZQx7ZF_xG0lBFae4jQEUtgsMU"",""All!A2:A""),0)),INDEX(IMPORTRANGE(""13KC70HngS4DDi8y9E5khtSpQEPG6owaQ9z4E-tR5mnY"","&amp;"""Non-Food!B2:B""),MATCH($C616,IMPORTRANGE(""13KC70HngS4DDi8y9E5khtSpQEPG6owaQ9z4E-tR5mnY"",""Non-Food!A2:A""),0))),"""")"),"")</f>
        <v/>
      </c>
      <c r="E616" s="15"/>
      <c r="F616" s="15"/>
      <c r="G616" s="36"/>
      <c r="H616" s="23" t="str">
        <f>IFERROR(__xludf.DUMMYFUNCTION("iferror(iferror(iferror(index(IMPORTRANGE(""1NK5L1mviMn0j3D3uo53ASkIZOFRlLnqaCTnwzOG2_Wg"",""Direct Link!B2:B""),MATCH($C616,IMPORTRANGE(""1NK5L1mviMn0j3D3uo53ASkIZOFRlLnqaCTnwzOG2_Wg"",""Direct Link!A2:A""),0)),XLOOKUP($C616,IMPORTRANGE(""1NK5L1mviMn0j3D"&amp;"3uo53ASkIZOFRlLnqaCTnwzOG2_Wg"",""Direct links Without Sizes!A2:A""),IMPORTRANGE(""1NK5L1mviMn0j3D3uo53ASkIZOFRlLnqaCTnwzOG2_Wg"",""Direct links Without Sizes!B2:B""))),XLOOKUP($C616,IMPORTRANGE(""1NK5L1mviMn0j3D3uo53ASkIZOFRlLnqaCTnwzOG2_Wg"",""Direct li"&amp;"nks Without Sizes!D2:D""),IMPORTRANGE(""1NK5L1mviMn0j3D3uo53ASkIZOFRlLnqaCTnwzOG2_Wg"",""Direct links Without Sizes!E2:E""))),"""")"),"")</f>
        <v/>
      </c>
      <c r="I616" s="4"/>
      <c r="J616" s="24" t="str">
        <f t="shared" si="1"/>
        <v/>
      </c>
      <c r="K616" s="25"/>
      <c r="L616" s="24" t="str">
        <f t="shared" si="2"/>
        <v/>
      </c>
      <c r="M616" s="4"/>
      <c r="N616" s="23"/>
      <c r="O616" s="23"/>
      <c r="P616" s="23"/>
      <c r="Q616" s="4" t="str">
        <f t="shared" si="4"/>
        <v/>
      </c>
      <c r="R616" s="20"/>
      <c r="S616" s="20"/>
    </row>
    <row r="617">
      <c r="A617" s="4"/>
      <c r="B617" s="4"/>
      <c r="C617" s="37"/>
      <c r="D617" s="7" t="str">
        <f>IFERROR(__xludf.DUMMYFUNCTION("iferror(iferror(INDEX(IMPORTRANGE(""12vtnxaE_Q1s4tyr10kZQx7ZF_xG0lBFae4jQEUtgsMU"",""All!B2:B""),MATCH($C617,IMPORTRANGE(""12vtnxaE_Q1s4tyr10kZQx7ZF_xG0lBFae4jQEUtgsMU"",""All!A2:A""),0)),INDEX(IMPORTRANGE(""13KC70HngS4DDi8y9E5khtSpQEPG6owaQ9z4E-tR5mnY"","&amp;"""Non-Food!B2:B""),MATCH($C617,IMPORTRANGE(""13KC70HngS4DDi8y9E5khtSpQEPG6owaQ9z4E-tR5mnY"",""Non-Food!A2:A""),0))),"""")"),"")</f>
        <v/>
      </c>
      <c r="E617" s="15"/>
      <c r="F617" s="15"/>
      <c r="G617" s="36"/>
      <c r="H617" s="23" t="str">
        <f>IFERROR(__xludf.DUMMYFUNCTION("iferror(iferror(iferror(index(IMPORTRANGE(""1NK5L1mviMn0j3D3uo53ASkIZOFRlLnqaCTnwzOG2_Wg"",""Direct Link!B2:B""),MATCH($C617,IMPORTRANGE(""1NK5L1mviMn0j3D3uo53ASkIZOFRlLnqaCTnwzOG2_Wg"",""Direct Link!A2:A""),0)),XLOOKUP($C617,IMPORTRANGE(""1NK5L1mviMn0j3D"&amp;"3uo53ASkIZOFRlLnqaCTnwzOG2_Wg"",""Direct links Without Sizes!A2:A""),IMPORTRANGE(""1NK5L1mviMn0j3D3uo53ASkIZOFRlLnqaCTnwzOG2_Wg"",""Direct links Without Sizes!B2:B""))),XLOOKUP($C617,IMPORTRANGE(""1NK5L1mviMn0j3D3uo53ASkIZOFRlLnqaCTnwzOG2_Wg"",""Direct li"&amp;"nks Without Sizes!D2:D""),IMPORTRANGE(""1NK5L1mviMn0j3D3uo53ASkIZOFRlLnqaCTnwzOG2_Wg"",""Direct links Without Sizes!E2:E""))),"""")"),"")</f>
        <v/>
      </c>
      <c r="I617" s="4"/>
      <c r="J617" s="24" t="str">
        <f t="shared" si="1"/>
        <v/>
      </c>
      <c r="K617" s="25"/>
      <c r="L617" s="24" t="str">
        <f t="shared" si="2"/>
        <v/>
      </c>
      <c r="M617" s="4"/>
      <c r="N617" s="23"/>
      <c r="O617" s="23"/>
      <c r="P617" s="23"/>
      <c r="Q617" s="4" t="str">
        <f t="shared" si="4"/>
        <v/>
      </c>
      <c r="R617" s="20"/>
      <c r="S617" s="20"/>
    </row>
    <row r="618">
      <c r="A618" s="4"/>
      <c r="B618" s="4"/>
      <c r="C618" s="37"/>
      <c r="D618" s="7" t="str">
        <f>IFERROR(__xludf.DUMMYFUNCTION("iferror(iferror(INDEX(IMPORTRANGE(""12vtnxaE_Q1s4tyr10kZQx7ZF_xG0lBFae4jQEUtgsMU"",""All!B2:B""),MATCH($C618,IMPORTRANGE(""12vtnxaE_Q1s4tyr10kZQx7ZF_xG0lBFae4jQEUtgsMU"",""All!A2:A""),0)),INDEX(IMPORTRANGE(""13KC70HngS4DDi8y9E5khtSpQEPG6owaQ9z4E-tR5mnY"","&amp;"""Non-Food!B2:B""),MATCH($C618,IMPORTRANGE(""13KC70HngS4DDi8y9E5khtSpQEPG6owaQ9z4E-tR5mnY"",""Non-Food!A2:A""),0))),"""")"),"")</f>
        <v/>
      </c>
      <c r="E618" s="15"/>
      <c r="F618" s="15"/>
      <c r="G618" s="36"/>
      <c r="H618" s="23" t="str">
        <f>IFERROR(__xludf.DUMMYFUNCTION("iferror(iferror(iferror(index(IMPORTRANGE(""1NK5L1mviMn0j3D3uo53ASkIZOFRlLnqaCTnwzOG2_Wg"",""Direct Link!B2:B""),MATCH($C618,IMPORTRANGE(""1NK5L1mviMn0j3D3uo53ASkIZOFRlLnqaCTnwzOG2_Wg"",""Direct Link!A2:A""),0)),XLOOKUP($C618,IMPORTRANGE(""1NK5L1mviMn0j3D"&amp;"3uo53ASkIZOFRlLnqaCTnwzOG2_Wg"",""Direct links Without Sizes!A2:A""),IMPORTRANGE(""1NK5L1mviMn0j3D3uo53ASkIZOFRlLnqaCTnwzOG2_Wg"",""Direct links Without Sizes!B2:B""))),XLOOKUP($C618,IMPORTRANGE(""1NK5L1mviMn0j3D3uo53ASkIZOFRlLnqaCTnwzOG2_Wg"",""Direct li"&amp;"nks Without Sizes!D2:D""),IMPORTRANGE(""1NK5L1mviMn0j3D3uo53ASkIZOFRlLnqaCTnwzOG2_Wg"",""Direct links Without Sizes!E2:E""))),"""")"),"")</f>
        <v/>
      </c>
      <c r="I618" s="4"/>
      <c r="J618" s="24" t="str">
        <f t="shared" si="1"/>
        <v/>
      </c>
      <c r="K618" s="25"/>
      <c r="L618" s="24" t="str">
        <f t="shared" si="2"/>
        <v/>
      </c>
      <c r="M618" s="4"/>
      <c r="N618" s="23"/>
      <c r="O618" s="23"/>
      <c r="P618" s="23"/>
      <c r="Q618" s="4" t="str">
        <f t="shared" si="4"/>
        <v/>
      </c>
      <c r="R618" s="20"/>
      <c r="S618" s="20"/>
    </row>
    <row r="619">
      <c r="A619" s="4"/>
      <c r="B619" s="4"/>
      <c r="C619" s="37"/>
      <c r="D619" s="7" t="str">
        <f>IFERROR(__xludf.DUMMYFUNCTION("iferror(iferror(INDEX(IMPORTRANGE(""12vtnxaE_Q1s4tyr10kZQx7ZF_xG0lBFae4jQEUtgsMU"",""All!B2:B""),MATCH($C619,IMPORTRANGE(""12vtnxaE_Q1s4tyr10kZQx7ZF_xG0lBFae4jQEUtgsMU"",""All!A2:A""),0)),INDEX(IMPORTRANGE(""13KC70HngS4DDi8y9E5khtSpQEPG6owaQ9z4E-tR5mnY"","&amp;"""Non-Food!B2:B""),MATCH($C619,IMPORTRANGE(""13KC70HngS4DDi8y9E5khtSpQEPG6owaQ9z4E-tR5mnY"",""Non-Food!A2:A""),0))),"""")"),"")</f>
        <v/>
      </c>
      <c r="E619" s="15"/>
      <c r="F619" s="15"/>
      <c r="G619" s="36"/>
      <c r="H619" s="23" t="str">
        <f>IFERROR(__xludf.DUMMYFUNCTION("iferror(iferror(iferror(index(IMPORTRANGE(""1NK5L1mviMn0j3D3uo53ASkIZOFRlLnqaCTnwzOG2_Wg"",""Direct Link!B2:B""),MATCH($C619,IMPORTRANGE(""1NK5L1mviMn0j3D3uo53ASkIZOFRlLnqaCTnwzOG2_Wg"",""Direct Link!A2:A""),0)),XLOOKUP($C619,IMPORTRANGE(""1NK5L1mviMn0j3D"&amp;"3uo53ASkIZOFRlLnqaCTnwzOG2_Wg"",""Direct links Without Sizes!A2:A""),IMPORTRANGE(""1NK5L1mviMn0j3D3uo53ASkIZOFRlLnqaCTnwzOG2_Wg"",""Direct links Without Sizes!B2:B""))),XLOOKUP($C619,IMPORTRANGE(""1NK5L1mviMn0j3D3uo53ASkIZOFRlLnqaCTnwzOG2_Wg"",""Direct li"&amp;"nks Without Sizes!D2:D""),IMPORTRANGE(""1NK5L1mviMn0j3D3uo53ASkIZOFRlLnqaCTnwzOG2_Wg"",""Direct links Without Sizes!E2:E""))),"""")"),"")</f>
        <v/>
      </c>
      <c r="I619" s="4"/>
      <c r="J619" s="24" t="str">
        <f t="shared" si="1"/>
        <v/>
      </c>
      <c r="K619" s="25"/>
      <c r="L619" s="24" t="str">
        <f t="shared" si="2"/>
        <v/>
      </c>
      <c r="M619" s="4"/>
      <c r="N619" s="23"/>
      <c r="O619" s="23"/>
      <c r="P619" s="23"/>
      <c r="Q619" s="4" t="str">
        <f t="shared" si="4"/>
        <v/>
      </c>
      <c r="R619" s="20"/>
      <c r="S619" s="20"/>
    </row>
    <row r="620">
      <c r="A620" s="4"/>
      <c r="B620" s="4"/>
      <c r="C620" s="37"/>
      <c r="D620" s="7" t="str">
        <f>IFERROR(__xludf.DUMMYFUNCTION("iferror(iferror(INDEX(IMPORTRANGE(""12vtnxaE_Q1s4tyr10kZQx7ZF_xG0lBFae4jQEUtgsMU"",""All!B2:B""),MATCH($C620,IMPORTRANGE(""12vtnxaE_Q1s4tyr10kZQx7ZF_xG0lBFae4jQEUtgsMU"",""All!A2:A""),0)),INDEX(IMPORTRANGE(""13KC70HngS4DDi8y9E5khtSpQEPG6owaQ9z4E-tR5mnY"","&amp;"""Non-Food!B2:B""),MATCH($C620,IMPORTRANGE(""13KC70HngS4DDi8y9E5khtSpQEPG6owaQ9z4E-tR5mnY"",""Non-Food!A2:A""),0))),"""")"),"")</f>
        <v/>
      </c>
      <c r="E620" s="15"/>
      <c r="F620" s="15"/>
      <c r="G620" s="36"/>
      <c r="H620" s="23" t="str">
        <f>IFERROR(__xludf.DUMMYFUNCTION("iferror(iferror(iferror(index(IMPORTRANGE(""1NK5L1mviMn0j3D3uo53ASkIZOFRlLnqaCTnwzOG2_Wg"",""Direct Link!B2:B""),MATCH($C620,IMPORTRANGE(""1NK5L1mviMn0j3D3uo53ASkIZOFRlLnqaCTnwzOG2_Wg"",""Direct Link!A2:A""),0)),XLOOKUP($C620,IMPORTRANGE(""1NK5L1mviMn0j3D"&amp;"3uo53ASkIZOFRlLnqaCTnwzOG2_Wg"",""Direct links Without Sizes!A2:A""),IMPORTRANGE(""1NK5L1mviMn0j3D3uo53ASkIZOFRlLnqaCTnwzOG2_Wg"",""Direct links Without Sizes!B2:B""))),XLOOKUP($C620,IMPORTRANGE(""1NK5L1mviMn0j3D3uo53ASkIZOFRlLnqaCTnwzOG2_Wg"",""Direct li"&amp;"nks Without Sizes!D2:D""),IMPORTRANGE(""1NK5L1mviMn0j3D3uo53ASkIZOFRlLnqaCTnwzOG2_Wg"",""Direct links Without Sizes!E2:E""))),"""")"),"")</f>
        <v/>
      </c>
      <c r="I620" s="4"/>
      <c r="J620" s="24" t="str">
        <f t="shared" si="1"/>
        <v/>
      </c>
      <c r="K620" s="25"/>
      <c r="L620" s="24" t="str">
        <f t="shared" si="2"/>
        <v/>
      </c>
      <c r="M620" s="4"/>
      <c r="N620" s="23"/>
      <c r="O620" s="23"/>
      <c r="P620" s="23"/>
      <c r="Q620" s="4" t="str">
        <f t="shared" si="4"/>
        <v/>
      </c>
      <c r="R620" s="20"/>
      <c r="S620" s="20"/>
    </row>
    <row r="621">
      <c r="A621" s="4"/>
      <c r="B621" s="4"/>
      <c r="C621" s="37"/>
      <c r="D621" s="7" t="str">
        <f>IFERROR(__xludf.DUMMYFUNCTION("iferror(iferror(INDEX(IMPORTRANGE(""12vtnxaE_Q1s4tyr10kZQx7ZF_xG0lBFae4jQEUtgsMU"",""All!B2:B""),MATCH($C621,IMPORTRANGE(""12vtnxaE_Q1s4tyr10kZQx7ZF_xG0lBFae4jQEUtgsMU"",""All!A2:A""),0)),INDEX(IMPORTRANGE(""13KC70HngS4DDi8y9E5khtSpQEPG6owaQ9z4E-tR5mnY"","&amp;"""Non-Food!B2:B""),MATCH($C621,IMPORTRANGE(""13KC70HngS4DDi8y9E5khtSpQEPG6owaQ9z4E-tR5mnY"",""Non-Food!A2:A""),0))),"""")"),"")</f>
        <v/>
      </c>
      <c r="E621" s="15"/>
      <c r="F621" s="15"/>
      <c r="G621" s="36"/>
      <c r="H621" s="23" t="str">
        <f>IFERROR(__xludf.DUMMYFUNCTION("iferror(iferror(iferror(index(IMPORTRANGE(""1NK5L1mviMn0j3D3uo53ASkIZOFRlLnqaCTnwzOG2_Wg"",""Direct Link!B2:B""),MATCH($C621,IMPORTRANGE(""1NK5L1mviMn0j3D3uo53ASkIZOFRlLnqaCTnwzOG2_Wg"",""Direct Link!A2:A""),0)),XLOOKUP($C621,IMPORTRANGE(""1NK5L1mviMn0j3D"&amp;"3uo53ASkIZOFRlLnqaCTnwzOG2_Wg"",""Direct links Without Sizes!A2:A""),IMPORTRANGE(""1NK5L1mviMn0j3D3uo53ASkIZOFRlLnqaCTnwzOG2_Wg"",""Direct links Without Sizes!B2:B""))),XLOOKUP($C621,IMPORTRANGE(""1NK5L1mviMn0j3D3uo53ASkIZOFRlLnqaCTnwzOG2_Wg"",""Direct li"&amp;"nks Without Sizes!D2:D""),IMPORTRANGE(""1NK5L1mviMn0j3D3uo53ASkIZOFRlLnqaCTnwzOG2_Wg"",""Direct links Without Sizes!E2:E""))),"""")"),"")</f>
        <v/>
      </c>
      <c r="I621" s="4"/>
      <c r="J621" s="24" t="str">
        <f t="shared" si="1"/>
        <v/>
      </c>
      <c r="K621" s="25"/>
      <c r="L621" s="24" t="str">
        <f t="shared" si="2"/>
        <v/>
      </c>
      <c r="M621" s="4"/>
      <c r="N621" s="23"/>
      <c r="O621" s="23"/>
      <c r="P621" s="23"/>
      <c r="Q621" s="4" t="str">
        <f t="shared" si="4"/>
        <v/>
      </c>
      <c r="R621" s="20"/>
      <c r="S621" s="20"/>
    </row>
    <row r="622">
      <c r="A622" s="4"/>
      <c r="B622" s="4"/>
      <c r="C622" s="37"/>
      <c r="D622" s="7" t="str">
        <f>IFERROR(__xludf.DUMMYFUNCTION("iferror(iferror(INDEX(IMPORTRANGE(""12vtnxaE_Q1s4tyr10kZQx7ZF_xG0lBFae4jQEUtgsMU"",""All!B2:B""),MATCH($C622,IMPORTRANGE(""12vtnxaE_Q1s4tyr10kZQx7ZF_xG0lBFae4jQEUtgsMU"",""All!A2:A""),0)),INDEX(IMPORTRANGE(""13KC70HngS4DDi8y9E5khtSpQEPG6owaQ9z4E-tR5mnY"","&amp;"""Non-Food!B2:B""),MATCH($C622,IMPORTRANGE(""13KC70HngS4DDi8y9E5khtSpQEPG6owaQ9z4E-tR5mnY"",""Non-Food!A2:A""),0))),"""")"),"")</f>
        <v/>
      </c>
      <c r="E622" s="15"/>
      <c r="F622" s="15"/>
      <c r="G622" s="36"/>
      <c r="H622" s="23" t="str">
        <f>IFERROR(__xludf.DUMMYFUNCTION("iferror(iferror(iferror(index(IMPORTRANGE(""1NK5L1mviMn0j3D3uo53ASkIZOFRlLnqaCTnwzOG2_Wg"",""Direct Link!B2:B""),MATCH($C622,IMPORTRANGE(""1NK5L1mviMn0j3D3uo53ASkIZOFRlLnqaCTnwzOG2_Wg"",""Direct Link!A2:A""),0)),XLOOKUP($C622,IMPORTRANGE(""1NK5L1mviMn0j3D"&amp;"3uo53ASkIZOFRlLnqaCTnwzOG2_Wg"",""Direct links Without Sizes!A2:A""),IMPORTRANGE(""1NK5L1mviMn0j3D3uo53ASkIZOFRlLnqaCTnwzOG2_Wg"",""Direct links Without Sizes!B2:B""))),XLOOKUP($C622,IMPORTRANGE(""1NK5L1mviMn0j3D3uo53ASkIZOFRlLnqaCTnwzOG2_Wg"",""Direct li"&amp;"nks Without Sizes!D2:D""),IMPORTRANGE(""1NK5L1mviMn0j3D3uo53ASkIZOFRlLnqaCTnwzOG2_Wg"",""Direct links Without Sizes!E2:E""))),"""")"),"")</f>
        <v/>
      </c>
      <c r="I622" s="4"/>
      <c r="J622" s="24" t="str">
        <f t="shared" si="1"/>
        <v/>
      </c>
      <c r="K622" s="25"/>
      <c r="L622" s="24" t="str">
        <f t="shared" si="2"/>
        <v/>
      </c>
      <c r="M622" s="4"/>
      <c r="N622" s="23"/>
      <c r="O622" s="23"/>
      <c r="P622" s="23"/>
      <c r="Q622" s="4" t="str">
        <f t="shared" si="4"/>
        <v/>
      </c>
      <c r="R622" s="20"/>
      <c r="S622" s="20"/>
    </row>
    <row r="623">
      <c r="A623" s="4"/>
      <c r="B623" s="4"/>
      <c r="C623" s="37"/>
      <c r="D623" s="7" t="str">
        <f>IFERROR(__xludf.DUMMYFUNCTION("iferror(iferror(INDEX(IMPORTRANGE(""12vtnxaE_Q1s4tyr10kZQx7ZF_xG0lBFae4jQEUtgsMU"",""All!B2:B""),MATCH($C623,IMPORTRANGE(""12vtnxaE_Q1s4tyr10kZQx7ZF_xG0lBFae4jQEUtgsMU"",""All!A2:A""),0)),INDEX(IMPORTRANGE(""13KC70HngS4DDi8y9E5khtSpQEPG6owaQ9z4E-tR5mnY"","&amp;"""Non-Food!B2:B""),MATCH($C623,IMPORTRANGE(""13KC70HngS4DDi8y9E5khtSpQEPG6owaQ9z4E-tR5mnY"",""Non-Food!A2:A""),0))),"""")"),"")</f>
        <v/>
      </c>
      <c r="E623" s="15"/>
      <c r="F623" s="15"/>
      <c r="G623" s="36"/>
      <c r="H623" s="23" t="str">
        <f>IFERROR(__xludf.DUMMYFUNCTION("iferror(iferror(iferror(index(IMPORTRANGE(""1NK5L1mviMn0j3D3uo53ASkIZOFRlLnqaCTnwzOG2_Wg"",""Direct Link!B2:B""),MATCH($C623,IMPORTRANGE(""1NK5L1mviMn0j3D3uo53ASkIZOFRlLnqaCTnwzOG2_Wg"",""Direct Link!A2:A""),0)),XLOOKUP($C623,IMPORTRANGE(""1NK5L1mviMn0j3D"&amp;"3uo53ASkIZOFRlLnqaCTnwzOG2_Wg"",""Direct links Without Sizes!A2:A""),IMPORTRANGE(""1NK5L1mviMn0j3D3uo53ASkIZOFRlLnqaCTnwzOG2_Wg"",""Direct links Without Sizes!B2:B""))),XLOOKUP($C623,IMPORTRANGE(""1NK5L1mviMn0j3D3uo53ASkIZOFRlLnqaCTnwzOG2_Wg"",""Direct li"&amp;"nks Without Sizes!D2:D""),IMPORTRANGE(""1NK5L1mviMn0j3D3uo53ASkIZOFRlLnqaCTnwzOG2_Wg"",""Direct links Without Sizes!E2:E""))),"""")"),"")</f>
        <v/>
      </c>
      <c r="I623" s="4"/>
      <c r="J623" s="24" t="str">
        <f t="shared" si="1"/>
        <v/>
      </c>
      <c r="K623" s="25"/>
      <c r="L623" s="24" t="str">
        <f t="shared" si="2"/>
        <v/>
      </c>
      <c r="M623" s="4"/>
      <c r="N623" s="23"/>
      <c r="O623" s="23"/>
      <c r="P623" s="23"/>
      <c r="Q623" s="4" t="str">
        <f t="shared" si="4"/>
        <v/>
      </c>
      <c r="R623" s="20"/>
      <c r="S623" s="20"/>
    </row>
    <row r="624">
      <c r="A624" s="4"/>
      <c r="B624" s="4"/>
      <c r="C624" s="37"/>
      <c r="D624" s="7" t="str">
        <f>IFERROR(__xludf.DUMMYFUNCTION("iferror(iferror(INDEX(IMPORTRANGE(""12vtnxaE_Q1s4tyr10kZQx7ZF_xG0lBFae4jQEUtgsMU"",""All!B2:B""),MATCH($C624,IMPORTRANGE(""12vtnxaE_Q1s4tyr10kZQx7ZF_xG0lBFae4jQEUtgsMU"",""All!A2:A""),0)),INDEX(IMPORTRANGE(""13KC70HngS4DDi8y9E5khtSpQEPG6owaQ9z4E-tR5mnY"","&amp;"""Non-Food!B2:B""),MATCH($C624,IMPORTRANGE(""13KC70HngS4DDi8y9E5khtSpQEPG6owaQ9z4E-tR5mnY"",""Non-Food!A2:A""),0))),"""")"),"")</f>
        <v/>
      </c>
      <c r="E624" s="15"/>
      <c r="F624" s="15"/>
      <c r="G624" s="36"/>
      <c r="H624" s="23" t="str">
        <f>IFERROR(__xludf.DUMMYFUNCTION("iferror(iferror(iferror(index(IMPORTRANGE(""1NK5L1mviMn0j3D3uo53ASkIZOFRlLnqaCTnwzOG2_Wg"",""Direct Link!B2:B""),MATCH($C624,IMPORTRANGE(""1NK5L1mviMn0j3D3uo53ASkIZOFRlLnqaCTnwzOG2_Wg"",""Direct Link!A2:A""),0)),XLOOKUP($C624,IMPORTRANGE(""1NK5L1mviMn0j3D"&amp;"3uo53ASkIZOFRlLnqaCTnwzOG2_Wg"",""Direct links Without Sizes!A2:A""),IMPORTRANGE(""1NK5L1mviMn0j3D3uo53ASkIZOFRlLnqaCTnwzOG2_Wg"",""Direct links Without Sizes!B2:B""))),XLOOKUP($C624,IMPORTRANGE(""1NK5L1mviMn0j3D3uo53ASkIZOFRlLnqaCTnwzOG2_Wg"",""Direct li"&amp;"nks Without Sizes!D2:D""),IMPORTRANGE(""1NK5L1mviMn0j3D3uo53ASkIZOFRlLnqaCTnwzOG2_Wg"",""Direct links Without Sizes!E2:E""))),"""")"),"")</f>
        <v/>
      </c>
      <c r="I624" s="4"/>
      <c r="J624" s="24" t="str">
        <f t="shared" si="1"/>
        <v/>
      </c>
      <c r="K624" s="25"/>
      <c r="L624" s="24" t="str">
        <f t="shared" si="2"/>
        <v/>
      </c>
      <c r="M624" s="4"/>
      <c r="N624" s="23"/>
      <c r="O624" s="23"/>
      <c r="P624" s="23"/>
      <c r="Q624" s="4" t="str">
        <f t="shared" si="4"/>
        <v/>
      </c>
      <c r="R624" s="20"/>
      <c r="S624" s="20"/>
    </row>
    <row r="625">
      <c r="A625" s="4"/>
      <c r="B625" s="4"/>
      <c r="C625" s="37"/>
      <c r="D625" s="7" t="str">
        <f>IFERROR(__xludf.DUMMYFUNCTION("iferror(iferror(INDEX(IMPORTRANGE(""12vtnxaE_Q1s4tyr10kZQx7ZF_xG0lBFae4jQEUtgsMU"",""All!B2:B""),MATCH($C625,IMPORTRANGE(""12vtnxaE_Q1s4tyr10kZQx7ZF_xG0lBFae4jQEUtgsMU"",""All!A2:A""),0)),INDEX(IMPORTRANGE(""13KC70HngS4DDi8y9E5khtSpQEPG6owaQ9z4E-tR5mnY"","&amp;"""Non-Food!B2:B""),MATCH($C625,IMPORTRANGE(""13KC70HngS4DDi8y9E5khtSpQEPG6owaQ9z4E-tR5mnY"",""Non-Food!A2:A""),0))),"""")"),"")</f>
        <v/>
      </c>
      <c r="E625" s="15"/>
      <c r="F625" s="15"/>
      <c r="G625" s="36"/>
      <c r="H625" s="23" t="str">
        <f>IFERROR(__xludf.DUMMYFUNCTION("iferror(iferror(iferror(index(IMPORTRANGE(""1NK5L1mviMn0j3D3uo53ASkIZOFRlLnqaCTnwzOG2_Wg"",""Direct Link!B2:B""),MATCH($C625,IMPORTRANGE(""1NK5L1mviMn0j3D3uo53ASkIZOFRlLnqaCTnwzOG2_Wg"",""Direct Link!A2:A""),0)),XLOOKUP($C625,IMPORTRANGE(""1NK5L1mviMn0j3D"&amp;"3uo53ASkIZOFRlLnqaCTnwzOG2_Wg"",""Direct links Without Sizes!A2:A""),IMPORTRANGE(""1NK5L1mviMn0j3D3uo53ASkIZOFRlLnqaCTnwzOG2_Wg"",""Direct links Without Sizes!B2:B""))),XLOOKUP($C625,IMPORTRANGE(""1NK5L1mviMn0j3D3uo53ASkIZOFRlLnqaCTnwzOG2_Wg"",""Direct li"&amp;"nks Without Sizes!D2:D""),IMPORTRANGE(""1NK5L1mviMn0j3D3uo53ASkIZOFRlLnqaCTnwzOG2_Wg"",""Direct links Without Sizes!E2:E""))),"""")"),"")</f>
        <v/>
      </c>
      <c r="I625" s="4"/>
      <c r="J625" s="24" t="str">
        <f t="shared" si="1"/>
        <v/>
      </c>
      <c r="K625" s="25"/>
      <c r="L625" s="24" t="str">
        <f t="shared" si="2"/>
        <v/>
      </c>
      <c r="M625" s="4"/>
      <c r="N625" s="23"/>
      <c r="O625" s="23"/>
      <c r="P625" s="23"/>
      <c r="Q625" s="4" t="str">
        <f t="shared" si="4"/>
        <v/>
      </c>
      <c r="R625" s="20"/>
      <c r="S625" s="20"/>
    </row>
    <row r="626">
      <c r="A626" s="4"/>
      <c r="B626" s="4"/>
      <c r="C626" s="37"/>
      <c r="D626" s="7" t="str">
        <f>IFERROR(__xludf.DUMMYFUNCTION("iferror(iferror(INDEX(IMPORTRANGE(""12vtnxaE_Q1s4tyr10kZQx7ZF_xG0lBFae4jQEUtgsMU"",""All!B2:B""),MATCH($C626,IMPORTRANGE(""12vtnxaE_Q1s4tyr10kZQx7ZF_xG0lBFae4jQEUtgsMU"",""All!A2:A""),0)),INDEX(IMPORTRANGE(""13KC70HngS4DDi8y9E5khtSpQEPG6owaQ9z4E-tR5mnY"","&amp;"""Non-Food!B2:B""),MATCH($C626,IMPORTRANGE(""13KC70HngS4DDi8y9E5khtSpQEPG6owaQ9z4E-tR5mnY"",""Non-Food!A2:A""),0))),"""")"),"")</f>
        <v/>
      </c>
      <c r="E626" s="15"/>
      <c r="F626" s="15"/>
      <c r="G626" s="36"/>
      <c r="H626" s="23" t="str">
        <f>IFERROR(__xludf.DUMMYFUNCTION("iferror(iferror(iferror(index(IMPORTRANGE(""1NK5L1mviMn0j3D3uo53ASkIZOFRlLnqaCTnwzOG2_Wg"",""Direct Link!B2:B""),MATCH($C626,IMPORTRANGE(""1NK5L1mviMn0j3D3uo53ASkIZOFRlLnqaCTnwzOG2_Wg"",""Direct Link!A2:A""),0)),XLOOKUP($C626,IMPORTRANGE(""1NK5L1mviMn0j3D"&amp;"3uo53ASkIZOFRlLnqaCTnwzOG2_Wg"",""Direct links Without Sizes!A2:A""),IMPORTRANGE(""1NK5L1mviMn0j3D3uo53ASkIZOFRlLnqaCTnwzOG2_Wg"",""Direct links Without Sizes!B2:B""))),XLOOKUP($C626,IMPORTRANGE(""1NK5L1mviMn0j3D3uo53ASkIZOFRlLnqaCTnwzOG2_Wg"",""Direct li"&amp;"nks Without Sizes!D2:D""),IMPORTRANGE(""1NK5L1mviMn0j3D3uo53ASkIZOFRlLnqaCTnwzOG2_Wg"",""Direct links Without Sizes!E2:E""))),"""")"),"")</f>
        <v/>
      </c>
      <c r="I626" s="4"/>
      <c r="J626" s="24" t="str">
        <f t="shared" si="1"/>
        <v/>
      </c>
      <c r="K626" s="25"/>
      <c r="L626" s="24" t="str">
        <f t="shared" si="2"/>
        <v/>
      </c>
      <c r="M626" s="4"/>
      <c r="N626" s="23"/>
      <c r="O626" s="23"/>
      <c r="P626" s="23"/>
      <c r="Q626" s="4" t="str">
        <f t="shared" si="4"/>
        <v/>
      </c>
      <c r="R626" s="20"/>
      <c r="S626" s="20"/>
    </row>
    <row r="627">
      <c r="A627" s="4"/>
      <c r="B627" s="4"/>
      <c r="C627" s="37"/>
      <c r="D627" s="7" t="str">
        <f>IFERROR(__xludf.DUMMYFUNCTION("iferror(iferror(INDEX(IMPORTRANGE(""12vtnxaE_Q1s4tyr10kZQx7ZF_xG0lBFae4jQEUtgsMU"",""All!B2:B""),MATCH($C627,IMPORTRANGE(""12vtnxaE_Q1s4tyr10kZQx7ZF_xG0lBFae4jQEUtgsMU"",""All!A2:A""),0)),INDEX(IMPORTRANGE(""13KC70HngS4DDi8y9E5khtSpQEPG6owaQ9z4E-tR5mnY"","&amp;"""Non-Food!B2:B""),MATCH($C627,IMPORTRANGE(""13KC70HngS4DDi8y9E5khtSpQEPG6owaQ9z4E-tR5mnY"",""Non-Food!A2:A""),0))),"""")"),"")</f>
        <v/>
      </c>
      <c r="E627" s="15"/>
      <c r="F627" s="15"/>
      <c r="G627" s="36"/>
      <c r="H627" s="23" t="str">
        <f>IFERROR(__xludf.DUMMYFUNCTION("iferror(iferror(iferror(index(IMPORTRANGE(""1NK5L1mviMn0j3D3uo53ASkIZOFRlLnqaCTnwzOG2_Wg"",""Direct Link!B2:B""),MATCH($C627,IMPORTRANGE(""1NK5L1mviMn0j3D3uo53ASkIZOFRlLnqaCTnwzOG2_Wg"",""Direct Link!A2:A""),0)),XLOOKUP($C627,IMPORTRANGE(""1NK5L1mviMn0j3D"&amp;"3uo53ASkIZOFRlLnqaCTnwzOG2_Wg"",""Direct links Without Sizes!A2:A""),IMPORTRANGE(""1NK5L1mviMn0j3D3uo53ASkIZOFRlLnqaCTnwzOG2_Wg"",""Direct links Without Sizes!B2:B""))),XLOOKUP($C627,IMPORTRANGE(""1NK5L1mviMn0j3D3uo53ASkIZOFRlLnqaCTnwzOG2_Wg"",""Direct li"&amp;"nks Without Sizes!D2:D""),IMPORTRANGE(""1NK5L1mviMn0j3D3uo53ASkIZOFRlLnqaCTnwzOG2_Wg"",""Direct links Without Sizes!E2:E""))),"""")"),"")</f>
        <v/>
      </c>
      <c r="I627" s="4"/>
      <c r="J627" s="24" t="str">
        <f t="shared" si="1"/>
        <v/>
      </c>
      <c r="K627" s="25"/>
      <c r="L627" s="24" t="str">
        <f t="shared" si="2"/>
        <v/>
      </c>
      <c r="M627" s="4"/>
      <c r="N627" s="23"/>
      <c r="O627" s="23"/>
      <c r="P627" s="23"/>
      <c r="Q627" s="4" t="str">
        <f t="shared" si="4"/>
        <v/>
      </c>
      <c r="R627" s="20"/>
      <c r="S627" s="20"/>
    </row>
    <row r="628">
      <c r="A628" s="4"/>
      <c r="B628" s="4"/>
      <c r="C628" s="37"/>
      <c r="D628" s="7" t="str">
        <f>IFERROR(__xludf.DUMMYFUNCTION("iferror(iferror(INDEX(IMPORTRANGE(""12vtnxaE_Q1s4tyr10kZQx7ZF_xG0lBFae4jQEUtgsMU"",""All!B2:B""),MATCH($C628,IMPORTRANGE(""12vtnxaE_Q1s4tyr10kZQx7ZF_xG0lBFae4jQEUtgsMU"",""All!A2:A""),0)),INDEX(IMPORTRANGE(""13KC70HngS4DDi8y9E5khtSpQEPG6owaQ9z4E-tR5mnY"","&amp;"""Non-Food!B2:B""),MATCH($C628,IMPORTRANGE(""13KC70HngS4DDi8y9E5khtSpQEPG6owaQ9z4E-tR5mnY"",""Non-Food!A2:A""),0))),"""")"),"")</f>
        <v/>
      </c>
      <c r="E628" s="15"/>
      <c r="F628" s="15"/>
      <c r="G628" s="36"/>
      <c r="H628" s="23" t="str">
        <f>IFERROR(__xludf.DUMMYFUNCTION("iferror(iferror(iferror(index(IMPORTRANGE(""1NK5L1mviMn0j3D3uo53ASkIZOFRlLnqaCTnwzOG2_Wg"",""Direct Link!B2:B""),MATCH($C628,IMPORTRANGE(""1NK5L1mviMn0j3D3uo53ASkIZOFRlLnqaCTnwzOG2_Wg"",""Direct Link!A2:A""),0)),XLOOKUP($C628,IMPORTRANGE(""1NK5L1mviMn0j3D"&amp;"3uo53ASkIZOFRlLnqaCTnwzOG2_Wg"",""Direct links Without Sizes!A2:A""),IMPORTRANGE(""1NK5L1mviMn0j3D3uo53ASkIZOFRlLnqaCTnwzOG2_Wg"",""Direct links Without Sizes!B2:B""))),XLOOKUP($C628,IMPORTRANGE(""1NK5L1mviMn0j3D3uo53ASkIZOFRlLnqaCTnwzOG2_Wg"",""Direct li"&amp;"nks Without Sizes!D2:D""),IMPORTRANGE(""1NK5L1mviMn0j3D3uo53ASkIZOFRlLnqaCTnwzOG2_Wg"",""Direct links Without Sizes!E2:E""))),"""")"),"")</f>
        <v/>
      </c>
      <c r="I628" s="4"/>
      <c r="J628" s="24" t="str">
        <f t="shared" si="1"/>
        <v/>
      </c>
      <c r="K628" s="25"/>
      <c r="L628" s="24" t="str">
        <f t="shared" si="2"/>
        <v/>
      </c>
      <c r="M628" s="4"/>
      <c r="N628" s="23"/>
      <c r="O628" s="23"/>
      <c r="P628" s="23"/>
      <c r="Q628" s="4" t="str">
        <f t="shared" si="4"/>
        <v/>
      </c>
      <c r="R628" s="20"/>
      <c r="S628" s="20"/>
    </row>
    <row r="629">
      <c r="A629" s="4"/>
      <c r="B629" s="4"/>
      <c r="C629" s="37"/>
      <c r="D629" s="7" t="str">
        <f>IFERROR(__xludf.DUMMYFUNCTION("iferror(iferror(INDEX(IMPORTRANGE(""12vtnxaE_Q1s4tyr10kZQx7ZF_xG0lBFae4jQEUtgsMU"",""All!B2:B""),MATCH($C629,IMPORTRANGE(""12vtnxaE_Q1s4tyr10kZQx7ZF_xG0lBFae4jQEUtgsMU"",""All!A2:A""),0)),INDEX(IMPORTRANGE(""13KC70HngS4DDi8y9E5khtSpQEPG6owaQ9z4E-tR5mnY"","&amp;"""Non-Food!B2:B""),MATCH($C629,IMPORTRANGE(""13KC70HngS4DDi8y9E5khtSpQEPG6owaQ9z4E-tR5mnY"",""Non-Food!A2:A""),0))),"""")"),"")</f>
        <v/>
      </c>
      <c r="E629" s="15"/>
      <c r="F629" s="15"/>
      <c r="G629" s="36"/>
      <c r="H629" s="23" t="str">
        <f>IFERROR(__xludf.DUMMYFUNCTION("iferror(iferror(iferror(index(IMPORTRANGE(""1NK5L1mviMn0j3D3uo53ASkIZOFRlLnqaCTnwzOG2_Wg"",""Direct Link!B2:B""),MATCH($C629,IMPORTRANGE(""1NK5L1mviMn0j3D3uo53ASkIZOFRlLnqaCTnwzOG2_Wg"",""Direct Link!A2:A""),0)),XLOOKUP($C629,IMPORTRANGE(""1NK5L1mviMn0j3D"&amp;"3uo53ASkIZOFRlLnqaCTnwzOG2_Wg"",""Direct links Without Sizes!A2:A""),IMPORTRANGE(""1NK5L1mviMn0j3D3uo53ASkIZOFRlLnqaCTnwzOG2_Wg"",""Direct links Without Sizes!B2:B""))),XLOOKUP($C629,IMPORTRANGE(""1NK5L1mviMn0j3D3uo53ASkIZOFRlLnqaCTnwzOG2_Wg"",""Direct li"&amp;"nks Without Sizes!D2:D""),IMPORTRANGE(""1NK5L1mviMn0j3D3uo53ASkIZOFRlLnqaCTnwzOG2_Wg"",""Direct links Without Sizes!E2:E""))),"""")"),"")</f>
        <v/>
      </c>
      <c r="I629" s="4"/>
      <c r="J629" s="24" t="str">
        <f t="shared" si="1"/>
        <v/>
      </c>
      <c r="K629" s="25"/>
      <c r="L629" s="24" t="str">
        <f t="shared" si="2"/>
        <v/>
      </c>
      <c r="M629" s="4"/>
      <c r="N629" s="23"/>
      <c r="O629" s="23"/>
      <c r="P629" s="23"/>
      <c r="Q629" s="4" t="str">
        <f t="shared" si="4"/>
        <v/>
      </c>
      <c r="R629" s="20"/>
      <c r="S629" s="20"/>
    </row>
    <row r="630">
      <c r="A630" s="4"/>
      <c r="B630" s="4"/>
      <c r="C630" s="37"/>
      <c r="D630" s="7" t="str">
        <f>IFERROR(__xludf.DUMMYFUNCTION("iferror(iferror(INDEX(IMPORTRANGE(""12vtnxaE_Q1s4tyr10kZQx7ZF_xG0lBFae4jQEUtgsMU"",""All!B2:B""),MATCH($C630,IMPORTRANGE(""12vtnxaE_Q1s4tyr10kZQx7ZF_xG0lBFae4jQEUtgsMU"",""All!A2:A""),0)),INDEX(IMPORTRANGE(""13KC70HngS4DDi8y9E5khtSpQEPG6owaQ9z4E-tR5mnY"","&amp;"""Non-Food!B2:B""),MATCH($C630,IMPORTRANGE(""13KC70HngS4DDi8y9E5khtSpQEPG6owaQ9z4E-tR5mnY"",""Non-Food!A2:A""),0))),"""")"),"")</f>
        <v/>
      </c>
      <c r="E630" s="15"/>
      <c r="F630" s="15"/>
      <c r="G630" s="36"/>
      <c r="H630" s="23" t="str">
        <f>IFERROR(__xludf.DUMMYFUNCTION("iferror(iferror(iferror(index(IMPORTRANGE(""1NK5L1mviMn0j3D3uo53ASkIZOFRlLnqaCTnwzOG2_Wg"",""Direct Link!B2:B""),MATCH($C630,IMPORTRANGE(""1NK5L1mviMn0j3D3uo53ASkIZOFRlLnqaCTnwzOG2_Wg"",""Direct Link!A2:A""),0)),XLOOKUP($C630,IMPORTRANGE(""1NK5L1mviMn0j3D"&amp;"3uo53ASkIZOFRlLnqaCTnwzOG2_Wg"",""Direct links Without Sizes!A2:A""),IMPORTRANGE(""1NK5L1mviMn0j3D3uo53ASkIZOFRlLnqaCTnwzOG2_Wg"",""Direct links Without Sizes!B2:B""))),XLOOKUP($C630,IMPORTRANGE(""1NK5L1mviMn0j3D3uo53ASkIZOFRlLnqaCTnwzOG2_Wg"",""Direct li"&amp;"nks Without Sizes!D2:D""),IMPORTRANGE(""1NK5L1mviMn0j3D3uo53ASkIZOFRlLnqaCTnwzOG2_Wg"",""Direct links Without Sizes!E2:E""))),"""")"),"")</f>
        <v/>
      </c>
      <c r="I630" s="4"/>
      <c r="J630" s="24" t="str">
        <f t="shared" si="1"/>
        <v/>
      </c>
      <c r="K630" s="25"/>
      <c r="L630" s="24" t="str">
        <f t="shared" si="2"/>
        <v/>
      </c>
      <c r="M630" s="4"/>
      <c r="N630" s="23"/>
      <c r="O630" s="23"/>
      <c r="P630" s="23"/>
      <c r="Q630" s="4" t="str">
        <f t="shared" si="4"/>
        <v/>
      </c>
      <c r="R630" s="20"/>
      <c r="S630" s="20"/>
    </row>
    <row r="631">
      <c r="A631" s="4"/>
      <c r="B631" s="4"/>
      <c r="C631" s="37"/>
      <c r="D631" s="7" t="str">
        <f>IFERROR(__xludf.DUMMYFUNCTION("iferror(iferror(INDEX(IMPORTRANGE(""12vtnxaE_Q1s4tyr10kZQx7ZF_xG0lBFae4jQEUtgsMU"",""All!B2:B""),MATCH($C631,IMPORTRANGE(""12vtnxaE_Q1s4tyr10kZQx7ZF_xG0lBFae4jQEUtgsMU"",""All!A2:A""),0)),INDEX(IMPORTRANGE(""13KC70HngS4DDi8y9E5khtSpQEPG6owaQ9z4E-tR5mnY"","&amp;"""Non-Food!B2:B""),MATCH($C631,IMPORTRANGE(""13KC70HngS4DDi8y9E5khtSpQEPG6owaQ9z4E-tR5mnY"",""Non-Food!A2:A""),0))),"""")"),"")</f>
        <v/>
      </c>
      <c r="E631" s="15"/>
      <c r="F631" s="15"/>
      <c r="G631" s="36"/>
      <c r="H631" s="23" t="str">
        <f>IFERROR(__xludf.DUMMYFUNCTION("iferror(iferror(iferror(index(IMPORTRANGE(""1NK5L1mviMn0j3D3uo53ASkIZOFRlLnqaCTnwzOG2_Wg"",""Direct Link!B2:B""),MATCH($C631,IMPORTRANGE(""1NK5L1mviMn0j3D3uo53ASkIZOFRlLnqaCTnwzOG2_Wg"",""Direct Link!A2:A""),0)),XLOOKUP($C631,IMPORTRANGE(""1NK5L1mviMn0j3D"&amp;"3uo53ASkIZOFRlLnqaCTnwzOG2_Wg"",""Direct links Without Sizes!A2:A""),IMPORTRANGE(""1NK5L1mviMn0j3D3uo53ASkIZOFRlLnqaCTnwzOG2_Wg"",""Direct links Without Sizes!B2:B""))),XLOOKUP($C631,IMPORTRANGE(""1NK5L1mviMn0j3D3uo53ASkIZOFRlLnqaCTnwzOG2_Wg"",""Direct li"&amp;"nks Without Sizes!D2:D""),IMPORTRANGE(""1NK5L1mviMn0j3D3uo53ASkIZOFRlLnqaCTnwzOG2_Wg"",""Direct links Without Sizes!E2:E""))),"""")"),"")</f>
        <v/>
      </c>
      <c r="I631" s="4"/>
      <c r="J631" s="24" t="str">
        <f t="shared" si="1"/>
        <v/>
      </c>
      <c r="K631" s="25"/>
      <c r="L631" s="24" t="str">
        <f t="shared" si="2"/>
        <v/>
      </c>
      <c r="M631" s="4"/>
      <c r="N631" s="23"/>
      <c r="O631" s="23"/>
      <c r="P631" s="23"/>
      <c r="Q631" s="4" t="str">
        <f t="shared" si="4"/>
        <v/>
      </c>
      <c r="R631" s="20"/>
      <c r="S631" s="20"/>
    </row>
    <row r="632">
      <c r="A632" s="4"/>
      <c r="B632" s="4"/>
      <c r="C632" s="37"/>
      <c r="D632" s="7" t="str">
        <f>IFERROR(__xludf.DUMMYFUNCTION("iferror(iferror(INDEX(IMPORTRANGE(""12vtnxaE_Q1s4tyr10kZQx7ZF_xG0lBFae4jQEUtgsMU"",""All!B2:B""),MATCH($C632,IMPORTRANGE(""12vtnxaE_Q1s4tyr10kZQx7ZF_xG0lBFae4jQEUtgsMU"",""All!A2:A""),0)),INDEX(IMPORTRANGE(""13KC70HngS4DDi8y9E5khtSpQEPG6owaQ9z4E-tR5mnY"","&amp;"""Non-Food!B2:B""),MATCH($C632,IMPORTRANGE(""13KC70HngS4DDi8y9E5khtSpQEPG6owaQ9z4E-tR5mnY"",""Non-Food!A2:A""),0))),"""")"),"")</f>
        <v/>
      </c>
      <c r="E632" s="15"/>
      <c r="F632" s="15"/>
      <c r="G632" s="36"/>
      <c r="H632" s="23" t="str">
        <f>IFERROR(__xludf.DUMMYFUNCTION("iferror(iferror(iferror(index(IMPORTRANGE(""1NK5L1mviMn0j3D3uo53ASkIZOFRlLnqaCTnwzOG2_Wg"",""Direct Link!B2:B""),MATCH($C632,IMPORTRANGE(""1NK5L1mviMn0j3D3uo53ASkIZOFRlLnqaCTnwzOG2_Wg"",""Direct Link!A2:A""),0)),XLOOKUP($C632,IMPORTRANGE(""1NK5L1mviMn0j3D"&amp;"3uo53ASkIZOFRlLnqaCTnwzOG2_Wg"",""Direct links Without Sizes!A2:A""),IMPORTRANGE(""1NK5L1mviMn0j3D3uo53ASkIZOFRlLnqaCTnwzOG2_Wg"",""Direct links Without Sizes!B2:B""))),XLOOKUP($C632,IMPORTRANGE(""1NK5L1mviMn0j3D3uo53ASkIZOFRlLnqaCTnwzOG2_Wg"",""Direct li"&amp;"nks Without Sizes!D2:D""),IMPORTRANGE(""1NK5L1mviMn0j3D3uo53ASkIZOFRlLnqaCTnwzOG2_Wg"",""Direct links Without Sizes!E2:E""))),"""")"),"")</f>
        <v/>
      </c>
      <c r="I632" s="4"/>
      <c r="J632" s="24" t="str">
        <f t="shared" si="1"/>
        <v/>
      </c>
      <c r="K632" s="25"/>
      <c r="L632" s="24" t="str">
        <f t="shared" si="2"/>
        <v/>
      </c>
      <c r="M632" s="4"/>
      <c r="N632" s="23"/>
      <c r="O632" s="23"/>
      <c r="P632" s="23"/>
      <c r="Q632" s="4" t="str">
        <f t="shared" si="4"/>
        <v/>
      </c>
      <c r="R632" s="20"/>
      <c r="S632" s="20"/>
    </row>
    <row r="633">
      <c r="A633" s="4"/>
      <c r="B633" s="4"/>
      <c r="C633" s="37"/>
      <c r="D633" s="7" t="str">
        <f>IFERROR(__xludf.DUMMYFUNCTION("iferror(iferror(INDEX(IMPORTRANGE(""12vtnxaE_Q1s4tyr10kZQx7ZF_xG0lBFae4jQEUtgsMU"",""All!B2:B""),MATCH($C633,IMPORTRANGE(""12vtnxaE_Q1s4tyr10kZQx7ZF_xG0lBFae4jQEUtgsMU"",""All!A2:A""),0)),INDEX(IMPORTRANGE(""13KC70HngS4DDi8y9E5khtSpQEPG6owaQ9z4E-tR5mnY"","&amp;"""Non-Food!B2:B""),MATCH($C633,IMPORTRANGE(""13KC70HngS4DDi8y9E5khtSpQEPG6owaQ9z4E-tR5mnY"",""Non-Food!A2:A""),0))),"""")"),"")</f>
        <v/>
      </c>
      <c r="E633" s="15"/>
      <c r="F633" s="15"/>
      <c r="G633" s="36"/>
      <c r="H633" s="23" t="str">
        <f>IFERROR(__xludf.DUMMYFUNCTION("iferror(iferror(iferror(index(IMPORTRANGE(""1NK5L1mviMn0j3D3uo53ASkIZOFRlLnqaCTnwzOG2_Wg"",""Direct Link!B2:B""),MATCH($C633,IMPORTRANGE(""1NK5L1mviMn0j3D3uo53ASkIZOFRlLnqaCTnwzOG2_Wg"",""Direct Link!A2:A""),0)),XLOOKUP($C633,IMPORTRANGE(""1NK5L1mviMn0j3D"&amp;"3uo53ASkIZOFRlLnqaCTnwzOG2_Wg"",""Direct links Without Sizes!A2:A""),IMPORTRANGE(""1NK5L1mviMn0j3D3uo53ASkIZOFRlLnqaCTnwzOG2_Wg"",""Direct links Without Sizes!B2:B""))),XLOOKUP($C633,IMPORTRANGE(""1NK5L1mviMn0j3D3uo53ASkIZOFRlLnqaCTnwzOG2_Wg"",""Direct li"&amp;"nks Without Sizes!D2:D""),IMPORTRANGE(""1NK5L1mviMn0j3D3uo53ASkIZOFRlLnqaCTnwzOG2_Wg"",""Direct links Without Sizes!E2:E""))),"""")"),"")</f>
        <v/>
      </c>
      <c r="I633" s="4"/>
      <c r="J633" s="24" t="str">
        <f t="shared" si="1"/>
        <v/>
      </c>
      <c r="K633" s="25"/>
      <c r="L633" s="24" t="str">
        <f t="shared" si="2"/>
        <v/>
      </c>
      <c r="M633" s="4"/>
      <c r="N633" s="23"/>
      <c r="O633" s="23"/>
      <c r="P633" s="23"/>
      <c r="Q633" s="4" t="str">
        <f t="shared" si="4"/>
        <v/>
      </c>
      <c r="R633" s="20"/>
      <c r="S633" s="20"/>
    </row>
    <row r="634">
      <c r="A634" s="4"/>
      <c r="B634" s="4"/>
      <c r="C634" s="37"/>
      <c r="D634" s="7" t="str">
        <f>IFERROR(__xludf.DUMMYFUNCTION("iferror(iferror(INDEX(IMPORTRANGE(""12vtnxaE_Q1s4tyr10kZQx7ZF_xG0lBFae4jQEUtgsMU"",""All!B2:B""),MATCH($C634,IMPORTRANGE(""12vtnxaE_Q1s4tyr10kZQx7ZF_xG0lBFae4jQEUtgsMU"",""All!A2:A""),0)),INDEX(IMPORTRANGE(""13KC70HngS4DDi8y9E5khtSpQEPG6owaQ9z4E-tR5mnY"","&amp;"""Non-Food!B2:B""),MATCH($C634,IMPORTRANGE(""13KC70HngS4DDi8y9E5khtSpQEPG6owaQ9z4E-tR5mnY"",""Non-Food!A2:A""),0))),"""")"),"")</f>
        <v/>
      </c>
      <c r="E634" s="15"/>
      <c r="F634" s="15"/>
      <c r="G634" s="36"/>
      <c r="H634" s="23" t="str">
        <f>IFERROR(__xludf.DUMMYFUNCTION("iferror(iferror(iferror(index(IMPORTRANGE(""1NK5L1mviMn0j3D3uo53ASkIZOFRlLnqaCTnwzOG2_Wg"",""Direct Link!B2:B""),MATCH($C634,IMPORTRANGE(""1NK5L1mviMn0j3D3uo53ASkIZOFRlLnqaCTnwzOG2_Wg"",""Direct Link!A2:A""),0)),XLOOKUP($C634,IMPORTRANGE(""1NK5L1mviMn0j3D"&amp;"3uo53ASkIZOFRlLnqaCTnwzOG2_Wg"",""Direct links Without Sizes!A2:A""),IMPORTRANGE(""1NK5L1mviMn0j3D3uo53ASkIZOFRlLnqaCTnwzOG2_Wg"",""Direct links Without Sizes!B2:B""))),XLOOKUP($C634,IMPORTRANGE(""1NK5L1mviMn0j3D3uo53ASkIZOFRlLnqaCTnwzOG2_Wg"",""Direct li"&amp;"nks Without Sizes!D2:D""),IMPORTRANGE(""1NK5L1mviMn0j3D3uo53ASkIZOFRlLnqaCTnwzOG2_Wg"",""Direct links Without Sizes!E2:E""))),"""")"),"")</f>
        <v/>
      </c>
      <c r="I634" s="4"/>
      <c r="J634" s="24" t="str">
        <f t="shared" si="1"/>
        <v/>
      </c>
      <c r="K634" s="25"/>
      <c r="L634" s="24" t="str">
        <f t="shared" si="2"/>
        <v/>
      </c>
      <c r="M634" s="4"/>
      <c r="N634" s="23"/>
      <c r="O634" s="23"/>
      <c r="P634" s="23"/>
      <c r="Q634" s="4" t="str">
        <f t="shared" si="4"/>
        <v/>
      </c>
      <c r="R634" s="20"/>
      <c r="S634" s="20"/>
    </row>
    <row r="635">
      <c r="A635" s="4"/>
      <c r="B635" s="4"/>
      <c r="C635" s="37"/>
      <c r="D635" s="7" t="str">
        <f>IFERROR(__xludf.DUMMYFUNCTION("iferror(iferror(INDEX(IMPORTRANGE(""12vtnxaE_Q1s4tyr10kZQx7ZF_xG0lBFae4jQEUtgsMU"",""All!B2:B""),MATCH($C635,IMPORTRANGE(""12vtnxaE_Q1s4tyr10kZQx7ZF_xG0lBFae4jQEUtgsMU"",""All!A2:A""),0)),INDEX(IMPORTRANGE(""13KC70HngS4DDi8y9E5khtSpQEPG6owaQ9z4E-tR5mnY"","&amp;"""Non-Food!B2:B""),MATCH($C635,IMPORTRANGE(""13KC70HngS4DDi8y9E5khtSpQEPG6owaQ9z4E-tR5mnY"",""Non-Food!A2:A""),0))),"""")"),"")</f>
        <v/>
      </c>
      <c r="E635" s="15"/>
      <c r="F635" s="15"/>
      <c r="G635" s="36"/>
      <c r="H635" s="23" t="str">
        <f>IFERROR(__xludf.DUMMYFUNCTION("iferror(iferror(iferror(index(IMPORTRANGE(""1NK5L1mviMn0j3D3uo53ASkIZOFRlLnqaCTnwzOG2_Wg"",""Direct Link!B2:B""),MATCH($C635,IMPORTRANGE(""1NK5L1mviMn0j3D3uo53ASkIZOFRlLnqaCTnwzOG2_Wg"",""Direct Link!A2:A""),0)),XLOOKUP($C635,IMPORTRANGE(""1NK5L1mviMn0j3D"&amp;"3uo53ASkIZOFRlLnqaCTnwzOG2_Wg"",""Direct links Without Sizes!A2:A""),IMPORTRANGE(""1NK5L1mviMn0j3D3uo53ASkIZOFRlLnqaCTnwzOG2_Wg"",""Direct links Without Sizes!B2:B""))),XLOOKUP($C635,IMPORTRANGE(""1NK5L1mviMn0j3D3uo53ASkIZOFRlLnqaCTnwzOG2_Wg"",""Direct li"&amp;"nks Without Sizes!D2:D""),IMPORTRANGE(""1NK5L1mviMn0j3D3uo53ASkIZOFRlLnqaCTnwzOG2_Wg"",""Direct links Without Sizes!E2:E""))),"""")"),"")</f>
        <v/>
      </c>
      <c r="I635" s="4"/>
      <c r="J635" s="24" t="str">
        <f t="shared" si="1"/>
        <v/>
      </c>
      <c r="K635" s="25"/>
      <c r="L635" s="24" t="str">
        <f t="shared" si="2"/>
        <v/>
      </c>
      <c r="M635" s="4"/>
      <c r="N635" s="23"/>
      <c r="O635" s="23"/>
      <c r="P635" s="23"/>
      <c r="Q635" s="4" t="str">
        <f t="shared" si="4"/>
        <v/>
      </c>
      <c r="R635" s="20"/>
      <c r="S635" s="20"/>
    </row>
    <row r="636">
      <c r="A636" s="4"/>
      <c r="B636" s="4"/>
      <c r="C636" s="37"/>
      <c r="D636" s="7" t="str">
        <f>IFERROR(__xludf.DUMMYFUNCTION("iferror(iferror(INDEX(IMPORTRANGE(""12vtnxaE_Q1s4tyr10kZQx7ZF_xG0lBFae4jQEUtgsMU"",""All!B2:B""),MATCH($C636,IMPORTRANGE(""12vtnxaE_Q1s4tyr10kZQx7ZF_xG0lBFae4jQEUtgsMU"",""All!A2:A""),0)),INDEX(IMPORTRANGE(""13KC70HngS4DDi8y9E5khtSpQEPG6owaQ9z4E-tR5mnY"","&amp;"""Non-Food!B2:B""),MATCH($C636,IMPORTRANGE(""13KC70HngS4DDi8y9E5khtSpQEPG6owaQ9z4E-tR5mnY"",""Non-Food!A2:A""),0))),"""")"),"")</f>
        <v/>
      </c>
      <c r="E636" s="15"/>
      <c r="F636" s="15"/>
      <c r="G636" s="36"/>
      <c r="H636" s="23" t="str">
        <f>IFERROR(__xludf.DUMMYFUNCTION("iferror(iferror(iferror(index(IMPORTRANGE(""1NK5L1mviMn0j3D3uo53ASkIZOFRlLnqaCTnwzOG2_Wg"",""Direct Link!B2:B""),MATCH($C636,IMPORTRANGE(""1NK5L1mviMn0j3D3uo53ASkIZOFRlLnqaCTnwzOG2_Wg"",""Direct Link!A2:A""),0)),XLOOKUP($C636,IMPORTRANGE(""1NK5L1mviMn0j3D"&amp;"3uo53ASkIZOFRlLnqaCTnwzOG2_Wg"",""Direct links Without Sizes!A2:A""),IMPORTRANGE(""1NK5L1mviMn0j3D3uo53ASkIZOFRlLnqaCTnwzOG2_Wg"",""Direct links Without Sizes!B2:B""))),XLOOKUP($C636,IMPORTRANGE(""1NK5L1mviMn0j3D3uo53ASkIZOFRlLnqaCTnwzOG2_Wg"",""Direct li"&amp;"nks Without Sizes!D2:D""),IMPORTRANGE(""1NK5L1mviMn0j3D3uo53ASkIZOFRlLnqaCTnwzOG2_Wg"",""Direct links Without Sizes!E2:E""))),"""")"),"")</f>
        <v/>
      </c>
      <c r="I636" s="4"/>
      <c r="J636" s="24" t="str">
        <f t="shared" si="1"/>
        <v/>
      </c>
      <c r="K636" s="25"/>
      <c r="L636" s="24" t="str">
        <f t="shared" si="2"/>
        <v/>
      </c>
      <c r="M636" s="4"/>
      <c r="N636" s="23"/>
      <c r="O636" s="23"/>
      <c r="P636" s="23"/>
      <c r="Q636" s="4" t="str">
        <f t="shared" si="4"/>
        <v/>
      </c>
      <c r="R636" s="20"/>
      <c r="S636" s="20"/>
    </row>
    <row r="637">
      <c r="A637" s="4"/>
      <c r="B637" s="4"/>
      <c r="C637" s="37"/>
      <c r="D637" s="7" t="str">
        <f>IFERROR(__xludf.DUMMYFUNCTION("iferror(iferror(INDEX(IMPORTRANGE(""12vtnxaE_Q1s4tyr10kZQx7ZF_xG0lBFae4jQEUtgsMU"",""All!B2:B""),MATCH($C637,IMPORTRANGE(""12vtnxaE_Q1s4tyr10kZQx7ZF_xG0lBFae4jQEUtgsMU"",""All!A2:A""),0)),INDEX(IMPORTRANGE(""13KC70HngS4DDi8y9E5khtSpQEPG6owaQ9z4E-tR5mnY"","&amp;"""Non-Food!B2:B""),MATCH($C637,IMPORTRANGE(""13KC70HngS4DDi8y9E5khtSpQEPG6owaQ9z4E-tR5mnY"",""Non-Food!A2:A""),0))),"""")"),"")</f>
        <v/>
      </c>
      <c r="E637" s="15"/>
      <c r="F637" s="15"/>
      <c r="G637" s="36"/>
      <c r="H637" s="23" t="str">
        <f>IFERROR(__xludf.DUMMYFUNCTION("iferror(iferror(iferror(index(IMPORTRANGE(""1NK5L1mviMn0j3D3uo53ASkIZOFRlLnqaCTnwzOG2_Wg"",""Direct Link!B2:B""),MATCH($C637,IMPORTRANGE(""1NK5L1mviMn0j3D3uo53ASkIZOFRlLnqaCTnwzOG2_Wg"",""Direct Link!A2:A""),0)),XLOOKUP($C637,IMPORTRANGE(""1NK5L1mviMn0j3D"&amp;"3uo53ASkIZOFRlLnqaCTnwzOG2_Wg"",""Direct links Without Sizes!A2:A""),IMPORTRANGE(""1NK5L1mviMn0j3D3uo53ASkIZOFRlLnqaCTnwzOG2_Wg"",""Direct links Without Sizes!B2:B""))),XLOOKUP($C637,IMPORTRANGE(""1NK5L1mviMn0j3D3uo53ASkIZOFRlLnqaCTnwzOG2_Wg"",""Direct li"&amp;"nks Without Sizes!D2:D""),IMPORTRANGE(""1NK5L1mviMn0j3D3uo53ASkIZOFRlLnqaCTnwzOG2_Wg"",""Direct links Without Sizes!E2:E""))),"""")"),"")</f>
        <v/>
      </c>
      <c r="I637" s="4"/>
      <c r="J637" s="24" t="str">
        <f t="shared" si="1"/>
        <v/>
      </c>
      <c r="K637" s="25"/>
      <c r="L637" s="24" t="str">
        <f t="shared" si="2"/>
        <v/>
      </c>
      <c r="M637" s="4"/>
      <c r="N637" s="23"/>
      <c r="O637" s="23"/>
      <c r="P637" s="23"/>
      <c r="Q637" s="4" t="str">
        <f t="shared" si="4"/>
        <v/>
      </c>
      <c r="R637" s="20"/>
      <c r="S637" s="20"/>
    </row>
    <row r="638">
      <c r="A638" s="4"/>
      <c r="B638" s="4"/>
      <c r="C638" s="37"/>
      <c r="D638" s="7" t="str">
        <f>IFERROR(__xludf.DUMMYFUNCTION("iferror(iferror(INDEX(IMPORTRANGE(""12vtnxaE_Q1s4tyr10kZQx7ZF_xG0lBFae4jQEUtgsMU"",""All!B2:B""),MATCH($C638,IMPORTRANGE(""12vtnxaE_Q1s4tyr10kZQx7ZF_xG0lBFae4jQEUtgsMU"",""All!A2:A""),0)),INDEX(IMPORTRANGE(""13KC70HngS4DDi8y9E5khtSpQEPG6owaQ9z4E-tR5mnY"","&amp;"""Non-Food!B2:B""),MATCH($C638,IMPORTRANGE(""13KC70HngS4DDi8y9E5khtSpQEPG6owaQ9z4E-tR5mnY"",""Non-Food!A2:A""),0))),"""")"),"")</f>
        <v/>
      </c>
      <c r="E638" s="15"/>
      <c r="F638" s="15"/>
      <c r="G638" s="36"/>
      <c r="H638" s="23" t="str">
        <f>IFERROR(__xludf.DUMMYFUNCTION("iferror(iferror(iferror(index(IMPORTRANGE(""1NK5L1mviMn0j3D3uo53ASkIZOFRlLnqaCTnwzOG2_Wg"",""Direct Link!B2:B""),MATCH($C638,IMPORTRANGE(""1NK5L1mviMn0j3D3uo53ASkIZOFRlLnqaCTnwzOG2_Wg"",""Direct Link!A2:A""),0)),XLOOKUP($C638,IMPORTRANGE(""1NK5L1mviMn0j3D"&amp;"3uo53ASkIZOFRlLnqaCTnwzOG2_Wg"",""Direct links Without Sizes!A2:A""),IMPORTRANGE(""1NK5L1mviMn0j3D3uo53ASkIZOFRlLnqaCTnwzOG2_Wg"",""Direct links Without Sizes!B2:B""))),XLOOKUP($C638,IMPORTRANGE(""1NK5L1mviMn0j3D3uo53ASkIZOFRlLnqaCTnwzOG2_Wg"",""Direct li"&amp;"nks Without Sizes!D2:D""),IMPORTRANGE(""1NK5L1mviMn0j3D3uo53ASkIZOFRlLnqaCTnwzOG2_Wg"",""Direct links Without Sizes!E2:E""))),"""")"),"")</f>
        <v/>
      </c>
      <c r="I638" s="4"/>
      <c r="J638" s="24" t="str">
        <f t="shared" si="1"/>
        <v/>
      </c>
      <c r="K638" s="25"/>
      <c r="L638" s="24" t="str">
        <f t="shared" si="2"/>
        <v/>
      </c>
      <c r="M638" s="4"/>
      <c r="N638" s="23"/>
      <c r="O638" s="23"/>
      <c r="P638" s="23"/>
      <c r="Q638" s="4" t="str">
        <f t="shared" si="4"/>
        <v/>
      </c>
      <c r="R638" s="20"/>
      <c r="S638" s="20"/>
    </row>
    <row r="639">
      <c r="A639" s="4"/>
      <c r="B639" s="4"/>
      <c r="C639" s="37"/>
      <c r="D639" s="7" t="str">
        <f>IFERROR(__xludf.DUMMYFUNCTION("iferror(iferror(INDEX(IMPORTRANGE(""12vtnxaE_Q1s4tyr10kZQx7ZF_xG0lBFae4jQEUtgsMU"",""All!B2:B""),MATCH($C639,IMPORTRANGE(""12vtnxaE_Q1s4tyr10kZQx7ZF_xG0lBFae4jQEUtgsMU"",""All!A2:A""),0)),INDEX(IMPORTRANGE(""13KC70HngS4DDi8y9E5khtSpQEPG6owaQ9z4E-tR5mnY"","&amp;"""Non-Food!B2:B""),MATCH($C639,IMPORTRANGE(""13KC70HngS4DDi8y9E5khtSpQEPG6owaQ9z4E-tR5mnY"",""Non-Food!A2:A""),0))),"""")"),"")</f>
        <v/>
      </c>
      <c r="E639" s="15"/>
      <c r="F639" s="15"/>
      <c r="G639" s="36"/>
      <c r="H639" s="23" t="str">
        <f>IFERROR(__xludf.DUMMYFUNCTION("iferror(iferror(iferror(index(IMPORTRANGE(""1NK5L1mviMn0j3D3uo53ASkIZOFRlLnqaCTnwzOG2_Wg"",""Direct Link!B2:B""),MATCH($C639,IMPORTRANGE(""1NK5L1mviMn0j3D3uo53ASkIZOFRlLnqaCTnwzOG2_Wg"",""Direct Link!A2:A""),0)),XLOOKUP($C639,IMPORTRANGE(""1NK5L1mviMn0j3D"&amp;"3uo53ASkIZOFRlLnqaCTnwzOG2_Wg"",""Direct links Without Sizes!A2:A""),IMPORTRANGE(""1NK5L1mviMn0j3D3uo53ASkIZOFRlLnqaCTnwzOG2_Wg"",""Direct links Without Sizes!B2:B""))),XLOOKUP($C639,IMPORTRANGE(""1NK5L1mviMn0j3D3uo53ASkIZOFRlLnqaCTnwzOG2_Wg"",""Direct li"&amp;"nks Without Sizes!D2:D""),IMPORTRANGE(""1NK5L1mviMn0j3D3uo53ASkIZOFRlLnqaCTnwzOG2_Wg"",""Direct links Without Sizes!E2:E""))),"""")"),"")</f>
        <v/>
      </c>
      <c r="I639" s="4"/>
      <c r="J639" s="24" t="str">
        <f t="shared" si="1"/>
        <v/>
      </c>
      <c r="K639" s="25"/>
      <c r="L639" s="24" t="str">
        <f t="shared" si="2"/>
        <v/>
      </c>
      <c r="M639" s="4"/>
      <c r="N639" s="23"/>
      <c r="O639" s="23"/>
      <c r="P639" s="23"/>
      <c r="Q639" s="4" t="str">
        <f t="shared" si="4"/>
        <v/>
      </c>
      <c r="R639" s="20"/>
      <c r="S639" s="20"/>
    </row>
    <row r="640">
      <c r="A640" s="4"/>
      <c r="B640" s="4"/>
      <c r="C640" s="37"/>
      <c r="D640" s="7" t="str">
        <f>IFERROR(__xludf.DUMMYFUNCTION("iferror(iferror(INDEX(IMPORTRANGE(""12vtnxaE_Q1s4tyr10kZQx7ZF_xG0lBFae4jQEUtgsMU"",""All!B2:B""),MATCH($C640,IMPORTRANGE(""12vtnxaE_Q1s4tyr10kZQx7ZF_xG0lBFae4jQEUtgsMU"",""All!A2:A""),0)),INDEX(IMPORTRANGE(""13KC70HngS4DDi8y9E5khtSpQEPG6owaQ9z4E-tR5mnY"","&amp;"""Non-Food!B2:B""),MATCH($C640,IMPORTRANGE(""13KC70HngS4DDi8y9E5khtSpQEPG6owaQ9z4E-tR5mnY"",""Non-Food!A2:A""),0))),"""")"),"")</f>
        <v/>
      </c>
      <c r="E640" s="15"/>
      <c r="F640" s="15"/>
      <c r="G640" s="36"/>
      <c r="H640" s="23" t="str">
        <f>IFERROR(__xludf.DUMMYFUNCTION("iferror(iferror(iferror(index(IMPORTRANGE(""1NK5L1mviMn0j3D3uo53ASkIZOFRlLnqaCTnwzOG2_Wg"",""Direct Link!B2:B""),MATCH($C640,IMPORTRANGE(""1NK5L1mviMn0j3D3uo53ASkIZOFRlLnqaCTnwzOG2_Wg"",""Direct Link!A2:A""),0)),XLOOKUP($C640,IMPORTRANGE(""1NK5L1mviMn0j3D"&amp;"3uo53ASkIZOFRlLnqaCTnwzOG2_Wg"",""Direct links Without Sizes!A2:A""),IMPORTRANGE(""1NK5L1mviMn0j3D3uo53ASkIZOFRlLnqaCTnwzOG2_Wg"",""Direct links Without Sizes!B2:B""))),XLOOKUP($C640,IMPORTRANGE(""1NK5L1mviMn0j3D3uo53ASkIZOFRlLnqaCTnwzOG2_Wg"",""Direct li"&amp;"nks Without Sizes!D2:D""),IMPORTRANGE(""1NK5L1mviMn0j3D3uo53ASkIZOFRlLnqaCTnwzOG2_Wg"",""Direct links Without Sizes!E2:E""))),"""")"),"")</f>
        <v/>
      </c>
      <c r="I640" s="4"/>
      <c r="J640" s="24" t="str">
        <f t="shared" si="1"/>
        <v/>
      </c>
      <c r="K640" s="25"/>
      <c r="L640" s="24" t="str">
        <f t="shared" si="2"/>
        <v/>
      </c>
      <c r="M640" s="4"/>
      <c r="N640" s="23"/>
      <c r="O640" s="23"/>
      <c r="P640" s="23"/>
      <c r="Q640" s="4" t="str">
        <f t="shared" si="4"/>
        <v/>
      </c>
      <c r="R640" s="20"/>
      <c r="S640" s="20"/>
    </row>
    <row r="641">
      <c r="A641" s="4"/>
      <c r="B641" s="4"/>
      <c r="C641" s="37"/>
      <c r="D641" s="7" t="str">
        <f>IFERROR(__xludf.DUMMYFUNCTION("iferror(iferror(INDEX(IMPORTRANGE(""12vtnxaE_Q1s4tyr10kZQx7ZF_xG0lBFae4jQEUtgsMU"",""All!B2:B""),MATCH($C641,IMPORTRANGE(""12vtnxaE_Q1s4tyr10kZQx7ZF_xG0lBFae4jQEUtgsMU"",""All!A2:A""),0)),INDEX(IMPORTRANGE(""13KC70HngS4DDi8y9E5khtSpQEPG6owaQ9z4E-tR5mnY"","&amp;"""Non-Food!B2:B""),MATCH($C641,IMPORTRANGE(""13KC70HngS4DDi8y9E5khtSpQEPG6owaQ9z4E-tR5mnY"",""Non-Food!A2:A""),0))),"""")"),"")</f>
        <v/>
      </c>
      <c r="E641" s="15"/>
      <c r="F641" s="15"/>
      <c r="G641" s="36"/>
      <c r="H641" s="23" t="str">
        <f>IFERROR(__xludf.DUMMYFUNCTION("iferror(iferror(iferror(index(IMPORTRANGE(""1NK5L1mviMn0j3D3uo53ASkIZOFRlLnqaCTnwzOG2_Wg"",""Direct Link!B2:B""),MATCH($C641,IMPORTRANGE(""1NK5L1mviMn0j3D3uo53ASkIZOFRlLnqaCTnwzOG2_Wg"",""Direct Link!A2:A""),0)),XLOOKUP($C641,IMPORTRANGE(""1NK5L1mviMn0j3D"&amp;"3uo53ASkIZOFRlLnqaCTnwzOG2_Wg"",""Direct links Without Sizes!A2:A""),IMPORTRANGE(""1NK5L1mviMn0j3D3uo53ASkIZOFRlLnqaCTnwzOG2_Wg"",""Direct links Without Sizes!B2:B""))),XLOOKUP($C641,IMPORTRANGE(""1NK5L1mviMn0j3D3uo53ASkIZOFRlLnqaCTnwzOG2_Wg"",""Direct li"&amp;"nks Without Sizes!D2:D""),IMPORTRANGE(""1NK5L1mviMn0j3D3uo53ASkIZOFRlLnqaCTnwzOG2_Wg"",""Direct links Without Sizes!E2:E""))),"""")"),"")</f>
        <v/>
      </c>
      <c r="I641" s="4"/>
      <c r="J641" s="24" t="str">
        <f t="shared" si="1"/>
        <v/>
      </c>
      <c r="K641" s="25"/>
      <c r="L641" s="24" t="str">
        <f t="shared" si="2"/>
        <v/>
      </c>
      <c r="M641" s="4"/>
      <c r="N641" s="23"/>
      <c r="O641" s="23"/>
      <c r="P641" s="23"/>
      <c r="Q641" s="4" t="str">
        <f t="shared" si="4"/>
        <v/>
      </c>
      <c r="R641" s="20"/>
      <c r="S641" s="20"/>
    </row>
    <row r="642">
      <c r="A642" s="4"/>
      <c r="B642" s="4"/>
      <c r="C642" s="37"/>
      <c r="D642" s="7" t="str">
        <f>IFERROR(__xludf.DUMMYFUNCTION("iferror(iferror(INDEX(IMPORTRANGE(""12vtnxaE_Q1s4tyr10kZQx7ZF_xG0lBFae4jQEUtgsMU"",""All!B2:B""),MATCH($C642,IMPORTRANGE(""12vtnxaE_Q1s4tyr10kZQx7ZF_xG0lBFae4jQEUtgsMU"",""All!A2:A""),0)),INDEX(IMPORTRANGE(""13KC70HngS4DDi8y9E5khtSpQEPG6owaQ9z4E-tR5mnY"","&amp;"""Non-Food!B2:B""),MATCH($C642,IMPORTRANGE(""13KC70HngS4DDi8y9E5khtSpQEPG6owaQ9z4E-tR5mnY"",""Non-Food!A2:A""),0))),"""")"),"")</f>
        <v/>
      </c>
      <c r="E642" s="15"/>
      <c r="F642" s="15"/>
      <c r="G642" s="36"/>
      <c r="H642" s="23" t="str">
        <f>IFERROR(__xludf.DUMMYFUNCTION("iferror(iferror(iferror(index(IMPORTRANGE(""1NK5L1mviMn0j3D3uo53ASkIZOFRlLnqaCTnwzOG2_Wg"",""Direct Link!B2:B""),MATCH($C642,IMPORTRANGE(""1NK5L1mviMn0j3D3uo53ASkIZOFRlLnqaCTnwzOG2_Wg"",""Direct Link!A2:A""),0)),XLOOKUP($C642,IMPORTRANGE(""1NK5L1mviMn0j3D"&amp;"3uo53ASkIZOFRlLnqaCTnwzOG2_Wg"",""Direct links Without Sizes!A2:A""),IMPORTRANGE(""1NK5L1mviMn0j3D3uo53ASkIZOFRlLnqaCTnwzOG2_Wg"",""Direct links Without Sizes!B2:B""))),XLOOKUP($C642,IMPORTRANGE(""1NK5L1mviMn0j3D3uo53ASkIZOFRlLnqaCTnwzOG2_Wg"",""Direct li"&amp;"nks Without Sizes!D2:D""),IMPORTRANGE(""1NK5L1mviMn0j3D3uo53ASkIZOFRlLnqaCTnwzOG2_Wg"",""Direct links Without Sizes!E2:E""))),"""")"),"")</f>
        <v/>
      </c>
      <c r="I642" s="4"/>
      <c r="J642" s="24" t="str">
        <f t="shared" si="1"/>
        <v/>
      </c>
      <c r="K642" s="25"/>
      <c r="L642" s="24" t="str">
        <f t="shared" si="2"/>
        <v/>
      </c>
      <c r="M642" s="4"/>
      <c r="N642" s="23"/>
      <c r="O642" s="23"/>
      <c r="P642" s="23"/>
      <c r="Q642" s="4" t="str">
        <f t="shared" si="4"/>
        <v/>
      </c>
      <c r="R642" s="20"/>
      <c r="S642" s="20"/>
    </row>
    <row r="643">
      <c r="A643" s="4"/>
      <c r="B643" s="4"/>
      <c r="C643" s="37"/>
      <c r="D643" s="7" t="str">
        <f>IFERROR(__xludf.DUMMYFUNCTION("iferror(iferror(INDEX(IMPORTRANGE(""12vtnxaE_Q1s4tyr10kZQx7ZF_xG0lBFae4jQEUtgsMU"",""All!B2:B""),MATCH($C643,IMPORTRANGE(""12vtnxaE_Q1s4tyr10kZQx7ZF_xG0lBFae4jQEUtgsMU"",""All!A2:A""),0)),INDEX(IMPORTRANGE(""13KC70HngS4DDi8y9E5khtSpQEPG6owaQ9z4E-tR5mnY"","&amp;"""Non-Food!B2:B""),MATCH($C643,IMPORTRANGE(""13KC70HngS4DDi8y9E5khtSpQEPG6owaQ9z4E-tR5mnY"",""Non-Food!A2:A""),0))),"""")"),"")</f>
        <v/>
      </c>
      <c r="E643" s="15"/>
      <c r="F643" s="15"/>
      <c r="G643" s="36"/>
      <c r="H643" s="23" t="str">
        <f>IFERROR(__xludf.DUMMYFUNCTION("iferror(iferror(iferror(index(IMPORTRANGE(""1NK5L1mviMn0j3D3uo53ASkIZOFRlLnqaCTnwzOG2_Wg"",""Direct Link!B2:B""),MATCH($C643,IMPORTRANGE(""1NK5L1mviMn0j3D3uo53ASkIZOFRlLnqaCTnwzOG2_Wg"",""Direct Link!A2:A""),0)),XLOOKUP($C643,IMPORTRANGE(""1NK5L1mviMn0j3D"&amp;"3uo53ASkIZOFRlLnqaCTnwzOG2_Wg"",""Direct links Without Sizes!A2:A""),IMPORTRANGE(""1NK5L1mviMn0j3D3uo53ASkIZOFRlLnqaCTnwzOG2_Wg"",""Direct links Without Sizes!B2:B""))),XLOOKUP($C643,IMPORTRANGE(""1NK5L1mviMn0j3D3uo53ASkIZOFRlLnqaCTnwzOG2_Wg"",""Direct li"&amp;"nks Without Sizes!D2:D""),IMPORTRANGE(""1NK5L1mviMn0j3D3uo53ASkIZOFRlLnqaCTnwzOG2_Wg"",""Direct links Without Sizes!E2:E""))),"""")"),"")</f>
        <v/>
      </c>
      <c r="I643" s="4"/>
      <c r="J643" s="24" t="str">
        <f t="shared" si="1"/>
        <v/>
      </c>
      <c r="K643" s="25"/>
      <c r="L643" s="24" t="str">
        <f t="shared" si="2"/>
        <v/>
      </c>
      <c r="M643" s="4"/>
      <c r="N643" s="23"/>
      <c r="O643" s="23"/>
      <c r="P643" s="23"/>
      <c r="Q643" s="4" t="str">
        <f t="shared" si="4"/>
        <v/>
      </c>
      <c r="R643" s="20"/>
      <c r="S643" s="20"/>
    </row>
    <row r="644">
      <c r="A644" s="4"/>
      <c r="B644" s="4"/>
      <c r="C644" s="37"/>
      <c r="D644" s="7" t="str">
        <f>IFERROR(__xludf.DUMMYFUNCTION("iferror(iferror(INDEX(IMPORTRANGE(""12vtnxaE_Q1s4tyr10kZQx7ZF_xG0lBFae4jQEUtgsMU"",""All!B2:B""),MATCH($C644,IMPORTRANGE(""12vtnxaE_Q1s4tyr10kZQx7ZF_xG0lBFae4jQEUtgsMU"",""All!A2:A""),0)),INDEX(IMPORTRANGE(""13KC70HngS4DDi8y9E5khtSpQEPG6owaQ9z4E-tR5mnY"","&amp;"""Non-Food!B2:B""),MATCH($C644,IMPORTRANGE(""13KC70HngS4DDi8y9E5khtSpQEPG6owaQ9z4E-tR5mnY"",""Non-Food!A2:A""),0))),"""")"),"")</f>
        <v/>
      </c>
      <c r="E644" s="15"/>
      <c r="F644" s="15"/>
      <c r="G644" s="36"/>
      <c r="H644" s="23" t="str">
        <f>IFERROR(__xludf.DUMMYFUNCTION("iferror(iferror(iferror(index(IMPORTRANGE(""1NK5L1mviMn0j3D3uo53ASkIZOFRlLnqaCTnwzOG2_Wg"",""Direct Link!B2:B""),MATCH($C644,IMPORTRANGE(""1NK5L1mviMn0j3D3uo53ASkIZOFRlLnqaCTnwzOG2_Wg"",""Direct Link!A2:A""),0)),XLOOKUP($C644,IMPORTRANGE(""1NK5L1mviMn0j3D"&amp;"3uo53ASkIZOFRlLnqaCTnwzOG2_Wg"",""Direct links Without Sizes!A2:A""),IMPORTRANGE(""1NK5L1mviMn0j3D3uo53ASkIZOFRlLnqaCTnwzOG2_Wg"",""Direct links Without Sizes!B2:B""))),XLOOKUP($C644,IMPORTRANGE(""1NK5L1mviMn0j3D3uo53ASkIZOFRlLnqaCTnwzOG2_Wg"",""Direct li"&amp;"nks Without Sizes!D2:D""),IMPORTRANGE(""1NK5L1mviMn0j3D3uo53ASkIZOFRlLnqaCTnwzOG2_Wg"",""Direct links Without Sizes!E2:E""))),"""")"),"")</f>
        <v/>
      </c>
      <c r="I644" s="4"/>
      <c r="J644" s="24" t="str">
        <f t="shared" si="1"/>
        <v/>
      </c>
      <c r="K644" s="25"/>
      <c r="L644" s="24" t="str">
        <f t="shared" si="2"/>
        <v/>
      </c>
      <c r="M644" s="4"/>
      <c r="N644" s="23"/>
      <c r="O644" s="23"/>
      <c r="P644" s="23"/>
      <c r="Q644" s="4" t="str">
        <f t="shared" si="4"/>
        <v/>
      </c>
      <c r="R644" s="20"/>
      <c r="S644" s="20"/>
    </row>
    <row r="645">
      <c r="A645" s="4"/>
      <c r="B645" s="4"/>
      <c r="C645" s="37"/>
      <c r="D645" s="7" t="str">
        <f>IFERROR(__xludf.DUMMYFUNCTION("iferror(iferror(INDEX(IMPORTRANGE(""12vtnxaE_Q1s4tyr10kZQx7ZF_xG0lBFae4jQEUtgsMU"",""All!B2:B""),MATCH($C645,IMPORTRANGE(""12vtnxaE_Q1s4tyr10kZQx7ZF_xG0lBFae4jQEUtgsMU"",""All!A2:A""),0)),INDEX(IMPORTRANGE(""13KC70HngS4DDi8y9E5khtSpQEPG6owaQ9z4E-tR5mnY"","&amp;"""Non-Food!B2:B""),MATCH($C645,IMPORTRANGE(""13KC70HngS4DDi8y9E5khtSpQEPG6owaQ9z4E-tR5mnY"",""Non-Food!A2:A""),0))),"""")"),"")</f>
        <v/>
      </c>
      <c r="E645" s="15"/>
      <c r="F645" s="15"/>
      <c r="G645" s="36"/>
      <c r="H645" s="23" t="str">
        <f>IFERROR(__xludf.DUMMYFUNCTION("iferror(iferror(iferror(index(IMPORTRANGE(""1NK5L1mviMn0j3D3uo53ASkIZOFRlLnqaCTnwzOG2_Wg"",""Direct Link!B2:B""),MATCH($C645,IMPORTRANGE(""1NK5L1mviMn0j3D3uo53ASkIZOFRlLnqaCTnwzOG2_Wg"",""Direct Link!A2:A""),0)),XLOOKUP($C645,IMPORTRANGE(""1NK5L1mviMn0j3D"&amp;"3uo53ASkIZOFRlLnqaCTnwzOG2_Wg"",""Direct links Without Sizes!A2:A""),IMPORTRANGE(""1NK5L1mviMn0j3D3uo53ASkIZOFRlLnqaCTnwzOG2_Wg"",""Direct links Without Sizes!B2:B""))),XLOOKUP($C645,IMPORTRANGE(""1NK5L1mviMn0j3D3uo53ASkIZOFRlLnqaCTnwzOG2_Wg"",""Direct li"&amp;"nks Without Sizes!D2:D""),IMPORTRANGE(""1NK5L1mviMn0j3D3uo53ASkIZOFRlLnqaCTnwzOG2_Wg"",""Direct links Without Sizes!E2:E""))),"""")"),"")</f>
        <v/>
      </c>
      <c r="I645" s="4"/>
      <c r="J645" s="24" t="str">
        <f t="shared" si="1"/>
        <v/>
      </c>
      <c r="K645" s="25"/>
      <c r="L645" s="24" t="str">
        <f t="shared" si="2"/>
        <v/>
      </c>
      <c r="M645" s="4"/>
      <c r="N645" s="23"/>
      <c r="O645" s="23"/>
      <c r="P645" s="23"/>
      <c r="Q645" s="4" t="str">
        <f t="shared" si="4"/>
        <v/>
      </c>
      <c r="R645" s="20"/>
      <c r="S645" s="20"/>
    </row>
    <row r="646">
      <c r="A646" s="4"/>
      <c r="B646" s="4"/>
      <c r="C646" s="37"/>
      <c r="D646" s="7" t="str">
        <f>IFERROR(__xludf.DUMMYFUNCTION("iferror(iferror(INDEX(IMPORTRANGE(""12vtnxaE_Q1s4tyr10kZQx7ZF_xG0lBFae4jQEUtgsMU"",""All!B2:B""),MATCH($C646,IMPORTRANGE(""12vtnxaE_Q1s4tyr10kZQx7ZF_xG0lBFae4jQEUtgsMU"",""All!A2:A""),0)),INDEX(IMPORTRANGE(""13KC70HngS4DDi8y9E5khtSpQEPG6owaQ9z4E-tR5mnY"","&amp;"""Non-Food!B2:B""),MATCH($C646,IMPORTRANGE(""13KC70HngS4DDi8y9E5khtSpQEPG6owaQ9z4E-tR5mnY"",""Non-Food!A2:A""),0))),"""")"),"")</f>
        <v/>
      </c>
      <c r="E646" s="15"/>
      <c r="F646" s="15"/>
      <c r="G646" s="36"/>
      <c r="H646" s="23" t="str">
        <f>IFERROR(__xludf.DUMMYFUNCTION("iferror(iferror(iferror(index(IMPORTRANGE(""1NK5L1mviMn0j3D3uo53ASkIZOFRlLnqaCTnwzOG2_Wg"",""Direct Link!B2:B""),MATCH($C646,IMPORTRANGE(""1NK5L1mviMn0j3D3uo53ASkIZOFRlLnqaCTnwzOG2_Wg"",""Direct Link!A2:A""),0)),XLOOKUP($C646,IMPORTRANGE(""1NK5L1mviMn0j3D"&amp;"3uo53ASkIZOFRlLnqaCTnwzOG2_Wg"",""Direct links Without Sizes!A2:A""),IMPORTRANGE(""1NK5L1mviMn0j3D3uo53ASkIZOFRlLnqaCTnwzOG2_Wg"",""Direct links Without Sizes!B2:B""))),XLOOKUP($C646,IMPORTRANGE(""1NK5L1mviMn0j3D3uo53ASkIZOFRlLnqaCTnwzOG2_Wg"",""Direct li"&amp;"nks Without Sizes!D2:D""),IMPORTRANGE(""1NK5L1mviMn0j3D3uo53ASkIZOFRlLnqaCTnwzOG2_Wg"",""Direct links Without Sizes!E2:E""))),"""")"),"")</f>
        <v/>
      </c>
      <c r="I646" s="4"/>
      <c r="J646" s="24" t="str">
        <f t="shared" si="1"/>
        <v/>
      </c>
      <c r="K646" s="25"/>
      <c r="L646" s="24" t="str">
        <f t="shared" si="2"/>
        <v/>
      </c>
      <c r="M646" s="4"/>
      <c r="N646" s="23"/>
      <c r="O646" s="23"/>
      <c r="P646" s="23"/>
      <c r="Q646" s="4" t="str">
        <f t="shared" si="4"/>
        <v/>
      </c>
      <c r="R646" s="20"/>
      <c r="S646" s="20"/>
    </row>
    <row r="647">
      <c r="A647" s="4"/>
      <c r="B647" s="4"/>
      <c r="C647" s="37"/>
      <c r="D647" s="7" t="str">
        <f>IFERROR(__xludf.DUMMYFUNCTION("iferror(iferror(INDEX(IMPORTRANGE(""12vtnxaE_Q1s4tyr10kZQx7ZF_xG0lBFae4jQEUtgsMU"",""All!B2:B""),MATCH($C647,IMPORTRANGE(""12vtnxaE_Q1s4tyr10kZQx7ZF_xG0lBFae4jQEUtgsMU"",""All!A2:A""),0)),INDEX(IMPORTRANGE(""13KC70HngS4DDi8y9E5khtSpQEPG6owaQ9z4E-tR5mnY"","&amp;"""Non-Food!B2:B""),MATCH($C647,IMPORTRANGE(""13KC70HngS4DDi8y9E5khtSpQEPG6owaQ9z4E-tR5mnY"",""Non-Food!A2:A""),0))),"""")"),"")</f>
        <v/>
      </c>
      <c r="E647" s="15"/>
      <c r="F647" s="15"/>
      <c r="G647" s="36"/>
      <c r="H647" s="23" t="str">
        <f>IFERROR(__xludf.DUMMYFUNCTION("iferror(iferror(iferror(index(IMPORTRANGE(""1NK5L1mviMn0j3D3uo53ASkIZOFRlLnqaCTnwzOG2_Wg"",""Direct Link!B2:B""),MATCH($C647,IMPORTRANGE(""1NK5L1mviMn0j3D3uo53ASkIZOFRlLnqaCTnwzOG2_Wg"",""Direct Link!A2:A""),0)),XLOOKUP($C647,IMPORTRANGE(""1NK5L1mviMn0j3D"&amp;"3uo53ASkIZOFRlLnqaCTnwzOG2_Wg"",""Direct links Without Sizes!A2:A""),IMPORTRANGE(""1NK5L1mviMn0j3D3uo53ASkIZOFRlLnqaCTnwzOG2_Wg"",""Direct links Without Sizes!B2:B""))),XLOOKUP($C647,IMPORTRANGE(""1NK5L1mviMn0j3D3uo53ASkIZOFRlLnqaCTnwzOG2_Wg"",""Direct li"&amp;"nks Without Sizes!D2:D""),IMPORTRANGE(""1NK5L1mviMn0j3D3uo53ASkIZOFRlLnqaCTnwzOG2_Wg"",""Direct links Without Sizes!E2:E""))),"""")"),"")</f>
        <v/>
      </c>
      <c r="I647" s="4"/>
      <c r="J647" s="24" t="str">
        <f t="shared" si="1"/>
        <v/>
      </c>
      <c r="K647" s="25"/>
      <c r="L647" s="24" t="str">
        <f t="shared" si="2"/>
        <v/>
      </c>
      <c r="M647" s="4"/>
      <c r="N647" s="23"/>
      <c r="O647" s="23"/>
      <c r="P647" s="23"/>
      <c r="Q647" s="4" t="str">
        <f t="shared" si="4"/>
        <v/>
      </c>
      <c r="R647" s="20"/>
      <c r="S647" s="20"/>
    </row>
    <row r="648">
      <c r="A648" s="4"/>
      <c r="B648" s="4"/>
      <c r="C648" s="37"/>
      <c r="D648" s="7" t="str">
        <f>IFERROR(__xludf.DUMMYFUNCTION("iferror(iferror(INDEX(IMPORTRANGE(""12vtnxaE_Q1s4tyr10kZQx7ZF_xG0lBFae4jQEUtgsMU"",""All!B2:B""),MATCH($C648,IMPORTRANGE(""12vtnxaE_Q1s4tyr10kZQx7ZF_xG0lBFae4jQEUtgsMU"",""All!A2:A""),0)),INDEX(IMPORTRANGE(""13KC70HngS4DDi8y9E5khtSpQEPG6owaQ9z4E-tR5mnY"","&amp;"""Non-Food!B2:B""),MATCH($C648,IMPORTRANGE(""13KC70HngS4DDi8y9E5khtSpQEPG6owaQ9z4E-tR5mnY"",""Non-Food!A2:A""),0))),"""")"),"")</f>
        <v/>
      </c>
      <c r="E648" s="15"/>
      <c r="F648" s="15"/>
      <c r="G648" s="36"/>
      <c r="H648" s="23" t="str">
        <f>IFERROR(__xludf.DUMMYFUNCTION("iferror(iferror(iferror(index(IMPORTRANGE(""1NK5L1mviMn0j3D3uo53ASkIZOFRlLnqaCTnwzOG2_Wg"",""Direct Link!B2:B""),MATCH($C648,IMPORTRANGE(""1NK5L1mviMn0j3D3uo53ASkIZOFRlLnqaCTnwzOG2_Wg"",""Direct Link!A2:A""),0)),XLOOKUP($C648,IMPORTRANGE(""1NK5L1mviMn0j3D"&amp;"3uo53ASkIZOFRlLnqaCTnwzOG2_Wg"",""Direct links Without Sizes!A2:A""),IMPORTRANGE(""1NK5L1mviMn0j3D3uo53ASkIZOFRlLnqaCTnwzOG2_Wg"",""Direct links Without Sizes!B2:B""))),XLOOKUP($C648,IMPORTRANGE(""1NK5L1mviMn0j3D3uo53ASkIZOFRlLnqaCTnwzOG2_Wg"",""Direct li"&amp;"nks Without Sizes!D2:D""),IMPORTRANGE(""1NK5L1mviMn0j3D3uo53ASkIZOFRlLnqaCTnwzOG2_Wg"",""Direct links Without Sizes!E2:E""))),"""")"),"")</f>
        <v/>
      </c>
      <c r="I648" s="4"/>
      <c r="J648" s="24" t="str">
        <f t="shared" si="1"/>
        <v/>
      </c>
      <c r="K648" s="25"/>
      <c r="L648" s="24" t="str">
        <f t="shared" si="2"/>
        <v/>
      </c>
      <c r="M648" s="4"/>
      <c r="N648" s="23"/>
      <c r="O648" s="23"/>
      <c r="P648" s="23"/>
      <c r="Q648" s="4" t="str">
        <f t="shared" si="4"/>
        <v/>
      </c>
      <c r="R648" s="20"/>
      <c r="S648" s="20"/>
    </row>
    <row r="649">
      <c r="A649" s="4"/>
      <c r="B649" s="4"/>
      <c r="C649" s="37"/>
      <c r="D649" s="7" t="str">
        <f>IFERROR(__xludf.DUMMYFUNCTION("iferror(iferror(INDEX(IMPORTRANGE(""12vtnxaE_Q1s4tyr10kZQx7ZF_xG0lBFae4jQEUtgsMU"",""All!B2:B""),MATCH($C649,IMPORTRANGE(""12vtnxaE_Q1s4tyr10kZQx7ZF_xG0lBFae4jQEUtgsMU"",""All!A2:A""),0)),INDEX(IMPORTRANGE(""13KC70HngS4DDi8y9E5khtSpQEPG6owaQ9z4E-tR5mnY"","&amp;"""Non-Food!B2:B""),MATCH($C649,IMPORTRANGE(""13KC70HngS4DDi8y9E5khtSpQEPG6owaQ9z4E-tR5mnY"",""Non-Food!A2:A""),0))),"""")"),"")</f>
        <v/>
      </c>
      <c r="E649" s="15"/>
      <c r="F649" s="15"/>
      <c r="G649" s="36"/>
      <c r="H649" s="23" t="str">
        <f>IFERROR(__xludf.DUMMYFUNCTION("iferror(iferror(iferror(index(IMPORTRANGE(""1NK5L1mviMn0j3D3uo53ASkIZOFRlLnqaCTnwzOG2_Wg"",""Direct Link!B2:B""),MATCH($C649,IMPORTRANGE(""1NK5L1mviMn0j3D3uo53ASkIZOFRlLnqaCTnwzOG2_Wg"",""Direct Link!A2:A""),0)),XLOOKUP($C649,IMPORTRANGE(""1NK5L1mviMn0j3D"&amp;"3uo53ASkIZOFRlLnqaCTnwzOG2_Wg"",""Direct links Without Sizes!A2:A""),IMPORTRANGE(""1NK5L1mviMn0j3D3uo53ASkIZOFRlLnqaCTnwzOG2_Wg"",""Direct links Without Sizes!B2:B""))),XLOOKUP($C649,IMPORTRANGE(""1NK5L1mviMn0j3D3uo53ASkIZOFRlLnqaCTnwzOG2_Wg"",""Direct li"&amp;"nks Without Sizes!D2:D""),IMPORTRANGE(""1NK5L1mviMn0j3D3uo53ASkIZOFRlLnqaCTnwzOG2_Wg"",""Direct links Without Sizes!E2:E""))),"""")"),"")</f>
        <v/>
      </c>
      <c r="I649" s="4"/>
      <c r="J649" s="24" t="str">
        <f t="shared" si="1"/>
        <v/>
      </c>
      <c r="K649" s="25"/>
      <c r="L649" s="24" t="str">
        <f t="shared" si="2"/>
        <v/>
      </c>
      <c r="M649" s="4"/>
      <c r="N649" s="23"/>
      <c r="O649" s="23"/>
      <c r="P649" s="23"/>
      <c r="Q649" s="4" t="str">
        <f t="shared" si="4"/>
        <v/>
      </c>
      <c r="R649" s="20"/>
      <c r="S649" s="20"/>
    </row>
    <row r="650">
      <c r="A650" s="4"/>
      <c r="B650" s="4"/>
      <c r="C650" s="37"/>
      <c r="D650" s="7" t="str">
        <f>IFERROR(__xludf.DUMMYFUNCTION("iferror(iferror(INDEX(IMPORTRANGE(""12vtnxaE_Q1s4tyr10kZQx7ZF_xG0lBFae4jQEUtgsMU"",""All!B2:B""),MATCH($C650,IMPORTRANGE(""12vtnxaE_Q1s4tyr10kZQx7ZF_xG0lBFae4jQEUtgsMU"",""All!A2:A""),0)),INDEX(IMPORTRANGE(""13KC70HngS4DDi8y9E5khtSpQEPG6owaQ9z4E-tR5mnY"","&amp;"""Non-Food!B2:B""),MATCH($C650,IMPORTRANGE(""13KC70HngS4DDi8y9E5khtSpQEPG6owaQ9z4E-tR5mnY"",""Non-Food!A2:A""),0))),"""")"),"")</f>
        <v/>
      </c>
      <c r="E650" s="15"/>
      <c r="F650" s="15"/>
      <c r="G650" s="36"/>
      <c r="H650" s="23" t="str">
        <f>IFERROR(__xludf.DUMMYFUNCTION("iferror(iferror(iferror(index(IMPORTRANGE(""1NK5L1mviMn0j3D3uo53ASkIZOFRlLnqaCTnwzOG2_Wg"",""Direct Link!B2:B""),MATCH($C650,IMPORTRANGE(""1NK5L1mviMn0j3D3uo53ASkIZOFRlLnqaCTnwzOG2_Wg"",""Direct Link!A2:A""),0)),XLOOKUP($C650,IMPORTRANGE(""1NK5L1mviMn0j3D"&amp;"3uo53ASkIZOFRlLnqaCTnwzOG2_Wg"",""Direct links Without Sizes!A2:A""),IMPORTRANGE(""1NK5L1mviMn0j3D3uo53ASkIZOFRlLnqaCTnwzOG2_Wg"",""Direct links Without Sizes!B2:B""))),XLOOKUP($C650,IMPORTRANGE(""1NK5L1mviMn0j3D3uo53ASkIZOFRlLnqaCTnwzOG2_Wg"",""Direct li"&amp;"nks Without Sizes!D2:D""),IMPORTRANGE(""1NK5L1mviMn0j3D3uo53ASkIZOFRlLnqaCTnwzOG2_Wg"",""Direct links Without Sizes!E2:E""))),"""")"),"")</f>
        <v/>
      </c>
      <c r="I650" s="4"/>
      <c r="J650" s="24" t="str">
        <f t="shared" si="1"/>
        <v/>
      </c>
      <c r="K650" s="25"/>
      <c r="L650" s="24" t="str">
        <f t="shared" si="2"/>
        <v/>
      </c>
      <c r="M650" s="4"/>
      <c r="N650" s="23"/>
      <c r="O650" s="23"/>
      <c r="P650" s="23"/>
      <c r="Q650" s="4" t="str">
        <f t="shared" si="4"/>
        <v/>
      </c>
      <c r="R650" s="20"/>
      <c r="S650" s="20"/>
    </row>
    <row r="651">
      <c r="A651" s="4"/>
      <c r="B651" s="4"/>
      <c r="C651" s="37"/>
      <c r="D651" s="7" t="str">
        <f>IFERROR(__xludf.DUMMYFUNCTION("iferror(iferror(INDEX(IMPORTRANGE(""12vtnxaE_Q1s4tyr10kZQx7ZF_xG0lBFae4jQEUtgsMU"",""All!B2:B""),MATCH($C651,IMPORTRANGE(""12vtnxaE_Q1s4tyr10kZQx7ZF_xG0lBFae4jQEUtgsMU"",""All!A2:A""),0)),INDEX(IMPORTRANGE(""13KC70HngS4DDi8y9E5khtSpQEPG6owaQ9z4E-tR5mnY"","&amp;"""Non-Food!B2:B""),MATCH($C651,IMPORTRANGE(""13KC70HngS4DDi8y9E5khtSpQEPG6owaQ9z4E-tR5mnY"",""Non-Food!A2:A""),0))),"""")"),"")</f>
        <v/>
      </c>
      <c r="E651" s="15"/>
      <c r="F651" s="15"/>
      <c r="G651" s="36"/>
      <c r="H651" s="23" t="str">
        <f>IFERROR(__xludf.DUMMYFUNCTION("iferror(iferror(iferror(index(IMPORTRANGE(""1NK5L1mviMn0j3D3uo53ASkIZOFRlLnqaCTnwzOG2_Wg"",""Direct Link!B2:B""),MATCH($C651,IMPORTRANGE(""1NK5L1mviMn0j3D3uo53ASkIZOFRlLnqaCTnwzOG2_Wg"",""Direct Link!A2:A""),0)),XLOOKUP($C651,IMPORTRANGE(""1NK5L1mviMn0j3D"&amp;"3uo53ASkIZOFRlLnqaCTnwzOG2_Wg"",""Direct links Without Sizes!A2:A""),IMPORTRANGE(""1NK5L1mviMn0j3D3uo53ASkIZOFRlLnqaCTnwzOG2_Wg"",""Direct links Without Sizes!B2:B""))),XLOOKUP($C651,IMPORTRANGE(""1NK5L1mviMn0j3D3uo53ASkIZOFRlLnqaCTnwzOG2_Wg"",""Direct li"&amp;"nks Without Sizes!D2:D""),IMPORTRANGE(""1NK5L1mviMn0j3D3uo53ASkIZOFRlLnqaCTnwzOG2_Wg"",""Direct links Without Sizes!E2:E""))),"""")"),"")</f>
        <v/>
      </c>
      <c r="I651" s="4"/>
      <c r="J651" s="24" t="str">
        <f t="shared" si="1"/>
        <v/>
      </c>
      <c r="K651" s="25"/>
      <c r="L651" s="24" t="str">
        <f t="shared" si="2"/>
        <v/>
      </c>
      <c r="M651" s="4"/>
      <c r="N651" s="23"/>
      <c r="O651" s="23"/>
      <c r="P651" s="23"/>
      <c r="Q651" s="4" t="str">
        <f t="shared" si="4"/>
        <v/>
      </c>
      <c r="R651" s="20"/>
      <c r="S651" s="20"/>
    </row>
    <row r="652">
      <c r="A652" s="4"/>
      <c r="B652" s="4"/>
      <c r="C652" s="37"/>
      <c r="D652" s="7" t="str">
        <f>IFERROR(__xludf.DUMMYFUNCTION("iferror(iferror(INDEX(IMPORTRANGE(""12vtnxaE_Q1s4tyr10kZQx7ZF_xG0lBFae4jQEUtgsMU"",""All!B2:B""),MATCH($C652,IMPORTRANGE(""12vtnxaE_Q1s4tyr10kZQx7ZF_xG0lBFae4jQEUtgsMU"",""All!A2:A""),0)),INDEX(IMPORTRANGE(""13KC70HngS4DDi8y9E5khtSpQEPG6owaQ9z4E-tR5mnY"","&amp;"""Non-Food!B2:B""),MATCH($C652,IMPORTRANGE(""13KC70HngS4DDi8y9E5khtSpQEPG6owaQ9z4E-tR5mnY"",""Non-Food!A2:A""),0))),"""")"),"")</f>
        <v/>
      </c>
      <c r="E652" s="15"/>
      <c r="F652" s="15"/>
      <c r="G652" s="36"/>
      <c r="H652" s="23" t="str">
        <f>IFERROR(__xludf.DUMMYFUNCTION("iferror(iferror(iferror(index(IMPORTRANGE(""1NK5L1mviMn0j3D3uo53ASkIZOFRlLnqaCTnwzOG2_Wg"",""Direct Link!B2:B""),MATCH($C652,IMPORTRANGE(""1NK5L1mviMn0j3D3uo53ASkIZOFRlLnqaCTnwzOG2_Wg"",""Direct Link!A2:A""),0)),XLOOKUP($C652,IMPORTRANGE(""1NK5L1mviMn0j3D"&amp;"3uo53ASkIZOFRlLnqaCTnwzOG2_Wg"",""Direct links Without Sizes!A2:A""),IMPORTRANGE(""1NK5L1mviMn0j3D3uo53ASkIZOFRlLnqaCTnwzOG2_Wg"",""Direct links Without Sizes!B2:B""))),XLOOKUP($C652,IMPORTRANGE(""1NK5L1mviMn0j3D3uo53ASkIZOFRlLnqaCTnwzOG2_Wg"",""Direct li"&amp;"nks Without Sizes!D2:D""),IMPORTRANGE(""1NK5L1mviMn0j3D3uo53ASkIZOFRlLnqaCTnwzOG2_Wg"",""Direct links Without Sizes!E2:E""))),"""")"),"")</f>
        <v/>
      </c>
      <c r="I652" s="4"/>
      <c r="J652" s="24" t="str">
        <f t="shared" si="1"/>
        <v/>
      </c>
      <c r="K652" s="25"/>
      <c r="L652" s="24" t="str">
        <f t="shared" si="2"/>
        <v/>
      </c>
      <c r="M652" s="4"/>
      <c r="N652" s="23"/>
      <c r="O652" s="23"/>
      <c r="P652" s="23"/>
      <c r="Q652" s="4" t="str">
        <f t="shared" si="4"/>
        <v/>
      </c>
      <c r="R652" s="20"/>
      <c r="S652" s="20"/>
    </row>
    <row r="653">
      <c r="A653" s="4"/>
      <c r="B653" s="4"/>
      <c r="C653" s="37"/>
      <c r="D653" s="7" t="str">
        <f>IFERROR(__xludf.DUMMYFUNCTION("iferror(iferror(INDEX(IMPORTRANGE(""12vtnxaE_Q1s4tyr10kZQx7ZF_xG0lBFae4jQEUtgsMU"",""All!B2:B""),MATCH($C653,IMPORTRANGE(""12vtnxaE_Q1s4tyr10kZQx7ZF_xG0lBFae4jQEUtgsMU"",""All!A2:A""),0)),INDEX(IMPORTRANGE(""13KC70HngS4DDi8y9E5khtSpQEPG6owaQ9z4E-tR5mnY"","&amp;"""Non-Food!B2:B""),MATCH($C653,IMPORTRANGE(""13KC70HngS4DDi8y9E5khtSpQEPG6owaQ9z4E-tR5mnY"",""Non-Food!A2:A""),0))),"""")"),"")</f>
        <v/>
      </c>
      <c r="E653" s="15"/>
      <c r="F653" s="15"/>
      <c r="G653" s="36"/>
      <c r="H653" s="23" t="str">
        <f>IFERROR(__xludf.DUMMYFUNCTION("iferror(iferror(iferror(index(IMPORTRANGE(""1NK5L1mviMn0j3D3uo53ASkIZOFRlLnqaCTnwzOG2_Wg"",""Direct Link!B2:B""),MATCH($C653,IMPORTRANGE(""1NK5L1mviMn0j3D3uo53ASkIZOFRlLnqaCTnwzOG2_Wg"",""Direct Link!A2:A""),0)),XLOOKUP($C653,IMPORTRANGE(""1NK5L1mviMn0j3D"&amp;"3uo53ASkIZOFRlLnqaCTnwzOG2_Wg"",""Direct links Without Sizes!A2:A""),IMPORTRANGE(""1NK5L1mviMn0j3D3uo53ASkIZOFRlLnqaCTnwzOG2_Wg"",""Direct links Without Sizes!B2:B""))),XLOOKUP($C653,IMPORTRANGE(""1NK5L1mviMn0j3D3uo53ASkIZOFRlLnqaCTnwzOG2_Wg"",""Direct li"&amp;"nks Without Sizes!D2:D""),IMPORTRANGE(""1NK5L1mviMn0j3D3uo53ASkIZOFRlLnqaCTnwzOG2_Wg"",""Direct links Without Sizes!E2:E""))),"""")"),"")</f>
        <v/>
      </c>
      <c r="I653" s="4"/>
      <c r="J653" s="24" t="str">
        <f t="shared" si="1"/>
        <v/>
      </c>
      <c r="K653" s="25"/>
      <c r="L653" s="24" t="str">
        <f t="shared" si="2"/>
        <v/>
      </c>
      <c r="M653" s="4"/>
      <c r="N653" s="23"/>
      <c r="O653" s="23"/>
      <c r="P653" s="23"/>
      <c r="Q653" s="4" t="str">
        <f t="shared" si="4"/>
        <v/>
      </c>
      <c r="R653" s="20"/>
      <c r="S653" s="20"/>
    </row>
    <row r="654">
      <c r="A654" s="4"/>
      <c r="B654" s="4"/>
      <c r="C654" s="37"/>
      <c r="D654" s="7" t="str">
        <f>IFERROR(__xludf.DUMMYFUNCTION("iferror(iferror(INDEX(IMPORTRANGE(""12vtnxaE_Q1s4tyr10kZQx7ZF_xG0lBFae4jQEUtgsMU"",""All!B2:B""),MATCH($C654,IMPORTRANGE(""12vtnxaE_Q1s4tyr10kZQx7ZF_xG0lBFae4jQEUtgsMU"",""All!A2:A""),0)),INDEX(IMPORTRANGE(""13KC70HngS4DDi8y9E5khtSpQEPG6owaQ9z4E-tR5mnY"","&amp;"""Non-Food!B2:B""),MATCH($C654,IMPORTRANGE(""13KC70HngS4DDi8y9E5khtSpQEPG6owaQ9z4E-tR5mnY"",""Non-Food!A2:A""),0))),"""")"),"")</f>
        <v/>
      </c>
      <c r="E654" s="15"/>
      <c r="F654" s="15"/>
      <c r="G654" s="36"/>
      <c r="H654" s="23" t="str">
        <f>IFERROR(__xludf.DUMMYFUNCTION("iferror(iferror(iferror(index(IMPORTRANGE(""1NK5L1mviMn0j3D3uo53ASkIZOFRlLnqaCTnwzOG2_Wg"",""Direct Link!B2:B""),MATCH($C654,IMPORTRANGE(""1NK5L1mviMn0j3D3uo53ASkIZOFRlLnqaCTnwzOG2_Wg"",""Direct Link!A2:A""),0)),XLOOKUP($C654,IMPORTRANGE(""1NK5L1mviMn0j3D"&amp;"3uo53ASkIZOFRlLnqaCTnwzOG2_Wg"",""Direct links Without Sizes!A2:A""),IMPORTRANGE(""1NK5L1mviMn0j3D3uo53ASkIZOFRlLnqaCTnwzOG2_Wg"",""Direct links Without Sizes!B2:B""))),XLOOKUP($C654,IMPORTRANGE(""1NK5L1mviMn0j3D3uo53ASkIZOFRlLnqaCTnwzOG2_Wg"",""Direct li"&amp;"nks Without Sizes!D2:D""),IMPORTRANGE(""1NK5L1mviMn0j3D3uo53ASkIZOFRlLnqaCTnwzOG2_Wg"",""Direct links Without Sizes!E2:E""))),"""")"),"")</f>
        <v/>
      </c>
      <c r="I654" s="4"/>
      <c r="J654" s="24" t="str">
        <f t="shared" si="1"/>
        <v/>
      </c>
      <c r="K654" s="25"/>
      <c r="L654" s="24" t="str">
        <f t="shared" si="2"/>
        <v/>
      </c>
      <c r="M654" s="4"/>
      <c r="N654" s="23"/>
      <c r="O654" s="23"/>
      <c r="P654" s="23"/>
      <c r="Q654" s="4" t="str">
        <f t="shared" si="4"/>
        <v/>
      </c>
      <c r="R654" s="20"/>
      <c r="S654" s="20"/>
    </row>
    <row r="655">
      <c r="A655" s="4"/>
      <c r="B655" s="4"/>
      <c r="C655" s="37"/>
      <c r="D655" s="7" t="str">
        <f>IFERROR(__xludf.DUMMYFUNCTION("iferror(iferror(INDEX(IMPORTRANGE(""12vtnxaE_Q1s4tyr10kZQx7ZF_xG0lBFae4jQEUtgsMU"",""All!B2:B""),MATCH($C655,IMPORTRANGE(""12vtnxaE_Q1s4tyr10kZQx7ZF_xG0lBFae4jQEUtgsMU"",""All!A2:A""),0)),INDEX(IMPORTRANGE(""13KC70HngS4DDi8y9E5khtSpQEPG6owaQ9z4E-tR5mnY"","&amp;"""Non-Food!B2:B""),MATCH($C655,IMPORTRANGE(""13KC70HngS4DDi8y9E5khtSpQEPG6owaQ9z4E-tR5mnY"",""Non-Food!A2:A""),0))),"""")"),"")</f>
        <v/>
      </c>
      <c r="E655" s="15"/>
      <c r="F655" s="15"/>
      <c r="G655" s="36"/>
      <c r="H655" s="23" t="str">
        <f>IFERROR(__xludf.DUMMYFUNCTION("iferror(iferror(iferror(index(IMPORTRANGE(""1NK5L1mviMn0j3D3uo53ASkIZOFRlLnqaCTnwzOG2_Wg"",""Direct Link!B2:B""),MATCH($C655,IMPORTRANGE(""1NK5L1mviMn0j3D3uo53ASkIZOFRlLnqaCTnwzOG2_Wg"",""Direct Link!A2:A""),0)),XLOOKUP($C655,IMPORTRANGE(""1NK5L1mviMn0j3D"&amp;"3uo53ASkIZOFRlLnqaCTnwzOG2_Wg"",""Direct links Without Sizes!A2:A""),IMPORTRANGE(""1NK5L1mviMn0j3D3uo53ASkIZOFRlLnqaCTnwzOG2_Wg"",""Direct links Without Sizes!B2:B""))),XLOOKUP($C655,IMPORTRANGE(""1NK5L1mviMn0j3D3uo53ASkIZOFRlLnqaCTnwzOG2_Wg"",""Direct li"&amp;"nks Without Sizes!D2:D""),IMPORTRANGE(""1NK5L1mviMn0j3D3uo53ASkIZOFRlLnqaCTnwzOG2_Wg"",""Direct links Without Sizes!E2:E""))),"""")"),"")</f>
        <v/>
      </c>
      <c r="I655" s="4"/>
      <c r="J655" s="24" t="str">
        <f t="shared" si="1"/>
        <v/>
      </c>
      <c r="K655" s="25"/>
      <c r="L655" s="24" t="str">
        <f t="shared" si="2"/>
        <v/>
      </c>
      <c r="M655" s="4"/>
      <c r="N655" s="23"/>
      <c r="O655" s="23"/>
      <c r="P655" s="23"/>
      <c r="Q655" s="4" t="str">
        <f t="shared" si="4"/>
        <v/>
      </c>
      <c r="R655" s="20"/>
      <c r="S655" s="20"/>
    </row>
    <row r="656">
      <c r="A656" s="4"/>
      <c r="B656" s="4"/>
      <c r="C656" s="37"/>
      <c r="D656" s="7" t="str">
        <f>IFERROR(__xludf.DUMMYFUNCTION("iferror(iferror(INDEX(IMPORTRANGE(""12vtnxaE_Q1s4tyr10kZQx7ZF_xG0lBFae4jQEUtgsMU"",""All!B2:B""),MATCH($C656,IMPORTRANGE(""12vtnxaE_Q1s4tyr10kZQx7ZF_xG0lBFae4jQEUtgsMU"",""All!A2:A""),0)),INDEX(IMPORTRANGE(""13KC70HngS4DDi8y9E5khtSpQEPG6owaQ9z4E-tR5mnY"","&amp;"""Non-Food!B2:B""),MATCH($C656,IMPORTRANGE(""13KC70HngS4DDi8y9E5khtSpQEPG6owaQ9z4E-tR5mnY"",""Non-Food!A2:A""),0))),"""")"),"")</f>
        <v/>
      </c>
      <c r="E656" s="15"/>
      <c r="F656" s="15"/>
      <c r="G656" s="36"/>
      <c r="H656" s="23" t="str">
        <f>IFERROR(__xludf.DUMMYFUNCTION("iferror(iferror(iferror(index(IMPORTRANGE(""1NK5L1mviMn0j3D3uo53ASkIZOFRlLnqaCTnwzOG2_Wg"",""Direct Link!B2:B""),MATCH($C656,IMPORTRANGE(""1NK5L1mviMn0j3D3uo53ASkIZOFRlLnqaCTnwzOG2_Wg"",""Direct Link!A2:A""),0)),XLOOKUP($C656,IMPORTRANGE(""1NK5L1mviMn0j3D"&amp;"3uo53ASkIZOFRlLnqaCTnwzOG2_Wg"",""Direct links Without Sizes!A2:A""),IMPORTRANGE(""1NK5L1mviMn0j3D3uo53ASkIZOFRlLnqaCTnwzOG2_Wg"",""Direct links Without Sizes!B2:B""))),XLOOKUP($C656,IMPORTRANGE(""1NK5L1mviMn0j3D3uo53ASkIZOFRlLnqaCTnwzOG2_Wg"",""Direct li"&amp;"nks Without Sizes!D2:D""),IMPORTRANGE(""1NK5L1mviMn0j3D3uo53ASkIZOFRlLnqaCTnwzOG2_Wg"",""Direct links Without Sizes!E2:E""))),"""")"),"")</f>
        <v/>
      </c>
      <c r="I656" s="4"/>
      <c r="J656" s="24" t="str">
        <f t="shared" si="1"/>
        <v/>
      </c>
      <c r="K656" s="25"/>
      <c r="L656" s="24" t="str">
        <f t="shared" si="2"/>
        <v/>
      </c>
      <c r="M656" s="4"/>
      <c r="N656" s="23"/>
      <c r="O656" s="23"/>
      <c r="P656" s="23"/>
      <c r="Q656" s="4" t="str">
        <f t="shared" si="4"/>
        <v/>
      </c>
      <c r="R656" s="20"/>
      <c r="S656" s="20"/>
    </row>
    <row r="657">
      <c r="A657" s="4"/>
      <c r="B657" s="4"/>
      <c r="C657" s="37"/>
      <c r="D657" s="7" t="str">
        <f>IFERROR(__xludf.DUMMYFUNCTION("iferror(iferror(INDEX(IMPORTRANGE(""12vtnxaE_Q1s4tyr10kZQx7ZF_xG0lBFae4jQEUtgsMU"",""All!B2:B""),MATCH($C657,IMPORTRANGE(""12vtnxaE_Q1s4tyr10kZQx7ZF_xG0lBFae4jQEUtgsMU"",""All!A2:A""),0)),INDEX(IMPORTRANGE(""13KC70HngS4DDi8y9E5khtSpQEPG6owaQ9z4E-tR5mnY"","&amp;"""Non-Food!B2:B""),MATCH($C657,IMPORTRANGE(""13KC70HngS4DDi8y9E5khtSpQEPG6owaQ9z4E-tR5mnY"",""Non-Food!A2:A""),0))),"""")"),"")</f>
        <v/>
      </c>
      <c r="E657" s="15"/>
      <c r="F657" s="15"/>
      <c r="G657" s="36"/>
      <c r="H657" s="23" t="str">
        <f>IFERROR(__xludf.DUMMYFUNCTION("iferror(iferror(iferror(index(IMPORTRANGE(""1NK5L1mviMn0j3D3uo53ASkIZOFRlLnqaCTnwzOG2_Wg"",""Direct Link!B2:B""),MATCH($C657,IMPORTRANGE(""1NK5L1mviMn0j3D3uo53ASkIZOFRlLnqaCTnwzOG2_Wg"",""Direct Link!A2:A""),0)),XLOOKUP($C657,IMPORTRANGE(""1NK5L1mviMn0j3D"&amp;"3uo53ASkIZOFRlLnqaCTnwzOG2_Wg"",""Direct links Without Sizes!A2:A""),IMPORTRANGE(""1NK5L1mviMn0j3D3uo53ASkIZOFRlLnqaCTnwzOG2_Wg"",""Direct links Without Sizes!B2:B""))),XLOOKUP($C657,IMPORTRANGE(""1NK5L1mviMn0j3D3uo53ASkIZOFRlLnqaCTnwzOG2_Wg"",""Direct li"&amp;"nks Without Sizes!D2:D""),IMPORTRANGE(""1NK5L1mviMn0j3D3uo53ASkIZOFRlLnqaCTnwzOG2_Wg"",""Direct links Without Sizes!E2:E""))),"""")"),"")</f>
        <v/>
      </c>
      <c r="I657" s="4"/>
      <c r="J657" s="24" t="str">
        <f t="shared" si="1"/>
        <v/>
      </c>
      <c r="K657" s="25"/>
      <c r="L657" s="24" t="str">
        <f t="shared" si="2"/>
        <v/>
      </c>
      <c r="M657" s="4"/>
      <c r="N657" s="23"/>
      <c r="O657" s="23"/>
      <c r="P657" s="23"/>
      <c r="Q657" s="4" t="str">
        <f t="shared" si="4"/>
        <v/>
      </c>
      <c r="R657" s="20"/>
      <c r="S657" s="20"/>
    </row>
    <row r="658">
      <c r="A658" s="4"/>
      <c r="B658" s="4"/>
      <c r="C658" s="37"/>
      <c r="D658" s="7" t="str">
        <f>IFERROR(__xludf.DUMMYFUNCTION("iferror(iferror(INDEX(IMPORTRANGE(""12vtnxaE_Q1s4tyr10kZQx7ZF_xG0lBFae4jQEUtgsMU"",""All!B2:B""),MATCH($C658,IMPORTRANGE(""12vtnxaE_Q1s4tyr10kZQx7ZF_xG0lBFae4jQEUtgsMU"",""All!A2:A""),0)),INDEX(IMPORTRANGE(""13KC70HngS4DDi8y9E5khtSpQEPG6owaQ9z4E-tR5mnY"","&amp;"""Non-Food!B2:B""),MATCH($C658,IMPORTRANGE(""13KC70HngS4DDi8y9E5khtSpQEPG6owaQ9z4E-tR5mnY"",""Non-Food!A2:A""),0))),"""")"),"")</f>
        <v/>
      </c>
      <c r="E658" s="15"/>
      <c r="F658" s="15"/>
      <c r="G658" s="36"/>
      <c r="H658" s="23" t="str">
        <f>IFERROR(__xludf.DUMMYFUNCTION("iferror(iferror(iferror(index(IMPORTRANGE(""1NK5L1mviMn0j3D3uo53ASkIZOFRlLnqaCTnwzOG2_Wg"",""Direct Link!B2:B""),MATCH($C658,IMPORTRANGE(""1NK5L1mviMn0j3D3uo53ASkIZOFRlLnqaCTnwzOG2_Wg"",""Direct Link!A2:A""),0)),XLOOKUP($C658,IMPORTRANGE(""1NK5L1mviMn0j3D"&amp;"3uo53ASkIZOFRlLnqaCTnwzOG2_Wg"",""Direct links Without Sizes!A2:A""),IMPORTRANGE(""1NK5L1mviMn0j3D3uo53ASkIZOFRlLnqaCTnwzOG2_Wg"",""Direct links Without Sizes!B2:B""))),XLOOKUP($C658,IMPORTRANGE(""1NK5L1mviMn0j3D3uo53ASkIZOFRlLnqaCTnwzOG2_Wg"",""Direct li"&amp;"nks Without Sizes!D2:D""),IMPORTRANGE(""1NK5L1mviMn0j3D3uo53ASkIZOFRlLnqaCTnwzOG2_Wg"",""Direct links Without Sizes!E2:E""))),"""")"),"")</f>
        <v/>
      </c>
      <c r="I658" s="4"/>
      <c r="J658" s="24" t="str">
        <f t="shared" si="1"/>
        <v/>
      </c>
      <c r="K658" s="25"/>
      <c r="L658" s="24" t="str">
        <f t="shared" si="2"/>
        <v/>
      </c>
      <c r="M658" s="4"/>
      <c r="N658" s="23"/>
      <c r="O658" s="23"/>
      <c r="P658" s="23"/>
      <c r="Q658" s="4" t="str">
        <f t="shared" si="4"/>
        <v/>
      </c>
      <c r="R658" s="20"/>
      <c r="S658" s="20"/>
    </row>
    <row r="659">
      <c r="A659" s="4"/>
      <c r="B659" s="4"/>
      <c r="C659" s="37"/>
      <c r="D659" s="7" t="str">
        <f>IFERROR(__xludf.DUMMYFUNCTION("iferror(iferror(INDEX(IMPORTRANGE(""12vtnxaE_Q1s4tyr10kZQx7ZF_xG0lBFae4jQEUtgsMU"",""All!B2:B""),MATCH($C659,IMPORTRANGE(""12vtnxaE_Q1s4tyr10kZQx7ZF_xG0lBFae4jQEUtgsMU"",""All!A2:A""),0)),INDEX(IMPORTRANGE(""13KC70HngS4DDi8y9E5khtSpQEPG6owaQ9z4E-tR5mnY"","&amp;"""Non-Food!B2:B""),MATCH($C659,IMPORTRANGE(""13KC70HngS4DDi8y9E5khtSpQEPG6owaQ9z4E-tR5mnY"",""Non-Food!A2:A""),0))),"""")"),"")</f>
        <v/>
      </c>
      <c r="E659" s="15"/>
      <c r="F659" s="15"/>
      <c r="G659" s="36"/>
      <c r="H659" s="23" t="str">
        <f>IFERROR(__xludf.DUMMYFUNCTION("iferror(iferror(iferror(index(IMPORTRANGE(""1NK5L1mviMn0j3D3uo53ASkIZOFRlLnqaCTnwzOG2_Wg"",""Direct Link!B2:B""),MATCH($C659,IMPORTRANGE(""1NK5L1mviMn0j3D3uo53ASkIZOFRlLnqaCTnwzOG2_Wg"",""Direct Link!A2:A""),0)),XLOOKUP($C659,IMPORTRANGE(""1NK5L1mviMn0j3D"&amp;"3uo53ASkIZOFRlLnqaCTnwzOG2_Wg"",""Direct links Without Sizes!A2:A""),IMPORTRANGE(""1NK5L1mviMn0j3D3uo53ASkIZOFRlLnqaCTnwzOG2_Wg"",""Direct links Without Sizes!B2:B""))),XLOOKUP($C659,IMPORTRANGE(""1NK5L1mviMn0j3D3uo53ASkIZOFRlLnqaCTnwzOG2_Wg"",""Direct li"&amp;"nks Without Sizes!D2:D""),IMPORTRANGE(""1NK5L1mviMn0j3D3uo53ASkIZOFRlLnqaCTnwzOG2_Wg"",""Direct links Without Sizes!E2:E""))),"""")"),"")</f>
        <v/>
      </c>
      <c r="I659" s="4"/>
      <c r="J659" s="24" t="str">
        <f t="shared" si="1"/>
        <v/>
      </c>
      <c r="K659" s="25"/>
      <c r="L659" s="24" t="str">
        <f t="shared" si="2"/>
        <v/>
      </c>
      <c r="M659" s="4"/>
      <c r="N659" s="23"/>
      <c r="O659" s="23"/>
      <c r="P659" s="23"/>
      <c r="Q659" s="4" t="str">
        <f t="shared" si="4"/>
        <v/>
      </c>
      <c r="R659" s="20"/>
      <c r="S659" s="20"/>
    </row>
    <row r="660">
      <c r="A660" s="4"/>
      <c r="B660" s="4"/>
      <c r="C660" s="37"/>
      <c r="D660" s="7" t="str">
        <f>IFERROR(__xludf.DUMMYFUNCTION("iferror(iferror(INDEX(IMPORTRANGE(""12vtnxaE_Q1s4tyr10kZQx7ZF_xG0lBFae4jQEUtgsMU"",""All!B2:B""),MATCH($C660,IMPORTRANGE(""12vtnxaE_Q1s4tyr10kZQx7ZF_xG0lBFae4jQEUtgsMU"",""All!A2:A""),0)),INDEX(IMPORTRANGE(""13KC70HngS4DDi8y9E5khtSpQEPG6owaQ9z4E-tR5mnY"","&amp;"""Non-Food!B2:B""),MATCH($C660,IMPORTRANGE(""13KC70HngS4DDi8y9E5khtSpQEPG6owaQ9z4E-tR5mnY"",""Non-Food!A2:A""),0))),"""")"),"")</f>
        <v/>
      </c>
      <c r="E660" s="15"/>
      <c r="F660" s="15"/>
      <c r="G660" s="36"/>
      <c r="H660" s="23" t="str">
        <f>IFERROR(__xludf.DUMMYFUNCTION("iferror(iferror(iferror(index(IMPORTRANGE(""1NK5L1mviMn0j3D3uo53ASkIZOFRlLnqaCTnwzOG2_Wg"",""Direct Link!B2:B""),MATCH($C660,IMPORTRANGE(""1NK5L1mviMn0j3D3uo53ASkIZOFRlLnqaCTnwzOG2_Wg"",""Direct Link!A2:A""),0)),XLOOKUP($C660,IMPORTRANGE(""1NK5L1mviMn0j3D"&amp;"3uo53ASkIZOFRlLnqaCTnwzOG2_Wg"",""Direct links Without Sizes!A2:A""),IMPORTRANGE(""1NK5L1mviMn0j3D3uo53ASkIZOFRlLnqaCTnwzOG2_Wg"",""Direct links Without Sizes!B2:B""))),XLOOKUP($C660,IMPORTRANGE(""1NK5L1mviMn0j3D3uo53ASkIZOFRlLnqaCTnwzOG2_Wg"",""Direct li"&amp;"nks Without Sizes!D2:D""),IMPORTRANGE(""1NK5L1mviMn0j3D3uo53ASkIZOFRlLnqaCTnwzOG2_Wg"",""Direct links Without Sizes!E2:E""))),"""")"),"")</f>
        <v/>
      </c>
      <c r="I660" s="4"/>
      <c r="J660" s="24" t="str">
        <f t="shared" si="1"/>
        <v/>
      </c>
      <c r="K660" s="25"/>
      <c r="L660" s="24" t="str">
        <f t="shared" si="2"/>
        <v/>
      </c>
      <c r="M660" s="4"/>
      <c r="N660" s="23"/>
      <c r="O660" s="23"/>
      <c r="P660" s="23"/>
      <c r="Q660" s="4" t="str">
        <f t="shared" si="4"/>
        <v/>
      </c>
      <c r="R660" s="20"/>
      <c r="S660" s="20"/>
    </row>
    <row r="661">
      <c r="A661" s="4"/>
      <c r="B661" s="4"/>
      <c r="C661" s="37"/>
      <c r="D661" s="7" t="str">
        <f>IFERROR(__xludf.DUMMYFUNCTION("iferror(iferror(INDEX(IMPORTRANGE(""12vtnxaE_Q1s4tyr10kZQx7ZF_xG0lBFae4jQEUtgsMU"",""All!B2:B""),MATCH($C661,IMPORTRANGE(""12vtnxaE_Q1s4tyr10kZQx7ZF_xG0lBFae4jQEUtgsMU"",""All!A2:A""),0)),INDEX(IMPORTRANGE(""13KC70HngS4DDi8y9E5khtSpQEPG6owaQ9z4E-tR5mnY"","&amp;"""Non-Food!B2:B""),MATCH($C661,IMPORTRANGE(""13KC70HngS4DDi8y9E5khtSpQEPG6owaQ9z4E-tR5mnY"",""Non-Food!A2:A""),0))),"""")"),"")</f>
        <v/>
      </c>
      <c r="E661" s="15"/>
      <c r="F661" s="15"/>
      <c r="G661" s="36"/>
      <c r="H661" s="23" t="str">
        <f>IFERROR(__xludf.DUMMYFUNCTION("iferror(iferror(iferror(index(IMPORTRANGE(""1NK5L1mviMn0j3D3uo53ASkIZOFRlLnqaCTnwzOG2_Wg"",""Direct Link!B2:B""),MATCH($C661,IMPORTRANGE(""1NK5L1mviMn0j3D3uo53ASkIZOFRlLnqaCTnwzOG2_Wg"",""Direct Link!A2:A""),0)),XLOOKUP($C661,IMPORTRANGE(""1NK5L1mviMn0j3D"&amp;"3uo53ASkIZOFRlLnqaCTnwzOG2_Wg"",""Direct links Without Sizes!A2:A""),IMPORTRANGE(""1NK5L1mviMn0j3D3uo53ASkIZOFRlLnqaCTnwzOG2_Wg"",""Direct links Without Sizes!B2:B""))),XLOOKUP($C661,IMPORTRANGE(""1NK5L1mviMn0j3D3uo53ASkIZOFRlLnqaCTnwzOG2_Wg"",""Direct li"&amp;"nks Without Sizes!D2:D""),IMPORTRANGE(""1NK5L1mviMn0j3D3uo53ASkIZOFRlLnqaCTnwzOG2_Wg"",""Direct links Without Sizes!E2:E""))),"""")"),"")</f>
        <v/>
      </c>
      <c r="I661" s="4"/>
      <c r="J661" s="24" t="str">
        <f t="shared" si="1"/>
        <v/>
      </c>
      <c r="K661" s="25"/>
      <c r="L661" s="24" t="str">
        <f t="shared" si="2"/>
        <v/>
      </c>
      <c r="M661" s="4"/>
      <c r="N661" s="23"/>
      <c r="O661" s="23"/>
      <c r="P661" s="23"/>
      <c r="Q661" s="4" t="str">
        <f t="shared" si="4"/>
        <v/>
      </c>
      <c r="R661" s="20"/>
      <c r="S661" s="20"/>
    </row>
    <row r="662">
      <c r="A662" s="4"/>
      <c r="B662" s="4"/>
      <c r="C662" s="37"/>
      <c r="D662" s="7" t="str">
        <f>IFERROR(__xludf.DUMMYFUNCTION("iferror(iferror(INDEX(IMPORTRANGE(""12vtnxaE_Q1s4tyr10kZQx7ZF_xG0lBFae4jQEUtgsMU"",""All!B2:B""),MATCH($C662,IMPORTRANGE(""12vtnxaE_Q1s4tyr10kZQx7ZF_xG0lBFae4jQEUtgsMU"",""All!A2:A""),0)),INDEX(IMPORTRANGE(""13KC70HngS4DDi8y9E5khtSpQEPG6owaQ9z4E-tR5mnY"","&amp;"""Non-Food!B2:B""),MATCH($C662,IMPORTRANGE(""13KC70HngS4DDi8y9E5khtSpQEPG6owaQ9z4E-tR5mnY"",""Non-Food!A2:A""),0))),"""")"),"")</f>
        <v/>
      </c>
      <c r="E662" s="15"/>
      <c r="F662" s="15"/>
      <c r="G662" s="36"/>
      <c r="H662" s="23" t="str">
        <f>IFERROR(__xludf.DUMMYFUNCTION("iferror(iferror(iferror(index(IMPORTRANGE(""1NK5L1mviMn0j3D3uo53ASkIZOFRlLnqaCTnwzOG2_Wg"",""Direct Link!B2:B""),MATCH($C662,IMPORTRANGE(""1NK5L1mviMn0j3D3uo53ASkIZOFRlLnqaCTnwzOG2_Wg"",""Direct Link!A2:A""),0)),XLOOKUP($C662,IMPORTRANGE(""1NK5L1mviMn0j3D"&amp;"3uo53ASkIZOFRlLnqaCTnwzOG2_Wg"",""Direct links Without Sizes!A2:A""),IMPORTRANGE(""1NK5L1mviMn0j3D3uo53ASkIZOFRlLnqaCTnwzOG2_Wg"",""Direct links Without Sizes!B2:B""))),XLOOKUP($C662,IMPORTRANGE(""1NK5L1mviMn0j3D3uo53ASkIZOFRlLnqaCTnwzOG2_Wg"",""Direct li"&amp;"nks Without Sizes!D2:D""),IMPORTRANGE(""1NK5L1mviMn0j3D3uo53ASkIZOFRlLnqaCTnwzOG2_Wg"",""Direct links Without Sizes!E2:E""))),"""")"),"")</f>
        <v/>
      </c>
      <c r="I662" s="4"/>
      <c r="J662" s="24" t="str">
        <f t="shared" si="1"/>
        <v/>
      </c>
      <c r="K662" s="25"/>
      <c r="L662" s="24" t="str">
        <f t="shared" si="2"/>
        <v/>
      </c>
      <c r="M662" s="4"/>
      <c r="N662" s="23"/>
      <c r="O662" s="23"/>
      <c r="P662" s="23"/>
      <c r="Q662" s="4" t="str">
        <f t="shared" si="4"/>
        <v/>
      </c>
      <c r="R662" s="20"/>
      <c r="S662" s="20"/>
    </row>
    <row r="663">
      <c r="A663" s="4"/>
      <c r="B663" s="4"/>
      <c r="C663" s="37"/>
      <c r="D663" s="7" t="str">
        <f>IFERROR(__xludf.DUMMYFUNCTION("iferror(iferror(INDEX(IMPORTRANGE(""12vtnxaE_Q1s4tyr10kZQx7ZF_xG0lBFae4jQEUtgsMU"",""All!B2:B""),MATCH($C663,IMPORTRANGE(""12vtnxaE_Q1s4tyr10kZQx7ZF_xG0lBFae4jQEUtgsMU"",""All!A2:A""),0)),INDEX(IMPORTRANGE(""13KC70HngS4DDi8y9E5khtSpQEPG6owaQ9z4E-tR5mnY"","&amp;"""Non-Food!B2:B""),MATCH($C663,IMPORTRANGE(""13KC70HngS4DDi8y9E5khtSpQEPG6owaQ9z4E-tR5mnY"",""Non-Food!A2:A""),0))),"""")"),"")</f>
        <v/>
      </c>
      <c r="E663" s="15"/>
      <c r="F663" s="15"/>
      <c r="G663" s="36"/>
      <c r="H663" s="23" t="str">
        <f>IFERROR(__xludf.DUMMYFUNCTION("iferror(iferror(iferror(index(IMPORTRANGE(""1NK5L1mviMn0j3D3uo53ASkIZOFRlLnqaCTnwzOG2_Wg"",""Direct Link!B2:B""),MATCH($C663,IMPORTRANGE(""1NK5L1mviMn0j3D3uo53ASkIZOFRlLnqaCTnwzOG2_Wg"",""Direct Link!A2:A""),0)),XLOOKUP($C663,IMPORTRANGE(""1NK5L1mviMn0j3D"&amp;"3uo53ASkIZOFRlLnqaCTnwzOG2_Wg"",""Direct links Without Sizes!A2:A""),IMPORTRANGE(""1NK5L1mviMn0j3D3uo53ASkIZOFRlLnqaCTnwzOG2_Wg"",""Direct links Without Sizes!B2:B""))),XLOOKUP($C663,IMPORTRANGE(""1NK5L1mviMn0j3D3uo53ASkIZOFRlLnqaCTnwzOG2_Wg"",""Direct li"&amp;"nks Without Sizes!D2:D""),IMPORTRANGE(""1NK5L1mviMn0j3D3uo53ASkIZOFRlLnqaCTnwzOG2_Wg"",""Direct links Without Sizes!E2:E""))),"""")"),"")</f>
        <v/>
      </c>
      <c r="I663" s="4"/>
      <c r="J663" s="24" t="str">
        <f t="shared" si="1"/>
        <v/>
      </c>
      <c r="K663" s="25"/>
      <c r="L663" s="24" t="str">
        <f t="shared" si="2"/>
        <v/>
      </c>
      <c r="M663" s="4"/>
      <c r="N663" s="23"/>
      <c r="O663" s="23"/>
      <c r="P663" s="23"/>
      <c r="Q663" s="4" t="str">
        <f t="shared" si="4"/>
        <v/>
      </c>
      <c r="R663" s="20"/>
      <c r="S663" s="20"/>
    </row>
    <row r="664">
      <c r="A664" s="4"/>
      <c r="B664" s="4"/>
      <c r="C664" s="37"/>
      <c r="D664" s="7" t="str">
        <f>IFERROR(__xludf.DUMMYFUNCTION("iferror(iferror(INDEX(IMPORTRANGE(""12vtnxaE_Q1s4tyr10kZQx7ZF_xG0lBFae4jQEUtgsMU"",""All!B2:B""),MATCH($C664,IMPORTRANGE(""12vtnxaE_Q1s4tyr10kZQx7ZF_xG0lBFae4jQEUtgsMU"",""All!A2:A""),0)),INDEX(IMPORTRANGE(""13KC70HngS4DDi8y9E5khtSpQEPG6owaQ9z4E-tR5mnY"","&amp;"""Non-Food!B2:B""),MATCH($C664,IMPORTRANGE(""13KC70HngS4DDi8y9E5khtSpQEPG6owaQ9z4E-tR5mnY"",""Non-Food!A2:A""),0))),"""")"),"")</f>
        <v/>
      </c>
      <c r="E664" s="15"/>
      <c r="F664" s="15"/>
      <c r="G664" s="36"/>
      <c r="H664" s="23" t="str">
        <f>IFERROR(__xludf.DUMMYFUNCTION("iferror(iferror(iferror(index(IMPORTRANGE(""1NK5L1mviMn0j3D3uo53ASkIZOFRlLnqaCTnwzOG2_Wg"",""Direct Link!B2:B""),MATCH($C664,IMPORTRANGE(""1NK5L1mviMn0j3D3uo53ASkIZOFRlLnqaCTnwzOG2_Wg"",""Direct Link!A2:A""),0)),XLOOKUP($C664,IMPORTRANGE(""1NK5L1mviMn0j3D"&amp;"3uo53ASkIZOFRlLnqaCTnwzOG2_Wg"",""Direct links Without Sizes!A2:A""),IMPORTRANGE(""1NK5L1mviMn0j3D3uo53ASkIZOFRlLnqaCTnwzOG2_Wg"",""Direct links Without Sizes!B2:B""))),XLOOKUP($C664,IMPORTRANGE(""1NK5L1mviMn0j3D3uo53ASkIZOFRlLnqaCTnwzOG2_Wg"",""Direct li"&amp;"nks Without Sizes!D2:D""),IMPORTRANGE(""1NK5L1mviMn0j3D3uo53ASkIZOFRlLnqaCTnwzOG2_Wg"",""Direct links Without Sizes!E2:E""))),"""")"),"")</f>
        <v/>
      </c>
      <c r="I664" s="4"/>
      <c r="J664" s="24" t="str">
        <f t="shared" si="1"/>
        <v/>
      </c>
      <c r="K664" s="25"/>
      <c r="L664" s="24" t="str">
        <f t="shared" si="2"/>
        <v/>
      </c>
      <c r="M664" s="4"/>
      <c r="N664" s="23"/>
      <c r="O664" s="23"/>
      <c r="P664" s="23"/>
      <c r="Q664" s="4" t="str">
        <f t="shared" si="4"/>
        <v/>
      </c>
      <c r="R664" s="20"/>
      <c r="S664" s="20"/>
    </row>
    <row r="665">
      <c r="A665" s="4"/>
      <c r="B665" s="4"/>
      <c r="C665" s="37"/>
      <c r="D665" s="7" t="str">
        <f>IFERROR(__xludf.DUMMYFUNCTION("iferror(iferror(INDEX(IMPORTRANGE(""12vtnxaE_Q1s4tyr10kZQx7ZF_xG0lBFae4jQEUtgsMU"",""All!B2:B""),MATCH($C665,IMPORTRANGE(""12vtnxaE_Q1s4tyr10kZQx7ZF_xG0lBFae4jQEUtgsMU"",""All!A2:A""),0)),INDEX(IMPORTRANGE(""13KC70HngS4DDi8y9E5khtSpQEPG6owaQ9z4E-tR5mnY"","&amp;"""Non-Food!B2:B""),MATCH($C665,IMPORTRANGE(""13KC70HngS4DDi8y9E5khtSpQEPG6owaQ9z4E-tR5mnY"",""Non-Food!A2:A""),0))),"""")"),"")</f>
        <v/>
      </c>
      <c r="E665" s="15"/>
      <c r="F665" s="15"/>
      <c r="G665" s="36"/>
      <c r="H665" s="23" t="str">
        <f>IFERROR(__xludf.DUMMYFUNCTION("iferror(iferror(iferror(index(IMPORTRANGE(""1NK5L1mviMn0j3D3uo53ASkIZOFRlLnqaCTnwzOG2_Wg"",""Direct Link!B2:B""),MATCH($C665,IMPORTRANGE(""1NK5L1mviMn0j3D3uo53ASkIZOFRlLnqaCTnwzOG2_Wg"",""Direct Link!A2:A""),0)),XLOOKUP($C665,IMPORTRANGE(""1NK5L1mviMn0j3D"&amp;"3uo53ASkIZOFRlLnqaCTnwzOG2_Wg"",""Direct links Without Sizes!A2:A""),IMPORTRANGE(""1NK5L1mviMn0j3D3uo53ASkIZOFRlLnqaCTnwzOG2_Wg"",""Direct links Without Sizes!B2:B""))),XLOOKUP($C665,IMPORTRANGE(""1NK5L1mviMn0j3D3uo53ASkIZOFRlLnqaCTnwzOG2_Wg"",""Direct li"&amp;"nks Without Sizes!D2:D""),IMPORTRANGE(""1NK5L1mviMn0j3D3uo53ASkIZOFRlLnqaCTnwzOG2_Wg"",""Direct links Without Sizes!E2:E""))),"""")"),"")</f>
        <v/>
      </c>
      <c r="I665" s="4"/>
      <c r="J665" s="24" t="str">
        <f t="shared" si="1"/>
        <v/>
      </c>
      <c r="K665" s="25"/>
      <c r="L665" s="24" t="str">
        <f t="shared" si="2"/>
        <v/>
      </c>
      <c r="M665" s="4"/>
      <c r="N665" s="23"/>
      <c r="O665" s="23"/>
      <c r="P665" s="23"/>
      <c r="Q665" s="4" t="str">
        <f t="shared" si="4"/>
        <v/>
      </c>
      <c r="R665" s="20"/>
      <c r="S665" s="20"/>
    </row>
    <row r="666">
      <c r="A666" s="4"/>
      <c r="B666" s="4"/>
      <c r="C666" s="37"/>
      <c r="D666" s="7" t="str">
        <f>IFERROR(__xludf.DUMMYFUNCTION("iferror(iferror(INDEX(IMPORTRANGE(""12vtnxaE_Q1s4tyr10kZQx7ZF_xG0lBFae4jQEUtgsMU"",""All!B2:B""),MATCH($C666,IMPORTRANGE(""12vtnxaE_Q1s4tyr10kZQx7ZF_xG0lBFae4jQEUtgsMU"",""All!A2:A""),0)),INDEX(IMPORTRANGE(""13KC70HngS4DDi8y9E5khtSpQEPG6owaQ9z4E-tR5mnY"","&amp;"""Non-Food!B2:B""),MATCH($C666,IMPORTRANGE(""13KC70HngS4DDi8y9E5khtSpQEPG6owaQ9z4E-tR5mnY"",""Non-Food!A2:A""),0))),"""")"),"")</f>
        <v/>
      </c>
      <c r="E666" s="15"/>
      <c r="F666" s="15"/>
      <c r="G666" s="36"/>
      <c r="H666" s="23" t="str">
        <f>IFERROR(__xludf.DUMMYFUNCTION("iferror(iferror(iferror(index(IMPORTRANGE(""1NK5L1mviMn0j3D3uo53ASkIZOFRlLnqaCTnwzOG2_Wg"",""Direct Link!B2:B""),MATCH($C666,IMPORTRANGE(""1NK5L1mviMn0j3D3uo53ASkIZOFRlLnqaCTnwzOG2_Wg"",""Direct Link!A2:A""),0)),XLOOKUP($C666,IMPORTRANGE(""1NK5L1mviMn0j3D"&amp;"3uo53ASkIZOFRlLnqaCTnwzOG2_Wg"",""Direct links Without Sizes!A2:A""),IMPORTRANGE(""1NK5L1mviMn0j3D3uo53ASkIZOFRlLnqaCTnwzOG2_Wg"",""Direct links Without Sizes!B2:B""))),XLOOKUP($C666,IMPORTRANGE(""1NK5L1mviMn0j3D3uo53ASkIZOFRlLnqaCTnwzOG2_Wg"",""Direct li"&amp;"nks Without Sizes!D2:D""),IMPORTRANGE(""1NK5L1mviMn0j3D3uo53ASkIZOFRlLnqaCTnwzOG2_Wg"",""Direct links Without Sizes!E2:E""))),"""")"),"")</f>
        <v/>
      </c>
      <c r="I666" s="4"/>
      <c r="J666" s="24" t="str">
        <f t="shared" si="1"/>
        <v/>
      </c>
      <c r="K666" s="25"/>
      <c r="L666" s="24" t="str">
        <f t="shared" si="2"/>
        <v/>
      </c>
      <c r="M666" s="4"/>
      <c r="N666" s="23"/>
      <c r="O666" s="23"/>
      <c r="P666" s="23"/>
      <c r="Q666" s="4" t="str">
        <f t="shared" si="4"/>
        <v/>
      </c>
      <c r="R666" s="20"/>
      <c r="S666" s="20"/>
    </row>
    <row r="667">
      <c r="A667" s="4"/>
      <c r="B667" s="4"/>
      <c r="C667" s="37"/>
      <c r="D667" s="7" t="str">
        <f>IFERROR(__xludf.DUMMYFUNCTION("iferror(iferror(INDEX(IMPORTRANGE(""12vtnxaE_Q1s4tyr10kZQx7ZF_xG0lBFae4jQEUtgsMU"",""All!B2:B""),MATCH($C667,IMPORTRANGE(""12vtnxaE_Q1s4tyr10kZQx7ZF_xG0lBFae4jQEUtgsMU"",""All!A2:A""),0)),INDEX(IMPORTRANGE(""13KC70HngS4DDi8y9E5khtSpQEPG6owaQ9z4E-tR5mnY"","&amp;"""Non-Food!B2:B""),MATCH($C667,IMPORTRANGE(""13KC70HngS4DDi8y9E5khtSpQEPG6owaQ9z4E-tR5mnY"",""Non-Food!A2:A""),0))),"""")"),"")</f>
        <v/>
      </c>
      <c r="E667" s="15"/>
      <c r="F667" s="15"/>
      <c r="G667" s="36"/>
      <c r="H667" s="23" t="str">
        <f>IFERROR(__xludf.DUMMYFUNCTION("iferror(iferror(iferror(index(IMPORTRANGE(""1NK5L1mviMn0j3D3uo53ASkIZOFRlLnqaCTnwzOG2_Wg"",""Direct Link!B2:B""),MATCH($C667,IMPORTRANGE(""1NK5L1mviMn0j3D3uo53ASkIZOFRlLnqaCTnwzOG2_Wg"",""Direct Link!A2:A""),0)),XLOOKUP($C667,IMPORTRANGE(""1NK5L1mviMn0j3D"&amp;"3uo53ASkIZOFRlLnqaCTnwzOG2_Wg"",""Direct links Without Sizes!A2:A""),IMPORTRANGE(""1NK5L1mviMn0j3D3uo53ASkIZOFRlLnqaCTnwzOG2_Wg"",""Direct links Without Sizes!B2:B""))),XLOOKUP($C667,IMPORTRANGE(""1NK5L1mviMn0j3D3uo53ASkIZOFRlLnqaCTnwzOG2_Wg"",""Direct li"&amp;"nks Without Sizes!D2:D""),IMPORTRANGE(""1NK5L1mviMn0j3D3uo53ASkIZOFRlLnqaCTnwzOG2_Wg"",""Direct links Without Sizes!E2:E""))),"""")"),"")</f>
        <v/>
      </c>
      <c r="I667" s="4"/>
      <c r="J667" s="24" t="str">
        <f t="shared" si="1"/>
        <v/>
      </c>
      <c r="K667" s="25"/>
      <c r="L667" s="24" t="str">
        <f t="shared" si="2"/>
        <v/>
      </c>
      <c r="M667" s="4"/>
      <c r="N667" s="23"/>
      <c r="O667" s="23"/>
      <c r="P667" s="23"/>
      <c r="Q667" s="4" t="str">
        <f t="shared" si="4"/>
        <v/>
      </c>
      <c r="R667" s="20"/>
      <c r="S667" s="20"/>
    </row>
    <row r="668">
      <c r="A668" s="4"/>
      <c r="B668" s="4"/>
      <c r="C668" s="37"/>
      <c r="D668" s="7" t="str">
        <f>IFERROR(__xludf.DUMMYFUNCTION("iferror(iferror(INDEX(IMPORTRANGE(""12vtnxaE_Q1s4tyr10kZQx7ZF_xG0lBFae4jQEUtgsMU"",""All!B2:B""),MATCH($C668,IMPORTRANGE(""12vtnxaE_Q1s4tyr10kZQx7ZF_xG0lBFae4jQEUtgsMU"",""All!A2:A""),0)),INDEX(IMPORTRANGE(""13KC70HngS4DDi8y9E5khtSpQEPG6owaQ9z4E-tR5mnY"","&amp;"""Non-Food!B2:B""),MATCH($C668,IMPORTRANGE(""13KC70HngS4DDi8y9E5khtSpQEPG6owaQ9z4E-tR5mnY"",""Non-Food!A2:A""),0))),"""")"),"")</f>
        <v/>
      </c>
      <c r="E668" s="15"/>
      <c r="F668" s="15"/>
      <c r="G668" s="36"/>
      <c r="H668" s="23" t="str">
        <f>IFERROR(__xludf.DUMMYFUNCTION("iferror(iferror(iferror(index(IMPORTRANGE(""1NK5L1mviMn0j3D3uo53ASkIZOFRlLnqaCTnwzOG2_Wg"",""Direct Link!B2:B""),MATCH($C668,IMPORTRANGE(""1NK5L1mviMn0j3D3uo53ASkIZOFRlLnqaCTnwzOG2_Wg"",""Direct Link!A2:A""),0)),XLOOKUP($C668,IMPORTRANGE(""1NK5L1mviMn0j3D"&amp;"3uo53ASkIZOFRlLnqaCTnwzOG2_Wg"",""Direct links Without Sizes!A2:A""),IMPORTRANGE(""1NK5L1mviMn0j3D3uo53ASkIZOFRlLnqaCTnwzOG2_Wg"",""Direct links Without Sizes!B2:B""))),XLOOKUP($C668,IMPORTRANGE(""1NK5L1mviMn0j3D3uo53ASkIZOFRlLnqaCTnwzOG2_Wg"",""Direct li"&amp;"nks Without Sizes!D2:D""),IMPORTRANGE(""1NK5L1mviMn0j3D3uo53ASkIZOFRlLnqaCTnwzOG2_Wg"",""Direct links Without Sizes!E2:E""))),"""")"),"")</f>
        <v/>
      </c>
      <c r="I668" s="4"/>
      <c r="J668" s="24" t="str">
        <f t="shared" si="1"/>
        <v/>
      </c>
      <c r="K668" s="25"/>
      <c r="L668" s="24" t="str">
        <f t="shared" si="2"/>
        <v/>
      </c>
      <c r="M668" s="4"/>
      <c r="N668" s="23"/>
      <c r="O668" s="23"/>
      <c r="P668" s="23"/>
      <c r="Q668" s="4" t="str">
        <f t="shared" si="4"/>
        <v/>
      </c>
      <c r="R668" s="20"/>
      <c r="S668" s="20"/>
    </row>
    <row r="669">
      <c r="A669" s="4"/>
      <c r="B669" s="4"/>
      <c r="C669" s="37"/>
      <c r="D669" s="7" t="str">
        <f>IFERROR(__xludf.DUMMYFUNCTION("iferror(iferror(INDEX(IMPORTRANGE(""12vtnxaE_Q1s4tyr10kZQx7ZF_xG0lBFae4jQEUtgsMU"",""All!B2:B""),MATCH($C669,IMPORTRANGE(""12vtnxaE_Q1s4tyr10kZQx7ZF_xG0lBFae4jQEUtgsMU"",""All!A2:A""),0)),INDEX(IMPORTRANGE(""13KC70HngS4DDi8y9E5khtSpQEPG6owaQ9z4E-tR5mnY"","&amp;"""Non-Food!B2:B""),MATCH($C669,IMPORTRANGE(""13KC70HngS4DDi8y9E5khtSpQEPG6owaQ9z4E-tR5mnY"",""Non-Food!A2:A""),0))),"""")"),"")</f>
        <v/>
      </c>
      <c r="E669" s="15"/>
      <c r="F669" s="15"/>
      <c r="G669" s="36"/>
      <c r="H669" s="23" t="str">
        <f>IFERROR(__xludf.DUMMYFUNCTION("iferror(iferror(iferror(index(IMPORTRANGE(""1NK5L1mviMn0j3D3uo53ASkIZOFRlLnqaCTnwzOG2_Wg"",""Direct Link!B2:B""),MATCH($C669,IMPORTRANGE(""1NK5L1mviMn0j3D3uo53ASkIZOFRlLnqaCTnwzOG2_Wg"",""Direct Link!A2:A""),0)),XLOOKUP($C669,IMPORTRANGE(""1NK5L1mviMn0j3D"&amp;"3uo53ASkIZOFRlLnqaCTnwzOG2_Wg"",""Direct links Without Sizes!A2:A""),IMPORTRANGE(""1NK5L1mviMn0j3D3uo53ASkIZOFRlLnqaCTnwzOG2_Wg"",""Direct links Without Sizes!B2:B""))),XLOOKUP($C669,IMPORTRANGE(""1NK5L1mviMn0j3D3uo53ASkIZOFRlLnqaCTnwzOG2_Wg"",""Direct li"&amp;"nks Without Sizes!D2:D""),IMPORTRANGE(""1NK5L1mviMn0j3D3uo53ASkIZOFRlLnqaCTnwzOG2_Wg"",""Direct links Without Sizes!E2:E""))),"""")"),"")</f>
        <v/>
      </c>
      <c r="I669" s="4"/>
      <c r="J669" s="24" t="str">
        <f t="shared" si="1"/>
        <v/>
      </c>
      <c r="K669" s="25"/>
      <c r="L669" s="24" t="str">
        <f t="shared" si="2"/>
        <v/>
      </c>
      <c r="M669" s="4"/>
      <c r="N669" s="23"/>
      <c r="O669" s="23"/>
      <c r="P669" s="23"/>
      <c r="Q669" s="4" t="str">
        <f t="shared" si="4"/>
        <v/>
      </c>
      <c r="R669" s="20"/>
      <c r="S669" s="20"/>
    </row>
    <row r="670">
      <c r="A670" s="4"/>
      <c r="B670" s="4"/>
      <c r="C670" s="37"/>
      <c r="D670" s="7" t="str">
        <f>IFERROR(__xludf.DUMMYFUNCTION("iferror(iferror(INDEX(IMPORTRANGE(""12vtnxaE_Q1s4tyr10kZQx7ZF_xG0lBFae4jQEUtgsMU"",""All!B2:B""),MATCH($C670,IMPORTRANGE(""12vtnxaE_Q1s4tyr10kZQx7ZF_xG0lBFae4jQEUtgsMU"",""All!A2:A""),0)),INDEX(IMPORTRANGE(""13KC70HngS4DDi8y9E5khtSpQEPG6owaQ9z4E-tR5mnY"","&amp;"""Non-Food!B2:B""),MATCH($C670,IMPORTRANGE(""13KC70HngS4DDi8y9E5khtSpQEPG6owaQ9z4E-tR5mnY"",""Non-Food!A2:A""),0))),"""")"),"")</f>
        <v/>
      </c>
      <c r="E670" s="15"/>
      <c r="F670" s="15"/>
      <c r="G670" s="36"/>
      <c r="H670" s="23" t="str">
        <f>IFERROR(__xludf.DUMMYFUNCTION("iferror(iferror(iferror(index(IMPORTRANGE(""1NK5L1mviMn0j3D3uo53ASkIZOFRlLnqaCTnwzOG2_Wg"",""Direct Link!B2:B""),MATCH($C670,IMPORTRANGE(""1NK5L1mviMn0j3D3uo53ASkIZOFRlLnqaCTnwzOG2_Wg"",""Direct Link!A2:A""),0)),XLOOKUP($C670,IMPORTRANGE(""1NK5L1mviMn0j3D"&amp;"3uo53ASkIZOFRlLnqaCTnwzOG2_Wg"",""Direct links Without Sizes!A2:A""),IMPORTRANGE(""1NK5L1mviMn0j3D3uo53ASkIZOFRlLnqaCTnwzOG2_Wg"",""Direct links Without Sizes!B2:B""))),XLOOKUP($C670,IMPORTRANGE(""1NK5L1mviMn0j3D3uo53ASkIZOFRlLnqaCTnwzOG2_Wg"",""Direct li"&amp;"nks Without Sizes!D2:D""),IMPORTRANGE(""1NK5L1mviMn0j3D3uo53ASkIZOFRlLnqaCTnwzOG2_Wg"",""Direct links Without Sizes!E2:E""))),"""")"),"")</f>
        <v/>
      </c>
      <c r="I670" s="4"/>
      <c r="J670" s="24" t="str">
        <f t="shared" si="1"/>
        <v/>
      </c>
      <c r="K670" s="25"/>
      <c r="L670" s="24" t="str">
        <f t="shared" si="2"/>
        <v/>
      </c>
      <c r="M670" s="4"/>
      <c r="N670" s="23"/>
      <c r="O670" s="23"/>
      <c r="P670" s="23"/>
      <c r="Q670" s="4" t="str">
        <f t="shared" si="4"/>
        <v/>
      </c>
      <c r="R670" s="20"/>
      <c r="S670" s="20"/>
    </row>
    <row r="671">
      <c r="A671" s="4"/>
      <c r="B671" s="4"/>
      <c r="C671" s="37"/>
      <c r="D671" s="7" t="str">
        <f>IFERROR(__xludf.DUMMYFUNCTION("iferror(iferror(INDEX(IMPORTRANGE(""12vtnxaE_Q1s4tyr10kZQx7ZF_xG0lBFae4jQEUtgsMU"",""All!B2:B""),MATCH($C671,IMPORTRANGE(""12vtnxaE_Q1s4tyr10kZQx7ZF_xG0lBFae4jQEUtgsMU"",""All!A2:A""),0)),INDEX(IMPORTRANGE(""13KC70HngS4DDi8y9E5khtSpQEPG6owaQ9z4E-tR5mnY"","&amp;"""Non-Food!B2:B""),MATCH($C671,IMPORTRANGE(""13KC70HngS4DDi8y9E5khtSpQEPG6owaQ9z4E-tR5mnY"",""Non-Food!A2:A""),0))),"""")"),"")</f>
        <v/>
      </c>
      <c r="E671" s="15"/>
      <c r="F671" s="15"/>
      <c r="G671" s="36"/>
      <c r="H671" s="23" t="str">
        <f>IFERROR(__xludf.DUMMYFUNCTION("iferror(iferror(iferror(index(IMPORTRANGE(""1NK5L1mviMn0j3D3uo53ASkIZOFRlLnqaCTnwzOG2_Wg"",""Direct Link!B2:B""),MATCH($C671,IMPORTRANGE(""1NK5L1mviMn0j3D3uo53ASkIZOFRlLnqaCTnwzOG2_Wg"",""Direct Link!A2:A""),0)),XLOOKUP($C671,IMPORTRANGE(""1NK5L1mviMn0j3D"&amp;"3uo53ASkIZOFRlLnqaCTnwzOG2_Wg"",""Direct links Without Sizes!A2:A""),IMPORTRANGE(""1NK5L1mviMn0j3D3uo53ASkIZOFRlLnqaCTnwzOG2_Wg"",""Direct links Without Sizes!B2:B""))),XLOOKUP($C671,IMPORTRANGE(""1NK5L1mviMn0j3D3uo53ASkIZOFRlLnqaCTnwzOG2_Wg"",""Direct li"&amp;"nks Without Sizes!D2:D""),IMPORTRANGE(""1NK5L1mviMn0j3D3uo53ASkIZOFRlLnqaCTnwzOG2_Wg"",""Direct links Without Sizes!E2:E""))),"""")"),"")</f>
        <v/>
      </c>
      <c r="I671" s="4"/>
      <c r="J671" s="24" t="str">
        <f t="shared" si="1"/>
        <v/>
      </c>
      <c r="K671" s="25"/>
      <c r="L671" s="24" t="str">
        <f t="shared" si="2"/>
        <v/>
      </c>
      <c r="M671" s="4"/>
      <c r="N671" s="23"/>
      <c r="O671" s="23"/>
      <c r="P671" s="23"/>
      <c r="Q671" s="4" t="str">
        <f t="shared" si="4"/>
        <v/>
      </c>
      <c r="R671" s="20"/>
      <c r="S671" s="20"/>
    </row>
    <row r="672">
      <c r="A672" s="4"/>
      <c r="B672" s="4"/>
      <c r="C672" s="37"/>
      <c r="D672" s="7" t="str">
        <f>IFERROR(__xludf.DUMMYFUNCTION("iferror(iferror(INDEX(IMPORTRANGE(""12vtnxaE_Q1s4tyr10kZQx7ZF_xG0lBFae4jQEUtgsMU"",""All!B2:B""),MATCH($C672,IMPORTRANGE(""12vtnxaE_Q1s4tyr10kZQx7ZF_xG0lBFae4jQEUtgsMU"",""All!A2:A""),0)),INDEX(IMPORTRANGE(""13KC70HngS4DDi8y9E5khtSpQEPG6owaQ9z4E-tR5mnY"","&amp;"""Non-Food!B2:B""),MATCH($C672,IMPORTRANGE(""13KC70HngS4DDi8y9E5khtSpQEPG6owaQ9z4E-tR5mnY"",""Non-Food!A2:A""),0))),"""")"),"")</f>
        <v/>
      </c>
      <c r="E672" s="15"/>
      <c r="F672" s="15"/>
      <c r="G672" s="36"/>
      <c r="H672" s="23" t="str">
        <f>IFERROR(__xludf.DUMMYFUNCTION("iferror(iferror(iferror(index(IMPORTRANGE(""1NK5L1mviMn0j3D3uo53ASkIZOFRlLnqaCTnwzOG2_Wg"",""Direct Link!B2:B""),MATCH($C672,IMPORTRANGE(""1NK5L1mviMn0j3D3uo53ASkIZOFRlLnqaCTnwzOG2_Wg"",""Direct Link!A2:A""),0)),XLOOKUP($C672,IMPORTRANGE(""1NK5L1mviMn0j3D"&amp;"3uo53ASkIZOFRlLnqaCTnwzOG2_Wg"",""Direct links Without Sizes!A2:A""),IMPORTRANGE(""1NK5L1mviMn0j3D3uo53ASkIZOFRlLnqaCTnwzOG2_Wg"",""Direct links Without Sizes!B2:B""))),XLOOKUP($C672,IMPORTRANGE(""1NK5L1mviMn0j3D3uo53ASkIZOFRlLnqaCTnwzOG2_Wg"",""Direct li"&amp;"nks Without Sizes!D2:D""),IMPORTRANGE(""1NK5L1mviMn0j3D3uo53ASkIZOFRlLnqaCTnwzOG2_Wg"",""Direct links Without Sizes!E2:E""))),"""")"),"")</f>
        <v/>
      </c>
      <c r="I672" s="4"/>
      <c r="J672" s="24" t="str">
        <f t="shared" si="1"/>
        <v/>
      </c>
      <c r="K672" s="25"/>
      <c r="L672" s="24" t="str">
        <f t="shared" si="2"/>
        <v/>
      </c>
      <c r="M672" s="4"/>
      <c r="N672" s="23"/>
      <c r="O672" s="23"/>
      <c r="P672" s="23"/>
      <c r="Q672" s="4" t="str">
        <f t="shared" si="4"/>
        <v/>
      </c>
      <c r="R672" s="20"/>
      <c r="S672" s="20"/>
    </row>
    <row r="673">
      <c r="A673" s="4"/>
      <c r="B673" s="4"/>
      <c r="C673" s="37"/>
      <c r="D673" s="7" t="str">
        <f>IFERROR(__xludf.DUMMYFUNCTION("iferror(iferror(INDEX(IMPORTRANGE(""12vtnxaE_Q1s4tyr10kZQx7ZF_xG0lBFae4jQEUtgsMU"",""All!B2:B""),MATCH($C673,IMPORTRANGE(""12vtnxaE_Q1s4tyr10kZQx7ZF_xG0lBFae4jQEUtgsMU"",""All!A2:A""),0)),INDEX(IMPORTRANGE(""13KC70HngS4DDi8y9E5khtSpQEPG6owaQ9z4E-tR5mnY"","&amp;"""Non-Food!B2:B""),MATCH($C673,IMPORTRANGE(""13KC70HngS4DDi8y9E5khtSpQEPG6owaQ9z4E-tR5mnY"",""Non-Food!A2:A""),0))),"""")"),"")</f>
        <v/>
      </c>
      <c r="E673" s="15"/>
      <c r="F673" s="15"/>
      <c r="G673" s="36"/>
      <c r="H673" s="23" t="str">
        <f>IFERROR(__xludf.DUMMYFUNCTION("iferror(iferror(iferror(index(IMPORTRANGE(""1NK5L1mviMn0j3D3uo53ASkIZOFRlLnqaCTnwzOG2_Wg"",""Direct Link!B2:B""),MATCH($C673,IMPORTRANGE(""1NK5L1mviMn0j3D3uo53ASkIZOFRlLnqaCTnwzOG2_Wg"",""Direct Link!A2:A""),0)),XLOOKUP($C673,IMPORTRANGE(""1NK5L1mviMn0j3D"&amp;"3uo53ASkIZOFRlLnqaCTnwzOG2_Wg"",""Direct links Without Sizes!A2:A""),IMPORTRANGE(""1NK5L1mviMn0j3D3uo53ASkIZOFRlLnqaCTnwzOG2_Wg"",""Direct links Without Sizes!B2:B""))),XLOOKUP($C673,IMPORTRANGE(""1NK5L1mviMn0j3D3uo53ASkIZOFRlLnqaCTnwzOG2_Wg"",""Direct li"&amp;"nks Without Sizes!D2:D""),IMPORTRANGE(""1NK5L1mviMn0j3D3uo53ASkIZOFRlLnqaCTnwzOG2_Wg"",""Direct links Without Sizes!E2:E""))),"""")"),"")</f>
        <v/>
      </c>
      <c r="I673" s="4"/>
      <c r="J673" s="24" t="str">
        <f t="shared" si="1"/>
        <v/>
      </c>
      <c r="K673" s="25"/>
      <c r="L673" s="24" t="str">
        <f t="shared" si="2"/>
        <v/>
      </c>
      <c r="M673" s="4"/>
      <c r="N673" s="23"/>
      <c r="O673" s="23"/>
      <c r="P673" s="23"/>
      <c r="Q673" s="4" t="str">
        <f t="shared" si="4"/>
        <v/>
      </c>
      <c r="R673" s="20"/>
      <c r="S673" s="20"/>
    </row>
    <row r="674">
      <c r="A674" s="4"/>
      <c r="B674" s="4"/>
      <c r="C674" s="37"/>
      <c r="D674" s="7" t="str">
        <f>IFERROR(__xludf.DUMMYFUNCTION("iferror(iferror(INDEX(IMPORTRANGE(""12vtnxaE_Q1s4tyr10kZQx7ZF_xG0lBFae4jQEUtgsMU"",""All!B2:B""),MATCH($C674,IMPORTRANGE(""12vtnxaE_Q1s4tyr10kZQx7ZF_xG0lBFae4jQEUtgsMU"",""All!A2:A""),0)),INDEX(IMPORTRANGE(""13KC70HngS4DDi8y9E5khtSpQEPG6owaQ9z4E-tR5mnY"","&amp;"""Non-Food!B2:B""),MATCH($C674,IMPORTRANGE(""13KC70HngS4DDi8y9E5khtSpQEPG6owaQ9z4E-tR5mnY"",""Non-Food!A2:A""),0))),"""")"),"")</f>
        <v/>
      </c>
      <c r="E674" s="15"/>
      <c r="F674" s="15"/>
      <c r="G674" s="36"/>
      <c r="H674" s="23" t="str">
        <f>IFERROR(__xludf.DUMMYFUNCTION("iferror(iferror(iferror(index(IMPORTRANGE(""1NK5L1mviMn0j3D3uo53ASkIZOFRlLnqaCTnwzOG2_Wg"",""Direct Link!B2:B""),MATCH($C674,IMPORTRANGE(""1NK5L1mviMn0j3D3uo53ASkIZOFRlLnqaCTnwzOG2_Wg"",""Direct Link!A2:A""),0)),XLOOKUP($C674,IMPORTRANGE(""1NK5L1mviMn0j3D"&amp;"3uo53ASkIZOFRlLnqaCTnwzOG2_Wg"",""Direct links Without Sizes!A2:A""),IMPORTRANGE(""1NK5L1mviMn0j3D3uo53ASkIZOFRlLnqaCTnwzOG2_Wg"",""Direct links Without Sizes!B2:B""))),XLOOKUP($C674,IMPORTRANGE(""1NK5L1mviMn0j3D3uo53ASkIZOFRlLnqaCTnwzOG2_Wg"",""Direct li"&amp;"nks Without Sizes!D2:D""),IMPORTRANGE(""1NK5L1mviMn0j3D3uo53ASkIZOFRlLnqaCTnwzOG2_Wg"",""Direct links Without Sizes!E2:E""))),"""")"),"")</f>
        <v/>
      </c>
      <c r="I674" s="4"/>
      <c r="J674" s="24" t="str">
        <f t="shared" si="1"/>
        <v/>
      </c>
      <c r="K674" s="25"/>
      <c r="L674" s="24" t="str">
        <f t="shared" si="2"/>
        <v/>
      </c>
      <c r="M674" s="4"/>
      <c r="N674" s="23"/>
      <c r="O674" s="23"/>
      <c r="P674" s="23"/>
      <c r="Q674" s="4" t="str">
        <f t="shared" si="4"/>
        <v/>
      </c>
      <c r="R674" s="20"/>
      <c r="S674" s="20"/>
    </row>
    <row r="675">
      <c r="A675" s="4"/>
      <c r="B675" s="4"/>
      <c r="C675" s="37"/>
      <c r="D675" s="7" t="str">
        <f>IFERROR(__xludf.DUMMYFUNCTION("iferror(iferror(INDEX(IMPORTRANGE(""12vtnxaE_Q1s4tyr10kZQx7ZF_xG0lBFae4jQEUtgsMU"",""All!B2:B""),MATCH($C675,IMPORTRANGE(""12vtnxaE_Q1s4tyr10kZQx7ZF_xG0lBFae4jQEUtgsMU"",""All!A2:A""),0)),INDEX(IMPORTRANGE(""13KC70HngS4DDi8y9E5khtSpQEPG6owaQ9z4E-tR5mnY"","&amp;"""Non-Food!B2:B""),MATCH($C675,IMPORTRANGE(""13KC70HngS4DDi8y9E5khtSpQEPG6owaQ9z4E-tR5mnY"",""Non-Food!A2:A""),0))),"""")"),"")</f>
        <v/>
      </c>
      <c r="E675" s="15"/>
      <c r="F675" s="15"/>
      <c r="G675" s="36"/>
      <c r="H675" s="23" t="str">
        <f>IFERROR(__xludf.DUMMYFUNCTION("iferror(iferror(iferror(index(IMPORTRANGE(""1NK5L1mviMn0j3D3uo53ASkIZOFRlLnqaCTnwzOG2_Wg"",""Direct Link!B2:B""),MATCH($C675,IMPORTRANGE(""1NK5L1mviMn0j3D3uo53ASkIZOFRlLnqaCTnwzOG2_Wg"",""Direct Link!A2:A""),0)),XLOOKUP($C675,IMPORTRANGE(""1NK5L1mviMn0j3D"&amp;"3uo53ASkIZOFRlLnqaCTnwzOG2_Wg"",""Direct links Without Sizes!A2:A""),IMPORTRANGE(""1NK5L1mviMn0j3D3uo53ASkIZOFRlLnqaCTnwzOG2_Wg"",""Direct links Without Sizes!B2:B""))),XLOOKUP($C675,IMPORTRANGE(""1NK5L1mviMn0j3D3uo53ASkIZOFRlLnqaCTnwzOG2_Wg"",""Direct li"&amp;"nks Without Sizes!D2:D""),IMPORTRANGE(""1NK5L1mviMn0j3D3uo53ASkIZOFRlLnqaCTnwzOG2_Wg"",""Direct links Without Sizes!E2:E""))),"""")"),"")</f>
        <v/>
      </c>
      <c r="I675" s="4"/>
      <c r="J675" s="24" t="str">
        <f t="shared" si="1"/>
        <v/>
      </c>
      <c r="K675" s="25"/>
      <c r="L675" s="24" t="str">
        <f t="shared" si="2"/>
        <v/>
      </c>
      <c r="M675" s="4"/>
      <c r="N675" s="23"/>
      <c r="O675" s="23"/>
      <c r="P675" s="23"/>
      <c r="Q675" s="4" t="str">
        <f t="shared" si="4"/>
        <v/>
      </c>
      <c r="R675" s="20"/>
      <c r="S675" s="20"/>
    </row>
    <row r="676">
      <c r="A676" s="4"/>
      <c r="B676" s="4"/>
      <c r="C676" s="37"/>
      <c r="D676" s="7" t="str">
        <f>IFERROR(__xludf.DUMMYFUNCTION("iferror(iferror(INDEX(IMPORTRANGE(""12vtnxaE_Q1s4tyr10kZQx7ZF_xG0lBFae4jQEUtgsMU"",""All!B2:B""),MATCH($C676,IMPORTRANGE(""12vtnxaE_Q1s4tyr10kZQx7ZF_xG0lBFae4jQEUtgsMU"",""All!A2:A""),0)),INDEX(IMPORTRANGE(""13KC70HngS4DDi8y9E5khtSpQEPG6owaQ9z4E-tR5mnY"","&amp;"""Non-Food!B2:B""),MATCH($C676,IMPORTRANGE(""13KC70HngS4DDi8y9E5khtSpQEPG6owaQ9z4E-tR5mnY"",""Non-Food!A2:A""),0))),"""")"),"")</f>
        <v/>
      </c>
      <c r="E676" s="15"/>
      <c r="F676" s="15"/>
      <c r="G676" s="36"/>
      <c r="H676" s="23" t="str">
        <f>IFERROR(__xludf.DUMMYFUNCTION("iferror(iferror(iferror(index(IMPORTRANGE(""1NK5L1mviMn0j3D3uo53ASkIZOFRlLnqaCTnwzOG2_Wg"",""Direct Link!B2:B""),MATCH($C676,IMPORTRANGE(""1NK5L1mviMn0j3D3uo53ASkIZOFRlLnqaCTnwzOG2_Wg"",""Direct Link!A2:A""),0)),XLOOKUP($C676,IMPORTRANGE(""1NK5L1mviMn0j3D"&amp;"3uo53ASkIZOFRlLnqaCTnwzOG2_Wg"",""Direct links Without Sizes!A2:A""),IMPORTRANGE(""1NK5L1mviMn0j3D3uo53ASkIZOFRlLnqaCTnwzOG2_Wg"",""Direct links Without Sizes!B2:B""))),XLOOKUP($C676,IMPORTRANGE(""1NK5L1mviMn0j3D3uo53ASkIZOFRlLnqaCTnwzOG2_Wg"",""Direct li"&amp;"nks Without Sizes!D2:D""),IMPORTRANGE(""1NK5L1mviMn0j3D3uo53ASkIZOFRlLnqaCTnwzOG2_Wg"",""Direct links Without Sizes!E2:E""))),"""")"),"")</f>
        <v/>
      </c>
      <c r="I676" s="4"/>
      <c r="J676" s="24" t="str">
        <f t="shared" si="1"/>
        <v/>
      </c>
      <c r="K676" s="25"/>
      <c r="L676" s="24" t="str">
        <f t="shared" si="2"/>
        <v/>
      </c>
      <c r="M676" s="4"/>
      <c r="N676" s="23"/>
      <c r="O676" s="23"/>
      <c r="P676" s="23"/>
      <c r="Q676" s="4" t="str">
        <f t="shared" si="4"/>
        <v/>
      </c>
      <c r="R676" s="20"/>
      <c r="S676" s="20"/>
    </row>
    <row r="677">
      <c r="A677" s="4"/>
      <c r="B677" s="4"/>
      <c r="C677" s="37"/>
      <c r="D677" s="7" t="str">
        <f>IFERROR(__xludf.DUMMYFUNCTION("iferror(iferror(INDEX(IMPORTRANGE(""12vtnxaE_Q1s4tyr10kZQx7ZF_xG0lBFae4jQEUtgsMU"",""All!B2:B""),MATCH($C677,IMPORTRANGE(""12vtnxaE_Q1s4tyr10kZQx7ZF_xG0lBFae4jQEUtgsMU"",""All!A2:A""),0)),INDEX(IMPORTRANGE(""13KC70HngS4DDi8y9E5khtSpQEPG6owaQ9z4E-tR5mnY"","&amp;"""Non-Food!B2:B""),MATCH($C677,IMPORTRANGE(""13KC70HngS4DDi8y9E5khtSpQEPG6owaQ9z4E-tR5mnY"",""Non-Food!A2:A""),0))),"""")"),"")</f>
        <v/>
      </c>
      <c r="E677" s="15"/>
      <c r="F677" s="15"/>
      <c r="G677" s="36"/>
      <c r="H677" s="23" t="str">
        <f>IFERROR(__xludf.DUMMYFUNCTION("iferror(iferror(iferror(index(IMPORTRANGE(""1NK5L1mviMn0j3D3uo53ASkIZOFRlLnqaCTnwzOG2_Wg"",""Direct Link!B2:B""),MATCH($C677,IMPORTRANGE(""1NK5L1mviMn0j3D3uo53ASkIZOFRlLnqaCTnwzOG2_Wg"",""Direct Link!A2:A""),0)),XLOOKUP($C677,IMPORTRANGE(""1NK5L1mviMn0j3D"&amp;"3uo53ASkIZOFRlLnqaCTnwzOG2_Wg"",""Direct links Without Sizes!A2:A""),IMPORTRANGE(""1NK5L1mviMn0j3D3uo53ASkIZOFRlLnqaCTnwzOG2_Wg"",""Direct links Without Sizes!B2:B""))),XLOOKUP($C677,IMPORTRANGE(""1NK5L1mviMn0j3D3uo53ASkIZOFRlLnqaCTnwzOG2_Wg"",""Direct li"&amp;"nks Without Sizes!D2:D""),IMPORTRANGE(""1NK5L1mviMn0j3D3uo53ASkIZOFRlLnqaCTnwzOG2_Wg"",""Direct links Without Sizes!E2:E""))),"""")"),"")</f>
        <v/>
      </c>
      <c r="I677" s="4"/>
      <c r="J677" s="24" t="str">
        <f t="shared" si="1"/>
        <v/>
      </c>
      <c r="K677" s="25"/>
      <c r="L677" s="24" t="str">
        <f t="shared" si="2"/>
        <v/>
      </c>
      <c r="M677" s="4"/>
      <c r="N677" s="23"/>
      <c r="O677" s="23"/>
      <c r="P677" s="23"/>
      <c r="Q677" s="4" t="str">
        <f t="shared" si="4"/>
        <v/>
      </c>
      <c r="R677" s="20"/>
      <c r="S677" s="20"/>
    </row>
    <row r="678">
      <c r="A678" s="4"/>
      <c r="B678" s="4"/>
      <c r="C678" s="37"/>
      <c r="D678" s="7" t="str">
        <f>IFERROR(__xludf.DUMMYFUNCTION("iferror(iferror(INDEX(IMPORTRANGE(""12vtnxaE_Q1s4tyr10kZQx7ZF_xG0lBFae4jQEUtgsMU"",""All!B2:B""),MATCH($C678,IMPORTRANGE(""12vtnxaE_Q1s4tyr10kZQx7ZF_xG0lBFae4jQEUtgsMU"",""All!A2:A""),0)),INDEX(IMPORTRANGE(""13KC70HngS4DDi8y9E5khtSpQEPG6owaQ9z4E-tR5mnY"","&amp;"""Non-Food!B2:B""),MATCH($C678,IMPORTRANGE(""13KC70HngS4DDi8y9E5khtSpQEPG6owaQ9z4E-tR5mnY"",""Non-Food!A2:A""),0))),"""")"),"")</f>
        <v/>
      </c>
      <c r="E678" s="15"/>
      <c r="F678" s="15"/>
      <c r="G678" s="36"/>
      <c r="H678" s="23" t="str">
        <f>IFERROR(__xludf.DUMMYFUNCTION("iferror(iferror(iferror(index(IMPORTRANGE(""1NK5L1mviMn0j3D3uo53ASkIZOFRlLnqaCTnwzOG2_Wg"",""Direct Link!B2:B""),MATCH($C678,IMPORTRANGE(""1NK5L1mviMn0j3D3uo53ASkIZOFRlLnqaCTnwzOG2_Wg"",""Direct Link!A2:A""),0)),XLOOKUP($C678,IMPORTRANGE(""1NK5L1mviMn0j3D"&amp;"3uo53ASkIZOFRlLnqaCTnwzOG2_Wg"",""Direct links Without Sizes!A2:A""),IMPORTRANGE(""1NK5L1mviMn0j3D3uo53ASkIZOFRlLnqaCTnwzOG2_Wg"",""Direct links Without Sizes!B2:B""))),XLOOKUP($C678,IMPORTRANGE(""1NK5L1mviMn0j3D3uo53ASkIZOFRlLnqaCTnwzOG2_Wg"",""Direct li"&amp;"nks Without Sizes!D2:D""),IMPORTRANGE(""1NK5L1mviMn0j3D3uo53ASkIZOFRlLnqaCTnwzOG2_Wg"",""Direct links Without Sizes!E2:E""))),"""")"),"")</f>
        <v/>
      </c>
      <c r="I678" s="4"/>
      <c r="J678" s="24" t="str">
        <f t="shared" si="1"/>
        <v/>
      </c>
      <c r="K678" s="25"/>
      <c r="L678" s="24" t="str">
        <f t="shared" si="2"/>
        <v/>
      </c>
      <c r="M678" s="4"/>
      <c r="N678" s="23"/>
      <c r="O678" s="23"/>
      <c r="P678" s="23"/>
      <c r="Q678" s="4" t="str">
        <f t="shared" si="4"/>
        <v/>
      </c>
      <c r="R678" s="20"/>
      <c r="S678" s="20"/>
    </row>
    <row r="679">
      <c r="A679" s="4"/>
      <c r="B679" s="4"/>
      <c r="C679" s="37"/>
      <c r="D679" s="7" t="str">
        <f>IFERROR(__xludf.DUMMYFUNCTION("iferror(iferror(INDEX(IMPORTRANGE(""12vtnxaE_Q1s4tyr10kZQx7ZF_xG0lBFae4jQEUtgsMU"",""All!B2:B""),MATCH($C679,IMPORTRANGE(""12vtnxaE_Q1s4tyr10kZQx7ZF_xG0lBFae4jQEUtgsMU"",""All!A2:A""),0)),INDEX(IMPORTRANGE(""13KC70HngS4DDi8y9E5khtSpQEPG6owaQ9z4E-tR5mnY"","&amp;"""Non-Food!B2:B""),MATCH($C679,IMPORTRANGE(""13KC70HngS4DDi8y9E5khtSpQEPG6owaQ9z4E-tR5mnY"",""Non-Food!A2:A""),0))),"""")"),"")</f>
        <v/>
      </c>
      <c r="E679" s="15"/>
      <c r="F679" s="15"/>
      <c r="G679" s="36"/>
      <c r="H679" s="23" t="str">
        <f>IFERROR(__xludf.DUMMYFUNCTION("iferror(iferror(iferror(index(IMPORTRANGE(""1NK5L1mviMn0j3D3uo53ASkIZOFRlLnqaCTnwzOG2_Wg"",""Direct Link!B2:B""),MATCH($C679,IMPORTRANGE(""1NK5L1mviMn0j3D3uo53ASkIZOFRlLnqaCTnwzOG2_Wg"",""Direct Link!A2:A""),0)),XLOOKUP($C679,IMPORTRANGE(""1NK5L1mviMn0j3D"&amp;"3uo53ASkIZOFRlLnqaCTnwzOG2_Wg"",""Direct links Without Sizes!A2:A""),IMPORTRANGE(""1NK5L1mviMn0j3D3uo53ASkIZOFRlLnqaCTnwzOG2_Wg"",""Direct links Without Sizes!B2:B""))),XLOOKUP($C679,IMPORTRANGE(""1NK5L1mviMn0j3D3uo53ASkIZOFRlLnqaCTnwzOG2_Wg"",""Direct li"&amp;"nks Without Sizes!D2:D""),IMPORTRANGE(""1NK5L1mviMn0j3D3uo53ASkIZOFRlLnqaCTnwzOG2_Wg"",""Direct links Without Sizes!E2:E""))),"""")"),"")</f>
        <v/>
      </c>
      <c r="I679" s="4"/>
      <c r="J679" s="24" t="str">
        <f t="shared" si="1"/>
        <v/>
      </c>
      <c r="K679" s="25"/>
      <c r="L679" s="24" t="str">
        <f t="shared" si="2"/>
        <v/>
      </c>
      <c r="M679" s="4"/>
      <c r="N679" s="23"/>
      <c r="O679" s="23"/>
      <c r="P679" s="23"/>
      <c r="Q679" s="4" t="str">
        <f t="shared" si="4"/>
        <v/>
      </c>
      <c r="R679" s="20"/>
      <c r="S679" s="20"/>
    </row>
    <row r="680">
      <c r="A680" s="4"/>
      <c r="B680" s="4"/>
      <c r="C680" s="37"/>
      <c r="D680" s="7" t="str">
        <f>IFERROR(__xludf.DUMMYFUNCTION("iferror(iferror(INDEX(IMPORTRANGE(""12vtnxaE_Q1s4tyr10kZQx7ZF_xG0lBFae4jQEUtgsMU"",""All!B2:B""),MATCH($C680,IMPORTRANGE(""12vtnxaE_Q1s4tyr10kZQx7ZF_xG0lBFae4jQEUtgsMU"",""All!A2:A""),0)),INDEX(IMPORTRANGE(""13KC70HngS4DDi8y9E5khtSpQEPG6owaQ9z4E-tR5mnY"","&amp;"""Non-Food!B2:B""),MATCH($C680,IMPORTRANGE(""13KC70HngS4DDi8y9E5khtSpQEPG6owaQ9z4E-tR5mnY"",""Non-Food!A2:A""),0))),"""")"),"")</f>
        <v/>
      </c>
      <c r="E680" s="15"/>
      <c r="F680" s="15"/>
      <c r="G680" s="36"/>
      <c r="H680" s="23" t="str">
        <f>IFERROR(__xludf.DUMMYFUNCTION("iferror(iferror(iferror(index(IMPORTRANGE(""1NK5L1mviMn0j3D3uo53ASkIZOFRlLnqaCTnwzOG2_Wg"",""Direct Link!B2:B""),MATCH($C680,IMPORTRANGE(""1NK5L1mviMn0j3D3uo53ASkIZOFRlLnqaCTnwzOG2_Wg"",""Direct Link!A2:A""),0)),XLOOKUP($C680,IMPORTRANGE(""1NK5L1mviMn0j3D"&amp;"3uo53ASkIZOFRlLnqaCTnwzOG2_Wg"",""Direct links Without Sizes!A2:A""),IMPORTRANGE(""1NK5L1mviMn0j3D3uo53ASkIZOFRlLnqaCTnwzOG2_Wg"",""Direct links Without Sizes!B2:B""))),XLOOKUP($C680,IMPORTRANGE(""1NK5L1mviMn0j3D3uo53ASkIZOFRlLnqaCTnwzOG2_Wg"",""Direct li"&amp;"nks Without Sizes!D2:D""),IMPORTRANGE(""1NK5L1mviMn0j3D3uo53ASkIZOFRlLnqaCTnwzOG2_Wg"",""Direct links Without Sizes!E2:E""))),"""")"),"")</f>
        <v/>
      </c>
      <c r="I680" s="4"/>
      <c r="J680" s="24" t="str">
        <f t="shared" si="1"/>
        <v/>
      </c>
      <c r="K680" s="25"/>
      <c r="L680" s="24" t="str">
        <f t="shared" si="2"/>
        <v/>
      </c>
      <c r="M680" s="4"/>
      <c r="N680" s="23"/>
      <c r="O680" s="23"/>
      <c r="P680" s="23"/>
      <c r="Q680" s="4" t="str">
        <f t="shared" si="4"/>
        <v/>
      </c>
      <c r="R680" s="20"/>
      <c r="S680" s="20"/>
    </row>
    <row r="681">
      <c r="A681" s="4"/>
      <c r="B681" s="4"/>
      <c r="C681" s="37"/>
      <c r="D681" s="7" t="str">
        <f>IFERROR(__xludf.DUMMYFUNCTION("iferror(iferror(INDEX(IMPORTRANGE(""12vtnxaE_Q1s4tyr10kZQx7ZF_xG0lBFae4jQEUtgsMU"",""All!B2:B""),MATCH($C681,IMPORTRANGE(""12vtnxaE_Q1s4tyr10kZQx7ZF_xG0lBFae4jQEUtgsMU"",""All!A2:A""),0)),INDEX(IMPORTRANGE(""13KC70HngS4DDi8y9E5khtSpQEPG6owaQ9z4E-tR5mnY"","&amp;"""Non-Food!B2:B""),MATCH($C681,IMPORTRANGE(""13KC70HngS4DDi8y9E5khtSpQEPG6owaQ9z4E-tR5mnY"",""Non-Food!A2:A""),0))),"""")"),"")</f>
        <v/>
      </c>
      <c r="E681" s="15"/>
      <c r="F681" s="15"/>
      <c r="G681" s="36"/>
      <c r="H681" s="23" t="str">
        <f>IFERROR(__xludf.DUMMYFUNCTION("iferror(iferror(iferror(index(IMPORTRANGE(""1NK5L1mviMn0j3D3uo53ASkIZOFRlLnqaCTnwzOG2_Wg"",""Direct Link!B2:B""),MATCH($C681,IMPORTRANGE(""1NK5L1mviMn0j3D3uo53ASkIZOFRlLnqaCTnwzOG2_Wg"",""Direct Link!A2:A""),0)),XLOOKUP($C681,IMPORTRANGE(""1NK5L1mviMn0j3D"&amp;"3uo53ASkIZOFRlLnqaCTnwzOG2_Wg"",""Direct links Without Sizes!A2:A""),IMPORTRANGE(""1NK5L1mviMn0j3D3uo53ASkIZOFRlLnqaCTnwzOG2_Wg"",""Direct links Without Sizes!B2:B""))),XLOOKUP($C681,IMPORTRANGE(""1NK5L1mviMn0j3D3uo53ASkIZOFRlLnqaCTnwzOG2_Wg"",""Direct li"&amp;"nks Without Sizes!D2:D""),IMPORTRANGE(""1NK5L1mviMn0j3D3uo53ASkIZOFRlLnqaCTnwzOG2_Wg"",""Direct links Without Sizes!E2:E""))),"""")"),"")</f>
        <v/>
      </c>
      <c r="I681" s="4"/>
      <c r="J681" s="24" t="str">
        <f t="shared" si="1"/>
        <v/>
      </c>
      <c r="K681" s="25"/>
      <c r="L681" s="24" t="str">
        <f t="shared" si="2"/>
        <v/>
      </c>
      <c r="M681" s="4"/>
      <c r="N681" s="23"/>
      <c r="O681" s="23"/>
      <c r="P681" s="23"/>
      <c r="Q681" s="4" t="str">
        <f t="shared" si="4"/>
        <v/>
      </c>
      <c r="R681" s="20"/>
      <c r="S681" s="20"/>
    </row>
    <row r="682">
      <c r="A682" s="4"/>
      <c r="B682" s="4"/>
      <c r="C682" s="37"/>
      <c r="D682" s="7" t="str">
        <f>IFERROR(__xludf.DUMMYFUNCTION("iferror(iferror(INDEX(IMPORTRANGE(""12vtnxaE_Q1s4tyr10kZQx7ZF_xG0lBFae4jQEUtgsMU"",""All!B2:B""),MATCH($C682,IMPORTRANGE(""12vtnxaE_Q1s4tyr10kZQx7ZF_xG0lBFae4jQEUtgsMU"",""All!A2:A""),0)),INDEX(IMPORTRANGE(""13KC70HngS4DDi8y9E5khtSpQEPG6owaQ9z4E-tR5mnY"","&amp;"""Non-Food!B2:B""),MATCH($C682,IMPORTRANGE(""13KC70HngS4DDi8y9E5khtSpQEPG6owaQ9z4E-tR5mnY"",""Non-Food!A2:A""),0))),"""")"),"")</f>
        <v/>
      </c>
      <c r="E682" s="15"/>
      <c r="F682" s="15"/>
      <c r="G682" s="36"/>
      <c r="H682" s="23" t="str">
        <f>IFERROR(__xludf.DUMMYFUNCTION("iferror(iferror(iferror(index(IMPORTRANGE(""1NK5L1mviMn0j3D3uo53ASkIZOFRlLnqaCTnwzOG2_Wg"",""Direct Link!B2:B""),MATCH($C682,IMPORTRANGE(""1NK5L1mviMn0j3D3uo53ASkIZOFRlLnqaCTnwzOG2_Wg"",""Direct Link!A2:A""),0)),XLOOKUP($C682,IMPORTRANGE(""1NK5L1mviMn0j3D"&amp;"3uo53ASkIZOFRlLnqaCTnwzOG2_Wg"",""Direct links Without Sizes!A2:A""),IMPORTRANGE(""1NK5L1mviMn0j3D3uo53ASkIZOFRlLnqaCTnwzOG2_Wg"",""Direct links Without Sizes!B2:B""))),XLOOKUP($C682,IMPORTRANGE(""1NK5L1mviMn0j3D3uo53ASkIZOFRlLnqaCTnwzOG2_Wg"",""Direct li"&amp;"nks Without Sizes!D2:D""),IMPORTRANGE(""1NK5L1mviMn0j3D3uo53ASkIZOFRlLnqaCTnwzOG2_Wg"",""Direct links Without Sizes!E2:E""))),"""")"),"")</f>
        <v/>
      </c>
      <c r="I682" s="4"/>
      <c r="J682" s="24" t="str">
        <f t="shared" si="1"/>
        <v/>
      </c>
      <c r="K682" s="25"/>
      <c r="L682" s="24" t="str">
        <f t="shared" si="2"/>
        <v/>
      </c>
      <c r="M682" s="4"/>
      <c r="N682" s="23"/>
      <c r="O682" s="23"/>
      <c r="P682" s="23"/>
      <c r="Q682" s="4" t="str">
        <f t="shared" si="4"/>
        <v/>
      </c>
      <c r="R682" s="20"/>
      <c r="S682" s="20"/>
    </row>
    <row r="683">
      <c r="A683" s="4"/>
      <c r="B683" s="4"/>
      <c r="C683" s="37"/>
      <c r="D683" s="7" t="str">
        <f>IFERROR(__xludf.DUMMYFUNCTION("iferror(iferror(INDEX(IMPORTRANGE(""12vtnxaE_Q1s4tyr10kZQx7ZF_xG0lBFae4jQEUtgsMU"",""All!B2:B""),MATCH($C683,IMPORTRANGE(""12vtnxaE_Q1s4tyr10kZQx7ZF_xG0lBFae4jQEUtgsMU"",""All!A2:A""),0)),INDEX(IMPORTRANGE(""13KC70HngS4DDi8y9E5khtSpQEPG6owaQ9z4E-tR5mnY"","&amp;"""Non-Food!B2:B""),MATCH($C683,IMPORTRANGE(""13KC70HngS4DDi8y9E5khtSpQEPG6owaQ9z4E-tR5mnY"",""Non-Food!A2:A""),0))),"""")"),"")</f>
        <v/>
      </c>
      <c r="E683" s="15"/>
      <c r="F683" s="15"/>
      <c r="G683" s="36"/>
      <c r="H683" s="23" t="str">
        <f>IFERROR(__xludf.DUMMYFUNCTION("iferror(iferror(iferror(index(IMPORTRANGE(""1NK5L1mviMn0j3D3uo53ASkIZOFRlLnqaCTnwzOG2_Wg"",""Direct Link!B2:B""),MATCH($C683,IMPORTRANGE(""1NK5L1mviMn0j3D3uo53ASkIZOFRlLnqaCTnwzOG2_Wg"",""Direct Link!A2:A""),0)),XLOOKUP($C683,IMPORTRANGE(""1NK5L1mviMn0j3D"&amp;"3uo53ASkIZOFRlLnqaCTnwzOG2_Wg"",""Direct links Without Sizes!A2:A""),IMPORTRANGE(""1NK5L1mviMn0j3D3uo53ASkIZOFRlLnqaCTnwzOG2_Wg"",""Direct links Without Sizes!B2:B""))),XLOOKUP($C683,IMPORTRANGE(""1NK5L1mviMn0j3D3uo53ASkIZOFRlLnqaCTnwzOG2_Wg"",""Direct li"&amp;"nks Without Sizes!D2:D""),IMPORTRANGE(""1NK5L1mviMn0j3D3uo53ASkIZOFRlLnqaCTnwzOG2_Wg"",""Direct links Without Sizes!E2:E""))),"""")"),"")</f>
        <v/>
      </c>
      <c r="I683" s="4"/>
      <c r="J683" s="24" t="str">
        <f t="shared" si="1"/>
        <v/>
      </c>
      <c r="K683" s="25"/>
      <c r="L683" s="24" t="str">
        <f t="shared" si="2"/>
        <v/>
      </c>
      <c r="M683" s="4"/>
      <c r="N683" s="23"/>
      <c r="O683" s="23"/>
      <c r="P683" s="23"/>
      <c r="Q683" s="4" t="str">
        <f t="shared" si="4"/>
        <v/>
      </c>
      <c r="R683" s="20"/>
      <c r="S683" s="20"/>
    </row>
    <row r="684">
      <c r="A684" s="4"/>
      <c r="B684" s="4"/>
      <c r="C684" s="37"/>
      <c r="D684" s="7" t="str">
        <f>IFERROR(__xludf.DUMMYFUNCTION("iferror(iferror(INDEX(IMPORTRANGE(""12vtnxaE_Q1s4tyr10kZQx7ZF_xG0lBFae4jQEUtgsMU"",""All!B2:B""),MATCH($C684,IMPORTRANGE(""12vtnxaE_Q1s4tyr10kZQx7ZF_xG0lBFae4jQEUtgsMU"",""All!A2:A""),0)),INDEX(IMPORTRANGE(""13KC70HngS4DDi8y9E5khtSpQEPG6owaQ9z4E-tR5mnY"","&amp;"""Non-Food!B2:B""),MATCH($C684,IMPORTRANGE(""13KC70HngS4DDi8y9E5khtSpQEPG6owaQ9z4E-tR5mnY"",""Non-Food!A2:A""),0))),"""")"),"")</f>
        <v/>
      </c>
      <c r="E684" s="15"/>
      <c r="F684" s="15"/>
      <c r="G684" s="36"/>
      <c r="H684" s="23" t="str">
        <f>IFERROR(__xludf.DUMMYFUNCTION("iferror(iferror(iferror(index(IMPORTRANGE(""1NK5L1mviMn0j3D3uo53ASkIZOFRlLnqaCTnwzOG2_Wg"",""Direct Link!B2:B""),MATCH($C684,IMPORTRANGE(""1NK5L1mviMn0j3D3uo53ASkIZOFRlLnqaCTnwzOG2_Wg"",""Direct Link!A2:A""),0)),XLOOKUP($C684,IMPORTRANGE(""1NK5L1mviMn0j3D"&amp;"3uo53ASkIZOFRlLnqaCTnwzOG2_Wg"",""Direct links Without Sizes!A2:A""),IMPORTRANGE(""1NK5L1mviMn0j3D3uo53ASkIZOFRlLnqaCTnwzOG2_Wg"",""Direct links Without Sizes!B2:B""))),XLOOKUP($C684,IMPORTRANGE(""1NK5L1mviMn0j3D3uo53ASkIZOFRlLnqaCTnwzOG2_Wg"",""Direct li"&amp;"nks Without Sizes!D2:D""),IMPORTRANGE(""1NK5L1mviMn0j3D3uo53ASkIZOFRlLnqaCTnwzOG2_Wg"",""Direct links Without Sizes!E2:E""))),"""")"),"")</f>
        <v/>
      </c>
      <c r="I684" s="4"/>
      <c r="J684" s="24" t="str">
        <f t="shared" si="1"/>
        <v/>
      </c>
      <c r="K684" s="25"/>
      <c r="L684" s="24" t="str">
        <f t="shared" si="2"/>
        <v/>
      </c>
      <c r="M684" s="4"/>
      <c r="N684" s="23"/>
      <c r="O684" s="23"/>
      <c r="P684" s="23"/>
      <c r="Q684" s="4" t="str">
        <f t="shared" si="4"/>
        <v/>
      </c>
      <c r="R684" s="20"/>
      <c r="S684" s="20"/>
    </row>
    <row r="685">
      <c r="A685" s="4"/>
      <c r="B685" s="4"/>
      <c r="C685" s="37"/>
      <c r="D685" s="7" t="str">
        <f>IFERROR(__xludf.DUMMYFUNCTION("iferror(iferror(INDEX(IMPORTRANGE(""12vtnxaE_Q1s4tyr10kZQx7ZF_xG0lBFae4jQEUtgsMU"",""All!B2:B""),MATCH($C685,IMPORTRANGE(""12vtnxaE_Q1s4tyr10kZQx7ZF_xG0lBFae4jQEUtgsMU"",""All!A2:A""),0)),INDEX(IMPORTRANGE(""13KC70HngS4DDi8y9E5khtSpQEPG6owaQ9z4E-tR5mnY"","&amp;"""Non-Food!B2:B""),MATCH($C685,IMPORTRANGE(""13KC70HngS4DDi8y9E5khtSpQEPG6owaQ9z4E-tR5mnY"",""Non-Food!A2:A""),0))),"""")"),"")</f>
        <v/>
      </c>
      <c r="E685" s="15"/>
      <c r="F685" s="15"/>
      <c r="G685" s="36"/>
      <c r="H685" s="23" t="str">
        <f>IFERROR(__xludf.DUMMYFUNCTION("iferror(iferror(iferror(index(IMPORTRANGE(""1NK5L1mviMn0j3D3uo53ASkIZOFRlLnqaCTnwzOG2_Wg"",""Direct Link!B2:B""),MATCH($C685,IMPORTRANGE(""1NK5L1mviMn0j3D3uo53ASkIZOFRlLnqaCTnwzOG2_Wg"",""Direct Link!A2:A""),0)),XLOOKUP($C685,IMPORTRANGE(""1NK5L1mviMn0j3D"&amp;"3uo53ASkIZOFRlLnqaCTnwzOG2_Wg"",""Direct links Without Sizes!A2:A""),IMPORTRANGE(""1NK5L1mviMn0j3D3uo53ASkIZOFRlLnqaCTnwzOG2_Wg"",""Direct links Without Sizes!B2:B""))),XLOOKUP($C685,IMPORTRANGE(""1NK5L1mviMn0j3D3uo53ASkIZOFRlLnqaCTnwzOG2_Wg"",""Direct li"&amp;"nks Without Sizes!D2:D""),IMPORTRANGE(""1NK5L1mviMn0j3D3uo53ASkIZOFRlLnqaCTnwzOG2_Wg"",""Direct links Without Sizes!E2:E""))),"""")"),"")</f>
        <v/>
      </c>
      <c r="I685" s="4"/>
      <c r="J685" s="24" t="str">
        <f t="shared" si="1"/>
        <v/>
      </c>
      <c r="K685" s="25"/>
      <c r="L685" s="24" t="str">
        <f t="shared" si="2"/>
        <v/>
      </c>
      <c r="M685" s="4"/>
      <c r="N685" s="23"/>
      <c r="O685" s="23"/>
      <c r="P685" s="23"/>
      <c r="Q685" s="4" t="str">
        <f t="shared" si="4"/>
        <v/>
      </c>
      <c r="R685" s="20"/>
      <c r="S685" s="20"/>
    </row>
    <row r="686">
      <c r="A686" s="4"/>
      <c r="B686" s="4"/>
      <c r="C686" s="37"/>
      <c r="D686" s="7" t="str">
        <f>IFERROR(__xludf.DUMMYFUNCTION("iferror(iferror(INDEX(IMPORTRANGE(""12vtnxaE_Q1s4tyr10kZQx7ZF_xG0lBFae4jQEUtgsMU"",""All!B2:B""),MATCH($C686,IMPORTRANGE(""12vtnxaE_Q1s4tyr10kZQx7ZF_xG0lBFae4jQEUtgsMU"",""All!A2:A""),0)),INDEX(IMPORTRANGE(""13KC70HngS4DDi8y9E5khtSpQEPG6owaQ9z4E-tR5mnY"","&amp;"""Non-Food!B2:B""),MATCH($C686,IMPORTRANGE(""13KC70HngS4DDi8y9E5khtSpQEPG6owaQ9z4E-tR5mnY"",""Non-Food!A2:A""),0))),"""")"),"")</f>
        <v/>
      </c>
      <c r="E686" s="15"/>
      <c r="F686" s="15"/>
      <c r="G686" s="36"/>
      <c r="H686" s="23" t="str">
        <f>IFERROR(__xludf.DUMMYFUNCTION("iferror(iferror(iferror(index(IMPORTRANGE(""1NK5L1mviMn0j3D3uo53ASkIZOFRlLnqaCTnwzOG2_Wg"",""Direct Link!B2:B""),MATCH($C686,IMPORTRANGE(""1NK5L1mviMn0j3D3uo53ASkIZOFRlLnqaCTnwzOG2_Wg"",""Direct Link!A2:A""),0)),XLOOKUP($C686,IMPORTRANGE(""1NK5L1mviMn0j3D"&amp;"3uo53ASkIZOFRlLnqaCTnwzOG2_Wg"",""Direct links Without Sizes!A2:A""),IMPORTRANGE(""1NK5L1mviMn0j3D3uo53ASkIZOFRlLnqaCTnwzOG2_Wg"",""Direct links Without Sizes!B2:B""))),XLOOKUP($C686,IMPORTRANGE(""1NK5L1mviMn0j3D3uo53ASkIZOFRlLnqaCTnwzOG2_Wg"",""Direct li"&amp;"nks Without Sizes!D2:D""),IMPORTRANGE(""1NK5L1mviMn0j3D3uo53ASkIZOFRlLnqaCTnwzOG2_Wg"",""Direct links Without Sizes!E2:E""))),"""")"),"")</f>
        <v/>
      </c>
      <c r="I686" s="4"/>
      <c r="J686" s="24" t="str">
        <f t="shared" si="1"/>
        <v/>
      </c>
      <c r="K686" s="25"/>
      <c r="L686" s="24" t="str">
        <f t="shared" si="2"/>
        <v/>
      </c>
      <c r="M686" s="4"/>
      <c r="N686" s="23"/>
      <c r="O686" s="23"/>
      <c r="P686" s="23"/>
      <c r="Q686" s="4" t="str">
        <f t="shared" si="4"/>
        <v/>
      </c>
      <c r="R686" s="20"/>
      <c r="S686" s="20"/>
    </row>
    <row r="687">
      <c r="A687" s="4"/>
      <c r="B687" s="4"/>
      <c r="C687" s="37"/>
      <c r="D687" s="7" t="str">
        <f>IFERROR(__xludf.DUMMYFUNCTION("iferror(iferror(INDEX(IMPORTRANGE(""12vtnxaE_Q1s4tyr10kZQx7ZF_xG0lBFae4jQEUtgsMU"",""All!B2:B""),MATCH($C687,IMPORTRANGE(""12vtnxaE_Q1s4tyr10kZQx7ZF_xG0lBFae4jQEUtgsMU"",""All!A2:A""),0)),INDEX(IMPORTRANGE(""13KC70HngS4DDi8y9E5khtSpQEPG6owaQ9z4E-tR5mnY"","&amp;"""Non-Food!B2:B""),MATCH($C687,IMPORTRANGE(""13KC70HngS4DDi8y9E5khtSpQEPG6owaQ9z4E-tR5mnY"",""Non-Food!A2:A""),0))),"""")"),"")</f>
        <v/>
      </c>
      <c r="E687" s="15"/>
      <c r="F687" s="15"/>
      <c r="G687" s="36"/>
      <c r="H687" s="23" t="str">
        <f>IFERROR(__xludf.DUMMYFUNCTION("iferror(iferror(iferror(index(IMPORTRANGE(""1NK5L1mviMn0j3D3uo53ASkIZOFRlLnqaCTnwzOG2_Wg"",""Direct Link!B2:B""),MATCH($C687,IMPORTRANGE(""1NK5L1mviMn0j3D3uo53ASkIZOFRlLnqaCTnwzOG2_Wg"",""Direct Link!A2:A""),0)),XLOOKUP($C687,IMPORTRANGE(""1NK5L1mviMn0j3D"&amp;"3uo53ASkIZOFRlLnqaCTnwzOG2_Wg"",""Direct links Without Sizes!A2:A""),IMPORTRANGE(""1NK5L1mviMn0j3D3uo53ASkIZOFRlLnqaCTnwzOG2_Wg"",""Direct links Without Sizes!B2:B""))),XLOOKUP($C687,IMPORTRANGE(""1NK5L1mviMn0j3D3uo53ASkIZOFRlLnqaCTnwzOG2_Wg"",""Direct li"&amp;"nks Without Sizes!D2:D""),IMPORTRANGE(""1NK5L1mviMn0j3D3uo53ASkIZOFRlLnqaCTnwzOG2_Wg"",""Direct links Without Sizes!E2:E""))),"""")"),"")</f>
        <v/>
      </c>
      <c r="I687" s="4"/>
      <c r="J687" s="24" t="str">
        <f t="shared" si="1"/>
        <v/>
      </c>
      <c r="K687" s="25"/>
      <c r="L687" s="24" t="str">
        <f t="shared" si="2"/>
        <v/>
      </c>
      <c r="M687" s="4"/>
      <c r="N687" s="23"/>
      <c r="O687" s="23"/>
      <c r="P687" s="23"/>
      <c r="Q687" s="4" t="str">
        <f t="shared" si="4"/>
        <v/>
      </c>
      <c r="R687" s="20"/>
      <c r="S687" s="20"/>
    </row>
    <row r="688">
      <c r="A688" s="4"/>
      <c r="B688" s="4"/>
      <c r="C688" s="37"/>
      <c r="D688" s="7" t="str">
        <f>IFERROR(__xludf.DUMMYFUNCTION("iferror(iferror(INDEX(IMPORTRANGE(""12vtnxaE_Q1s4tyr10kZQx7ZF_xG0lBFae4jQEUtgsMU"",""All!B2:B""),MATCH($C688,IMPORTRANGE(""12vtnxaE_Q1s4tyr10kZQx7ZF_xG0lBFae4jQEUtgsMU"",""All!A2:A""),0)),INDEX(IMPORTRANGE(""13KC70HngS4DDi8y9E5khtSpQEPG6owaQ9z4E-tR5mnY"","&amp;"""Non-Food!B2:B""),MATCH($C688,IMPORTRANGE(""13KC70HngS4DDi8y9E5khtSpQEPG6owaQ9z4E-tR5mnY"",""Non-Food!A2:A""),0))),"""")"),"")</f>
        <v/>
      </c>
      <c r="E688" s="15"/>
      <c r="F688" s="15"/>
      <c r="G688" s="36"/>
      <c r="H688" s="23" t="str">
        <f>IFERROR(__xludf.DUMMYFUNCTION("iferror(iferror(iferror(index(IMPORTRANGE(""1NK5L1mviMn0j3D3uo53ASkIZOFRlLnqaCTnwzOG2_Wg"",""Direct Link!B2:B""),MATCH($C688,IMPORTRANGE(""1NK5L1mviMn0j3D3uo53ASkIZOFRlLnqaCTnwzOG2_Wg"",""Direct Link!A2:A""),0)),XLOOKUP($C688,IMPORTRANGE(""1NK5L1mviMn0j3D"&amp;"3uo53ASkIZOFRlLnqaCTnwzOG2_Wg"",""Direct links Without Sizes!A2:A""),IMPORTRANGE(""1NK5L1mviMn0j3D3uo53ASkIZOFRlLnqaCTnwzOG2_Wg"",""Direct links Without Sizes!B2:B""))),XLOOKUP($C688,IMPORTRANGE(""1NK5L1mviMn0j3D3uo53ASkIZOFRlLnqaCTnwzOG2_Wg"",""Direct li"&amp;"nks Without Sizes!D2:D""),IMPORTRANGE(""1NK5L1mviMn0j3D3uo53ASkIZOFRlLnqaCTnwzOG2_Wg"",""Direct links Without Sizes!E2:E""))),"""")"),"")</f>
        <v/>
      </c>
      <c r="I688" s="4"/>
      <c r="J688" s="24" t="str">
        <f t="shared" si="1"/>
        <v/>
      </c>
      <c r="K688" s="25"/>
      <c r="L688" s="24" t="str">
        <f t="shared" si="2"/>
        <v/>
      </c>
      <c r="M688" s="4"/>
      <c r="N688" s="23"/>
      <c r="O688" s="23"/>
      <c r="P688" s="23"/>
      <c r="Q688" s="4" t="str">
        <f t="shared" si="4"/>
        <v/>
      </c>
      <c r="R688" s="20"/>
      <c r="S688" s="20"/>
    </row>
    <row r="689">
      <c r="A689" s="4"/>
      <c r="B689" s="4"/>
      <c r="C689" s="37"/>
      <c r="D689" s="7" t="str">
        <f>IFERROR(__xludf.DUMMYFUNCTION("iferror(iferror(INDEX(IMPORTRANGE(""12vtnxaE_Q1s4tyr10kZQx7ZF_xG0lBFae4jQEUtgsMU"",""All!B2:B""),MATCH($C689,IMPORTRANGE(""12vtnxaE_Q1s4tyr10kZQx7ZF_xG0lBFae4jQEUtgsMU"",""All!A2:A""),0)),INDEX(IMPORTRANGE(""13KC70HngS4DDi8y9E5khtSpQEPG6owaQ9z4E-tR5mnY"","&amp;"""Non-Food!B2:B""),MATCH($C689,IMPORTRANGE(""13KC70HngS4DDi8y9E5khtSpQEPG6owaQ9z4E-tR5mnY"",""Non-Food!A2:A""),0))),"""")"),"")</f>
        <v/>
      </c>
      <c r="E689" s="15"/>
      <c r="F689" s="15"/>
      <c r="G689" s="36"/>
      <c r="H689" s="23" t="str">
        <f>IFERROR(__xludf.DUMMYFUNCTION("iferror(iferror(iferror(index(IMPORTRANGE(""1NK5L1mviMn0j3D3uo53ASkIZOFRlLnqaCTnwzOG2_Wg"",""Direct Link!B2:B""),MATCH($C689,IMPORTRANGE(""1NK5L1mviMn0j3D3uo53ASkIZOFRlLnqaCTnwzOG2_Wg"",""Direct Link!A2:A""),0)),XLOOKUP($C689,IMPORTRANGE(""1NK5L1mviMn0j3D"&amp;"3uo53ASkIZOFRlLnqaCTnwzOG2_Wg"",""Direct links Without Sizes!A2:A""),IMPORTRANGE(""1NK5L1mviMn0j3D3uo53ASkIZOFRlLnqaCTnwzOG2_Wg"",""Direct links Without Sizes!B2:B""))),XLOOKUP($C689,IMPORTRANGE(""1NK5L1mviMn0j3D3uo53ASkIZOFRlLnqaCTnwzOG2_Wg"",""Direct li"&amp;"nks Without Sizes!D2:D""),IMPORTRANGE(""1NK5L1mviMn0j3D3uo53ASkIZOFRlLnqaCTnwzOG2_Wg"",""Direct links Without Sizes!E2:E""))),"""")"),"")</f>
        <v/>
      </c>
      <c r="I689" s="4"/>
      <c r="J689" s="24" t="str">
        <f t="shared" si="1"/>
        <v/>
      </c>
      <c r="K689" s="25"/>
      <c r="L689" s="24" t="str">
        <f t="shared" si="2"/>
        <v/>
      </c>
      <c r="M689" s="4"/>
      <c r="N689" s="23"/>
      <c r="O689" s="23"/>
      <c r="P689" s="23"/>
      <c r="Q689" s="4" t="str">
        <f t="shared" si="4"/>
        <v/>
      </c>
      <c r="R689" s="20"/>
      <c r="S689" s="20"/>
    </row>
    <row r="690">
      <c r="A690" s="4"/>
      <c r="B690" s="4"/>
      <c r="C690" s="37"/>
      <c r="D690" s="7" t="str">
        <f>IFERROR(__xludf.DUMMYFUNCTION("iferror(iferror(INDEX(IMPORTRANGE(""12vtnxaE_Q1s4tyr10kZQx7ZF_xG0lBFae4jQEUtgsMU"",""All!B2:B""),MATCH($C690,IMPORTRANGE(""12vtnxaE_Q1s4tyr10kZQx7ZF_xG0lBFae4jQEUtgsMU"",""All!A2:A""),0)),INDEX(IMPORTRANGE(""13KC70HngS4DDi8y9E5khtSpQEPG6owaQ9z4E-tR5mnY"","&amp;"""Non-Food!B2:B""),MATCH($C690,IMPORTRANGE(""13KC70HngS4DDi8y9E5khtSpQEPG6owaQ9z4E-tR5mnY"",""Non-Food!A2:A""),0))),"""")"),"")</f>
        <v/>
      </c>
      <c r="E690" s="15"/>
      <c r="F690" s="15"/>
      <c r="G690" s="36"/>
      <c r="H690" s="23" t="str">
        <f>IFERROR(__xludf.DUMMYFUNCTION("iferror(iferror(iferror(index(IMPORTRANGE(""1NK5L1mviMn0j3D3uo53ASkIZOFRlLnqaCTnwzOG2_Wg"",""Direct Link!B2:B""),MATCH($C690,IMPORTRANGE(""1NK5L1mviMn0j3D3uo53ASkIZOFRlLnqaCTnwzOG2_Wg"",""Direct Link!A2:A""),0)),XLOOKUP($C690,IMPORTRANGE(""1NK5L1mviMn0j3D"&amp;"3uo53ASkIZOFRlLnqaCTnwzOG2_Wg"",""Direct links Without Sizes!A2:A""),IMPORTRANGE(""1NK5L1mviMn0j3D3uo53ASkIZOFRlLnqaCTnwzOG2_Wg"",""Direct links Without Sizes!B2:B""))),XLOOKUP($C690,IMPORTRANGE(""1NK5L1mviMn0j3D3uo53ASkIZOFRlLnqaCTnwzOG2_Wg"",""Direct li"&amp;"nks Without Sizes!D2:D""),IMPORTRANGE(""1NK5L1mviMn0j3D3uo53ASkIZOFRlLnqaCTnwzOG2_Wg"",""Direct links Without Sizes!E2:E""))),"""")"),"")</f>
        <v/>
      </c>
      <c r="I690" s="4"/>
      <c r="J690" s="24" t="str">
        <f t="shared" si="1"/>
        <v/>
      </c>
      <c r="K690" s="25"/>
      <c r="L690" s="24" t="str">
        <f t="shared" si="2"/>
        <v/>
      </c>
      <c r="M690" s="4"/>
      <c r="N690" s="23"/>
      <c r="O690" s="23"/>
      <c r="P690" s="23"/>
      <c r="Q690" s="4" t="str">
        <f t="shared" si="4"/>
        <v/>
      </c>
      <c r="R690" s="20"/>
      <c r="S690" s="20"/>
    </row>
    <row r="691">
      <c r="A691" s="4"/>
      <c r="B691" s="4"/>
      <c r="C691" s="37"/>
      <c r="D691" s="7" t="str">
        <f>IFERROR(__xludf.DUMMYFUNCTION("iferror(iferror(INDEX(IMPORTRANGE(""12vtnxaE_Q1s4tyr10kZQx7ZF_xG0lBFae4jQEUtgsMU"",""All!B2:B""),MATCH($C691,IMPORTRANGE(""12vtnxaE_Q1s4tyr10kZQx7ZF_xG0lBFae4jQEUtgsMU"",""All!A2:A""),0)),INDEX(IMPORTRANGE(""13KC70HngS4DDi8y9E5khtSpQEPG6owaQ9z4E-tR5mnY"","&amp;"""Non-Food!B2:B""),MATCH($C691,IMPORTRANGE(""13KC70HngS4DDi8y9E5khtSpQEPG6owaQ9z4E-tR5mnY"",""Non-Food!A2:A""),0))),"""")"),"")</f>
        <v/>
      </c>
      <c r="E691" s="15"/>
      <c r="F691" s="15"/>
      <c r="G691" s="36"/>
      <c r="H691" s="23" t="str">
        <f>IFERROR(__xludf.DUMMYFUNCTION("iferror(iferror(iferror(index(IMPORTRANGE(""1NK5L1mviMn0j3D3uo53ASkIZOFRlLnqaCTnwzOG2_Wg"",""Direct Link!B2:B""),MATCH($C691,IMPORTRANGE(""1NK5L1mviMn0j3D3uo53ASkIZOFRlLnqaCTnwzOG2_Wg"",""Direct Link!A2:A""),0)),XLOOKUP($C691,IMPORTRANGE(""1NK5L1mviMn0j3D"&amp;"3uo53ASkIZOFRlLnqaCTnwzOG2_Wg"",""Direct links Without Sizes!A2:A""),IMPORTRANGE(""1NK5L1mviMn0j3D3uo53ASkIZOFRlLnqaCTnwzOG2_Wg"",""Direct links Without Sizes!B2:B""))),XLOOKUP($C691,IMPORTRANGE(""1NK5L1mviMn0j3D3uo53ASkIZOFRlLnqaCTnwzOG2_Wg"",""Direct li"&amp;"nks Without Sizes!D2:D""),IMPORTRANGE(""1NK5L1mviMn0j3D3uo53ASkIZOFRlLnqaCTnwzOG2_Wg"",""Direct links Without Sizes!E2:E""))),"""")"),"")</f>
        <v/>
      </c>
      <c r="I691" s="4"/>
      <c r="J691" s="24" t="str">
        <f t="shared" si="1"/>
        <v/>
      </c>
      <c r="K691" s="25"/>
      <c r="L691" s="24" t="str">
        <f t="shared" si="2"/>
        <v/>
      </c>
      <c r="M691" s="4"/>
      <c r="N691" s="23"/>
      <c r="O691" s="23"/>
      <c r="P691" s="23"/>
      <c r="Q691" s="4" t="str">
        <f t="shared" si="4"/>
        <v/>
      </c>
      <c r="R691" s="20"/>
      <c r="S691" s="20"/>
    </row>
    <row r="692">
      <c r="A692" s="4"/>
      <c r="B692" s="4"/>
      <c r="C692" s="37"/>
      <c r="D692" s="7" t="str">
        <f>IFERROR(__xludf.DUMMYFUNCTION("iferror(iferror(INDEX(IMPORTRANGE(""12vtnxaE_Q1s4tyr10kZQx7ZF_xG0lBFae4jQEUtgsMU"",""All!B2:B""),MATCH($C692,IMPORTRANGE(""12vtnxaE_Q1s4tyr10kZQx7ZF_xG0lBFae4jQEUtgsMU"",""All!A2:A""),0)),INDEX(IMPORTRANGE(""13KC70HngS4DDi8y9E5khtSpQEPG6owaQ9z4E-tR5mnY"","&amp;"""Non-Food!B2:B""),MATCH($C692,IMPORTRANGE(""13KC70HngS4DDi8y9E5khtSpQEPG6owaQ9z4E-tR5mnY"",""Non-Food!A2:A""),0))),"""")"),"")</f>
        <v/>
      </c>
      <c r="E692" s="15"/>
      <c r="F692" s="15"/>
      <c r="G692" s="36"/>
      <c r="H692" s="23" t="str">
        <f>IFERROR(__xludf.DUMMYFUNCTION("iferror(iferror(iferror(index(IMPORTRANGE(""1NK5L1mviMn0j3D3uo53ASkIZOFRlLnqaCTnwzOG2_Wg"",""Direct Link!B2:B""),MATCH($C692,IMPORTRANGE(""1NK5L1mviMn0j3D3uo53ASkIZOFRlLnqaCTnwzOG2_Wg"",""Direct Link!A2:A""),0)),XLOOKUP($C692,IMPORTRANGE(""1NK5L1mviMn0j3D"&amp;"3uo53ASkIZOFRlLnqaCTnwzOG2_Wg"",""Direct links Without Sizes!A2:A""),IMPORTRANGE(""1NK5L1mviMn0j3D3uo53ASkIZOFRlLnqaCTnwzOG2_Wg"",""Direct links Without Sizes!B2:B""))),XLOOKUP($C692,IMPORTRANGE(""1NK5L1mviMn0j3D3uo53ASkIZOFRlLnqaCTnwzOG2_Wg"",""Direct li"&amp;"nks Without Sizes!D2:D""),IMPORTRANGE(""1NK5L1mviMn0j3D3uo53ASkIZOFRlLnqaCTnwzOG2_Wg"",""Direct links Without Sizes!E2:E""))),"""")"),"")</f>
        <v/>
      </c>
      <c r="I692" s="4"/>
      <c r="J692" s="24" t="str">
        <f t="shared" si="1"/>
        <v/>
      </c>
      <c r="K692" s="25"/>
      <c r="L692" s="24" t="str">
        <f t="shared" si="2"/>
        <v/>
      </c>
      <c r="M692" s="4"/>
      <c r="N692" s="23"/>
      <c r="O692" s="23"/>
      <c r="P692" s="23"/>
      <c r="Q692" s="4" t="str">
        <f t="shared" si="4"/>
        <v/>
      </c>
      <c r="R692" s="20"/>
      <c r="S692" s="20"/>
    </row>
    <row r="693">
      <c r="A693" s="4"/>
      <c r="B693" s="4"/>
      <c r="C693" s="37"/>
      <c r="D693" s="7" t="str">
        <f>IFERROR(__xludf.DUMMYFUNCTION("iferror(iferror(INDEX(IMPORTRANGE(""12vtnxaE_Q1s4tyr10kZQx7ZF_xG0lBFae4jQEUtgsMU"",""All!B2:B""),MATCH($C693,IMPORTRANGE(""12vtnxaE_Q1s4tyr10kZQx7ZF_xG0lBFae4jQEUtgsMU"",""All!A2:A""),0)),INDEX(IMPORTRANGE(""13KC70HngS4DDi8y9E5khtSpQEPG6owaQ9z4E-tR5mnY"","&amp;"""Non-Food!B2:B""),MATCH($C693,IMPORTRANGE(""13KC70HngS4DDi8y9E5khtSpQEPG6owaQ9z4E-tR5mnY"",""Non-Food!A2:A""),0))),"""")"),"")</f>
        <v/>
      </c>
      <c r="E693" s="15"/>
      <c r="F693" s="15"/>
      <c r="G693" s="36"/>
      <c r="H693" s="23" t="str">
        <f>IFERROR(__xludf.DUMMYFUNCTION("iferror(iferror(iferror(index(IMPORTRANGE(""1NK5L1mviMn0j3D3uo53ASkIZOFRlLnqaCTnwzOG2_Wg"",""Direct Link!B2:B""),MATCH($C693,IMPORTRANGE(""1NK5L1mviMn0j3D3uo53ASkIZOFRlLnqaCTnwzOG2_Wg"",""Direct Link!A2:A""),0)),XLOOKUP($C693,IMPORTRANGE(""1NK5L1mviMn0j3D"&amp;"3uo53ASkIZOFRlLnqaCTnwzOG2_Wg"",""Direct links Without Sizes!A2:A""),IMPORTRANGE(""1NK5L1mviMn0j3D3uo53ASkIZOFRlLnqaCTnwzOG2_Wg"",""Direct links Without Sizes!B2:B""))),XLOOKUP($C693,IMPORTRANGE(""1NK5L1mviMn0j3D3uo53ASkIZOFRlLnqaCTnwzOG2_Wg"",""Direct li"&amp;"nks Without Sizes!D2:D""),IMPORTRANGE(""1NK5L1mviMn0j3D3uo53ASkIZOFRlLnqaCTnwzOG2_Wg"",""Direct links Without Sizes!E2:E""))),"""")"),"")</f>
        <v/>
      </c>
      <c r="I693" s="4"/>
      <c r="J693" s="24" t="str">
        <f t="shared" si="1"/>
        <v/>
      </c>
      <c r="K693" s="25"/>
      <c r="L693" s="24" t="str">
        <f t="shared" si="2"/>
        <v/>
      </c>
      <c r="M693" s="4"/>
      <c r="N693" s="23"/>
      <c r="O693" s="23"/>
      <c r="P693" s="23"/>
      <c r="Q693" s="4" t="str">
        <f t="shared" si="4"/>
        <v/>
      </c>
      <c r="R693" s="20"/>
      <c r="S693" s="20"/>
    </row>
    <row r="694">
      <c r="A694" s="4"/>
      <c r="B694" s="4"/>
      <c r="C694" s="37"/>
      <c r="D694" s="7" t="str">
        <f>IFERROR(__xludf.DUMMYFUNCTION("iferror(iferror(INDEX(IMPORTRANGE(""12vtnxaE_Q1s4tyr10kZQx7ZF_xG0lBFae4jQEUtgsMU"",""All!B2:B""),MATCH($C694,IMPORTRANGE(""12vtnxaE_Q1s4tyr10kZQx7ZF_xG0lBFae4jQEUtgsMU"",""All!A2:A""),0)),INDEX(IMPORTRANGE(""13KC70HngS4DDi8y9E5khtSpQEPG6owaQ9z4E-tR5mnY"","&amp;"""Non-Food!B2:B""),MATCH($C694,IMPORTRANGE(""13KC70HngS4DDi8y9E5khtSpQEPG6owaQ9z4E-tR5mnY"",""Non-Food!A2:A""),0))),"""")"),"")</f>
        <v/>
      </c>
      <c r="E694" s="15"/>
      <c r="F694" s="15"/>
      <c r="G694" s="36"/>
      <c r="H694" s="23" t="str">
        <f>IFERROR(__xludf.DUMMYFUNCTION("iferror(iferror(iferror(index(IMPORTRANGE(""1NK5L1mviMn0j3D3uo53ASkIZOFRlLnqaCTnwzOG2_Wg"",""Direct Link!B2:B""),MATCH($C694,IMPORTRANGE(""1NK5L1mviMn0j3D3uo53ASkIZOFRlLnqaCTnwzOG2_Wg"",""Direct Link!A2:A""),0)),XLOOKUP($C694,IMPORTRANGE(""1NK5L1mviMn0j3D"&amp;"3uo53ASkIZOFRlLnqaCTnwzOG2_Wg"",""Direct links Without Sizes!A2:A""),IMPORTRANGE(""1NK5L1mviMn0j3D3uo53ASkIZOFRlLnqaCTnwzOG2_Wg"",""Direct links Without Sizes!B2:B""))),XLOOKUP($C694,IMPORTRANGE(""1NK5L1mviMn0j3D3uo53ASkIZOFRlLnqaCTnwzOG2_Wg"",""Direct li"&amp;"nks Without Sizes!D2:D""),IMPORTRANGE(""1NK5L1mviMn0j3D3uo53ASkIZOFRlLnqaCTnwzOG2_Wg"",""Direct links Without Sizes!E2:E""))),"""")"),"")</f>
        <v/>
      </c>
      <c r="I694" s="4"/>
      <c r="J694" s="24" t="str">
        <f t="shared" si="1"/>
        <v/>
      </c>
      <c r="K694" s="25"/>
      <c r="L694" s="24" t="str">
        <f t="shared" si="2"/>
        <v/>
      </c>
      <c r="M694" s="4"/>
      <c r="N694" s="23"/>
      <c r="O694" s="23"/>
      <c r="P694" s="23"/>
      <c r="Q694" s="4" t="str">
        <f t="shared" si="4"/>
        <v/>
      </c>
      <c r="R694" s="20"/>
      <c r="S694" s="20"/>
    </row>
    <row r="695">
      <c r="A695" s="4"/>
      <c r="B695" s="4"/>
      <c r="C695" s="37"/>
      <c r="D695" s="7" t="str">
        <f>IFERROR(__xludf.DUMMYFUNCTION("iferror(iferror(INDEX(IMPORTRANGE(""12vtnxaE_Q1s4tyr10kZQx7ZF_xG0lBFae4jQEUtgsMU"",""All!B2:B""),MATCH($C695,IMPORTRANGE(""12vtnxaE_Q1s4tyr10kZQx7ZF_xG0lBFae4jQEUtgsMU"",""All!A2:A""),0)),INDEX(IMPORTRANGE(""13KC70HngS4DDi8y9E5khtSpQEPG6owaQ9z4E-tR5mnY"","&amp;"""Non-Food!B2:B""),MATCH($C695,IMPORTRANGE(""13KC70HngS4DDi8y9E5khtSpQEPG6owaQ9z4E-tR5mnY"",""Non-Food!A2:A""),0))),"""")"),"")</f>
        <v/>
      </c>
      <c r="E695" s="15"/>
      <c r="F695" s="15"/>
      <c r="G695" s="36"/>
      <c r="H695" s="23" t="str">
        <f>IFERROR(__xludf.DUMMYFUNCTION("iferror(iferror(iferror(index(IMPORTRANGE(""1NK5L1mviMn0j3D3uo53ASkIZOFRlLnqaCTnwzOG2_Wg"",""Direct Link!B2:B""),MATCH($C695,IMPORTRANGE(""1NK5L1mviMn0j3D3uo53ASkIZOFRlLnqaCTnwzOG2_Wg"",""Direct Link!A2:A""),0)),XLOOKUP($C695,IMPORTRANGE(""1NK5L1mviMn0j3D"&amp;"3uo53ASkIZOFRlLnqaCTnwzOG2_Wg"",""Direct links Without Sizes!A2:A""),IMPORTRANGE(""1NK5L1mviMn0j3D3uo53ASkIZOFRlLnqaCTnwzOG2_Wg"",""Direct links Without Sizes!B2:B""))),XLOOKUP($C695,IMPORTRANGE(""1NK5L1mviMn0j3D3uo53ASkIZOFRlLnqaCTnwzOG2_Wg"",""Direct li"&amp;"nks Without Sizes!D2:D""),IMPORTRANGE(""1NK5L1mviMn0j3D3uo53ASkIZOFRlLnqaCTnwzOG2_Wg"",""Direct links Without Sizes!E2:E""))),"""")"),"")</f>
        <v/>
      </c>
      <c r="I695" s="4"/>
      <c r="J695" s="24" t="str">
        <f t="shared" si="1"/>
        <v/>
      </c>
      <c r="K695" s="25"/>
      <c r="L695" s="24" t="str">
        <f t="shared" si="2"/>
        <v/>
      </c>
      <c r="M695" s="4"/>
      <c r="N695" s="23"/>
      <c r="O695" s="23"/>
      <c r="P695" s="23"/>
      <c r="Q695" s="4" t="str">
        <f t="shared" si="4"/>
        <v/>
      </c>
      <c r="R695" s="20"/>
      <c r="S695" s="20"/>
    </row>
    <row r="696">
      <c r="A696" s="4"/>
      <c r="B696" s="4"/>
      <c r="C696" s="37"/>
      <c r="D696" s="7" t="str">
        <f>IFERROR(__xludf.DUMMYFUNCTION("iferror(iferror(INDEX(IMPORTRANGE(""12vtnxaE_Q1s4tyr10kZQx7ZF_xG0lBFae4jQEUtgsMU"",""All!B2:B""),MATCH($C696,IMPORTRANGE(""12vtnxaE_Q1s4tyr10kZQx7ZF_xG0lBFae4jQEUtgsMU"",""All!A2:A""),0)),INDEX(IMPORTRANGE(""13KC70HngS4DDi8y9E5khtSpQEPG6owaQ9z4E-tR5mnY"","&amp;"""Non-Food!B2:B""),MATCH($C696,IMPORTRANGE(""13KC70HngS4DDi8y9E5khtSpQEPG6owaQ9z4E-tR5mnY"",""Non-Food!A2:A""),0))),"""")"),"")</f>
        <v/>
      </c>
      <c r="E696" s="15"/>
      <c r="F696" s="15"/>
      <c r="G696" s="36"/>
      <c r="H696" s="23" t="str">
        <f>IFERROR(__xludf.DUMMYFUNCTION("iferror(iferror(iferror(index(IMPORTRANGE(""1NK5L1mviMn0j3D3uo53ASkIZOFRlLnqaCTnwzOG2_Wg"",""Direct Link!B2:B""),MATCH($C696,IMPORTRANGE(""1NK5L1mviMn0j3D3uo53ASkIZOFRlLnqaCTnwzOG2_Wg"",""Direct Link!A2:A""),0)),XLOOKUP($C696,IMPORTRANGE(""1NK5L1mviMn0j3D"&amp;"3uo53ASkIZOFRlLnqaCTnwzOG2_Wg"",""Direct links Without Sizes!A2:A""),IMPORTRANGE(""1NK5L1mviMn0j3D3uo53ASkIZOFRlLnqaCTnwzOG2_Wg"",""Direct links Without Sizes!B2:B""))),XLOOKUP($C696,IMPORTRANGE(""1NK5L1mviMn0j3D3uo53ASkIZOFRlLnqaCTnwzOG2_Wg"",""Direct li"&amp;"nks Without Sizes!D2:D""),IMPORTRANGE(""1NK5L1mviMn0j3D3uo53ASkIZOFRlLnqaCTnwzOG2_Wg"",""Direct links Without Sizes!E2:E""))),"""")"),"")</f>
        <v/>
      </c>
      <c r="I696" s="4"/>
      <c r="J696" s="24" t="str">
        <f t="shared" si="1"/>
        <v/>
      </c>
      <c r="K696" s="25"/>
      <c r="L696" s="24" t="str">
        <f t="shared" si="2"/>
        <v/>
      </c>
      <c r="M696" s="4"/>
      <c r="N696" s="23"/>
      <c r="O696" s="23"/>
      <c r="P696" s="23"/>
      <c r="Q696" s="4" t="str">
        <f t="shared" si="4"/>
        <v/>
      </c>
      <c r="R696" s="20"/>
      <c r="S696" s="20"/>
    </row>
    <row r="697">
      <c r="A697" s="4"/>
      <c r="B697" s="4"/>
      <c r="C697" s="37"/>
      <c r="D697" s="7" t="str">
        <f>IFERROR(__xludf.DUMMYFUNCTION("iferror(iferror(INDEX(IMPORTRANGE(""12vtnxaE_Q1s4tyr10kZQx7ZF_xG0lBFae4jQEUtgsMU"",""All!B2:B""),MATCH($C697,IMPORTRANGE(""12vtnxaE_Q1s4tyr10kZQx7ZF_xG0lBFae4jQEUtgsMU"",""All!A2:A""),0)),INDEX(IMPORTRANGE(""13KC70HngS4DDi8y9E5khtSpQEPG6owaQ9z4E-tR5mnY"","&amp;"""Non-Food!B2:B""),MATCH($C697,IMPORTRANGE(""13KC70HngS4DDi8y9E5khtSpQEPG6owaQ9z4E-tR5mnY"",""Non-Food!A2:A""),0))),"""")"),"")</f>
        <v/>
      </c>
      <c r="E697" s="15"/>
      <c r="F697" s="15"/>
      <c r="G697" s="36"/>
      <c r="H697" s="23" t="str">
        <f>IFERROR(__xludf.DUMMYFUNCTION("iferror(iferror(iferror(index(IMPORTRANGE(""1NK5L1mviMn0j3D3uo53ASkIZOFRlLnqaCTnwzOG2_Wg"",""Direct Link!B2:B""),MATCH($C697,IMPORTRANGE(""1NK5L1mviMn0j3D3uo53ASkIZOFRlLnqaCTnwzOG2_Wg"",""Direct Link!A2:A""),0)),XLOOKUP($C697,IMPORTRANGE(""1NK5L1mviMn0j3D"&amp;"3uo53ASkIZOFRlLnqaCTnwzOG2_Wg"",""Direct links Without Sizes!A2:A""),IMPORTRANGE(""1NK5L1mviMn0j3D3uo53ASkIZOFRlLnqaCTnwzOG2_Wg"",""Direct links Without Sizes!B2:B""))),XLOOKUP($C697,IMPORTRANGE(""1NK5L1mviMn0j3D3uo53ASkIZOFRlLnqaCTnwzOG2_Wg"",""Direct li"&amp;"nks Without Sizes!D2:D""),IMPORTRANGE(""1NK5L1mviMn0j3D3uo53ASkIZOFRlLnqaCTnwzOG2_Wg"",""Direct links Without Sizes!E2:E""))),"""")"),"")</f>
        <v/>
      </c>
      <c r="I697" s="4"/>
      <c r="J697" s="24" t="str">
        <f t="shared" si="1"/>
        <v/>
      </c>
      <c r="K697" s="25"/>
      <c r="L697" s="24" t="str">
        <f t="shared" si="2"/>
        <v/>
      </c>
      <c r="M697" s="4"/>
      <c r="N697" s="23"/>
      <c r="O697" s="23"/>
      <c r="P697" s="23"/>
      <c r="Q697" s="4" t="str">
        <f t="shared" si="4"/>
        <v/>
      </c>
      <c r="R697" s="20"/>
      <c r="S697" s="20"/>
    </row>
    <row r="698">
      <c r="A698" s="4"/>
      <c r="B698" s="4"/>
      <c r="C698" s="37"/>
      <c r="D698" s="7" t="str">
        <f>IFERROR(__xludf.DUMMYFUNCTION("iferror(iferror(INDEX(IMPORTRANGE(""12vtnxaE_Q1s4tyr10kZQx7ZF_xG0lBFae4jQEUtgsMU"",""All!B2:B""),MATCH($C698,IMPORTRANGE(""12vtnxaE_Q1s4tyr10kZQx7ZF_xG0lBFae4jQEUtgsMU"",""All!A2:A""),0)),INDEX(IMPORTRANGE(""13KC70HngS4DDi8y9E5khtSpQEPG6owaQ9z4E-tR5mnY"","&amp;"""Non-Food!B2:B""),MATCH($C698,IMPORTRANGE(""13KC70HngS4DDi8y9E5khtSpQEPG6owaQ9z4E-tR5mnY"",""Non-Food!A2:A""),0))),"""")"),"")</f>
        <v/>
      </c>
      <c r="E698" s="15"/>
      <c r="F698" s="15"/>
      <c r="G698" s="36"/>
      <c r="H698" s="23" t="str">
        <f>IFERROR(__xludf.DUMMYFUNCTION("iferror(iferror(iferror(index(IMPORTRANGE(""1NK5L1mviMn0j3D3uo53ASkIZOFRlLnqaCTnwzOG2_Wg"",""Direct Link!B2:B""),MATCH($C698,IMPORTRANGE(""1NK5L1mviMn0j3D3uo53ASkIZOFRlLnqaCTnwzOG2_Wg"",""Direct Link!A2:A""),0)),XLOOKUP($C698,IMPORTRANGE(""1NK5L1mviMn0j3D"&amp;"3uo53ASkIZOFRlLnqaCTnwzOG2_Wg"",""Direct links Without Sizes!A2:A""),IMPORTRANGE(""1NK5L1mviMn0j3D3uo53ASkIZOFRlLnqaCTnwzOG2_Wg"",""Direct links Without Sizes!B2:B""))),XLOOKUP($C698,IMPORTRANGE(""1NK5L1mviMn0j3D3uo53ASkIZOFRlLnqaCTnwzOG2_Wg"",""Direct li"&amp;"nks Without Sizes!D2:D""),IMPORTRANGE(""1NK5L1mviMn0j3D3uo53ASkIZOFRlLnqaCTnwzOG2_Wg"",""Direct links Without Sizes!E2:E""))),"""")"),"")</f>
        <v/>
      </c>
      <c r="I698" s="4"/>
      <c r="J698" s="24" t="str">
        <f t="shared" si="1"/>
        <v/>
      </c>
      <c r="K698" s="25"/>
      <c r="L698" s="24" t="str">
        <f t="shared" si="2"/>
        <v/>
      </c>
      <c r="M698" s="4"/>
      <c r="N698" s="23"/>
      <c r="O698" s="23"/>
      <c r="P698" s="23"/>
      <c r="Q698" s="4" t="str">
        <f t="shared" si="4"/>
        <v/>
      </c>
      <c r="R698" s="20"/>
      <c r="S698" s="20"/>
    </row>
    <row r="699">
      <c r="A699" s="4"/>
      <c r="B699" s="4"/>
      <c r="C699" s="37"/>
      <c r="D699" s="7" t="str">
        <f>IFERROR(__xludf.DUMMYFUNCTION("iferror(iferror(INDEX(IMPORTRANGE(""12vtnxaE_Q1s4tyr10kZQx7ZF_xG0lBFae4jQEUtgsMU"",""All!B2:B""),MATCH($C699,IMPORTRANGE(""12vtnxaE_Q1s4tyr10kZQx7ZF_xG0lBFae4jQEUtgsMU"",""All!A2:A""),0)),INDEX(IMPORTRANGE(""13KC70HngS4DDi8y9E5khtSpQEPG6owaQ9z4E-tR5mnY"","&amp;"""Non-Food!B2:B""),MATCH($C699,IMPORTRANGE(""13KC70HngS4DDi8y9E5khtSpQEPG6owaQ9z4E-tR5mnY"",""Non-Food!A2:A""),0))),"""")"),"")</f>
        <v/>
      </c>
      <c r="E699" s="15"/>
      <c r="F699" s="15"/>
      <c r="G699" s="36"/>
      <c r="H699" s="23" t="str">
        <f>IFERROR(__xludf.DUMMYFUNCTION("iferror(iferror(iferror(index(IMPORTRANGE(""1NK5L1mviMn0j3D3uo53ASkIZOFRlLnqaCTnwzOG2_Wg"",""Direct Link!B2:B""),MATCH($C699,IMPORTRANGE(""1NK5L1mviMn0j3D3uo53ASkIZOFRlLnqaCTnwzOG2_Wg"",""Direct Link!A2:A""),0)),XLOOKUP($C699,IMPORTRANGE(""1NK5L1mviMn0j3D"&amp;"3uo53ASkIZOFRlLnqaCTnwzOG2_Wg"",""Direct links Without Sizes!A2:A""),IMPORTRANGE(""1NK5L1mviMn0j3D3uo53ASkIZOFRlLnqaCTnwzOG2_Wg"",""Direct links Without Sizes!B2:B""))),XLOOKUP($C699,IMPORTRANGE(""1NK5L1mviMn0j3D3uo53ASkIZOFRlLnqaCTnwzOG2_Wg"",""Direct li"&amp;"nks Without Sizes!D2:D""),IMPORTRANGE(""1NK5L1mviMn0j3D3uo53ASkIZOFRlLnqaCTnwzOG2_Wg"",""Direct links Without Sizes!E2:E""))),"""")"),"")</f>
        <v/>
      </c>
      <c r="I699" s="4"/>
      <c r="J699" s="24" t="str">
        <f t="shared" si="1"/>
        <v/>
      </c>
      <c r="K699" s="25"/>
      <c r="L699" s="24" t="str">
        <f t="shared" si="2"/>
        <v/>
      </c>
      <c r="M699" s="4"/>
      <c r="N699" s="23"/>
      <c r="O699" s="23"/>
      <c r="P699" s="23"/>
      <c r="Q699" s="4" t="str">
        <f t="shared" si="4"/>
        <v/>
      </c>
      <c r="R699" s="20"/>
      <c r="S699" s="20"/>
    </row>
    <row r="700">
      <c r="A700" s="4"/>
      <c r="B700" s="4"/>
      <c r="C700" s="37"/>
      <c r="D700" s="7" t="str">
        <f>IFERROR(__xludf.DUMMYFUNCTION("iferror(iferror(INDEX(IMPORTRANGE(""12vtnxaE_Q1s4tyr10kZQx7ZF_xG0lBFae4jQEUtgsMU"",""All!B2:B""),MATCH($C700,IMPORTRANGE(""12vtnxaE_Q1s4tyr10kZQx7ZF_xG0lBFae4jQEUtgsMU"",""All!A2:A""),0)),INDEX(IMPORTRANGE(""13KC70HngS4DDi8y9E5khtSpQEPG6owaQ9z4E-tR5mnY"","&amp;"""Non-Food!B2:B""),MATCH($C700,IMPORTRANGE(""13KC70HngS4DDi8y9E5khtSpQEPG6owaQ9z4E-tR5mnY"",""Non-Food!A2:A""),0))),"""")"),"")</f>
        <v/>
      </c>
      <c r="E700" s="15"/>
      <c r="F700" s="15"/>
      <c r="G700" s="36"/>
      <c r="H700" s="23" t="str">
        <f>IFERROR(__xludf.DUMMYFUNCTION("iferror(iferror(iferror(index(IMPORTRANGE(""1NK5L1mviMn0j3D3uo53ASkIZOFRlLnqaCTnwzOG2_Wg"",""Direct Link!B2:B""),MATCH($C700,IMPORTRANGE(""1NK5L1mviMn0j3D3uo53ASkIZOFRlLnqaCTnwzOG2_Wg"",""Direct Link!A2:A""),0)),XLOOKUP($C700,IMPORTRANGE(""1NK5L1mviMn0j3D"&amp;"3uo53ASkIZOFRlLnqaCTnwzOG2_Wg"",""Direct links Without Sizes!A2:A""),IMPORTRANGE(""1NK5L1mviMn0j3D3uo53ASkIZOFRlLnqaCTnwzOG2_Wg"",""Direct links Without Sizes!B2:B""))),XLOOKUP($C700,IMPORTRANGE(""1NK5L1mviMn0j3D3uo53ASkIZOFRlLnqaCTnwzOG2_Wg"",""Direct li"&amp;"nks Without Sizes!D2:D""),IMPORTRANGE(""1NK5L1mviMn0j3D3uo53ASkIZOFRlLnqaCTnwzOG2_Wg"",""Direct links Without Sizes!E2:E""))),"""")"),"")</f>
        <v/>
      </c>
      <c r="I700" s="4"/>
      <c r="J700" s="24" t="str">
        <f t="shared" si="1"/>
        <v/>
      </c>
      <c r="K700" s="25"/>
      <c r="L700" s="24" t="str">
        <f t="shared" si="2"/>
        <v/>
      </c>
      <c r="M700" s="4"/>
      <c r="N700" s="23"/>
      <c r="O700" s="23"/>
      <c r="P700" s="23"/>
      <c r="Q700" s="4" t="str">
        <f t="shared" si="4"/>
        <v/>
      </c>
      <c r="R700" s="20"/>
      <c r="S700" s="20"/>
    </row>
    <row r="701">
      <c r="A701" s="4"/>
      <c r="B701" s="4"/>
      <c r="C701" s="37"/>
      <c r="D701" s="7" t="str">
        <f>IFERROR(__xludf.DUMMYFUNCTION("iferror(iferror(INDEX(IMPORTRANGE(""12vtnxaE_Q1s4tyr10kZQx7ZF_xG0lBFae4jQEUtgsMU"",""All!B2:B""),MATCH($C701,IMPORTRANGE(""12vtnxaE_Q1s4tyr10kZQx7ZF_xG0lBFae4jQEUtgsMU"",""All!A2:A""),0)),INDEX(IMPORTRANGE(""13KC70HngS4DDi8y9E5khtSpQEPG6owaQ9z4E-tR5mnY"","&amp;"""Non-Food!B2:B""),MATCH($C701,IMPORTRANGE(""13KC70HngS4DDi8y9E5khtSpQEPG6owaQ9z4E-tR5mnY"",""Non-Food!A2:A""),0))),"""")"),"")</f>
        <v/>
      </c>
      <c r="E701" s="15"/>
      <c r="F701" s="15"/>
      <c r="G701" s="36"/>
      <c r="H701" s="23" t="str">
        <f>IFERROR(__xludf.DUMMYFUNCTION("iferror(iferror(iferror(index(IMPORTRANGE(""1NK5L1mviMn0j3D3uo53ASkIZOFRlLnqaCTnwzOG2_Wg"",""Direct Link!B2:B""),MATCH($C701,IMPORTRANGE(""1NK5L1mviMn0j3D3uo53ASkIZOFRlLnqaCTnwzOG2_Wg"",""Direct Link!A2:A""),0)),XLOOKUP($C701,IMPORTRANGE(""1NK5L1mviMn0j3D"&amp;"3uo53ASkIZOFRlLnqaCTnwzOG2_Wg"",""Direct links Without Sizes!A2:A""),IMPORTRANGE(""1NK5L1mviMn0j3D3uo53ASkIZOFRlLnqaCTnwzOG2_Wg"",""Direct links Without Sizes!B2:B""))),XLOOKUP($C701,IMPORTRANGE(""1NK5L1mviMn0j3D3uo53ASkIZOFRlLnqaCTnwzOG2_Wg"",""Direct li"&amp;"nks Without Sizes!D2:D""),IMPORTRANGE(""1NK5L1mviMn0j3D3uo53ASkIZOFRlLnqaCTnwzOG2_Wg"",""Direct links Without Sizes!E2:E""))),"""")"),"")</f>
        <v/>
      </c>
      <c r="I701" s="4"/>
      <c r="J701" s="24" t="str">
        <f t="shared" si="1"/>
        <v/>
      </c>
      <c r="K701" s="25"/>
      <c r="L701" s="24" t="str">
        <f t="shared" si="2"/>
        <v/>
      </c>
      <c r="M701" s="4"/>
      <c r="N701" s="23"/>
      <c r="O701" s="23"/>
      <c r="P701" s="23"/>
      <c r="Q701" s="4" t="str">
        <f t="shared" si="4"/>
        <v/>
      </c>
      <c r="R701" s="20"/>
      <c r="S701" s="20"/>
    </row>
    <row r="702">
      <c r="A702" s="4"/>
      <c r="B702" s="4"/>
      <c r="C702" s="37"/>
      <c r="D702" s="7" t="str">
        <f>IFERROR(__xludf.DUMMYFUNCTION("iferror(iferror(INDEX(IMPORTRANGE(""12vtnxaE_Q1s4tyr10kZQx7ZF_xG0lBFae4jQEUtgsMU"",""All!B2:B""),MATCH($C702,IMPORTRANGE(""12vtnxaE_Q1s4tyr10kZQx7ZF_xG0lBFae4jQEUtgsMU"",""All!A2:A""),0)),INDEX(IMPORTRANGE(""13KC70HngS4DDi8y9E5khtSpQEPG6owaQ9z4E-tR5mnY"","&amp;"""Non-Food!B2:B""),MATCH($C702,IMPORTRANGE(""13KC70HngS4DDi8y9E5khtSpQEPG6owaQ9z4E-tR5mnY"",""Non-Food!A2:A""),0))),"""")"),"")</f>
        <v/>
      </c>
      <c r="E702" s="15"/>
      <c r="F702" s="15"/>
      <c r="G702" s="36"/>
      <c r="H702" s="23" t="str">
        <f>IFERROR(__xludf.DUMMYFUNCTION("iferror(iferror(iferror(index(IMPORTRANGE(""1NK5L1mviMn0j3D3uo53ASkIZOFRlLnqaCTnwzOG2_Wg"",""Direct Link!B2:B""),MATCH($C702,IMPORTRANGE(""1NK5L1mviMn0j3D3uo53ASkIZOFRlLnqaCTnwzOG2_Wg"",""Direct Link!A2:A""),0)),XLOOKUP($C702,IMPORTRANGE(""1NK5L1mviMn0j3D"&amp;"3uo53ASkIZOFRlLnqaCTnwzOG2_Wg"",""Direct links Without Sizes!A2:A""),IMPORTRANGE(""1NK5L1mviMn0j3D3uo53ASkIZOFRlLnqaCTnwzOG2_Wg"",""Direct links Without Sizes!B2:B""))),XLOOKUP($C702,IMPORTRANGE(""1NK5L1mviMn0j3D3uo53ASkIZOFRlLnqaCTnwzOG2_Wg"",""Direct li"&amp;"nks Without Sizes!D2:D""),IMPORTRANGE(""1NK5L1mviMn0j3D3uo53ASkIZOFRlLnqaCTnwzOG2_Wg"",""Direct links Without Sizes!E2:E""))),"""")"),"")</f>
        <v/>
      </c>
      <c r="I702" s="4"/>
      <c r="J702" s="24" t="str">
        <f t="shared" si="1"/>
        <v/>
      </c>
      <c r="K702" s="25"/>
      <c r="L702" s="24" t="str">
        <f t="shared" si="2"/>
        <v/>
      </c>
      <c r="M702" s="4"/>
      <c r="N702" s="23"/>
      <c r="O702" s="23"/>
      <c r="P702" s="23"/>
      <c r="Q702" s="4" t="str">
        <f t="shared" si="4"/>
        <v/>
      </c>
      <c r="R702" s="20"/>
      <c r="S702" s="20"/>
    </row>
    <row r="703">
      <c r="A703" s="4"/>
      <c r="B703" s="4"/>
      <c r="C703" s="37"/>
      <c r="D703" s="7" t="str">
        <f>IFERROR(__xludf.DUMMYFUNCTION("iferror(iferror(INDEX(IMPORTRANGE(""12vtnxaE_Q1s4tyr10kZQx7ZF_xG0lBFae4jQEUtgsMU"",""All!B2:B""),MATCH($C703,IMPORTRANGE(""12vtnxaE_Q1s4tyr10kZQx7ZF_xG0lBFae4jQEUtgsMU"",""All!A2:A""),0)),INDEX(IMPORTRANGE(""13KC70HngS4DDi8y9E5khtSpQEPG6owaQ9z4E-tR5mnY"","&amp;"""Non-Food!B2:B""),MATCH($C703,IMPORTRANGE(""13KC70HngS4DDi8y9E5khtSpQEPG6owaQ9z4E-tR5mnY"",""Non-Food!A2:A""),0))),"""")"),"")</f>
        <v/>
      </c>
      <c r="E703" s="15"/>
      <c r="F703" s="15"/>
      <c r="G703" s="36"/>
      <c r="H703" s="23" t="str">
        <f>IFERROR(__xludf.DUMMYFUNCTION("iferror(iferror(iferror(index(IMPORTRANGE(""1NK5L1mviMn0j3D3uo53ASkIZOFRlLnqaCTnwzOG2_Wg"",""Direct Link!B2:B""),MATCH($C703,IMPORTRANGE(""1NK5L1mviMn0j3D3uo53ASkIZOFRlLnqaCTnwzOG2_Wg"",""Direct Link!A2:A""),0)),XLOOKUP($C703,IMPORTRANGE(""1NK5L1mviMn0j3D"&amp;"3uo53ASkIZOFRlLnqaCTnwzOG2_Wg"",""Direct links Without Sizes!A2:A""),IMPORTRANGE(""1NK5L1mviMn0j3D3uo53ASkIZOFRlLnqaCTnwzOG2_Wg"",""Direct links Without Sizes!B2:B""))),XLOOKUP($C703,IMPORTRANGE(""1NK5L1mviMn0j3D3uo53ASkIZOFRlLnqaCTnwzOG2_Wg"",""Direct li"&amp;"nks Without Sizes!D2:D""),IMPORTRANGE(""1NK5L1mviMn0j3D3uo53ASkIZOFRlLnqaCTnwzOG2_Wg"",""Direct links Without Sizes!E2:E""))),"""")"),"")</f>
        <v/>
      </c>
      <c r="I703" s="4"/>
      <c r="J703" s="24" t="str">
        <f t="shared" si="1"/>
        <v/>
      </c>
      <c r="K703" s="25"/>
      <c r="L703" s="24" t="str">
        <f t="shared" si="2"/>
        <v/>
      </c>
      <c r="M703" s="4"/>
      <c r="N703" s="23"/>
      <c r="O703" s="23"/>
      <c r="P703" s="23"/>
      <c r="Q703" s="4" t="str">
        <f t="shared" si="4"/>
        <v/>
      </c>
      <c r="R703" s="20"/>
      <c r="S703" s="20"/>
    </row>
    <row r="704">
      <c r="A704" s="4"/>
      <c r="B704" s="4"/>
      <c r="C704" s="37"/>
      <c r="D704" s="7" t="str">
        <f>IFERROR(__xludf.DUMMYFUNCTION("iferror(iferror(INDEX(IMPORTRANGE(""12vtnxaE_Q1s4tyr10kZQx7ZF_xG0lBFae4jQEUtgsMU"",""All!B2:B""),MATCH($C704,IMPORTRANGE(""12vtnxaE_Q1s4tyr10kZQx7ZF_xG0lBFae4jQEUtgsMU"",""All!A2:A""),0)),INDEX(IMPORTRANGE(""13KC70HngS4DDi8y9E5khtSpQEPG6owaQ9z4E-tR5mnY"","&amp;"""Non-Food!B2:B""),MATCH($C704,IMPORTRANGE(""13KC70HngS4DDi8y9E5khtSpQEPG6owaQ9z4E-tR5mnY"",""Non-Food!A2:A""),0))),"""")"),"")</f>
        <v/>
      </c>
      <c r="E704" s="15"/>
      <c r="F704" s="15"/>
      <c r="G704" s="36"/>
      <c r="H704" s="23" t="str">
        <f>IFERROR(__xludf.DUMMYFUNCTION("iferror(iferror(iferror(index(IMPORTRANGE(""1NK5L1mviMn0j3D3uo53ASkIZOFRlLnqaCTnwzOG2_Wg"",""Direct Link!B2:B""),MATCH($C704,IMPORTRANGE(""1NK5L1mviMn0j3D3uo53ASkIZOFRlLnqaCTnwzOG2_Wg"",""Direct Link!A2:A""),0)),XLOOKUP($C704,IMPORTRANGE(""1NK5L1mviMn0j3D"&amp;"3uo53ASkIZOFRlLnqaCTnwzOG2_Wg"",""Direct links Without Sizes!A2:A""),IMPORTRANGE(""1NK5L1mviMn0j3D3uo53ASkIZOFRlLnqaCTnwzOG2_Wg"",""Direct links Without Sizes!B2:B""))),XLOOKUP($C704,IMPORTRANGE(""1NK5L1mviMn0j3D3uo53ASkIZOFRlLnqaCTnwzOG2_Wg"",""Direct li"&amp;"nks Without Sizes!D2:D""),IMPORTRANGE(""1NK5L1mviMn0j3D3uo53ASkIZOFRlLnqaCTnwzOG2_Wg"",""Direct links Without Sizes!E2:E""))),"""")"),"")</f>
        <v/>
      </c>
      <c r="I704" s="4"/>
      <c r="J704" s="24" t="str">
        <f t="shared" si="1"/>
        <v/>
      </c>
      <c r="K704" s="25"/>
      <c r="L704" s="24" t="str">
        <f t="shared" si="2"/>
        <v/>
      </c>
      <c r="M704" s="4"/>
      <c r="N704" s="23"/>
      <c r="O704" s="23"/>
      <c r="P704" s="23"/>
      <c r="Q704" s="4" t="str">
        <f t="shared" si="4"/>
        <v/>
      </c>
      <c r="R704" s="20"/>
      <c r="S704" s="20"/>
    </row>
    <row r="705">
      <c r="A705" s="4"/>
      <c r="B705" s="4"/>
      <c r="C705" s="37"/>
      <c r="D705" s="7" t="str">
        <f>IFERROR(__xludf.DUMMYFUNCTION("iferror(iferror(INDEX(IMPORTRANGE(""12vtnxaE_Q1s4tyr10kZQx7ZF_xG0lBFae4jQEUtgsMU"",""All!B2:B""),MATCH($C705,IMPORTRANGE(""12vtnxaE_Q1s4tyr10kZQx7ZF_xG0lBFae4jQEUtgsMU"",""All!A2:A""),0)),INDEX(IMPORTRANGE(""13KC70HngS4DDi8y9E5khtSpQEPG6owaQ9z4E-tR5mnY"","&amp;"""Non-Food!B2:B""),MATCH($C705,IMPORTRANGE(""13KC70HngS4DDi8y9E5khtSpQEPG6owaQ9z4E-tR5mnY"",""Non-Food!A2:A""),0))),"""")"),"")</f>
        <v/>
      </c>
      <c r="E705" s="15"/>
      <c r="F705" s="15"/>
      <c r="G705" s="36"/>
      <c r="H705" s="23" t="str">
        <f>IFERROR(__xludf.DUMMYFUNCTION("iferror(iferror(iferror(index(IMPORTRANGE(""1NK5L1mviMn0j3D3uo53ASkIZOFRlLnqaCTnwzOG2_Wg"",""Direct Link!B2:B""),MATCH($C705,IMPORTRANGE(""1NK5L1mviMn0j3D3uo53ASkIZOFRlLnqaCTnwzOG2_Wg"",""Direct Link!A2:A""),0)),XLOOKUP($C705,IMPORTRANGE(""1NK5L1mviMn0j3D"&amp;"3uo53ASkIZOFRlLnqaCTnwzOG2_Wg"",""Direct links Without Sizes!A2:A""),IMPORTRANGE(""1NK5L1mviMn0j3D3uo53ASkIZOFRlLnqaCTnwzOG2_Wg"",""Direct links Without Sizes!B2:B""))),XLOOKUP($C705,IMPORTRANGE(""1NK5L1mviMn0j3D3uo53ASkIZOFRlLnqaCTnwzOG2_Wg"",""Direct li"&amp;"nks Without Sizes!D2:D""),IMPORTRANGE(""1NK5L1mviMn0j3D3uo53ASkIZOFRlLnqaCTnwzOG2_Wg"",""Direct links Without Sizes!E2:E""))),"""")"),"")</f>
        <v/>
      </c>
      <c r="I705" s="4"/>
      <c r="J705" s="24" t="str">
        <f t="shared" si="1"/>
        <v/>
      </c>
      <c r="K705" s="25"/>
      <c r="L705" s="24" t="str">
        <f t="shared" si="2"/>
        <v/>
      </c>
      <c r="M705" s="4"/>
      <c r="N705" s="23"/>
      <c r="O705" s="23"/>
      <c r="P705" s="23"/>
      <c r="Q705" s="4" t="str">
        <f t="shared" si="4"/>
        <v/>
      </c>
      <c r="R705" s="20"/>
      <c r="S705" s="20"/>
    </row>
    <row r="706">
      <c r="A706" s="4"/>
      <c r="B706" s="4"/>
      <c r="C706" s="37"/>
      <c r="D706" s="7" t="str">
        <f>IFERROR(__xludf.DUMMYFUNCTION("iferror(iferror(INDEX(IMPORTRANGE(""12vtnxaE_Q1s4tyr10kZQx7ZF_xG0lBFae4jQEUtgsMU"",""All!B2:B""),MATCH($C706,IMPORTRANGE(""12vtnxaE_Q1s4tyr10kZQx7ZF_xG0lBFae4jQEUtgsMU"",""All!A2:A""),0)),INDEX(IMPORTRANGE(""13KC70HngS4DDi8y9E5khtSpQEPG6owaQ9z4E-tR5mnY"","&amp;"""Non-Food!B2:B""),MATCH($C706,IMPORTRANGE(""13KC70HngS4DDi8y9E5khtSpQEPG6owaQ9z4E-tR5mnY"",""Non-Food!A2:A""),0))),"""")"),"")</f>
        <v/>
      </c>
      <c r="E706" s="15"/>
      <c r="F706" s="15"/>
      <c r="G706" s="36"/>
      <c r="H706" s="23" t="str">
        <f>IFERROR(__xludf.DUMMYFUNCTION("iferror(iferror(iferror(index(IMPORTRANGE(""1NK5L1mviMn0j3D3uo53ASkIZOFRlLnqaCTnwzOG2_Wg"",""Direct Link!B2:B""),MATCH($C706,IMPORTRANGE(""1NK5L1mviMn0j3D3uo53ASkIZOFRlLnqaCTnwzOG2_Wg"",""Direct Link!A2:A""),0)),XLOOKUP($C706,IMPORTRANGE(""1NK5L1mviMn0j3D"&amp;"3uo53ASkIZOFRlLnqaCTnwzOG2_Wg"",""Direct links Without Sizes!A2:A""),IMPORTRANGE(""1NK5L1mviMn0j3D3uo53ASkIZOFRlLnqaCTnwzOG2_Wg"",""Direct links Without Sizes!B2:B""))),XLOOKUP($C706,IMPORTRANGE(""1NK5L1mviMn0j3D3uo53ASkIZOFRlLnqaCTnwzOG2_Wg"",""Direct li"&amp;"nks Without Sizes!D2:D""),IMPORTRANGE(""1NK5L1mviMn0j3D3uo53ASkIZOFRlLnqaCTnwzOG2_Wg"",""Direct links Without Sizes!E2:E""))),"""")"),"")</f>
        <v/>
      </c>
      <c r="I706" s="4"/>
      <c r="J706" s="24" t="str">
        <f t="shared" si="1"/>
        <v/>
      </c>
      <c r="K706" s="25"/>
      <c r="L706" s="24" t="str">
        <f t="shared" si="2"/>
        <v/>
      </c>
      <c r="M706" s="4"/>
      <c r="N706" s="23"/>
      <c r="O706" s="23"/>
      <c r="P706" s="23"/>
      <c r="Q706" s="4" t="str">
        <f t="shared" si="4"/>
        <v/>
      </c>
      <c r="R706" s="20"/>
      <c r="S706" s="20"/>
    </row>
    <row r="707">
      <c r="A707" s="4"/>
      <c r="B707" s="4"/>
      <c r="C707" s="37"/>
      <c r="D707" s="7" t="str">
        <f>IFERROR(__xludf.DUMMYFUNCTION("iferror(iferror(INDEX(IMPORTRANGE(""12vtnxaE_Q1s4tyr10kZQx7ZF_xG0lBFae4jQEUtgsMU"",""All!B2:B""),MATCH($C707,IMPORTRANGE(""12vtnxaE_Q1s4tyr10kZQx7ZF_xG0lBFae4jQEUtgsMU"",""All!A2:A""),0)),INDEX(IMPORTRANGE(""13KC70HngS4DDi8y9E5khtSpQEPG6owaQ9z4E-tR5mnY"","&amp;"""Non-Food!B2:B""),MATCH($C707,IMPORTRANGE(""13KC70HngS4DDi8y9E5khtSpQEPG6owaQ9z4E-tR5mnY"",""Non-Food!A2:A""),0))),"""")"),"")</f>
        <v/>
      </c>
      <c r="E707" s="15"/>
      <c r="F707" s="15"/>
      <c r="G707" s="36"/>
      <c r="H707" s="23" t="str">
        <f>IFERROR(__xludf.DUMMYFUNCTION("iferror(iferror(iferror(index(IMPORTRANGE(""1NK5L1mviMn0j3D3uo53ASkIZOFRlLnqaCTnwzOG2_Wg"",""Direct Link!B2:B""),MATCH($C707,IMPORTRANGE(""1NK5L1mviMn0j3D3uo53ASkIZOFRlLnqaCTnwzOG2_Wg"",""Direct Link!A2:A""),0)),XLOOKUP($C707,IMPORTRANGE(""1NK5L1mviMn0j3D"&amp;"3uo53ASkIZOFRlLnqaCTnwzOG2_Wg"",""Direct links Without Sizes!A2:A""),IMPORTRANGE(""1NK5L1mviMn0j3D3uo53ASkIZOFRlLnqaCTnwzOG2_Wg"",""Direct links Without Sizes!B2:B""))),XLOOKUP($C707,IMPORTRANGE(""1NK5L1mviMn0j3D3uo53ASkIZOFRlLnqaCTnwzOG2_Wg"",""Direct li"&amp;"nks Without Sizes!D2:D""),IMPORTRANGE(""1NK5L1mviMn0j3D3uo53ASkIZOFRlLnqaCTnwzOG2_Wg"",""Direct links Without Sizes!E2:E""))),"""")"),"")</f>
        <v/>
      </c>
      <c r="I707" s="4"/>
      <c r="J707" s="24" t="str">
        <f t="shared" si="1"/>
        <v/>
      </c>
      <c r="K707" s="25"/>
      <c r="L707" s="24" t="str">
        <f t="shared" si="2"/>
        <v/>
      </c>
      <c r="M707" s="4"/>
      <c r="N707" s="23"/>
      <c r="O707" s="23"/>
      <c r="P707" s="23"/>
      <c r="Q707" s="4" t="str">
        <f t="shared" si="4"/>
        <v/>
      </c>
      <c r="R707" s="20"/>
      <c r="S707" s="20"/>
    </row>
    <row r="708">
      <c r="A708" s="4"/>
      <c r="B708" s="4"/>
      <c r="C708" s="37"/>
      <c r="D708" s="7" t="str">
        <f>IFERROR(__xludf.DUMMYFUNCTION("iferror(iferror(INDEX(IMPORTRANGE(""12vtnxaE_Q1s4tyr10kZQx7ZF_xG0lBFae4jQEUtgsMU"",""All!B2:B""),MATCH($C708,IMPORTRANGE(""12vtnxaE_Q1s4tyr10kZQx7ZF_xG0lBFae4jQEUtgsMU"",""All!A2:A""),0)),INDEX(IMPORTRANGE(""13KC70HngS4DDi8y9E5khtSpQEPG6owaQ9z4E-tR5mnY"","&amp;"""Non-Food!B2:B""),MATCH($C708,IMPORTRANGE(""13KC70HngS4DDi8y9E5khtSpQEPG6owaQ9z4E-tR5mnY"",""Non-Food!A2:A""),0))),"""")"),"")</f>
        <v/>
      </c>
      <c r="E708" s="15"/>
      <c r="F708" s="15"/>
      <c r="G708" s="36"/>
      <c r="H708" s="23" t="str">
        <f>IFERROR(__xludf.DUMMYFUNCTION("iferror(iferror(iferror(index(IMPORTRANGE(""1NK5L1mviMn0j3D3uo53ASkIZOFRlLnqaCTnwzOG2_Wg"",""Direct Link!B2:B""),MATCH($C708,IMPORTRANGE(""1NK5L1mviMn0j3D3uo53ASkIZOFRlLnqaCTnwzOG2_Wg"",""Direct Link!A2:A""),0)),XLOOKUP($C708,IMPORTRANGE(""1NK5L1mviMn0j3D"&amp;"3uo53ASkIZOFRlLnqaCTnwzOG2_Wg"",""Direct links Without Sizes!A2:A""),IMPORTRANGE(""1NK5L1mviMn0j3D3uo53ASkIZOFRlLnqaCTnwzOG2_Wg"",""Direct links Without Sizes!B2:B""))),XLOOKUP($C708,IMPORTRANGE(""1NK5L1mviMn0j3D3uo53ASkIZOFRlLnqaCTnwzOG2_Wg"",""Direct li"&amp;"nks Without Sizes!D2:D""),IMPORTRANGE(""1NK5L1mviMn0j3D3uo53ASkIZOFRlLnqaCTnwzOG2_Wg"",""Direct links Without Sizes!E2:E""))),"""")"),"")</f>
        <v/>
      </c>
      <c r="I708" s="4"/>
      <c r="J708" s="24" t="str">
        <f t="shared" si="1"/>
        <v/>
      </c>
      <c r="K708" s="25"/>
      <c r="L708" s="24" t="str">
        <f t="shared" si="2"/>
        <v/>
      </c>
      <c r="M708" s="4"/>
      <c r="N708" s="23"/>
      <c r="O708" s="23"/>
      <c r="P708" s="23"/>
      <c r="Q708" s="4" t="str">
        <f t="shared" si="4"/>
        <v/>
      </c>
      <c r="R708" s="20"/>
      <c r="S708" s="20"/>
    </row>
    <row r="709">
      <c r="A709" s="4"/>
      <c r="B709" s="4"/>
      <c r="C709" s="37"/>
      <c r="D709" s="7" t="str">
        <f>IFERROR(__xludf.DUMMYFUNCTION("iferror(iferror(INDEX(IMPORTRANGE(""12vtnxaE_Q1s4tyr10kZQx7ZF_xG0lBFae4jQEUtgsMU"",""All!B2:B""),MATCH($C709,IMPORTRANGE(""12vtnxaE_Q1s4tyr10kZQx7ZF_xG0lBFae4jQEUtgsMU"",""All!A2:A""),0)),INDEX(IMPORTRANGE(""13KC70HngS4DDi8y9E5khtSpQEPG6owaQ9z4E-tR5mnY"","&amp;"""Non-Food!B2:B""),MATCH($C709,IMPORTRANGE(""13KC70HngS4DDi8y9E5khtSpQEPG6owaQ9z4E-tR5mnY"",""Non-Food!A2:A""),0))),"""")"),"")</f>
        <v/>
      </c>
      <c r="E709" s="15"/>
      <c r="F709" s="15"/>
      <c r="G709" s="36"/>
      <c r="H709" s="23" t="str">
        <f>IFERROR(__xludf.DUMMYFUNCTION("iferror(iferror(iferror(index(IMPORTRANGE(""1NK5L1mviMn0j3D3uo53ASkIZOFRlLnqaCTnwzOG2_Wg"",""Direct Link!B2:B""),MATCH($C709,IMPORTRANGE(""1NK5L1mviMn0j3D3uo53ASkIZOFRlLnqaCTnwzOG2_Wg"",""Direct Link!A2:A""),0)),XLOOKUP($C709,IMPORTRANGE(""1NK5L1mviMn0j3D"&amp;"3uo53ASkIZOFRlLnqaCTnwzOG2_Wg"",""Direct links Without Sizes!A2:A""),IMPORTRANGE(""1NK5L1mviMn0j3D3uo53ASkIZOFRlLnqaCTnwzOG2_Wg"",""Direct links Without Sizes!B2:B""))),XLOOKUP($C709,IMPORTRANGE(""1NK5L1mviMn0j3D3uo53ASkIZOFRlLnqaCTnwzOG2_Wg"",""Direct li"&amp;"nks Without Sizes!D2:D""),IMPORTRANGE(""1NK5L1mviMn0j3D3uo53ASkIZOFRlLnqaCTnwzOG2_Wg"",""Direct links Without Sizes!E2:E""))),"""")"),"")</f>
        <v/>
      </c>
      <c r="I709" s="4"/>
      <c r="J709" s="24" t="str">
        <f t="shared" si="1"/>
        <v/>
      </c>
      <c r="K709" s="25"/>
      <c r="L709" s="24" t="str">
        <f t="shared" si="2"/>
        <v/>
      </c>
      <c r="M709" s="4"/>
      <c r="N709" s="23"/>
      <c r="O709" s="23"/>
      <c r="P709" s="23"/>
      <c r="Q709" s="4" t="str">
        <f t="shared" si="4"/>
        <v/>
      </c>
      <c r="R709" s="20"/>
      <c r="S709" s="20"/>
    </row>
    <row r="710">
      <c r="A710" s="4"/>
      <c r="B710" s="4"/>
      <c r="C710" s="37"/>
      <c r="D710" s="7" t="str">
        <f>IFERROR(__xludf.DUMMYFUNCTION("iferror(iferror(INDEX(IMPORTRANGE(""12vtnxaE_Q1s4tyr10kZQx7ZF_xG0lBFae4jQEUtgsMU"",""All!B2:B""),MATCH($C710,IMPORTRANGE(""12vtnxaE_Q1s4tyr10kZQx7ZF_xG0lBFae4jQEUtgsMU"",""All!A2:A""),0)),INDEX(IMPORTRANGE(""13KC70HngS4DDi8y9E5khtSpQEPG6owaQ9z4E-tR5mnY"","&amp;"""Non-Food!B2:B""),MATCH($C710,IMPORTRANGE(""13KC70HngS4DDi8y9E5khtSpQEPG6owaQ9z4E-tR5mnY"",""Non-Food!A2:A""),0))),"""")"),"")</f>
        <v/>
      </c>
      <c r="E710" s="15"/>
      <c r="F710" s="15"/>
      <c r="G710" s="36"/>
      <c r="H710" s="23" t="str">
        <f>IFERROR(__xludf.DUMMYFUNCTION("iferror(iferror(iferror(index(IMPORTRANGE(""1NK5L1mviMn0j3D3uo53ASkIZOFRlLnqaCTnwzOG2_Wg"",""Direct Link!B2:B""),MATCH($C710,IMPORTRANGE(""1NK5L1mviMn0j3D3uo53ASkIZOFRlLnqaCTnwzOG2_Wg"",""Direct Link!A2:A""),0)),XLOOKUP($C710,IMPORTRANGE(""1NK5L1mviMn0j3D"&amp;"3uo53ASkIZOFRlLnqaCTnwzOG2_Wg"",""Direct links Without Sizes!A2:A""),IMPORTRANGE(""1NK5L1mviMn0j3D3uo53ASkIZOFRlLnqaCTnwzOG2_Wg"",""Direct links Without Sizes!B2:B""))),XLOOKUP($C710,IMPORTRANGE(""1NK5L1mviMn0j3D3uo53ASkIZOFRlLnqaCTnwzOG2_Wg"",""Direct li"&amp;"nks Without Sizes!D2:D""),IMPORTRANGE(""1NK5L1mviMn0j3D3uo53ASkIZOFRlLnqaCTnwzOG2_Wg"",""Direct links Without Sizes!E2:E""))),"""")"),"")</f>
        <v/>
      </c>
      <c r="I710" s="4"/>
      <c r="J710" s="24" t="str">
        <f t="shared" si="1"/>
        <v/>
      </c>
      <c r="K710" s="25"/>
      <c r="L710" s="24" t="str">
        <f t="shared" si="2"/>
        <v/>
      </c>
      <c r="M710" s="4"/>
      <c r="N710" s="23"/>
      <c r="O710" s="23"/>
      <c r="P710" s="23"/>
      <c r="Q710" s="4" t="str">
        <f t="shared" si="4"/>
        <v/>
      </c>
      <c r="R710" s="20"/>
      <c r="S710" s="20"/>
    </row>
    <row r="711">
      <c r="A711" s="4"/>
      <c r="B711" s="4"/>
      <c r="C711" s="37"/>
      <c r="D711" s="7" t="str">
        <f>IFERROR(__xludf.DUMMYFUNCTION("iferror(iferror(INDEX(IMPORTRANGE(""12vtnxaE_Q1s4tyr10kZQx7ZF_xG0lBFae4jQEUtgsMU"",""All!B2:B""),MATCH($C711,IMPORTRANGE(""12vtnxaE_Q1s4tyr10kZQx7ZF_xG0lBFae4jQEUtgsMU"",""All!A2:A""),0)),INDEX(IMPORTRANGE(""13KC70HngS4DDi8y9E5khtSpQEPG6owaQ9z4E-tR5mnY"","&amp;"""Non-Food!B2:B""),MATCH($C711,IMPORTRANGE(""13KC70HngS4DDi8y9E5khtSpQEPG6owaQ9z4E-tR5mnY"",""Non-Food!A2:A""),0))),"""")"),"")</f>
        <v/>
      </c>
      <c r="E711" s="15"/>
      <c r="F711" s="15"/>
      <c r="G711" s="36"/>
      <c r="H711" s="23" t="str">
        <f>IFERROR(__xludf.DUMMYFUNCTION("iferror(iferror(iferror(index(IMPORTRANGE(""1NK5L1mviMn0j3D3uo53ASkIZOFRlLnqaCTnwzOG2_Wg"",""Direct Link!B2:B""),MATCH($C711,IMPORTRANGE(""1NK5L1mviMn0j3D3uo53ASkIZOFRlLnqaCTnwzOG2_Wg"",""Direct Link!A2:A""),0)),XLOOKUP($C711,IMPORTRANGE(""1NK5L1mviMn0j3D"&amp;"3uo53ASkIZOFRlLnqaCTnwzOG2_Wg"",""Direct links Without Sizes!A2:A""),IMPORTRANGE(""1NK5L1mviMn0j3D3uo53ASkIZOFRlLnqaCTnwzOG2_Wg"",""Direct links Without Sizes!B2:B""))),XLOOKUP($C711,IMPORTRANGE(""1NK5L1mviMn0j3D3uo53ASkIZOFRlLnqaCTnwzOG2_Wg"",""Direct li"&amp;"nks Without Sizes!D2:D""),IMPORTRANGE(""1NK5L1mviMn0j3D3uo53ASkIZOFRlLnqaCTnwzOG2_Wg"",""Direct links Without Sizes!E2:E""))),"""")"),"")</f>
        <v/>
      </c>
      <c r="I711" s="4"/>
      <c r="J711" s="24" t="str">
        <f t="shared" si="1"/>
        <v/>
      </c>
      <c r="K711" s="25"/>
      <c r="L711" s="24" t="str">
        <f t="shared" si="2"/>
        <v/>
      </c>
      <c r="M711" s="4"/>
      <c r="N711" s="23"/>
      <c r="O711" s="23"/>
      <c r="P711" s="23"/>
      <c r="Q711" s="4" t="str">
        <f t="shared" si="4"/>
        <v/>
      </c>
      <c r="R711" s="20"/>
      <c r="S711" s="20"/>
    </row>
    <row r="712">
      <c r="A712" s="4"/>
      <c r="B712" s="4"/>
      <c r="C712" s="37"/>
      <c r="D712" s="7" t="str">
        <f>IFERROR(__xludf.DUMMYFUNCTION("iferror(iferror(INDEX(IMPORTRANGE(""12vtnxaE_Q1s4tyr10kZQx7ZF_xG0lBFae4jQEUtgsMU"",""All!B2:B""),MATCH($C712,IMPORTRANGE(""12vtnxaE_Q1s4tyr10kZQx7ZF_xG0lBFae4jQEUtgsMU"",""All!A2:A""),0)),INDEX(IMPORTRANGE(""13KC70HngS4DDi8y9E5khtSpQEPG6owaQ9z4E-tR5mnY"","&amp;"""Non-Food!B2:B""),MATCH($C712,IMPORTRANGE(""13KC70HngS4DDi8y9E5khtSpQEPG6owaQ9z4E-tR5mnY"",""Non-Food!A2:A""),0))),"""")"),"")</f>
        <v/>
      </c>
      <c r="E712" s="15"/>
      <c r="F712" s="15"/>
      <c r="G712" s="36"/>
      <c r="H712" s="23" t="str">
        <f>IFERROR(__xludf.DUMMYFUNCTION("iferror(iferror(iferror(index(IMPORTRANGE(""1NK5L1mviMn0j3D3uo53ASkIZOFRlLnqaCTnwzOG2_Wg"",""Direct Link!B2:B""),MATCH($C712,IMPORTRANGE(""1NK5L1mviMn0j3D3uo53ASkIZOFRlLnqaCTnwzOG2_Wg"",""Direct Link!A2:A""),0)),XLOOKUP($C712,IMPORTRANGE(""1NK5L1mviMn0j3D"&amp;"3uo53ASkIZOFRlLnqaCTnwzOG2_Wg"",""Direct links Without Sizes!A2:A""),IMPORTRANGE(""1NK5L1mviMn0j3D3uo53ASkIZOFRlLnqaCTnwzOG2_Wg"",""Direct links Without Sizes!B2:B""))),XLOOKUP($C712,IMPORTRANGE(""1NK5L1mviMn0j3D3uo53ASkIZOFRlLnqaCTnwzOG2_Wg"",""Direct li"&amp;"nks Without Sizes!D2:D""),IMPORTRANGE(""1NK5L1mviMn0j3D3uo53ASkIZOFRlLnqaCTnwzOG2_Wg"",""Direct links Without Sizes!E2:E""))),"""")"),"")</f>
        <v/>
      </c>
      <c r="I712" s="4"/>
      <c r="J712" s="24" t="str">
        <f t="shared" si="1"/>
        <v/>
      </c>
      <c r="K712" s="25"/>
      <c r="L712" s="24" t="str">
        <f t="shared" si="2"/>
        <v/>
      </c>
      <c r="M712" s="4"/>
      <c r="N712" s="23"/>
      <c r="O712" s="23"/>
      <c r="P712" s="23"/>
      <c r="Q712" s="4" t="str">
        <f t="shared" si="4"/>
        <v/>
      </c>
      <c r="R712" s="20"/>
      <c r="S712" s="20"/>
    </row>
    <row r="713">
      <c r="A713" s="4"/>
      <c r="B713" s="4"/>
      <c r="C713" s="37"/>
      <c r="D713" s="7" t="str">
        <f>IFERROR(__xludf.DUMMYFUNCTION("iferror(iferror(INDEX(IMPORTRANGE(""12vtnxaE_Q1s4tyr10kZQx7ZF_xG0lBFae4jQEUtgsMU"",""All!B2:B""),MATCH($C713,IMPORTRANGE(""12vtnxaE_Q1s4tyr10kZQx7ZF_xG0lBFae4jQEUtgsMU"",""All!A2:A""),0)),INDEX(IMPORTRANGE(""13KC70HngS4DDi8y9E5khtSpQEPG6owaQ9z4E-tR5mnY"","&amp;"""Non-Food!B2:B""),MATCH($C713,IMPORTRANGE(""13KC70HngS4DDi8y9E5khtSpQEPG6owaQ9z4E-tR5mnY"",""Non-Food!A2:A""),0))),"""")"),"")</f>
        <v/>
      </c>
      <c r="E713" s="15"/>
      <c r="F713" s="15"/>
      <c r="G713" s="36"/>
      <c r="H713" s="23" t="str">
        <f>IFERROR(__xludf.DUMMYFUNCTION("iferror(iferror(iferror(index(IMPORTRANGE(""1NK5L1mviMn0j3D3uo53ASkIZOFRlLnqaCTnwzOG2_Wg"",""Direct Link!B2:B""),MATCH($C713,IMPORTRANGE(""1NK5L1mviMn0j3D3uo53ASkIZOFRlLnqaCTnwzOG2_Wg"",""Direct Link!A2:A""),0)),XLOOKUP($C713,IMPORTRANGE(""1NK5L1mviMn0j3D"&amp;"3uo53ASkIZOFRlLnqaCTnwzOG2_Wg"",""Direct links Without Sizes!A2:A""),IMPORTRANGE(""1NK5L1mviMn0j3D3uo53ASkIZOFRlLnqaCTnwzOG2_Wg"",""Direct links Without Sizes!B2:B""))),XLOOKUP($C713,IMPORTRANGE(""1NK5L1mviMn0j3D3uo53ASkIZOFRlLnqaCTnwzOG2_Wg"",""Direct li"&amp;"nks Without Sizes!D2:D""),IMPORTRANGE(""1NK5L1mviMn0j3D3uo53ASkIZOFRlLnqaCTnwzOG2_Wg"",""Direct links Without Sizes!E2:E""))),"""")"),"")</f>
        <v/>
      </c>
      <c r="I713" s="4"/>
      <c r="J713" s="24" t="str">
        <f t="shared" si="1"/>
        <v/>
      </c>
      <c r="K713" s="25"/>
      <c r="L713" s="24" t="str">
        <f t="shared" si="2"/>
        <v/>
      </c>
      <c r="M713" s="4"/>
      <c r="N713" s="23"/>
      <c r="O713" s="23"/>
      <c r="P713" s="23"/>
      <c r="Q713" s="4" t="str">
        <f t="shared" si="4"/>
        <v/>
      </c>
      <c r="R713" s="20"/>
      <c r="S713" s="20"/>
    </row>
    <row r="714">
      <c r="A714" s="4"/>
      <c r="B714" s="4"/>
      <c r="C714" s="37"/>
      <c r="D714" s="7" t="str">
        <f>IFERROR(__xludf.DUMMYFUNCTION("iferror(iferror(INDEX(IMPORTRANGE(""12vtnxaE_Q1s4tyr10kZQx7ZF_xG0lBFae4jQEUtgsMU"",""All!B2:B""),MATCH($C714,IMPORTRANGE(""12vtnxaE_Q1s4tyr10kZQx7ZF_xG0lBFae4jQEUtgsMU"",""All!A2:A""),0)),INDEX(IMPORTRANGE(""13KC70HngS4DDi8y9E5khtSpQEPG6owaQ9z4E-tR5mnY"","&amp;"""Non-Food!B2:B""),MATCH($C714,IMPORTRANGE(""13KC70HngS4DDi8y9E5khtSpQEPG6owaQ9z4E-tR5mnY"",""Non-Food!A2:A""),0))),"""")"),"")</f>
        <v/>
      </c>
      <c r="E714" s="15"/>
      <c r="F714" s="15"/>
      <c r="G714" s="36"/>
      <c r="H714" s="23" t="str">
        <f>IFERROR(__xludf.DUMMYFUNCTION("iferror(iferror(iferror(index(IMPORTRANGE(""1NK5L1mviMn0j3D3uo53ASkIZOFRlLnqaCTnwzOG2_Wg"",""Direct Link!B2:B""),MATCH($C714,IMPORTRANGE(""1NK5L1mviMn0j3D3uo53ASkIZOFRlLnqaCTnwzOG2_Wg"",""Direct Link!A2:A""),0)),XLOOKUP($C714,IMPORTRANGE(""1NK5L1mviMn0j3D"&amp;"3uo53ASkIZOFRlLnqaCTnwzOG2_Wg"",""Direct links Without Sizes!A2:A""),IMPORTRANGE(""1NK5L1mviMn0j3D3uo53ASkIZOFRlLnqaCTnwzOG2_Wg"",""Direct links Without Sizes!B2:B""))),XLOOKUP($C714,IMPORTRANGE(""1NK5L1mviMn0j3D3uo53ASkIZOFRlLnqaCTnwzOG2_Wg"",""Direct li"&amp;"nks Without Sizes!D2:D""),IMPORTRANGE(""1NK5L1mviMn0j3D3uo53ASkIZOFRlLnqaCTnwzOG2_Wg"",""Direct links Without Sizes!E2:E""))),"""")"),"")</f>
        <v/>
      </c>
      <c r="I714" s="4"/>
      <c r="J714" s="24" t="str">
        <f t="shared" si="1"/>
        <v/>
      </c>
      <c r="K714" s="25"/>
      <c r="L714" s="24" t="str">
        <f t="shared" si="2"/>
        <v/>
      </c>
      <c r="M714" s="4"/>
      <c r="N714" s="23"/>
      <c r="O714" s="23"/>
      <c r="P714" s="23"/>
      <c r="Q714" s="4" t="str">
        <f t="shared" si="4"/>
        <v/>
      </c>
      <c r="R714" s="20"/>
      <c r="S714" s="20"/>
    </row>
    <row r="715">
      <c r="A715" s="4"/>
      <c r="B715" s="4"/>
      <c r="C715" s="37"/>
      <c r="D715" s="7" t="str">
        <f>IFERROR(__xludf.DUMMYFUNCTION("iferror(iferror(INDEX(IMPORTRANGE(""12vtnxaE_Q1s4tyr10kZQx7ZF_xG0lBFae4jQEUtgsMU"",""All!B2:B""),MATCH($C715,IMPORTRANGE(""12vtnxaE_Q1s4tyr10kZQx7ZF_xG0lBFae4jQEUtgsMU"",""All!A2:A""),0)),INDEX(IMPORTRANGE(""13KC70HngS4DDi8y9E5khtSpQEPG6owaQ9z4E-tR5mnY"","&amp;"""Non-Food!B2:B""),MATCH($C715,IMPORTRANGE(""13KC70HngS4DDi8y9E5khtSpQEPG6owaQ9z4E-tR5mnY"",""Non-Food!A2:A""),0))),"""")"),"")</f>
        <v/>
      </c>
      <c r="E715" s="15"/>
      <c r="F715" s="15"/>
      <c r="G715" s="36"/>
      <c r="H715" s="23" t="str">
        <f>IFERROR(__xludf.DUMMYFUNCTION("iferror(iferror(iferror(index(IMPORTRANGE(""1NK5L1mviMn0j3D3uo53ASkIZOFRlLnqaCTnwzOG2_Wg"",""Direct Link!B2:B""),MATCH($C715,IMPORTRANGE(""1NK5L1mviMn0j3D3uo53ASkIZOFRlLnqaCTnwzOG2_Wg"",""Direct Link!A2:A""),0)),XLOOKUP($C715,IMPORTRANGE(""1NK5L1mviMn0j3D"&amp;"3uo53ASkIZOFRlLnqaCTnwzOG2_Wg"",""Direct links Without Sizes!A2:A""),IMPORTRANGE(""1NK5L1mviMn0j3D3uo53ASkIZOFRlLnqaCTnwzOG2_Wg"",""Direct links Without Sizes!B2:B""))),XLOOKUP($C715,IMPORTRANGE(""1NK5L1mviMn0j3D3uo53ASkIZOFRlLnqaCTnwzOG2_Wg"",""Direct li"&amp;"nks Without Sizes!D2:D""),IMPORTRANGE(""1NK5L1mviMn0j3D3uo53ASkIZOFRlLnqaCTnwzOG2_Wg"",""Direct links Without Sizes!E2:E""))),"""")"),"")</f>
        <v/>
      </c>
      <c r="I715" s="4"/>
      <c r="J715" s="24" t="str">
        <f t="shared" si="1"/>
        <v/>
      </c>
      <c r="K715" s="25"/>
      <c r="L715" s="24" t="str">
        <f t="shared" si="2"/>
        <v/>
      </c>
      <c r="M715" s="4"/>
      <c r="N715" s="23"/>
      <c r="O715" s="23"/>
      <c r="P715" s="23"/>
      <c r="Q715" s="4" t="str">
        <f t="shared" si="4"/>
        <v/>
      </c>
      <c r="R715" s="20"/>
      <c r="S715" s="20"/>
    </row>
    <row r="716">
      <c r="A716" s="4"/>
      <c r="B716" s="4"/>
      <c r="C716" s="37"/>
      <c r="D716" s="7" t="str">
        <f>IFERROR(__xludf.DUMMYFUNCTION("iferror(iferror(INDEX(IMPORTRANGE(""12vtnxaE_Q1s4tyr10kZQx7ZF_xG0lBFae4jQEUtgsMU"",""All!B2:B""),MATCH($C716,IMPORTRANGE(""12vtnxaE_Q1s4tyr10kZQx7ZF_xG0lBFae4jQEUtgsMU"",""All!A2:A""),0)),INDEX(IMPORTRANGE(""13KC70HngS4DDi8y9E5khtSpQEPG6owaQ9z4E-tR5mnY"","&amp;"""Non-Food!B2:B""),MATCH($C716,IMPORTRANGE(""13KC70HngS4DDi8y9E5khtSpQEPG6owaQ9z4E-tR5mnY"",""Non-Food!A2:A""),0))),"""")"),"")</f>
        <v/>
      </c>
      <c r="E716" s="15"/>
      <c r="F716" s="15"/>
      <c r="G716" s="36"/>
      <c r="H716" s="23" t="str">
        <f>IFERROR(__xludf.DUMMYFUNCTION("iferror(iferror(iferror(index(IMPORTRANGE(""1NK5L1mviMn0j3D3uo53ASkIZOFRlLnqaCTnwzOG2_Wg"",""Direct Link!B2:B""),MATCH($C716,IMPORTRANGE(""1NK5L1mviMn0j3D3uo53ASkIZOFRlLnqaCTnwzOG2_Wg"",""Direct Link!A2:A""),0)),XLOOKUP($C716,IMPORTRANGE(""1NK5L1mviMn0j3D"&amp;"3uo53ASkIZOFRlLnqaCTnwzOG2_Wg"",""Direct links Without Sizes!A2:A""),IMPORTRANGE(""1NK5L1mviMn0j3D3uo53ASkIZOFRlLnqaCTnwzOG2_Wg"",""Direct links Without Sizes!B2:B""))),XLOOKUP($C716,IMPORTRANGE(""1NK5L1mviMn0j3D3uo53ASkIZOFRlLnqaCTnwzOG2_Wg"",""Direct li"&amp;"nks Without Sizes!D2:D""),IMPORTRANGE(""1NK5L1mviMn0j3D3uo53ASkIZOFRlLnqaCTnwzOG2_Wg"",""Direct links Without Sizes!E2:E""))),"""")"),"")</f>
        <v/>
      </c>
      <c r="I716" s="4"/>
      <c r="J716" s="24" t="str">
        <f t="shared" si="1"/>
        <v/>
      </c>
      <c r="K716" s="25"/>
      <c r="L716" s="24" t="str">
        <f t="shared" si="2"/>
        <v/>
      </c>
      <c r="M716" s="4"/>
      <c r="N716" s="23"/>
      <c r="O716" s="23"/>
      <c r="P716" s="23"/>
      <c r="Q716" s="4" t="str">
        <f t="shared" si="4"/>
        <v/>
      </c>
      <c r="R716" s="20"/>
      <c r="S716" s="20"/>
    </row>
    <row r="717">
      <c r="A717" s="4"/>
      <c r="B717" s="4"/>
      <c r="C717" s="37"/>
      <c r="D717" s="7" t="str">
        <f>IFERROR(__xludf.DUMMYFUNCTION("iferror(iferror(INDEX(IMPORTRANGE(""12vtnxaE_Q1s4tyr10kZQx7ZF_xG0lBFae4jQEUtgsMU"",""All!B2:B""),MATCH($C717,IMPORTRANGE(""12vtnxaE_Q1s4tyr10kZQx7ZF_xG0lBFae4jQEUtgsMU"",""All!A2:A""),0)),INDEX(IMPORTRANGE(""13KC70HngS4DDi8y9E5khtSpQEPG6owaQ9z4E-tR5mnY"","&amp;"""Non-Food!B2:B""),MATCH($C717,IMPORTRANGE(""13KC70HngS4DDi8y9E5khtSpQEPG6owaQ9z4E-tR5mnY"",""Non-Food!A2:A""),0))),"""")"),"")</f>
        <v/>
      </c>
      <c r="E717" s="15"/>
      <c r="F717" s="15"/>
      <c r="G717" s="36"/>
      <c r="H717" s="23" t="str">
        <f>IFERROR(__xludf.DUMMYFUNCTION("iferror(iferror(iferror(index(IMPORTRANGE(""1NK5L1mviMn0j3D3uo53ASkIZOFRlLnqaCTnwzOG2_Wg"",""Direct Link!B2:B""),MATCH($C717,IMPORTRANGE(""1NK5L1mviMn0j3D3uo53ASkIZOFRlLnqaCTnwzOG2_Wg"",""Direct Link!A2:A""),0)),XLOOKUP($C717,IMPORTRANGE(""1NK5L1mviMn0j3D"&amp;"3uo53ASkIZOFRlLnqaCTnwzOG2_Wg"",""Direct links Without Sizes!A2:A""),IMPORTRANGE(""1NK5L1mviMn0j3D3uo53ASkIZOFRlLnqaCTnwzOG2_Wg"",""Direct links Without Sizes!B2:B""))),XLOOKUP($C717,IMPORTRANGE(""1NK5L1mviMn0j3D3uo53ASkIZOFRlLnqaCTnwzOG2_Wg"",""Direct li"&amp;"nks Without Sizes!D2:D""),IMPORTRANGE(""1NK5L1mviMn0j3D3uo53ASkIZOFRlLnqaCTnwzOG2_Wg"",""Direct links Without Sizes!E2:E""))),"""")"),"")</f>
        <v/>
      </c>
      <c r="I717" s="4"/>
      <c r="J717" s="24" t="str">
        <f t="shared" si="1"/>
        <v/>
      </c>
      <c r="K717" s="25"/>
      <c r="L717" s="24" t="str">
        <f t="shared" si="2"/>
        <v/>
      </c>
      <c r="M717" s="4"/>
      <c r="N717" s="23"/>
      <c r="O717" s="23"/>
      <c r="P717" s="23"/>
      <c r="Q717" s="4" t="str">
        <f t="shared" si="4"/>
        <v/>
      </c>
      <c r="R717" s="20"/>
      <c r="S717" s="20"/>
    </row>
    <row r="718">
      <c r="A718" s="4"/>
      <c r="B718" s="4"/>
      <c r="C718" s="37"/>
      <c r="D718" s="7" t="str">
        <f>IFERROR(__xludf.DUMMYFUNCTION("iferror(iferror(INDEX(IMPORTRANGE(""12vtnxaE_Q1s4tyr10kZQx7ZF_xG0lBFae4jQEUtgsMU"",""All!B2:B""),MATCH($C718,IMPORTRANGE(""12vtnxaE_Q1s4tyr10kZQx7ZF_xG0lBFae4jQEUtgsMU"",""All!A2:A""),0)),INDEX(IMPORTRANGE(""13KC70HngS4DDi8y9E5khtSpQEPG6owaQ9z4E-tR5mnY"","&amp;"""Non-Food!B2:B""),MATCH($C718,IMPORTRANGE(""13KC70HngS4DDi8y9E5khtSpQEPG6owaQ9z4E-tR5mnY"",""Non-Food!A2:A""),0))),"""")"),"")</f>
        <v/>
      </c>
      <c r="E718" s="15"/>
      <c r="F718" s="15"/>
      <c r="G718" s="36"/>
      <c r="H718" s="23" t="str">
        <f>IFERROR(__xludf.DUMMYFUNCTION("iferror(iferror(iferror(index(IMPORTRANGE(""1NK5L1mviMn0j3D3uo53ASkIZOFRlLnqaCTnwzOG2_Wg"",""Direct Link!B2:B""),MATCH($C718,IMPORTRANGE(""1NK5L1mviMn0j3D3uo53ASkIZOFRlLnqaCTnwzOG2_Wg"",""Direct Link!A2:A""),0)),XLOOKUP($C718,IMPORTRANGE(""1NK5L1mviMn0j3D"&amp;"3uo53ASkIZOFRlLnqaCTnwzOG2_Wg"",""Direct links Without Sizes!A2:A""),IMPORTRANGE(""1NK5L1mviMn0j3D3uo53ASkIZOFRlLnqaCTnwzOG2_Wg"",""Direct links Without Sizes!B2:B""))),XLOOKUP($C718,IMPORTRANGE(""1NK5L1mviMn0j3D3uo53ASkIZOFRlLnqaCTnwzOG2_Wg"",""Direct li"&amp;"nks Without Sizes!D2:D""),IMPORTRANGE(""1NK5L1mviMn0j3D3uo53ASkIZOFRlLnqaCTnwzOG2_Wg"",""Direct links Without Sizes!E2:E""))),"""")"),"")</f>
        <v/>
      </c>
      <c r="I718" s="4"/>
      <c r="J718" s="24" t="str">
        <f t="shared" si="1"/>
        <v/>
      </c>
      <c r="K718" s="25"/>
      <c r="L718" s="24" t="str">
        <f t="shared" si="2"/>
        <v/>
      </c>
      <c r="M718" s="4"/>
      <c r="N718" s="23"/>
      <c r="O718" s="23"/>
      <c r="P718" s="23"/>
      <c r="Q718" s="4" t="str">
        <f t="shared" si="4"/>
        <v/>
      </c>
      <c r="R718" s="20"/>
      <c r="S718" s="20"/>
    </row>
    <row r="719">
      <c r="A719" s="4"/>
      <c r="B719" s="4"/>
      <c r="C719" s="37"/>
      <c r="D719" s="7" t="str">
        <f>IFERROR(__xludf.DUMMYFUNCTION("iferror(iferror(INDEX(IMPORTRANGE(""12vtnxaE_Q1s4tyr10kZQx7ZF_xG0lBFae4jQEUtgsMU"",""All!B2:B""),MATCH($C719,IMPORTRANGE(""12vtnxaE_Q1s4tyr10kZQx7ZF_xG0lBFae4jQEUtgsMU"",""All!A2:A""),0)),INDEX(IMPORTRANGE(""13KC70HngS4DDi8y9E5khtSpQEPG6owaQ9z4E-tR5mnY"","&amp;"""Non-Food!B2:B""),MATCH($C719,IMPORTRANGE(""13KC70HngS4DDi8y9E5khtSpQEPG6owaQ9z4E-tR5mnY"",""Non-Food!A2:A""),0))),"""")"),"")</f>
        <v/>
      </c>
      <c r="E719" s="15"/>
      <c r="F719" s="15"/>
      <c r="G719" s="36"/>
      <c r="H719" s="23" t="str">
        <f>IFERROR(__xludf.DUMMYFUNCTION("iferror(iferror(iferror(index(IMPORTRANGE(""1NK5L1mviMn0j3D3uo53ASkIZOFRlLnqaCTnwzOG2_Wg"",""Direct Link!B2:B""),MATCH($C719,IMPORTRANGE(""1NK5L1mviMn0j3D3uo53ASkIZOFRlLnqaCTnwzOG2_Wg"",""Direct Link!A2:A""),0)),XLOOKUP($C719,IMPORTRANGE(""1NK5L1mviMn0j3D"&amp;"3uo53ASkIZOFRlLnqaCTnwzOG2_Wg"",""Direct links Without Sizes!A2:A""),IMPORTRANGE(""1NK5L1mviMn0j3D3uo53ASkIZOFRlLnqaCTnwzOG2_Wg"",""Direct links Without Sizes!B2:B""))),XLOOKUP($C719,IMPORTRANGE(""1NK5L1mviMn0j3D3uo53ASkIZOFRlLnqaCTnwzOG2_Wg"",""Direct li"&amp;"nks Without Sizes!D2:D""),IMPORTRANGE(""1NK5L1mviMn0j3D3uo53ASkIZOFRlLnqaCTnwzOG2_Wg"",""Direct links Without Sizes!E2:E""))),"""")"),"")</f>
        <v/>
      </c>
      <c r="I719" s="4"/>
      <c r="J719" s="24" t="str">
        <f t="shared" si="1"/>
        <v/>
      </c>
      <c r="K719" s="25"/>
      <c r="L719" s="24" t="str">
        <f t="shared" si="2"/>
        <v/>
      </c>
      <c r="M719" s="4"/>
      <c r="N719" s="23"/>
      <c r="O719" s="23"/>
      <c r="P719" s="23"/>
      <c r="Q719" s="4" t="str">
        <f t="shared" si="4"/>
        <v/>
      </c>
      <c r="R719" s="20"/>
      <c r="S719" s="20"/>
    </row>
    <row r="720">
      <c r="A720" s="4"/>
      <c r="B720" s="4"/>
      <c r="C720" s="37"/>
      <c r="D720" s="7" t="str">
        <f>IFERROR(__xludf.DUMMYFUNCTION("iferror(iferror(INDEX(IMPORTRANGE(""12vtnxaE_Q1s4tyr10kZQx7ZF_xG0lBFae4jQEUtgsMU"",""All!B2:B""),MATCH($C720,IMPORTRANGE(""12vtnxaE_Q1s4tyr10kZQx7ZF_xG0lBFae4jQEUtgsMU"",""All!A2:A""),0)),INDEX(IMPORTRANGE(""13KC70HngS4DDi8y9E5khtSpQEPG6owaQ9z4E-tR5mnY"","&amp;"""Non-Food!B2:B""),MATCH($C720,IMPORTRANGE(""13KC70HngS4DDi8y9E5khtSpQEPG6owaQ9z4E-tR5mnY"",""Non-Food!A2:A""),0))),"""")"),"")</f>
        <v/>
      </c>
      <c r="E720" s="15"/>
      <c r="F720" s="15"/>
      <c r="G720" s="36"/>
      <c r="H720" s="23" t="str">
        <f>IFERROR(__xludf.DUMMYFUNCTION("iferror(iferror(iferror(index(IMPORTRANGE(""1NK5L1mviMn0j3D3uo53ASkIZOFRlLnqaCTnwzOG2_Wg"",""Direct Link!B2:B""),MATCH($C720,IMPORTRANGE(""1NK5L1mviMn0j3D3uo53ASkIZOFRlLnqaCTnwzOG2_Wg"",""Direct Link!A2:A""),0)),XLOOKUP($C720,IMPORTRANGE(""1NK5L1mviMn0j3D"&amp;"3uo53ASkIZOFRlLnqaCTnwzOG2_Wg"",""Direct links Without Sizes!A2:A""),IMPORTRANGE(""1NK5L1mviMn0j3D3uo53ASkIZOFRlLnqaCTnwzOG2_Wg"",""Direct links Without Sizes!B2:B""))),XLOOKUP($C720,IMPORTRANGE(""1NK5L1mviMn0j3D3uo53ASkIZOFRlLnqaCTnwzOG2_Wg"",""Direct li"&amp;"nks Without Sizes!D2:D""),IMPORTRANGE(""1NK5L1mviMn0j3D3uo53ASkIZOFRlLnqaCTnwzOG2_Wg"",""Direct links Without Sizes!E2:E""))),"""")"),"")</f>
        <v/>
      </c>
      <c r="I720" s="4"/>
      <c r="J720" s="24" t="str">
        <f t="shared" si="1"/>
        <v/>
      </c>
      <c r="K720" s="25"/>
      <c r="L720" s="24" t="str">
        <f t="shared" si="2"/>
        <v/>
      </c>
      <c r="M720" s="4"/>
      <c r="N720" s="23"/>
      <c r="O720" s="23"/>
      <c r="P720" s="23"/>
      <c r="Q720" s="4" t="str">
        <f t="shared" si="4"/>
        <v/>
      </c>
      <c r="R720" s="20"/>
      <c r="S720" s="20"/>
    </row>
    <row r="721">
      <c r="A721" s="4"/>
      <c r="B721" s="4"/>
      <c r="C721" s="37"/>
      <c r="D721" s="7" t="str">
        <f>IFERROR(__xludf.DUMMYFUNCTION("iferror(iferror(INDEX(IMPORTRANGE(""12vtnxaE_Q1s4tyr10kZQx7ZF_xG0lBFae4jQEUtgsMU"",""All!B2:B""),MATCH($C721,IMPORTRANGE(""12vtnxaE_Q1s4tyr10kZQx7ZF_xG0lBFae4jQEUtgsMU"",""All!A2:A""),0)),INDEX(IMPORTRANGE(""13KC70HngS4DDi8y9E5khtSpQEPG6owaQ9z4E-tR5mnY"","&amp;"""Non-Food!B2:B""),MATCH($C721,IMPORTRANGE(""13KC70HngS4DDi8y9E5khtSpQEPG6owaQ9z4E-tR5mnY"",""Non-Food!A2:A""),0))),"""")"),"")</f>
        <v/>
      </c>
      <c r="E721" s="15"/>
      <c r="F721" s="15"/>
      <c r="G721" s="36"/>
      <c r="H721" s="23" t="str">
        <f>IFERROR(__xludf.DUMMYFUNCTION("iferror(iferror(iferror(index(IMPORTRANGE(""1NK5L1mviMn0j3D3uo53ASkIZOFRlLnqaCTnwzOG2_Wg"",""Direct Link!B2:B""),MATCH($C721,IMPORTRANGE(""1NK5L1mviMn0j3D3uo53ASkIZOFRlLnqaCTnwzOG2_Wg"",""Direct Link!A2:A""),0)),XLOOKUP($C721,IMPORTRANGE(""1NK5L1mviMn0j3D"&amp;"3uo53ASkIZOFRlLnqaCTnwzOG2_Wg"",""Direct links Without Sizes!A2:A""),IMPORTRANGE(""1NK5L1mviMn0j3D3uo53ASkIZOFRlLnqaCTnwzOG2_Wg"",""Direct links Without Sizes!B2:B""))),XLOOKUP($C721,IMPORTRANGE(""1NK5L1mviMn0j3D3uo53ASkIZOFRlLnqaCTnwzOG2_Wg"",""Direct li"&amp;"nks Without Sizes!D2:D""),IMPORTRANGE(""1NK5L1mviMn0j3D3uo53ASkIZOFRlLnqaCTnwzOG2_Wg"",""Direct links Without Sizes!E2:E""))),"""")"),"")</f>
        <v/>
      </c>
      <c r="I721" s="4"/>
      <c r="J721" s="24" t="str">
        <f t="shared" si="1"/>
        <v/>
      </c>
      <c r="K721" s="25"/>
      <c r="L721" s="24" t="str">
        <f t="shared" si="2"/>
        <v/>
      </c>
      <c r="M721" s="4"/>
      <c r="N721" s="23"/>
      <c r="O721" s="23"/>
      <c r="P721" s="23"/>
      <c r="Q721" s="4" t="str">
        <f t="shared" si="4"/>
        <v/>
      </c>
      <c r="R721" s="20"/>
      <c r="S721" s="20"/>
    </row>
    <row r="722">
      <c r="A722" s="4"/>
      <c r="B722" s="4"/>
      <c r="C722" s="37"/>
      <c r="D722" s="7" t="str">
        <f>IFERROR(__xludf.DUMMYFUNCTION("iferror(iferror(INDEX(IMPORTRANGE(""12vtnxaE_Q1s4tyr10kZQx7ZF_xG0lBFae4jQEUtgsMU"",""All!B2:B""),MATCH($C722,IMPORTRANGE(""12vtnxaE_Q1s4tyr10kZQx7ZF_xG0lBFae4jQEUtgsMU"",""All!A2:A""),0)),INDEX(IMPORTRANGE(""13KC70HngS4DDi8y9E5khtSpQEPG6owaQ9z4E-tR5mnY"","&amp;"""Non-Food!B2:B""),MATCH($C722,IMPORTRANGE(""13KC70HngS4DDi8y9E5khtSpQEPG6owaQ9z4E-tR5mnY"",""Non-Food!A2:A""),0))),"""")"),"")</f>
        <v/>
      </c>
      <c r="E722" s="15"/>
      <c r="F722" s="15"/>
      <c r="G722" s="36"/>
      <c r="H722" s="23" t="str">
        <f>IFERROR(__xludf.DUMMYFUNCTION("iferror(iferror(iferror(index(IMPORTRANGE(""1NK5L1mviMn0j3D3uo53ASkIZOFRlLnqaCTnwzOG2_Wg"",""Direct Link!B2:B""),MATCH($C722,IMPORTRANGE(""1NK5L1mviMn0j3D3uo53ASkIZOFRlLnqaCTnwzOG2_Wg"",""Direct Link!A2:A""),0)),XLOOKUP($C722,IMPORTRANGE(""1NK5L1mviMn0j3D"&amp;"3uo53ASkIZOFRlLnqaCTnwzOG2_Wg"",""Direct links Without Sizes!A2:A""),IMPORTRANGE(""1NK5L1mviMn0j3D3uo53ASkIZOFRlLnqaCTnwzOG2_Wg"",""Direct links Without Sizes!B2:B""))),XLOOKUP($C722,IMPORTRANGE(""1NK5L1mviMn0j3D3uo53ASkIZOFRlLnqaCTnwzOG2_Wg"",""Direct li"&amp;"nks Without Sizes!D2:D""),IMPORTRANGE(""1NK5L1mviMn0j3D3uo53ASkIZOFRlLnqaCTnwzOG2_Wg"",""Direct links Without Sizes!E2:E""))),"""")"),"")</f>
        <v/>
      </c>
      <c r="I722" s="4"/>
      <c r="J722" s="24" t="str">
        <f t="shared" si="1"/>
        <v/>
      </c>
      <c r="K722" s="25"/>
      <c r="L722" s="24" t="str">
        <f t="shared" si="2"/>
        <v/>
      </c>
      <c r="M722" s="4"/>
      <c r="N722" s="23"/>
      <c r="O722" s="23"/>
      <c r="P722" s="23"/>
      <c r="Q722" s="4" t="str">
        <f t="shared" si="4"/>
        <v/>
      </c>
      <c r="R722" s="20"/>
      <c r="S722" s="20"/>
    </row>
    <row r="723">
      <c r="A723" s="4"/>
      <c r="B723" s="4"/>
      <c r="C723" s="37"/>
      <c r="D723" s="7" t="str">
        <f>IFERROR(__xludf.DUMMYFUNCTION("iferror(iferror(INDEX(IMPORTRANGE(""12vtnxaE_Q1s4tyr10kZQx7ZF_xG0lBFae4jQEUtgsMU"",""All!B2:B""),MATCH($C723,IMPORTRANGE(""12vtnxaE_Q1s4tyr10kZQx7ZF_xG0lBFae4jQEUtgsMU"",""All!A2:A""),0)),INDEX(IMPORTRANGE(""13KC70HngS4DDi8y9E5khtSpQEPG6owaQ9z4E-tR5mnY"","&amp;"""Non-Food!B2:B""),MATCH($C723,IMPORTRANGE(""13KC70HngS4DDi8y9E5khtSpQEPG6owaQ9z4E-tR5mnY"",""Non-Food!A2:A""),0))),"""")"),"")</f>
        <v/>
      </c>
      <c r="E723" s="15"/>
      <c r="F723" s="15"/>
      <c r="G723" s="36"/>
      <c r="H723" s="23" t="str">
        <f>IFERROR(__xludf.DUMMYFUNCTION("iferror(iferror(iferror(index(IMPORTRANGE(""1NK5L1mviMn0j3D3uo53ASkIZOFRlLnqaCTnwzOG2_Wg"",""Direct Link!B2:B""),MATCH($C723,IMPORTRANGE(""1NK5L1mviMn0j3D3uo53ASkIZOFRlLnqaCTnwzOG2_Wg"",""Direct Link!A2:A""),0)),XLOOKUP($C723,IMPORTRANGE(""1NK5L1mviMn0j3D"&amp;"3uo53ASkIZOFRlLnqaCTnwzOG2_Wg"",""Direct links Without Sizes!A2:A""),IMPORTRANGE(""1NK5L1mviMn0j3D3uo53ASkIZOFRlLnqaCTnwzOG2_Wg"",""Direct links Without Sizes!B2:B""))),XLOOKUP($C723,IMPORTRANGE(""1NK5L1mviMn0j3D3uo53ASkIZOFRlLnqaCTnwzOG2_Wg"",""Direct li"&amp;"nks Without Sizes!D2:D""),IMPORTRANGE(""1NK5L1mviMn0j3D3uo53ASkIZOFRlLnqaCTnwzOG2_Wg"",""Direct links Without Sizes!E2:E""))),"""")"),"")</f>
        <v/>
      </c>
      <c r="I723" s="4"/>
      <c r="J723" s="24" t="str">
        <f t="shared" si="1"/>
        <v/>
      </c>
      <c r="K723" s="25"/>
      <c r="L723" s="24" t="str">
        <f t="shared" si="2"/>
        <v/>
      </c>
      <c r="M723" s="4"/>
      <c r="N723" s="23"/>
      <c r="O723" s="23"/>
      <c r="P723" s="23"/>
      <c r="Q723" s="4" t="str">
        <f t="shared" si="4"/>
        <v/>
      </c>
      <c r="R723" s="20"/>
      <c r="S723" s="20"/>
    </row>
    <row r="724">
      <c r="A724" s="4"/>
      <c r="B724" s="4"/>
      <c r="C724" s="37"/>
      <c r="D724" s="7" t="str">
        <f>IFERROR(__xludf.DUMMYFUNCTION("iferror(iferror(INDEX(IMPORTRANGE(""12vtnxaE_Q1s4tyr10kZQx7ZF_xG0lBFae4jQEUtgsMU"",""All!B2:B""),MATCH($C724,IMPORTRANGE(""12vtnxaE_Q1s4tyr10kZQx7ZF_xG0lBFae4jQEUtgsMU"",""All!A2:A""),0)),INDEX(IMPORTRANGE(""13KC70HngS4DDi8y9E5khtSpQEPG6owaQ9z4E-tR5mnY"","&amp;"""Non-Food!B2:B""),MATCH($C724,IMPORTRANGE(""13KC70HngS4DDi8y9E5khtSpQEPG6owaQ9z4E-tR5mnY"",""Non-Food!A2:A""),0))),"""")"),"")</f>
        <v/>
      </c>
      <c r="E724" s="15"/>
      <c r="F724" s="15"/>
      <c r="G724" s="36"/>
      <c r="H724" s="23" t="str">
        <f>IFERROR(__xludf.DUMMYFUNCTION("iferror(iferror(iferror(index(IMPORTRANGE(""1NK5L1mviMn0j3D3uo53ASkIZOFRlLnqaCTnwzOG2_Wg"",""Direct Link!B2:B""),MATCH($C724,IMPORTRANGE(""1NK5L1mviMn0j3D3uo53ASkIZOFRlLnqaCTnwzOG2_Wg"",""Direct Link!A2:A""),0)),XLOOKUP($C724,IMPORTRANGE(""1NK5L1mviMn0j3D"&amp;"3uo53ASkIZOFRlLnqaCTnwzOG2_Wg"",""Direct links Without Sizes!A2:A""),IMPORTRANGE(""1NK5L1mviMn0j3D3uo53ASkIZOFRlLnqaCTnwzOG2_Wg"",""Direct links Without Sizes!B2:B""))),XLOOKUP($C724,IMPORTRANGE(""1NK5L1mviMn0j3D3uo53ASkIZOFRlLnqaCTnwzOG2_Wg"",""Direct li"&amp;"nks Without Sizes!D2:D""),IMPORTRANGE(""1NK5L1mviMn0j3D3uo53ASkIZOFRlLnqaCTnwzOG2_Wg"",""Direct links Without Sizes!E2:E""))),"""")"),"")</f>
        <v/>
      </c>
      <c r="I724" s="4"/>
      <c r="J724" s="24" t="str">
        <f t="shared" si="1"/>
        <v/>
      </c>
      <c r="K724" s="25"/>
      <c r="L724" s="24" t="str">
        <f t="shared" si="2"/>
        <v/>
      </c>
      <c r="M724" s="4"/>
      <c r="N724" s="23"/>
      <c r="O724" s="23"/>
      <c r="P724" s="23"/>
      <c r="Q724" s="4" t="str">
        <f t="shared" si="4"/>
        <v/>
      </c>
      <c r="R724" s="20"/>
      <c r="S724" s="20"/>
    </row>
    <row r="725">
      <c r="A725" s="4"/>
      <c r="B725" s="4"/>
      <c r="C725" s="37"/>
      <c r="D725" s="7" t="str">
        <f>IFERROR(__xludf.DUMMYFUNCTION("iferror(iferror(INDEX(IMPORTRANGE(""12vtnxaE_Q1s4tyr10kZQx7ZF_xG0lBFae4jQEUtgsMU"",""All!B2:B""),MATCH($C725,IMPORTRANGE(""12vtnxaE_Q1s4tyr10kZQx7ZF_xG0lBFae4jQEUtgsMU"",""All!A2:A""),0)),INDEX(IMPORTRANGE(""13KC70HngS4DDi8y9E5khtSpQEPG6owaQ9z4E-tR5mnY"","&amp;"""Non-Food!B2:B""),MATCH($C725,IMPORTRANGE(""13KC70HngS4DDi8y9E5khtSpQEPG6owaQ9z4E-tR5mnY"",""Non-Food!A2:A""),0))),"""")"),"")</f>
        <v/>
      </c>
      <c r="E725" s="15"/>
      <c r="F725" s="15"/>
      <c r="G725" s="36"/>
      <c r="H725" s="23" t="str">
        <f>IFERROR(__xludf.DUMMYFUNCTION("iferror(iferror(iferror(index(IMPORTRANGE(""1NK5L1mviMn0j3D3uo53ASkIZOFRlLnqaCTnwzOG2_Wg"",""Direct Link!B2:B""),MATCH($C725,IMPORTRANGE(""1NK5L1mviMn0j3D3uo53ASkIZOFRlLnqaCTnwzOG2_Wg"",""Direct Link!A2:A""),0)),XLOOKUP($C725,IMPORTRANGE(""1NK5L1mviMn0j3D"&amp;"3uo53ASkIZOFRlLnqaCTnwzOG2_Wg"",""Direct links Without Sizes!A2:A""),IMPORTRANGE(""1NK5L1mviMn0j3D3uo53ASkIZOFRlLnqaCTnwzOG2_Wg"",""Direct links Without Sizes!B2:B""))),XLOOKUP($C725,IMPORTRANGE(""1NK5L1mviMn0j3D3uo53ASkIZOFRlLnqaCTnwzOG2_Wg"",""Direct li"&amp;"nks Without Sizes!D2:D""),IMPORTRANGE(""1NK5L1mviMn0j3D3uo53ASkIZOFRlLnqaCTnwzOG2_Wg"",""Direct links Without Sizes!E2:E""))),"""")"),"")</f>
        <v/>
      </c>
      <c r="I725" s="4"/>
      <c r="J725" s="24" t="str">
        <f t="shared" si="1"/>
        <v/>
      </c>
      <c r="K725" s="25"/>
      <c r="L725" s="24" t="str">
        <f t="shared" si="2"/>
        <v/>
      </c>
      <c r="M725" s="4"/>
      <c r="N725" s="23"/>
      <c r="O725" s="23"/>
      <c r="P725" s="23"/>
      <c r="Q725" s="4" t="str">
        <f t="shared" si="4"/>
        <v/>
      </c>
      <c r="R725" s="20"/>
      <c r="S725" s="20"/>
    </row>
    <row r="726">
      <c r="A726" s="4"/>
      <c r="B726" s="4"/>
      <c r="C726" s="37"/>
      <c r="D726" s="7" t="str">
        <f>IFERROR(__xludf.DUMMYFUNCTION("iferror(iferror(INDEX(IMPORTRANGE(""12vtnxaE_Q1s4tyr10kZQx7ZF_xG0lBFae4jQEUtgsMU"",""All!B2:B""),MATCH($C726,IMPORTRANGE(""12vtnxaE_Q1s4tyr10kZQx7ZF_xG0lBFae4jQEUtgsMU"",""All!A2:A""),0)),INDEX(IMPORTRANGE(""13KC70HngS4DDi8y9E5khtSpQEPG6owaQ9z4E-tR5mnY"","&amp;"""Non-Food!B2:B""),MATCH($C726,IMPORTRANGE(""13KC70HngS4DDi8y9E5khtSpQEPG6owaQ9z4E-tR5mnY"",""Non-Food!A2:A""),0))),"""")"),"")</f>
        <v/>
      </c>
      <c r="E726" s="15"/>
      <c r="F726" s="15"/>
      <c r="G726" s="36"/>
      <c r="H726" s="23" t="str">
        <f>IFERROR(__xludf.DUMMYFUNCTION("iferror(iferror(iferror(index(IMPORTRANGE(""1NK5L1mviMn0j3D3uo53ASkIZOFRlLnqaCTnwzOG2_Wg"",""Direct Link!B2:B""),MATCH($C726,IMPORTRANGE(""1NK5L1mviMn0j3D3uo53ASkIZOFRlLnqaCTnwzOG2_Wg"",""Direct Link!A2:A""),0)),XLOOKUP($C726,IMPORTRANGE(""1NK5L1mviMn0j3D"&amp;"3uo53ASkIZOFRlLnqaCTnwzOG2_Wg"",""Direct links Without Sizes!A2:A""),IMPORTRANGE(""1NK5L1mviMn0j3D3uo53ASkIZOFRlLnqaCTnwzOG2_Wg"",""Direct links Without Sizes!B2:B""))),XLOOKUP($C726,IMPORTRANGE(""1NK5L1mviMn0j3D3uo53ASkIZOFRlLnqaCTnwzOG2_Wg"",""Direct li"&amp;"nks Without Sizes!D2:D""),IMPORTRANGE(""1NK5L1mviMn0j3D3uo53ASkIZOFRlLnqaCTnwzOG2_Wg"",""Direct links Without Sizes!E2:E""))),"""")"),"")</f>
        <v/>
      </c>
      <c r="I726" s="4"/>
      <c r="J726" s="24" t="str">
        <f t="shared" si="1"/>
        <v/>
      </c>
      <c r="K726" s="25"/>
      <c r="L726" s="24" t="str">
        <f t="shared" si="2"/>
        <v/>
      </c>
      <c r="M726" s="4"/>
      <c r="N726" s="23"/>
      <c r="O726" s="23"/>
      <c r="P726" s="23"/>
      <c r="Q726" s="4" t="str">
        <f t="shared" si="4"/>
        <v/>
      </c>
      <c r="R726" s="20"/>
      <c r="S726" s="20"/>
    </row>
    <row r="727">
      <c r="A727" s="4"/>
      <c r="B727" s="4"/>
      <c r="C727" s="37"/>
      <c r="D727" s="7" t="str">
        <f>IFERROR(__xludf.DUMMYFUNCTION("iferror(iferror(INDEX(IMPORTRANGE(""12vtnxaE_Q1s4tyr10kZQx7ZF_xG0lBFae4jQEUtgsMU"",""All!B2:B""),MATCH($C727,IMPORTRANGE(""12vtnxaE_Q1s4tyr10kZQx7ZF_xG0lBFae4jQEUtgsMU"",""All!A2:A""),0)),INDEX(IMPORTRANGE(""13KC70HngS4DDi8y9E5khtSpQEPG6owaQ9z4E-tR5mnY"","&amp;"""Non-Food!B2:B""),MATCH($C727,IMPORTRANGE(""13KC70HngS4DDi8y9E5khtSpQEPG6owaQ9z4E-tR5mnY"",""Non-Food!A2:A""),0))),"""")"),"")</f>
        <v/>
      </c>
      <c r="E727" s="15"/>
      <c r="F727" s="15"/>
      <c r="G727" s="36"/>
      <c r="H727" s="23" t="str">
        <f>IFERROR(__xludf.DUMMYFUNCTION("iferror(iferror(iferror(index(IMPORTRANGE(""1NK5L1mviMn0j3D3uo53ASkIZOFRlLnqaCTnwzOG2_Wg"",""Direct Link!B2:B""),MATCH($C727,IMPORTRANGE(""1NK5L1mviMn0j3D3uo53ASkIZOFRlLnqaCTnwzOG2_Wg"",""Direct Link!A2:A""),0)),XLOOKUP($C727,IMPORTRANGE(""1NK5L1mviMn0j3D"&amp;"3uo53ASkIZOFRlLnqaCTnwzOG2_Wg"",""Direct links Without Sizes!A2:A""),IMPORTRANGE(""1NK5L1mviMn0j3D3uo53ASkIZOFRlLnqaCTnwzOG2_Wg"",""Direct links Without Sizes!B2:B""))),XLOOKUP($C727,IMPORTRANGE(""1NK5L1mviMn0j3D3uo53ASkIZOFRlLnqaCTnwzOG2_Wg"",""Direct li"&amp;"nks Without Sizes!D2:D""),IMPORTRANGE(""1NK5L1mviMn0j3D3uo53ASkIZOFRlLnqaCTnwzOG2_Wg"",""Direct links Without Sizes!E2:E""))),"""")"),"")</f>
        <v/>
      </c>
      <c r="I727" s="4"/>
      <c r="J727" s="24" t="str">
        <f t="shared" si="1"/>
        <v/>
      </c>
      <c r="K727" s="25"/>
      <c r="L727" s="24" t="str">
        <f t="shared" si="2"/>
        <v/>
      </c>
      <c r="M727" s="4"/>
      <c r="N727" s="23"/>
      <c r="O727" s="23"/>
      <c r="P727" s="23"/>
      <c r="Q727" s="4" t="str">
        <f t="shared" si="4"/>
        <v/>
      </c>
      <c r="R727" s="20"/>
      <c r="S727" s="20"/>
    </row>
    <row r="728">
      <c r="A728" s="4"/>
      <c r="B728" s="4"/>
      <c r="C728" s="37"/>
      <c r="D728" s="7" t="str">
        <f>IFERROR(__xludf.DUMMYFUNCTION("iferror(iferror(INDEX(IMPORTRANGE(""12vtnxaE_Q1s4tyr10kZQx7ZF_xG0lBFae4jQEUtgsMU"",""All!B2:B""),MATCH($C728,IMPORTRANGE(""12vtnxaE_Q1s4tyr10kZQx7ZF_xG0lBFae4jQEUtgsMU"",""All!A2:A""),0)),INDEX(IMPORTRANGE(""13KC70HngS4DDi8y9E5khtSpQEPG6owaQ9z4E-tR5mnY"","&amp;"""Non-Food!B2:B""),MATCH($C728,IMPORTRANGE(""13KC70HngS4DDi8y9E5khtSpQEPG6owaQ9z4E-tR5mnY"",""Non-Food!A2:A""),0))),"""")"),"")</f>
        <v/>
      </c>
      <c r="E728" s="15"/>
      <c r="F728" s="15"/>
      <c r="G728" s="36"/>
      <c r="H728" s="23" t="str">
        <f>IFERROR(__xludf.DUMMYFUNCTION("iferror(iferror(iferror(index(IMPORTRANGE(""1NK5L1mviMn0j3D3uo53ASkIZOFRlLnqaCTnwzOG2_Wg"",""Direct Link!B2:B""),MATCH($C728,IMPORTRANGE(""1NK5L1mviMn0j3D3uo53ASkIZOFRlLnqaCTnwzOG2_Wg"",""Direct Link!A2:A""),0)),XLOOKUP($C728,IMPORTRANGE(""1NK5L1mviMn0j3D"&amp;"3uo53ASkIZOFRlLnqaCTnwzOG2_Wg"",""Direct links Without Sizes!A2:A""),IMPORTRANGE(""1NK5L1mviMn0j3D3uo53ASkIZOFRlLnqaCTnwzOG2_Wg"",""Direct links Without Sizes!B2:B""))),XLOOKUP($C728,IMPORTRANGE(""1NK5L1mviMn0j3D3uo53ASkIZOFRlLnqaCTnwzOG2_Wg"",""Direct li"&amp;"nks Without Sizes!D2:D""),IMPORTRANGE(""1NK5L1mviMn0j3D3uo53ASkIZOFRlLnqaCTnwzOG2_Wg"",""Direct links Without Sizes!E2:E""))),"""")"),"")</f>
        <v/>
      </c>
      <c r="I728" s="4"/>
      <c r="J728" s="24" t="str">
        <f t="shared" si="1"/>
        <v/>
      </c>
      <c r="K728" s="25"/>
      <c r="L728" s="24" t="str">
        <f t="shared" si="2"/>
        <v/>
      </c>
      <c r="M728" s="4"/>
      <c r="N728" s="23"/>
      <c r="O728" s="23"/>
      <c r="P728" s="23"/>
      <c r="Q728" s="4" t="str">
        <f t="shared" si="4"/>
        <v/>
      </c>
      <c r="R728" s="20"/>
      <c r="S728" s="20"/>
    </row>
    <row r="729">
      <c r="A729" s="4"/>
      <c r="B729" s="4"/>
      <c r="C729" s="37"/>
      <c r="D729" s="7" t="str">
        <f>IFERROR(__xludf.DUMMYFUNCTION("iferror(iferror(INDEX(IMPORTRANGE(""12vtnxaE_Q1s4tyr10kZQx7ZF_xG0lBFae4jQEUtgsMU"",""All!B2:B""),MATCH($C729,IMPORTRANGE(""12vtnxaE_Q1s4tyr10kZQx7ZF_xG0lBFae4jQEUtgsMU"",""All!A2:A""),0)),INDEX(IMPORTRANGE(""13KC70HngS4DDi8y9E5khtSpQEPG6owaQ9z4E-tR5mnY"","&amp;"""Non-Food!B2:B""),MATCH($C729,IMPORTRANGE(""13KC70HngS4DDi8y9E5khtSpQEPG6owaQ9z4E-tR5mnY"",""Non-Food!A2:A""),0))),"""")"),"")</f>
        <v/>
      </c>
      <c r="E729" s="15"/>
      <c r="F729" s="15"/>
      <c r="G729" s="36"/>
      <c r="H729" s="23" t="str">
        <f>IFERROR(__xludf.DUMMYFUNCTION("iferror(iferror(iferror(index(IMPORTRANGE(""1NK5L1mviMn0j3D3uo53ASkIZOFRlLnqaCTnwzOG2_Wg"",""Direct Link!B2:B""),MATCH($C729,IMPORTRANGE(""1NK5L1mviMn0j3D3uo53ASkIZOFRlLnqaCTnwzOG2_Wg"",""Direct Link!A2:A""),0)),XLOOKUP($C729,IMPORTRANGE(""1NK5L1mviMn0j3D"&amp;"3uo53ASkIZOFRlLnqaCTnwzOG2_Wg"",""Direct links Without Sizes!A2:A""),IMPORTRANGE(""1NK5L1mviMn0j3D3uo53ASkIZOFRlLnqaCTnwzOG2_Wg"",""Direct links Without Sizes!B2:B""))),XLOOKUP($C729,IMPORTRANGE(""1NK5L1mviMn0j3D3uo53ASkIZOFRlLnqaCTnwzOG2_Wg"",""Direct li"&amp;"nks Without Sizes!D2:D""),IMPORTRANGE(""1NK5L1mviMn0j3D3uo53ASkIZOFRlLnqaCTnwzOG2_Wg"",""Direct links Without Sizes!E2:E""))),"""")"),"")</f>
        <v/>
      </c>
      <c r="I729" s="4"/>
      <c r="J729" s="24" t="str">
        <f t="shared" si="1"/>
        <v/>
      </c>
      <c r="K729" s="25"/>
      <c r="L729" s="24" t="str">
        <f t="shared" si="2"/>
        <v/>
      </c>
      <c r="M729" s="4"/>
      <c r="N729" s="23"/>
      <c r="O729" s="23"/>
      <c r="P729" s="23"/>
      <c r="Q729" s="4" t="str">
        <f t="shared" si="4"/>
        <v/>
      </c>
      <c r="R729" s="20"/>
      <c r="S729" s="20"/>
    </row>
    <row r="730">
      <c r="A730" s="4"/>
      <c r="B730" s="4"/>
      <c r="C730" s="37"/>
      <c r="D730" s="7" t="str">
        <f>IFERROR(__xludf.DUMMYFUNCTION("iferror(iferror(INDEX(IMPORTRANGE(""12vtnxaE_Q1s4tyr10kZQx7ZF_xG0lBFae4jQEUtgsMU"",""All!B2:B""),MATCH($C730,IMPORTRANGE(""12vtnxaE_Q1s4tyr10kZQx7ZF_xG0lBFae4jQEUtgsMU"",""All!A2:A""),0)),INDEX(IMPORTRANGE(""13KC70HngS4DDi8y9E5khtSpQEPG6owaQ9z4E-tR5mnY"","&amp;"""Non-Food!B2:B""),MATCH($C730,IMPORTRANGE(""13KC70HngS4DDi8y9E5khtSpQEPG6owaQ9z4E-tR5mnY"",""Non-Food!A2:A""),0))),"""")"),"")</f>
        <v/>
      </c>
      <c r="E730" s="15"/>
      <c r="F730" s="15"/>
      <c r="G730" s="36"/>
      <c r="H730" s="23" t="str">
        <f>IFERROR(__xludf.DUMMYFUNCTION("iferror(iferror(iferror(index(IMPORTRANGE(""1NK5L1mviMn0j3D3uo53ASkIZOFRlLnqaCTnwzOG2_Wg"",""Direct Link!B2:B""),MATCH($C730,IMPORTRANGE(""1NK5L1mviMn0j3D3uo53ASkIZOFRlLnqaCTnwzOG2_Wg"",""Direct Link!A2:A""),0)),XLOOKUP($C730,IMPORTRANGE(""1NK5L1mviMn0j3D"&amp;"3uo53ASkIZOFRlLnqaCTnwzOG2_Wg"",""Direct links Without Sizes!A2:A""),IMPORTRANGE(""1NK5L1mviMn0j3D3uo53ASkIZOFRlLnqaCTnwzOG2_Wg"",""Direct links Without Sizes!B2:B""))),XLOOKUP($C730,IMPORTRANGE(""1NK5L1mviMn0j3D3uo53ASkIZOFRlLnqaCTnwzOG2_Wg"",""Direct li"&amp;"nks Without Sizes!D2:D""),IMPORTRANGE(""1NK5L1mviMn0j3D3uo53ASkIZOFRlLnqaCTnwzOG2_Wg"",""Direct links Without Sizes!E2:E""))),"""")"),"")</f>
        <v/>
      </c>
      <c r="I730" s="4"/>
      <c r="J730" s="24" t="str">
        <f t="shared" si="1"/>
        <v/>
      </c>
      <c r="K730" s="25"/>
      <c r="L730" s="24" t="str">
        <f t="shared" si="2"/>
        <v/>
      </c>
      <c r="M730" s="4"/>
      <c r="N730" s="23"/>
      <c r="O730" s="23"/>
      <c r="P730" s="23"/>
      <c r="Q730" s="4" t="str">
        <f t="shared" si="4"/>
        <v/>
      </c>
      <c r="R730" s="20"/>
      <c r="S730" s="20"/>
    </row>
    <row r="731">
      <c r="A731" s="4"/>
      <c r="B731" s="4"/>
      <c r="C731" s="37"/>
      <c r="D731" s="7" t="str">
        <f>IFERROR(__xludf.DUMMYFUNCTION("iferror(iferror(INDEX(IMPORTRANGE(""12vtnxaE_Q1s4tyr10kZQx7ZF_xG0lBFae4jQEUtgsMU"",""All!B2:B""),MATCH($C731,IMPORTRANGE(""12vtnxaE_Q1s4tyr10kZQx7ZF_xG0lBFae4jQEUtgsMU"",""All!A2:A""),0)),INDEX(IMPORTRANGE(""13KC70HngS4DDi8y9E5khtSpQEPG6owaQ9z4E-tR5mnY"","&amp;"""Non-Food!B2:B""),MATCH($C731,IMPORTRANGE(""13KC70HngS4DDi8y9E5khtSpQEPG6owaQ9z4E-tR5mnY"",""Non-Food!A2:A""),0))),"""")"),"")</f>
        <v/>
      </c>
      <c r="E731" s="15"/>
      <c r="F731" s="15"/>
      <c r="G731" s="36"/>
      <c r="H731" s="23" t="str">
        <f>IFERROR(__xludf.DUMMYFUNCTION("iferror(iferror(iferror(index(IMPORTRANGE(""1NK5L1mviMn0j3D3uo53ASkIZOFRlLnqaCTnwzOG2_Wg"",""Direct Link!B2:B""),MATCH($C731,IMPORTRANGE(""1NK5L1mviMn0j3D3uo53ASkIZOFRlLnqaCTnwzOG2_Wg"",""Direct Link!A2:A""),0)),XLOOKUP($C731,IMPORTRANGE(""1NK5L1mviMn0j3D"&amp;"3uo53ASkIZOFRlLnqaCTnwzOG2_Wg"",""Direct links Without Sizes!A2:A""),IMPORTRANGE(""1NK5L1mviMn0j3D3uo53ASkIZOFRlLnqaCTnwzOG2_Wg"",""Direct links Without Sizes!B2:B""))),XLOOKUP($C731,IMPORTRANGE(""1NK5L1mviMn0j3D3uo53ASkIZOFRlLnqaCTnwzOG2_Wg"",""Direct li"&amp;"nks Without Sizes!D2:D""),IMPORTRANGE(""1NK5L1mviMn0j3D3uo53ASkIZOFRlLnqaCTnwzOG2_Wg"",""Direct links Without Sizes!E2:E""))),"""")"),"")</f>
        <v/>
      </c>
      <c r="I731" s="4"/>
      <c r="J731" s="24" t="str">
        <f t="shared" si="1"/>
        <v/>
      </c>
      <c r="K731" s="25"/>
      <c r="L731" s="24" t="str">
        <f t="shared" si="2"/>
        <v/>
      </c>
      <c r="M731" s="4"/>
      <c r="N731" s="23"/>
      <c r="O731" s="23"/>
      <c r="P731" s="23"/>
      <c r="Q731" s="4" t="str">
        <f t="shared" si="4"/>
        <v/>
      </c>
      <c r="R731" s="20"/>
      <c r="S731" s="20"/>
    </row>
    <row r="732">
      <c r="A732" s="4"/>
      <c r="B732" s="4"/>
      <c r="C732" s="37"/>
      <c r="D732" s="7" t="str">
        <f>IFERROR(__xludf.DUMMYFUNCTION("iferror(iferror(INDEX(IMPORTRANGE(""12vtnxaE_Q1s4tyr10kZQx7ZF_xG0lBFae4jQEUtgsMU"",""All!B2:B""),MATCH($C732,IMPORTRANGE(""12vtnxaE_Q1s4tyr10kZQx7ZF_xG0lBFae4jQEUtgsMU"",""All!A2:A""),0)),INDEX(IMPORTRANGE(""13KC70HngS4DDi8y9E5khtSpQEPG6owaQ9z4E-tR5mnY"","&amp;"""Non-Food!B2:B""),MATCH($C732,IMPORTRANGE(""13KC70HngS4DDi8y9E5khtSpQEPG6owaQ9z4E-tR5mnY"",""Non-Food!A2:A""),0))),"""")"),"")</f>
        <v/>
      </c>
      <c r="E732" s="15"/>
      <c r="F732" s="15"/>
      <c r="G732" s="36"/>
      <c r="H732" s="23" t="str">
        <f>IFERROR(__xludf.DUMMYFUNCTION("iferror(iferror(iferror(index(IMPORTRANGE(""1NK5L1mviMn0j3D3uo53ASkIZOFRlLnqaCTnwzOG2_Wg"",""Direct Link!B2:B""),MATCH($C732,IMPORTRANGE(""1NK5L1mviMn0j3D3uo53ASkIZOFRlLnqaCTnwzOG2_Wg"",""Direct Link!A2:A""),0)),XLOOKUP($C732,IMPORTRANGE(""1NK5L1mviMn0j3D"&amp;"3uo53ASkIZOFRlLnqaCTnwzOG2_Wg"",""Direct links Without Sizes!A2:A""),IMPORTRANGE(""1NK5L1mviMn0j3D3uo53ASkIZOFRlLnqaCTnwzOG2_Wg"",""Direct links Without Sizes!B2:B""))),XLOOKUP($C732,IMPORTRANGE(""1NK5L1mviMn0j3D3uo53ASkIZOFRlLnqaCTnwzOG2_Wg"",""Direct li"&amp;"nks Without Sizes!D2:D""),IMPORTRANGE(""1NK5L1mviMn0j3D3uo53ASkIZOFRlLnqaCTnwzOG2_Wg"",""Direct links Without Sizes!E2:E""))),"""")"),"")</f>
        <v/>
      </c>
      <c r="I732" s="4"/>
      <c r="J732" s="24" t="str">
        <f t="shared" si="1"/>
        <v/>
      </c>
      <c r="K732" s="25"/>
      <c r="L732" s="24" t="str">
        <f t="shared" si="2"/>
        <v/>
      </c>
      <c r="M732" s="4"/>
      <c r="N732" s="23"/>
      <c r="O732" s="23"/>
      <c r="P732" s="23"/>
      <c r="Q732" s="4" t="str">
        <f t="shared" si="4"/>
        <v/>
      </c>
      <c r="R732" s="20"/>
      <c r="S732" s="20"/>
    </row>
    <row r="733">
      <c r="A733" s="4"/>
      <c r="B733" s="4"/>
      <c r="C733" s="37"/>
      <c r="D733" s="7" t="str">
        <f>IFERROR(__xludf.DUMMYFUNCTION("iferror(iferror(INDEX(IMPORTRANGE(""12vtnxaE_Q1s4tyr10kZQx7ZF_xG0lBFae4jQEUtgsMU"",""All!B2:B""),MATCH($C733,IMPORTRANGE(""12vtnxaE_Q1s4tyr10kZQx7ZF_xG0lBFae4jQEUtgsMU"",""All!A2:A""),0)),INDEX(IMPORTRANGE(""13KC70HngS4DDi8y9E5khtSpQEPG6owaQ9z4E-tR5mnY"","&amp;"""Non-Food!B2:B""),MATCH($C733,IMPORTRANGE(""13KC70HngS4DDi8y9E5khtSpQEPG6owaQ9z4E-tR5mnY"",""Non-Food!A2:A""),0))),"""")"),"")</f>
        <v/>
      </c>
      <c r="E733" s="15"/>
      <c r="F733" s="15"/>
      <c r="G733" s="36"/>
      <c r="H733" s="23" t="str">
        <f>IFERROR(__xludf.DUMMYFUNCTION("iferror(iferror(iferror(index(IMPORTRANGE(""1NK5L1mviMn0j3D3uo53ASkIZOFRlLnqaCTnwzOG2_Wg"",""Direct Link!B2:B""),MATCH($C733,IMPORTRANGE(""1NK5L1mviMn0j3D3uo53ASkIZOFRlLnqaCTnwzOG2_Wg"",""Direct Link!A2:A""),0)),XLOOKUP($C733,IMPORTRANGE(""1NK5L1mviMn0j3D"&amp;"3uo53ASkIZOFRlLnqaCTnwzOG2_Wg"",""Direct links Without Sizes!A2:A""),IMPORTRANGE(""1NK5L1mviMn0j3D3uo53ASkIZOFRlLnqaCTnwzOG2_Wg"",""Direct links Without Sizes!B2:B""))),XLOOKUP($C733,IMPORTRANGE(""1NK5L1mviMn0j3D3uo53ASkIZOFRlLnqaCTnwzOG2_Wg"",""Direct li"&amp;"nks Without Sizes!D2:D""),IMPORTRANGE(""1NK5L1mviMn0j3D3uo53ASkIZOFRlLnqaCTnwzOG2_Wg"",""Direct links Without Sizes!E2:E""))),"""")"),"")</f>
        <v/>
      </c>
      <c r="I733" s="4"/>
      <c r="J733" s="24" t="str">
        <f t="shared" si="1"/>
        <v/>
      </c>
      <c r="K733" s="25"/>
      <c r="L733" s="24" t="str">
        <f t="shared" si="2"/>
        <v/>
      </c>
      <c r="M733" s="4"/>
      <c r="N733" s="23"/>
      <c r="O733" s="23"/>
      <c r="P733" s="23"/>
      <c r="Q733" s="4" t="str">
        <f t="shared" si="4"/>
        <v/>
      </c>
      <c r="R733" s="20"/>
      <c r="S733" s="20"/>
    </row>
    <row r="734">
      <c r="A734" s="4"/>
      <c r="B734" s="4"/>
      <c r="C734" s="37"/>
      <c r="D734" s="7" t="str">
        <f>IFERROR(__xludf.DUMMYFUNCTION("iferror(iferror(INDEX(IMPORTRANGE(""12vtnxaE_Q1s4tyr10kZQx7ZF_xG0lBFae4jQEUtgsMU"",""All!B2:B""),MATCH($C734,IMPORTRANGE(""12vtnxaE_Q1s4tyr10kZQx7ZF_xG0lBFae4jQEUtgsMU"",""All!A2:A""),0)),INDEX(IMPORTRANGE(""13KC70HngS4DDi8y9E5khtSpQEPG6owaQ9z4E-tR5mnY"","&amp;"""Non-Food!B2:B""),MATCH($C734,IMPORTRANGE(""13KC70HngS4DDi8y9E5khtSpQEPG6owaQ9z4E-tR5mnY"",""Non-Food!A2:A""),0))),"""")"),"")</f>
        <v/>
      </c>
      <c r="E734" s="15"/>
      <c r="F734" s="15"/>
      <c r="G734" s="36"/>
      <c r="H734" s="23" t="str">
        <f>IFERROR(__xludf.DUMMYFUNCTION("iferror(iferror(iferror(index(IMPORTRANGE(""1NK5L1mviMn0j3D3uo53ASkIZOFRlLnqaCTnwzOG2_Wg"",""Direct Link!B2:B""),MATCH($C734,IMPORTRANGE(""1NK5L1mviMn0j3D3uo53ASkIZOFRlLnqaCTnwzOG2_Wg"",""Direct Link!A2:A""),0)),XLOOKUP($C734,IMPORTRANGE(""1NK5L1mviMn0j3D"&amp;"3uo53ASkIZOFRlLnqaCTnwzOG2_Wg"",""Direct links Without Sizes!A2:A""),IMPORTRANGE(""1NK5L1mviMn0j3D3uo53ASkIZOFRlLnqaCTnwzOG2_Wg"",""Direct links Without Sizes!B2:B""))),XLOOKUP($C734,IMPORTRANGE(""1NK5L1mviMn0j3D3uo53ASkIZOFRlLnqaCTnwzOG2_Wg"",""Direct li"&amp;"nks Without Sizes!D2:D""),IMPORTRANGE(""1NK5L1mviMn0j3D3uo53ASkIZOFRlLnqaCTnwzOG2_Wg"",""Direct links Without Sizes!E2:E""))),"""")"),"")</f>
        <v/>
      </c>
      <c r="I734" s="4"/>
      <c r="J734" s="24" t="str">
        <f t="shared" si="1"/>
        <v/>
      </c>
      <c r="K734" s="25"/>
      <c r="L734" s="24" t="str">
        <f t="shared" si="2"/>
        <v/>
      </c>
      <c r="M734" s="4"/>
      <c r="N734" s="23"/>
      <c r="O734" s="23"/>
      <c r="P734" s="23"/>
      <c r="Q734" s="4" t="str">
        <f t="shared" si="4"/>
        <v/>
      </c>
      <c r="R734" s="20"/>
      <c r="S734" s="20"/>
    </row>
    <row r="735">
      <c r="A735" s="4"/>
      <c r="B735" s="4"/>
      <c r="C735" s="37"/>
      <c r="D735" s="7" t="str">
        <f>IFERROR(__xludf.DUMMYFUNCTION("iferror(iferror(INDEX(IMPORTRANGE(""12vtnxaE_Q1s4tyr10kZQx7ZF_xG0lBFae4jQEUtgsMU"",""All!B2:B""),MATCH($C735,IMPORTRANGE(""12vtnxaE_Q1s4tyr10kZQx7ZF_xG0lBFae4jQEUtgsMU"",""All!A2:A""),0)),INDEX(IMPORTRANGE(""13KC70HngS4DDi8y9E5khtSpQEPG6owaQ9z4E-tR5mnY"","&amp;"""Non-Food!B2:B""),MATCH($C735,IMPORTRANGE(""13KC70HngS4DDi8y9E5khtSpQEPG6owaQ9z4E-tR5mnY"",""Non-Food!A2:A""),0))),"""")"),"")</f>
        <v/>
      </c>
      <c r="E735" s="15"/>
      <c r="F735" s="15"/>
      <c r="G735" s="36"/>
      <c r="H735" s="23" t="str">
        <f>IFERROR(__xludf.DUMMYFUNCTION("iferror(iferror(iferror(index(IMPORTRANGE(""1NK5L1mviMn0j3D3uo53ASkIZOFRlLnqaCTnwzOG2_Wg"",""Direct Link!B2:B""),MATCH($C735,IMPORTRANGE(""1NK5L1mviMn0j3D3uo53ASkIZOFRlLnqaCTnwzOG2_Wg"",""Direct Link!A2:A""),0)),XLOOKUP($C735,IMPORTRANGE(""1NK5L1mviMn0j3D"&amp;"3uo53ASkIZOFRlLnqaCTnwzOG2_Wg"",""Direct links Without Sizes!A2:A""),IMPORTRANGE(""1NK5L1mviMn0j3D3uo53ASkIZOFRlLnqaCTnwzOG2_Wg"",""Direct links Without Sizes!B2:B""))),XLOOKUP($C735,IMPORTRANGE(""1NK5L1mviMn0j3D3uo53ASkIZOFRlLnqaCTnwzOG2_Wg"",""Direct li"&amp;"nks Without Sizes!D2:D""),IMPORTRANGE(""1NK5L1mviMn0j3D3uo53ASkIZOFRlLnqaCTnwzOG2_Wg"",""Direct links Without Sizes!E2:E""))),"""")"),"")</f>
        <v/>
      </c>
      <c r="I735" s="4"/>
      <c r="J735" s="24" t="str">
        <f t="shared" si="1"/>
        <v/>
      </c>
      <c r="K735" s="25"/>
      <c r="L735" s="24" t="str">
        <f t="shared" si="2"/>
        <v/>
      </c>
      <c r="M735" s="4"/>
      <c r="N735" s="23"/>
      <c r="O735" s="23"/>
      <c r="P735" s="23"/>
      <c r="Q735" s="4" t="str">
        <f t="shared" si="4"/>
        <v/>
      </c>
      <c r="R735" s="20"/>
      <c r="S735" s="20"/>
    </row>
    <row r="736">
      <c r="A736" s="4"/>
      <c r="B736" s="4"/>
      <c r="C736" s="37"/>
      <c r="D736" s="7" t="str">
        <f>IFERROR(__xludf.DUMMYFUNCTION("iferror(iferror(INDEX(IMPORTRANGE(""12vtnxaE_Q1s4tyr10kZQx7ZF_xG0lBFae4jQEUtgsMU"",""All!B2:B""),MATCH($C736,IMPORTRANGE(""12vtnxaE_Q1s4tyr10kZQx7ZF_xG0lBFae4jQEUtgsMU"",""All!A2:A""),0)),INDEX(IMPORTRANGE(""13KC70HngS4DDi8y9E5khtSpQEPG6owaQ9z4E-tR5mnY"","&amp;"""Non-Food!B2:B""),MATCH($C736,IMPORTRANGE(""13KC70HngS4DDi8y9E5khtSpQEPG6owaQ9z4E-tR5mnY"",""Non-Food!A2:A""),0))),"""")"),"")</f>
        <v/>
      </c>
      <c r="E736" s="15"/>
      <c r="F736" s="15"/>
      <c r="G736" s="36"/>
      <c r="H736" s="23" t="str">
        <f>IFERROR(__xludf.DUMMYFUNCTION("iferror(iferror(iferror(index(IMPORTRANGE(""1NK5L1mviMn0j3D3uo53ASkIZOFRlLnqaCTnwzOG2_Wg"",""Direct Link!B2:B""),MATCH($C736,IMPORTRANGE(""1NK5L1mviMn0j3D3uo53ASkIZOFRlLnqaCTnwzOG2_Wg"",""Direct Link!A2:A""),0)),XLOOKUP($C736,IMPORTRANGE(""1NK5L1mviMn0j3D"&amp;"3uo53ASkIZOFRlLnqaCTnwzOG2_Wg"",""Direct links Without Sizes!A2:A""),IMPORTRANGE(""1NK5L1mviMn0j3D3uo53ASkIZOFRlLnqaCTnwzOG2_Wg"",""Direct links Without Sizes!B2:B""))),XLOOKUP($C736,IMPORTRANGE(""1NK5L1mviMn0j3D3uo53ASkIZOFRlLnqaCTnwzOG2_Wg"",""Direct li"&amp;"nks Without Sizes!D2:D""),IMPORTRANGE(""1NK5L1mviMn0j3D3uo53ASkIZOFRlLnqaCTnwzOG2_Wg"",""Direct links Without Sizes!E2:E""))),"""")"),"")</f>
        <v/>
      </c>
      <c r="I736" s="4"/>
      <c r="J736" s="24" t="str">
        <f t="shared" si="1"/>
        <v/>
      </c>
      <c r="K736" s="25"/>
      <c r="L736" s="24" t="str">
        <f t="shared" si="2"/>
        <v/>
      </c>
      <c r="M736" s="4"/>
      <c r="N736" s="23"/>
      <c r="O736" s="23"/>
      <c r="P736" s="23"/>
      <c r="Q736" s="4" t="str">
        <f t="shared" si="4"/>
        <v/>
      </c>
      <c r="R736" s="20"/>
      <c r="S736" s="20"/>
    </row>
    <row r="737">
      <c r="A737" s="4"/>
      <c r="B737" s="4"/>
      <c r="C737" s="37"/>
      <c r="D737" s="7" t="str">
        <f>IFERROR(__xludf.DUMMYFUNCTION("iferror(iferror(INDEX(IMPORTRANGE(""12vtnxaE_Q1s4tyr10kZQx7ZF_xG0lBFae4jQEUtgsMU"",""All!B2:B""),MATCH($C737,IMPORTRANGE(""12vtnxaE_Q1s4tyr10kZQx7ZF_xG0lBFae4jQEUtgsMU"",""All!A2:A""),0)),INDEX(IMPORTRANGE(""13KC70HngS4DDi8y9E5khtSpQEPG6owaQ9z4E-tR5mnY"","&amp;"""Non-Food!B2:B""),MATCH($C737,IMPORTRANGE(""13KC70HngS4DDi8y9E5khtSpQEPG6owaQ9z4E-tR5mnY"",""Non-Food!A2:A""),0))),"""")"),"")</f>
        <v/>
      </c>
      <c r="E737" s="15"/>
      <c r="F737" s="15"/>
      <c r="G737" s="36"/>
      <c r="H737" s="23" t="str">
        <f>IFERROR(__xludf.DUMMYFUNCTION("iferror(iferror(iferror(index(IMPORTRANGE(""1NK5L1mviMn0j3D3uo53ASkIZOFRlLnqaCTnwzOG2_Wg"",""Direct Link!B2:B""),MATCH($C737,IMPORTRANGE(""1NK5L1mviMn0j3D3uo53ASkIZOFRlLnqaCTnwzOG2_Wg"",""Direct Link!A2:A""),0)),XLOOKUP($C737,IMPORTRANGE(""1NK5L1mviMn0j3D"&amp;"3uo53ASkIZOFRlLnqaCTnwzOG2_Wg"",""Direct links Without Sizes!A2:A""),IMPORTRANGE(""1NK5L1mviMn0j3D3uo53ASkIZOFRlLnqaCTnwzOG2_Wg"",""Direct links Without Sizes!B2:B""))),XLOOKUP($C737,IMPORTRANGE(""1NK5L1mviMn0j3D3uo53ASkIZOFRlLnqaCTnwzOG2_Wg"",""Direct li"&amp;"nks Without Sizes!D2:D""),IMPORTRANGE(""1NK5L1mviMn0j3D3uo53ASkIZOFRlLnqaCTnwzOG2_Wg"",""Direct links Without Sizes!E2:E""))),"""")"),"")</f>
        <v/>
      </c>
      <c r="I737" s="4"/>
      <c r="J737" s="24" t="str">
        <f t="shared" si="1"/>
        <v/>
      </c>
      <c r="K737" s="25"/>
      <c r="L737" s="24" t="str">
        <f t="shared" si="2"/>
        <v/>
      </c>
      <c r="M737" s="4"/>
      <c r="N737" s="23"/>
      <c r="O737" s="23"/>
      <c r="P737" s="23"/>
      <c r="Q737" s="4" t="str">
        <f t="shared" si="4"/>
        <v/>
      </c>
      <c r="R737" s="20"/>
      <c r="S737" s="20"/>
    </row>
    <row r="738">
      <c r="A738" s="4"/>
      <c r="B738" s="4"/>
      <c r="C738" s="37"/>
      <c r="D738" s="7" t="str">
        <f>IFERROR(__xludf.DUMMYFUNCTION("iferror(iferror(INDEX(IMPORTRANGE(""12vtnxaE_Q1s4tyr10kZQx7ZF_xG0lBFae4jQEUtgsMU"",""All!B2:B""),MATCH($C738,IMPORTRANGE(""12vtnxaE_Q1s4tyr10kZQx7ZF_xG0lBFae4jQEUtgsMU"",""All!A2:A""),0)),INDEX(IMPORTRANGE(""13KC70HngS4DDi8y9E5khtSpQEPG6owaQ9z4E-tR5mnY"","&amp;"""Non-Food!B2:B""),MATCH($C738,IMPORTRANGE(""13KC70HngS4DDi8y9E5khtSpQEPG6owaQ9z4E-tR5mnY"",""Non-Food!A2:A""),0))),"""")"),"")</f>
        <v/>
      </c>
      <c r="E738" s="15"/>
      <c r="F738" s="15"/>
      <c r="G738" s="36"/>
      <c r="H738" s="23" t="str">
        <f>IFERROR(__xludf.DUMMYFUNCTION("iferror(iferror(iferror(index(IMPORTRANGE(""1NK5L1mviMn0j3D3uo53ASkIZOFRlLnqaCTnwzOG2_Wg"",""Direct Link!B2:B""),MATCH($C738,IMPORTRANGE(""1NK5L1mviMn0j3D3uo53ASkIZOFRlLnqaCTnwzOG2_Wg"",""Direct Link!A2:A""),0)),XLOOKUP($C738,IMPORTRANGE(""1NK5L1mviMn0j3D"&amp;"3uo53ASkIZOFRlLnqaCTnwzOG2_Wg"",""Direct links Without Sizes!A2:A""),IMPORTRANGE(""1NK5L1mviMn0j3D3uo53ASkIZOFRlLnqaCTnwzOG2_Wg"",""Direct links Without Sizes!B2:B""))),XLOOKUP($C738,IMPORTRANGE(""1NK5L1mviMn0j3D3uo53ASkIZOFRlLnqaCTnwzOG2_Wg"",""Direct li"&amp;"nks Without Sizes!D2:D""),IMPORTRANGE(""1NK5L1mviMn0j3D3uo53ASkIZOFRlLnqaCTnwzOG2_Wg"",""Direct links Without Sizes!E2:E""))),"""")"),"")</f>
        <v/>
      </c>
      <c r="I738" s="4"/>
      <c r="J738" s="24" t="str">
        <f t="shared" si="1"/>
        <v/>
      </c>
      <c r="K738" s="25"/>
      <c r="L738" s="24" t="str">
        <f t="shared" si="2"/>
        <v/>
      </c>
      <c r="M738" s="4"/>
      <c r="N738" s="23"/>
      <c r="O738" s="23"/>
      <c r="P738" s="23"/>
      <c r="Q738" s="4" t="str">
        <f t="shared" si="4"/>
        <v/>
      </c>
      <c r="R738" s="20"/>
      <c r="S738" s="20"/>
    </row>
    <row r="739">
      <c r="A739" s="4"/>
      <c r="B739" s="4"/>
      <c r="C739" s="37"/>
      <c r="D739" s="7" t="str">
        <f>IFERROR(__xludf.DUMMYFUNCTION("iferror(iferror(INDEX(IMPORTRANGE(""12vtnxaE_Q1s4tyr10kZQx7ZF_xG0lBFae4jQEUtgsMU"",""All!B2:B""),MATCH($C739,IMPORTRANGE(""12vtnxaE_Q1s4tyr10kZQx7ZF_xG0lBFae4jQEUtgsMU"",""All!A2:A""),0)),INDEX(IMPORTRANGE(""13KC70HngS4DDi8y9E5khtSpQEPG6owaQ9z4E-tR5mnY"","&amp;"""Non-Food!B2:B""),MATCH($C739,IMPORTRANGE(""13KC70HngS4DDi8y9E5khtSpQEPG6owaQ9z4E-tR5mnY"",""Non-Food!A2:A""),0))),"""")"),"")</f>
        <v/>
      </c>
      <c r="E739" s="15"/>
      <c r="F739" s="15"/>
      <c r="G739" s="36"/>
      <c r="H739" s="23" t="str">
        <f>IFERROR(__xludf.DUMMYFUNCTION("iferror(iferror(iferror(index(IMPORTRANGE(""1NK5L1mviMn0j3D3uo53ASkIZOFRlLnqaCTnwzOG2_Wg"",""Direct Link!B2:B""),MATCH($C739,IMPORTRANGE(""1NK5L1mviMn0j3D3uo53ASkIZOFRlLnqaCTnwzOG2_Wg"",""Direct Link!A2:A""),0)),XLOOKUP($C739,IMPORTRANGE(""1NK5L1mviMn0j3D"&amp;"3uo53ASkIZOFRlLnqaCTnwzOG2_Wg"",""Direct links Without Sizes!A2:A""),IMPORTRANGE(""1NK5L1mviMn0j3D3uo53ASkIZOFRlLnqaCTnwzOG2_Wg"",""Direct links Without Sizes!B2:B""))),XLOOKUP($C739,IMPORTRANGE(""1NK5L1mviMn0j3D3uo53ASkIZOFRlLnqaCTnwzOG2_Wg"",""Direct li"&amp;"nks Without Sizes!D2:D""),IMPORTRANGE(""1NK5L1mviMn0j3D3uo53ASkIZOFRlLnqaCTnwzOG2_Wg"",""Direct links Without Sizes!E2:E""))),"""")"),"")</f>
        <v/>
      </c>
      <c r="I739" s="4"/>
      <c r="J739" s="24" t="str">
        <f t="shared" si="1"/>
        <v/>
      </c>
      <c r="K739" s="25"/>
      <c r="L739" s="24" t="str">
        <f t="shared" si="2"/>
        <v/>
      </c>
      <c r="M739" s="4"/>
      <c r="N739" s="23"/>
      <c r="O739" s="23"/>
      <c r="P739" s="23"/>
      <c r="Q739" s="4" t="str">
        <f t="shared" si="4"/>
        <v/>
      </c>
      <c r="R739" s="20"/>
      <c r="S739" s="20"/>
    </row>
    <row r="740">
      <c r="A740" s="4"/>
      <c r="B740" s="4"/>
      <c r="C740" s="37"/>
      <c r="D740" s="7" t="str">
        <f>IFERROR(__xludf.DUMMYFUNCTION("iferror(iferror(INDEX(IMPORTRANGE(""12vtnxaE_Q1s4tyr10kZQx7ZF_xG0lBFae4jQEUtgsMU"",""All!B2:B""),MATCH($C740,IMPORTRANGE(""12vtnxaE_Q1s4tyr10kZQx7ZF_xG0lBFae4jQEUtgsMU"",""All!A2:A""),0)),INDEX(IMPORTRANGE(""13KC70HngS4DDi8y9E5khtSpQEPG6owaQ9z4E-tR5mnY"","&amp;"""Non-Food!B2:B""),MATCH($C740,IMPORTRANGE(""13KC70HngS4DDi8y9E5khtSpQEPG6owaQ9z4E-tR5mnY"",""Non-Food!A2:A""),0))),"""")"),"")</f>
        <v/>
      </c>
      <c r="E740" s="15"/>
      <c r="F740" s="15"/>
      <c r="G740" s="36"/>
      <c r="H740" s="23" t="str">
        <f>IFERROR(__xludf.DUMMYFUNCTION("iferror(iferror(iferror(index(IMPORTRANGE(""1NK5L1mviMn0j3D3uo53ASkIZOFRlLnqaCTnwzOG2_Wg"",""Direct Link!B2:B""),MATCH($C740,IMPORTRANGE(""1NK5L1mviMn0j3D3uo53ASkIZOFRlLnqaCTnwzOG2_Wg"",""Direct Link!A2:A""),0)),XLOOKUP($C740,IMPORTRANGE(""1NK5L1mviMn0j3D"&amp;"3uo53ASkIZOFRlLnqaCTnwzOG2_Wg"",""Direct links Without Sizes!A2:A""),IMPORTRANGE(""1NK5L1mviMn0j3D3uo53ASkIZOFRlLnqaCTnwzOG2_Wg"",""Direct links Without Sizes!B2:B""))),XLOOKUP($C740,IMPORTRANGE(""1NK5L1mviMn0j3D3uo53ASkIZOFRlLnqaCTnwzOG2_Wg"",""Direct li"&amp;"nks Without Sizes!D2:D""),IMPORTRANGE(""1NK5L1mviMn0j3D3uo53ASkIZOFRlLnqaCTnwzOG2_Wg"",""Direct links Without Sizes!E2:E""))),"""")"),"")</f>
        <v/>
      </c>
      <c r="I740" s="4"/>
      <c r="J740" s="24" t="str">
        <f t="shared" si="1"/>
        <v/>
      </c>
      <c r="K740" s="25"/>
      <c r="L740" s="24" t="str">
        <f t="shared" si="2"/>
        <v/>
      </c>
      <c r="M740" s="4"/>
      <c r="N740" s="23"/>
      <c r="O740" s="23"/>
      <c r="P740" s="23"/>
      <c r="Q740" s="4" t="str">
        <f t="shared" si="4"/>
        <v/>
      </c>
      <c r="R740" s="20"/>
      <c r="S740" s="20"/>
    </row>
    <row r="741">
      <c r="A741" s="4"/>
      <c r="B741" s="4"/>
      <c r="C741" s="37"/>
      <c r="D741" s="7" t="str">
        <f>IFERROR(__xludf.DUMMYFUNCTION("iferror(iferror(INDEX(IMPORTRANGE(""12vtnxaE_Q1s4tyr10kZQx7ZF_xG0lBFae4jQEUtgsMU"",""All!B2:B""),MATCH($C741,IMPORTRANGE(""12vtnxaE_Q1s4tyr10kZQx7ZF_xG0lBFae4jQEUtgsMU"",""All!A2:A""),0)),INDEX(IMPORTRANGE(""13KC70HngS4DDi8y9E5khtSpQEPG6owaQ9z4E-tR5mnY"","&amp;"""Non-Food!B2:B""),MATCH($C741,IMPORTRANGE(""13KC70HngS4DDi8y9E5khtSpQEPG6owaQ9z4E-tR5mnY"",""Non-Food!A2:A""),0))),"""")"),"")</f>
        <v/>
      </c>
      <c r="E741" s="15"/>
      <c r="F741" s="15"/>
      <c r="G741" s="36"/>
      <c r="H741" s="23" t="str">
        <f>IFERROR(__xludf.DUMMYFUNCTION("iferror(iferror(iferror(index(IMPORTRANGE(""1NK5L1mviMn0j3D3uo53ASkIZOFRlLnqaCTnwzOG2_Wg"",""Direct Link!B2:B""),MATCH($C741,IMPORTRANGE(""1NK5L1mviMn0j3D3uo53ASkIZOFRlLnqaCTnwzOG2_Wg"",""Direct Link!A2:A""),0)),XLOOKUP($C741,IMPORTRANGE(""1NK5L1mviMn0j3D"&amp;"3uo53ASkIZOFRlLnqaCTnwzOG2_Wg"",""Direct links Without Sizes!A2:A""),IMPORTRANGE(""1NK5L1mviMn0j3D3uo53ASkIZOFRlLnqaCTnwzOG2_Wg"",""Direct links Without Sizes!B2:B""))),XLOOKUP($C741,IMPORTRANGE(""1NK5L1mviMn0j3D3uo53ASkIZOFRlLnqaCTnwzOG2_Wg"",""Direct li"&amp;"nks Without Sizes!D2:D""),IMPORTRANGE(""1NK5L1mviMn0j3D3uo53ASkIZOFRlLnqaCTnwzOG2_Wg"",""Direct links Without Sizes!E2:E""))),"""")"),"")</f>
        <v/>
      </c>
      <c r="I741" s="4"/>
      <c r="J741" s="24" t="str">
        <f t="shared" si="1"/>
        <v/>
      </c>
      <c r="K741" s="25"/>
      <c r="L741" s="24" t="str">
        <f t="shared" si="2"/>
        <v/>
      </c>
      <c r="M741" s="4"/>
      <c r="N741" s="23"/>
      <c r="O741" s="23"/>
      <c r="P741" s="23"/>
      <c r="Q741" s="4" t="str">
        <f t="shared" si="4"/>
        <v/>
      </c>
      <c r="R741" s="20"/>
      <c r="S741" s="20"/>
    </row>
    <row r="742">
      <c r="A742" s="4"/>
      <c r="B742" s="4"/>
      <c r="C742" s="37"/>
      <c r="D742" s="7" t="str">
        <f>IFERROR(__xludf.DUMMYFUNCTION("iferror(iferror(INDEX(IMPORTRANGE(""12vtnxaE_Q1s4tyr10kZQx7ZF_xG0lBFae4jQEUtgsMU"",""All!B2:B""),MATCH($C742,IMPORTRANGE(""12vtnxaE_Q1s4tyr10kZQx7ZF_xG0lBFae4jQEUtgsMU"",""All!A2:A""),0)),INDEX(IMPORTRANGE(""13KC70HngS4DDi8y9E5khtSpQEPG6owaQ9z4E-tR5mnY"","&amp;"""Non-Food!B2:B""),MATCH($C742,IMPORTRANGE(""13KC70HngS4DDi8y9E5khtSpQEPG6owaQ9z4E-tR5mnY"",""Non-Food!A2:A""),0))),"""")"),"")</f>
        <v/>
      </c>
      <c r="E742" s="15"/>
      <c r="F742" s="15"/>
      <c r="G742" s="36"/>
      <c r="H742" s="23" t="str">
        <f>IFERROR(__xludf.DUMMYFUNCTION("iferror(iferror(iferror(index(IMPORTRANGE(""1NK5L1mviMn0j3D3uo53ASkIZOFRlLnqaCTnwzOG2_Wg"",""Direct Link!B2:B""),MATCH($C742,IMPORTRANGE(""1NK5L1mviMn0j3D3uo53ASkIZOFRlLnqaCTnwzOG2_Wg"",""Direct Link!A2:A""),0)),XLOOKUP($C742,IMPORTRANGE(""1NK5L1mviMn0j3D"&amp;"3uo53ASkIZOFRlLnqaCTnwzOG2_Wg"",""Direct links Without Sizes!A2:A""),IMPORTRANGE(""1NK5L1mviMn0j3D3uo53ASkIZOFRlLnqaCTnwzOG2_Wg"",""Direct links Without Sizes!B2:B""))),XLOOKUP($C742,IMPORTRANGE(""1NK5L1mviMn0j3D3uo53ASkIZOFRlLnqaCTnwzOG2_Wg"",""Direct li"&amp;"nks Without Sizes!D2:D""),IMPORTRANGE(""1NK5L1mviMn0j3D3uo53ASkIZOFRlLnqaCTnwzOG2_Wg"",""Direct links Without Sizes!E2:E""))),"""")"),"")</f>
        <v/>
      </c>
      <c r="I742" s="4"/>
      <c r="J742" s="24" t="str">
        <f t="shared" si="1"/>
        <v/>
      </c>
      <c r="K742" s="25"/>
      <c r="L742" s="24" t="str">
        <f t="shared" si="2"/>
        <v/>
      </c>
      <c r="M742" s="4"/>
      <c r="N742" s="23"/>
      <c r="O742" s="23"/>
      <c r="P742" s="23"/>
      <c r="Q742" s="4" t="str">
        <f t="shared" si="4"/>
        <v/>
      </c>
      <c r="R742" s="20"/>
      <c r="S742" s="20"/>
    </row>
    <row r="743">
      <c r="A743" s="4"/>
      <c r="B743" s="4"/>
      <c r="C743" s="37"/>
      <c r="D743" s="7" t="str">
        <f>IFERROR(__xludf.DUMMYFUNCTION("iferror(iferror(INDEX(IMPORTRANGE(""12vtnxaE_Q1s4tyr10kZQx7ZF_xG0lBFae4jQEUtgsMU"",""All!B2:B""),MATCH($C743,IMPORTRANGE(""12vtnxaE_Q1s4tyr10kZQx7ZF_xG0lBFae4jQEUtgsMU"",""All!A2:A""),0)),INDEX(IMPORTRANGE(""13KC70HngS4DDi8y9E5khtSpQEPG6owaQ9z4E-tR5mnY"","&amp;"""Non-Food!B2:B""),MATCH($C743,IMPORTRANGE(""13KC70HngS4DDi8y9E5khtSpQEPG6owaQ9z4E-tR5mnY"",""Non-Food!A2:A""),0))),"""")"),"")</f>
        <v/>
      </c>
      <c r="E743" s="15"/>
      <c r="F743" s="15"/>
      <c r="G743" s="36"/>
      <c r="H743" s="23" t="str">
        <f>IFERROR(__xludf.DUMMYFUNCTION("iferror(iferror(iferror(index(IMPORTRANGE(""1NK5L1mviMn0j3D3uo53ASkIZOFRlLnqaCTnwzOG2_Wg"",""Direct Link!B2:B""),MATCH($C743,IMPORTRANGE(""1NK5L1mviMn0j3D3uo53ASkIZOFRlLnqaCTnwzOG2_Wg"",""Direct Link!A2:A""),0)),XLOOKUP($C743,IMPORTRANGE(""1NK5L1mviMn0j3D"&amp;"3uo53ASkIZOFRlLnqaCTnwzOG2_Wg"",""Direct links Without Sizes!A2:A""),IMPORTRANGE(""1NK5L1mviMn0j3D3uo53ASkIZOFRlLnqaCTnwzOG2_Wg"",""Direct links Without Sizes!B2:B""))),XLOOKUP($C743,IMPORTRANGE(""1NK5L1mviMn0j3D3uo53ASkIZOFRlLnqaCTnwzOG2_Wg"",""Direct li"&amp;"nks Without Sizes!D2:D""),IMPORTRANGE(""1NK5L1mviMn0j3D3uo53ASkIZOFRlLnqaCTnwzOG2_Wg"",""Direct links Without Sizes!E2:E""))),"""")"),"")</f>
        <v/>
      </c>
      <c r="I743" s="4"/>
      <c r="J743" s="24" t="str">
        <f t="shared" si="1"/>
        <v/>
      </c>
      <c r="K743" s="25"/>
      <c r="L743" s="24" t="str">
        <f t="shared" si="2"/>
        <v/>
      </c>
      <c r="M743" s="4"/>
      <c r="N743" s="23"/>
      <c r="O743" s="23"/>
      <c r="P743" s="23"/>
      <c r="Q743" s="4" t="str">
        <f t="shared" si="4"/>
        <v/>
      </c>
      <c r="R743" s="20"/>
      <c r="S743" s="20"/>
    </row>
    <row r="744">
      <c r="A744" s="4"/>
      <c r="B744" s="4"/>
      <c r="C744" s="37"/>
      <c r="D744" s="7" t="str">
        <f>IFERROR(__xludf.DUMMYFUNCTION("iferror(iferror(INDEX(IMPORTRANGE(""12vtnxaE_Q1s4tyr10kZQx7ZF_xG0lBFae4jQEUtgsMU"",""All!B2:B""),MATCH($C744,IMPORTRANGE(""12vtnxaE_Q1s4tyr10kZQx7ZF_xG0lBFae4jQEUtgsMU"",""All!A2:A""),0)),INDEX(IMPORTRANGE(""13KC70HngS4DDi8y9E5khtSpQEPG6owaQ9z4E-tR5mnY"","&amp;"""Non-Food!B2:B""),MATCH($C744,IMPORTRANGE(""13KC70HngS4DDi8y9E5khtSpQEPG6owaQ9z4E-tR5mnY"",""Non-Food!A2:A""),0))),"""")"),"")</f>
        <v/>
      </c>
      <c r="E744" s="15"/>
      <c r="F744" s="15"/>
      <c r="G744" s="36"/>
      <c r="H744" s="23" t="str">
        <f>IFERROR(__xludf.DUMMYFUNCTION("iferror(iferror(iferror(index(IMPORTRANGE(""1NK5L1mviMn0j3D3uo53ASkIZOFRlLnqaCTnwzOG2_Wg"",""Direct Link!B2:B""),MATCH($C744,IMPORTRANGE(""1NK5L1mviMn0j3D3uo53ASkIZOFRlLnqaCTnwzOG2_Wg"",""Direct Link!A2:A""),0)),XLOOKUP($C744,IMPORTRANGE(""1NK5L1mviMn0j3D"&amp;"3uo53ASkIZOFRlLnqaCTnwzOG2_Wg"",""Direct links Without Sizes!A2:A""),IMPORTRANGE(""1NK5L1mviMn0j3D3uo53ASkIZOFRlLnqaCTnwzOG2_Wg"",""Direct links Without Sizes!B2:B""))),XLOOKUP($C744,IMPORTRANGE(""1NK5L1mviMn0j3D3uo53ASkIZOFRlLnqaCTnwzOG2_Wg"",""Direct li"&amp;"nks Without Sizes!D2:D""),IMPORTRANGE(""1NK5L1mviMn0j3D3uo53ASkIZOFRlLnqaCTnwzOG2_Wg"",""Direct links Without Sizes!E2:E""))),"""")"),"")</f>
        <v/>
      </c>
      <c r="I744" s="4"/>
      <c r="J744" s="24" t="str">
        <f t="shared" si="1"/>
        <v/>
      </c>
      <c r="K744" s="25"/>
      <c r="L744" s="24" t="str">
        <f t="shared" si="2"/>
        <v/>
      </c>
      <c r="M744" s="4"/>
      <c r="N744" s="23"/>
      <c r="O744" s="23"/>
      <c r="P744" s="23"/>
      <c r="Q744" s="4" t="str">
        <f t="shared" si="4"/>
        <v/>
      </c>
      <c r="R744" s="20"/>
      <c r="S744" s="20"/>
    </row>
    <row r="745">
      <c r="A745" s="4"/>
      <c r="B745" s="4"/>
      <c r="C745" s="37"/>
      <c r="D745" s="7" t="str">
        <f>IFERROR(__xludf.DUMMYFUNCTION("iferror(iferror(INDEX(IMPORTRANGE(""12vtnxaE_Q1s4tyr10kZQx7ZF_xG0lBFae4jQEUtgsMU"",""All!B2:B""),MATCH($C745,IMPORTRANGE(""12vtnxaE_Q1s4tyr10kZQx7ZF_xG0lBFae4jQEUtgsMU"",""All!A2:A""),0)),INDEX(IMPORTRANGE(""13KC70HngS4DDi8y9E5khtSpQEPG6owaQ9z4E-tR5mnY"","&amp;"""Non-Food!B2:B""),MATCH($C745,IMPORTRANGE(""13KC70HngS4DDi8y9E5khtSpQEPG6owaQ9z4E-tR5mnY"",""Non-Food!A2:A""),0))),"""")"),"")</f>
        <v/>
      </c>
      <c r="E745" s="15"/>
      <c r="F745" s="15"/>
      <c r="G745" s="36"/>
      <c r="H745" s="23" t="str">
        <f>IFERROR(__xludf.DUMMYFUNCTION("iferror(iferror(iferror(index(IMPORTRANGE(""1NK5L1mviMn0j3D3uo53ASkIZOFRlLnqaCTnwzOG2_Wg"",""Direct Link!B2:B""),MATCH($C745,IMPORTRANGE(""1NK5L1mviMn0j3D3uo53ASkIZOFRlLnqaCTnwzOG2_Wg"",""Direct Link!A2:A""),0)),XLOOKUP($C745,IMPORTRANGE(""1NK5L1mviMn0j3D"&amp;"3uo53ASkIZOFRlLnqaCTnwzOG2_Wg"",""Direct links Without Sizes!A2:A""),IMPORTRANGE(""1NK5L1mviMn0j3D3uo53ASkIZOFRlLnqaCTnwzOG2_Wg"",""Direct links Without Sizes!B2:B""))),XLOOKUP($C745,IMPORTRANGE(""1NK5L1mviMn0j3D3uo53ASkIZOFRlLnqaCTnwzOG2_Wg"",""Direct li"&amp;"nks Without Sizes!D2:D""),IMPORTRANGE(""1NK5L1mviMn0j3D3uo53ASkIZOFRlLnqaCTnwzOG2_Wg"",""Direct links Without Sizes!E2:E""))),"""")"),"")</f>
        <v/>
      </c>
      <c r="I745" s="4"/>
      <c r="J745" s="24" t="str">
        <f t="shared" si="1"/>
        <v/>
      </c>
      <c r="K745" s="25"/>
      <c r="L745" s="24" t="str">
        <f t="shared" si="2"/>
        <v/>
      </c>
      <c r="M745" s="4"/>
      <c r="N745" s="23"/>
      <c r="O745" s="23"/>
      <c r="P745" s="23"/>
      <c r="Q745" s="4" t="str">
        <f t="shared" si="4"/>
        <v/>
      </c>
      <c r="R745" s="20"/>
      <c r="S745" s="20"/>
    </row>
    <row r="746">
      <c r="A746" s="4"/>
      <c r="B746" s="4"/>
      <c r="C746" s="37"/>
      <c r="D746" s="7" t="str">
        <f>IFERROR(__xludf.DUMMYFUNCTION("iferror(iferror(INDEX(IMPORTRANGE(""12vtnxaE_Q1s4tyr10kZQx7ZF_xG0lBFae4jQEUtgsMU"",""All!B2:B""),MATCH($C746,IMPORTRANGE(""12vtnxaE_Q1s4tyr10kZQx7ZF_xG0lBFae4jQEUtgsMU"",""All!A2:A""),0)),INDEX(IMPORTRANGE(""13KC70HngS4DDi8y9E5khtSpQEPG6owaQ9z4E-tR5mnY"","&amp;"""Non-Food!B2:B""),MATCH($C746,IMPORTRANGE(""13KC70HngS4DDi8y9E5khtSpQEPG6owaQ9z4E-tR5mnY"",""Non-Food!A2:A""),0))),"""")"),"")</f>
        <v/>
      </c>
      <c r="E746" s="15"/>
      <c r="F746" s="15"/>
      <c r="G746" s="36"/>
      <c r="H746" s="23" t="str">
        <f>IFERROR(__xludf.DUMMYFUNCTION("iferror(iferror(iferror(index(IMPORTRANGE(""1NK5L1mviMn0j3D3uo53ASkIZOFRlLnqaCTnwzOG2_Wg"",""Direct Link!B2:B""),MATCH($C746,IMPORTRANGE(""1NK5L1mviMn0j3D3uo53ASkIZOFRlLnqaCTnwzOG2_Wg"",""Direct Link!A2:A""),0)),XLOOKUP($C746,IMPORTRANGE(""1NK5L1mviMn0j3D"&amp;"3uo53ASkIZOFRlLnqaCTnwzOG2_Wg"",""Direct links Without Sizes!A2:A""),IMPORTRANGE(""1NK5L1mviMn0j3D3uo53ASkIZOFRlLnqaCTnwzOG2_Wg"",""Direct links Without Sizes!B2:B""))),XLOOKUP($C746,IMPORTRANGE(""1NK5L1mviMn0j3D3uo53ASkIZOFRlLnqaCTnwzOG2_Wg"",""Direct li"&amp;"nks Without Sizes!D2:D""),IMPORTRANGE(""1NK5L1mviMn0j3D3uo53ASkIZOFRlLnqaCTnwzOG2_Wg"",""Direct links Without Sizes!E2:E""))),"""")"),"")</f>
        <v/>
      </c>
      <c r="I746" s="4"/>
      <c r="J746" s="24" t="str">
        <f t="shared" si="1"/>
        <v/>
      </c>
      <c r="K746" s="25"/>
      <c r="L746" s="24" t="str">
        <f t="shared" si="2"/>
        <v/>
      </c>
      <c r="M746" s="4"/>
      <c r="N746" s="23"/>
      <c r="O746" s="23"/>
      <c r="P746" s="23"/>
      <c r="Q746" s="4" t="str">
        <f t="shared" si="4"/>
        <v/>
      </c>
      <c r="R746" s="20"/>
      <c r="S746" s="20"/>
    </row>
    <row r="747">
      <c r="A747" s="4"/>
      <c r="B747" s="4"/>
      <c r="C747" s="37"/>
      <c r="D747" s="7" t="str">
        <f>IFERROR(__xludf.DUMMYFUNCTION("iferror(iferror(INDEX(IMPORTRANGE(""12vtnxaE_Q1s4tyr10kZQx7ZF_xG0lBFae4jQEUtgsMU"",""All!B2:B""),MATCH($C747,IMPORTRANGE(""12vtnxaE_Q1s4tyr10kZQx7ZF_xG0lBFae4jQEUtgsMU"",""All!A2:A""),0)),INDEX(IMPORTRANGE(""13KC70HngS4DDi8y9E5khtSpQEPG6owaQ9z4E-tR5mnY"","&amp;"""Non-Food!B2:B""),MATCH($C747,IMPORTRANGE(""13KC70HngS4DDi8y9E5khtSpQEPG6owaQ9z4E-tR5mnY"",""Non-Food!A2:A""),0))),"""")"),"")</f>
        <v/>
      </c>
      <c r="E747" s="15"/>
      <c r="F747" s="15"/>
      <c r="G747" s="36"/>
      <c r="H747" s="23" t="str">
        <f>IFERROR(__xludf.DUMMYFUNCTION("iferror(iferror(iferror(index(IMPORTRANGE(""1NK5L1mviMn0j3D3uo53ASkIZOFRlLnqaCTnwzOG2_Wg"",""Direct Link!B2:B""),MATCH($C747,IMPORTRANGE(""1NK5L1mviMn0j3D3uo53ASkIZOFRlLnqaCTnwzOG2_Wg"",""Direct Link!A2:A""),0)),XLOOKUP($C747,IMPORTRANGE(""1NK5L1mviMn0j3D"&amp;"3uo53ASkIZOFRlLnqaCTnwzOG2_Wg"",""Direct links Without Sizes!A2:A""),IMPORTRANGE(""1NK5L1mviMn0j3D3uo53ASkIZOFRlLnqaCTnwzOG2_Wg"",""Direct links Without Sizes!B2:B""))),XLOOKUP($C747,IMPORTRANGE(""1NK5L1mviMn0j3D3uo53ASkIZOFRlLnqaCTnwzOG2_Wg"",""Direct li"&amp;"nks Without Sizes!D2:D""),IMPORTRANGE(""1NK5L1mviMn0j3D3uo53ASkIZOFRlLnqaCTnwzOG2_Wg"",""Direct links Without Sizes!E2:E""))),"""")"),"")</f>
        <v/>
      </c>
      <c r="I747" s="4"/>
      <c r="J747" s="24" t="str">
        <f t="shared" si="1"/>
        <v/>
      </c>
      <c r="K747" s="25"/>
      <c r="L747" s="24" t="str">
        <f t="shared" si="2"/>
        <v/>
      </c>
      <c r="M747" s="4"/>
      <c r="N747" s="23"/>
      <c r="O747" s="23"/>
      <c r="P747" s="23"/>
      <c r="Q747" s="4" t="str">
        <f t="shared" si="4"/>
        <v/>
      </c>
      <c r="R747" s="20"/>
      <c r="S747" s="20"/>
    </row>
    <row r="748">
      <c r="A748" s="4"/>
      <c r="B748" s="4"/>
      <c r="C748" s="37"/>
      <c r="D748" s="7" t="str">
        <f>IFERROR(__xludf.DUMMYFUNCTION("iferror(iferror(INDEX(IMPORTRANGE(""12vtnxaE_Q1s4tyr10kZQx7ZF_xG0lBFae4jQEUtgsMU"",""All!B2:B""),MATCH($C748,IMPORTRANGE(""12vtnxaE_Q1s4tyr10kZQx7ZF_xG0lBFae4jQEUtgsMU"",""All!A2:A""),0)),INDEX(IMPORTRANGE(""13KC70HngS4DDi8y9E5khtSpQEPG6owaQ9z4E-tR5mnY"","&amp;"""Non-Food!B2:B""),MATCH($C748,IMPORTRANGE(""13KC70HngS4DDi8y9E5khtSpQEPG6owaQ9z4E-tR5mnY"",""Non-Food!A2:A""),0))),"""")"),"")</f>
        <v/>
      </c>
      <c r="E748" s="15"/>
      <c r="F748" s="15"/>
      <c r="G748" s="36"/>
      <c r="H748" s="23" t="str">
        <f>IFERROR(__xludf.DUMMYFUNCTION("iferror(iferror(iferror(index(IMPORTRANGE(""1NK5L1mviMn0j3D3uo53ASkIZOFRlLnqaCTnwzOG2_Wg"",""Direct Link!B2:B""),MATCH($C748,IMPORTRANGE(""1NK5L1mviMn0j3D3uo53ASkIZOFRlLnqaCTnwzOG2_Wg"",""Direct Link!A2:A""),0)),XLOOKUP($C748,IMPORTRANGE(""1NK5L1mviMn0j3D"&amp;"3uo53ASkIZOFRlLnqaCTnwzOG2_Wg"",""Direct links Without Sizes!A2:A""),IMPORTRANGE(""1NK5L1mviMn0j3D3uo53ASkIZOFRlLnqaCTnwzOG2_Wg"",""Direct links Without Sizes!B2:B""))),XLOOKUP($C748,IMPORTRANGE(""1NK5L1mviMn0j3D3uo53ASkIZOFRlLnqaCTnwzOG2_Wg"",""Direct li"&amp;"nks Without Sizes!D2:D""),IMPORTRANGE(""1NK5L1mviMn0j3D3uo53ASkIZOFRlLnqaCTnwzOG2_Wg"",""Direct links Without Sizes!E2:E""))),"""")"),"")</f>
        <v/>
      </c>
      <c r="I748" s="4"/>
      <c r="J748" s="24" t="str">
        <f t="shared" si="1"/>
        <v/>
      </c>
      <c r="K748" s="25"/>
      <c r="L748" s="24" t="str">
        <f t="shared" si="2"/>
        <v/>
      </c>
      <c r="M748" s="4"/>
      <c r="N748" s="23"/>
      <c r="O748" s="23"/>
      <c r="P748" s="23"/>
      <c r="Q748" s="4" t="str">
        <f t="shared" si="4"/>
        <v/>
      </c>
      <c r="R748" s="20"/>
      <c r="S748" s="20"/>
    </row>
    <row r="749">
      <c r="A749" s="4"/>
      <c r="B749" s="4"/>
      <c r="C749" s="37"/>
      <c r="D749" s="7" t="str">
        <f>IFERROR(__xludf.DUMMYFUNCTION("iferror(iferror(INDEX(IMPORTRANGE(""12vtnxaE_Q1s4tyr10kZQx7ZF_xG0lBFae4jQEUtgsMU"",""All!B2:B""),MATCH($C749,IMPORTRANGE(""12vtnxaE_Q1s4tyr10kZQx7ZF_xG0lBFae4jQEUtgsMU"",""All!A2:A""),0)),INDEX(IMPORTRANGE(""13KC70HngS4DDi8y9E5khtSpQEPG6owaQ9z4E-tR5mnY"","&amp;"""Non-Food!B2:B""),MATCH($C749,IMPORTRANGE(""13KC70HngS4DDi8y9E5khtSpQEPG6owaQ9z4E-tR5mnY"",""Non-Food!A2:A""),0))),"""")"),"")</f>
        <v/>
      </c>
      <c r="E749" s="15"/>
      <c r="F749" s="15"/>
      <c r="G749" s="36"/>
      <c r="H749" s="23" t="str">
        <f>IFERROR(__xludf.DUMMYFUNCTION("iferror(iferror(iferror(index(IMPORTRANGE(""1NK5L1mviMn0j3D3uo53ASkIZOFRlLnqaCTnwzOG2_Wg"",""Direct Link!B2:B""),MATCH($C749,IMPORTRANGE(""1NK5L1mviMn0j3D3uo53ASkIZOFRlLnqaCTnwzOG2_Wg"",""Direct Link!A2:A""),0)),XLOOKUP($C749,IMPORTRANGE(""1NK5L1mviMn0j3D"&amp;"3uo53ASkIZOFRlLnqaCTnwzOG2_Wg"",""Direct links Without Sizes!A2:A""),IMPORTRANGE(""1NK5L1mviMn0j3D3uo53ASkIZOFRlLnqaCTnwzOG2_Wg"",""Direct links Without Sizes!B2:B""))),XLOOKUP($C749,IMPORTRANGE(""1NK5L1mviMn0j3D3uo53ASkIZOFRlLnqaCTnwzOG2_Wg"",""Direct li"&amp;"nks Without Sizes!D2:D""),IMPORTRANGE(""1NK5L1mviMn0j3D3uo53ASkIZOFRlLnqaCTnwzOG2_Wg"",""Direct links Without Sizes!E2:E""))),"""")"),"")</f>
        <v/>
      </c>
      <c r="I749" s="4"/>
      <c r="J749" s="24" t="str">
        <f t="shared" si="1"/>
        <v/>
      </c>
      <c r="K749" s="25"/>
      <c r="L749" s="24" t="str">
        <f t="shared" si="2"/>
        <v/>
      </c>
      <c r="M749" s="4"/>
      <c r="N749" s="23"/>
      <c r="O749" s="23"/>
      <c r="P749" s="23"/>
      <c r="Q749" s="4" t="str">
        <f t="shared" si="4"/>
        <v/>
      </c>
      <c r="R749" s="20"/>
      <c r="S749" s="20"/>
    </row>
    <row r="750">
      <c r="A750" s="4"/>
      <c r="B750" s="4"/>
      <c r="C750" s="37"/>
      <c r="D750" s="7" t="str">
        <f>IFERROR(__xludf.DUMMYFUNCTION("iferror(iferror(INDEX(IMPORTRANGE(""12vtnxaE_Q1s4tyr10kZQx7ZF_xG0lBFae4jQEUtgsMU"",""All!B2:B""),MATCH($C750,IMPORTRANGE(""12vtnxaE_Q1s4tyr10kZQx7ZF_xG0lBFae4jQEUtgsMU"",""All!A2:A""),0)),INDEX(IMPORTRANGE(""13KC70HngS4DDi8y9E5khtSpQEPG6owaQ9z4E-tR5mnY"","&amp;"""Non-Food!B2:B""),MATCH($C750,IMPORTRANGE(""13KC70HngS4DDi8y9E5khtSpQEPG6owaQ9z4E-tR5mnY"",""Non-Food!A2:A""),0))),"""")"),"")</f>
        <v/>
      </c>
      <c r="E750" s="15"/>
      <c r="F750" s="15"/>
      <c r="G750" s="36"/>
      <c r="H750" s="23" t="str">
        <f>IFERROR(__xludf.DUMMYFUNCTION("iferror(iferror(iferror(index(IMPORTRANGE(""1NK5L1mviMn0j3D3uo53ASkIZOFRlLnqaCTnwzOG2_Wg"",""Direct Link!B2:B""),MATCH($C750,IMPORTRANGE(""1NK5L1mviMn0j3D3uo53ASkIZOFRlLnqaCTnwzOG2_Wg"",""Direct Link!A2:A""),0)),XLOOKUP($C750,IMPORTRANGE(""1NK5L1mviMn0j3D"&amp;"3uo53ASkIZOFRlLnqaCTnwzOG2_Wg"",""Direct links Without Sizes!A2:A""),IMPORTRANGE(""1NK5L1mviMn0j3D3uo53ASkIZOFRlLnqaCTnwzOG2_Wg"",""Direct links Without Sizes!B2:B""))),XLOOKUP($C750,IMPORTRANGE(""1NK5L1mviMn0j3D3uo53ASkIZOFRlLnqaCTnwzOG2_Wg"",""Direct li"&amp;"nks Without Sizes!D2:D""),IMPORTRANGE(""1NK5L1mviMn0j3D3uo53ASkIZOFRlLnqaCTnwzOG2_Wg"",""Direct links Without Sizes!E2:E""))),"""")"),"")</f>
        <v/>
      </c>
      <c r="I750" s="4"/>
      <c r="J750" s="24" t="str">
        <f t="shared" si="1"/>
        <v/>
      </c>
      <c r="K750" s="25"/>
      <c r="L750" s="24" t="str">
        <f t="shared" si="2"/>
        <v/>
      </c>
      <c r="M750" s="4"/>
      <c r="N750" s="23"/>
      <c r="O750" s="23"/>
      <c r="P750" s="23"/>
      <c r="Q750" s="4" t="str">
        <f t="shared" si="4"/>
        <v/>
      </c>
      <c r="R750" s="20"/>
      <c r="S750" s="20"/>
    </row>
    <row r="751">
      <c r="A751" s="4"/>
      <c r="B751" s="4"/>
      <c r="C751" s="37"/>
      <c r="D751" s="7" t="str">
        <f>IFERROR(__xludf.DUMMYFUNCTION("iferror(iferror(INDEX(IMPORTRANGE(""12vtnxaE_Q1s4tyr10kZQx7ZF_xG0lBFae4jQEUtgsMU"",""All!B2:B""),MATCH($C751,IMPORTRANGE(""12vtnxaE_Q1s4tyr10kZQx7ZF_xG0lBFae4jQEUtgsMU"",""All!A2:A""),0)),INDEX(IMPORTRANGE(""13KC70HngS4DDi8y9E5khtSpQEPG6owaQ9z4E-tR5mnY"","&amp;"""Non-Food!B2:B""),MATCH($C751,IMPORTRANGE(""13KC70HngS4DDi8y9E5khtSpQEPG6owaQ9z4E-tR5mnY"",""Non-Food!A2:A""),0))),"""")"),"")</f>
        <v/>
      </c>
      <c r="E751" s="15"/>
      <c r="F751" s="15"/>
      <c r="G751" s="36"/>
      <c r="H751" s="23" t="str">
        <f>IFERROR(__xludf.DUMMYFUNCTION("iferror(iferror(iferror(index(IMPORTRANGE(""1NK5L1mviMn0j3D3uo53ASkIZOFRlLnqaCTnwzOG2_Wg"",""Direct Link!B2:B""),MATCH($C751,IMPORTRANGE(""1NK5L1mviMn0j3D3uo53ASkIZOFRlLnqaCTnwzOG2_Wg"",""Direct Link!A2:A""),0)),XLOOKUP($C751,IMPORTRANGE(""1NK5L1mviMn0j3D"&amp;"3uo53ASkIZOFRlLnqaCTnwzOG2_Wg"",""Direct links Without Sizes!A2:A""),IMPORTRANGE(""1NK5L1mviMn0j3D3uo53ASkIZOFRlLnqaCTnwzOG2_Wg"",""Direct links Without Sizes!B2:B""))),XLOOKUP($C751,IMPORTRANGE(""1NK5L1mviMn0j3D3uo53ASkIZOFRlLnqaCTnwzOG2_Wg"",""Direct li"&amp;"nks Without Sizes!D2:D""),IMPORTRANGE(""1NK5L1mviMn0j3D3uo53ASkIZOFRlLnqaCTnwzOG2_Wg"",""Direct links Without Sizes!E2:E""))),"""")"),"")</f>
        <v/>
      </c>
      <c r="I751" s="4"/>
      <c r="J751" s="24" t="str">
        <f t="shared" si="1"/>
        <v/>
      </c>
      <c r="K751" s="25"/>
      <c r="L751" s="24" t="str">
        <f t="shared" si="2"/>
        <v/>
      </c>
      <c r="M751" s="4"/>
      <c r="N751" s="23"/>
      <c r="O751" s="23"/>
      <c r="P751" s="23"/>
      <c r="Q751" s="4" t="str">
        <f t="shared" si="4"/>
        <v/>
      </c>
      <c r="R751" s="20"/>
      <c r="S751" s="20"/>
    </row>
    <row r="752">
      <c r="A752" s="4"/>
      <c r="B752" s="4"/>
      <c r="C752" s="37"/>
      <c r="D752" s="7" t="str">
        <f>IFERROR(__xludf.DUMMYFUNCTION("iferror(iferror(INDEX(IMPORTRANGE(""12vtnxaE_Q1s4tyr10kZQx7ZF_xG0lBFae4jQEUtgsMU"",""All!B2:B""),MATCH($C752,IMPORTRANGE(""12vtnxaE_Q1s4tyr10kZQx7ZF_xG0lBFae4jQEUtgsMU"",""All!A2:A""),0)),INDEX(IMPORTRANGE(""13KC70HngS4DDi8y9E5khtSpQEPG6owaQ9z4E-tR5mnY"","&amp;"""Non-Food!B2:B""),MATCH($C752,IMPORTRANGE(""13KC70HngS4DDi8y9E5khtSpQEPG6owaQ9z4E-tR5mnY"",""Non-Food!A2:A""),0))),"""")"),"")</f>
        <v/>
      </c>
      <c r="E752" s="15"/>
      <c r="F752" s="15"/>
      <c r="G752" s="36"/>
      <c r="H752" s="23" t="str">
        <f>IFERROR(__xludf.DUMMYFUNCTION("iferror(iferror(iferror(index(IMPORTRANGE(""1NK5L1mviMn0j3D3uo53ASkIZOFRlLnqaCTnwzOG2_Wg"",""Direct Link!B2:B""),MATCH($C752,IMPORTRANGE(""1NK5L1mviMn0j3D3uo53ASkIZOFRlLnqaCTnwzOG2_Wg"",""Direct Link!A2:A""),0)),XLOOKUP($C752,IMPORTRANGE(""1NK5L1mviMn0j3D"&amp;"3uo53ASkIZOFRlLnqaCTnwzOG2_Wg"",""Direct links Without Sizes!A2:A""),IMPORTRANGE(""1NK5L1mviMn0j3D3uo53ASkIZOFRlLnqaCTnwzOG2_Wg"",""Direct links Without Sizes!B2:B""))),XLOOKUP($C752,IMPORTRANGE(""1NK5L1mviMn0j3D3uo53ASkIZOFRlLnqaCTnwzOG2_Wg"",""Direct li"&amp;"nks Without Sizes!D2:D""),IMPORTRANGE(""1NK5L1mviMn0j3D3uo53ASkIZOFRlLnqaCTnwzOG2_Wg"",""Direct links Without Sizes!E2:E""))),"""")"),"")</f>
        <v/>
      </c>
      <c r="I752" s="4"/>
      <c r="J752" s="24" t="str">
        <f t="shared" si="1"/>
        <v/>
      </c>
      <c r="K752" s="25"/>
      <c r="L752" s="24" t="str">
        <f t="shared" si="2"/>
        <v/>
      </c>
      <c r="M752" s="4"/>
      <c r="N752" s="23"/>
      <c r="O752" s="23"/>
      <c r="P752" s="23"/>
      <c r="Q752" s="4" t="str">
        <f t="shared" si="4"/>
        <v/>
      </c>
      <c r="R752" s="20"/>
      <c r="S752" s="20"/>
    </row>
    <row r="753">
      <c r="A753" s="4"/>
      <c r="B753" s="4"/>
      <c r="C753" s="37"/>
      <c r="D753" s="7" t="str">
        <f>IFERROR(__xludf.DUMMYFUNCTION("iferror(iferror(INDEX(IMPORTRANGE(""12vtnxaE_Q1s4tyr10kZQx7ZF_xG0lBFae4jQEUtgsMU"",""All!B2:B""),MATCH($C753,IMPORTRANGE(""12vtnxaE_Q1s4tyr10kZQx7ZF_xG0lBFae4jQEUtgsMU"",""All!A2:A""),0)),INDEX(IMPORTRANGE(""13KC70HngS4DDi8y9E5khtSpQEPG6owaQ9z4E-tR5mnY"","&amp;"""Non-Food!B2:B""),MATCH($C753,IMPORTRANGE(""13KC70HngS4DDi8y9E5khtSpQEPG6owaQ9z4E-tR5mnY"",""Non-Food!A2:A""),0))),"""")"),"")</f>
        <v/>
      </c>
      <c r="E753" s="15"/>
      <c r="F753" s="15"/>
      <c r="G753" s="36"/>
      <c r="H753" s="23" t="str">
        <f>IFERROR(__xludf.DUMMYFUNCTION("iferror(iferror(iferror(index(IMPORTRANGE(""1NK5L1mviMn0j3D3uo53ASkIZOFRlLnqaCTnwzOG2_Wg"",""Direct Link!B2:B""),MATCH($C753,IMPORTRANGE(""1NK5L1mviMn0j3D3uo53ASkIZOFRlLnqaCTnwzOG2_Wg"",""Direct Link!A2:A""),0)),XLOOKUP($C753,IMPORTRANGE(""1NK5L1mviMn0j3D"&amp;"3uo53ASkIZOFRlLnqaCTnwzOG2_Wg"",""Direct links Without Sizes!A2:A""),IMPORTRANGE(""1NK5L1mviMn0j3D3uo53ASkIZOFRlLnqaCTnwzOG2_Wg"",""Direct links Without Sizes!B2:B""))),XLOOKUP($C753,IMPORTRANGE(""1NK5L1mviMn0j3D3uo53ASkIZOFRlLnqaCTnwzOG2_Wg"",""Direct li"&amp;"nks Without Sizes!D2:D""),IMPORTRANGE(""1NK5L1mviMn0j3D3uo53ASkIZOFRlLnqaCTnwzOG2_Wg"",""Direct links Without Sizes!E2:E""))),"""")"),"")</f>
        <v/>
      </c>
      <c r="I753" s="4"/>
      <c r="J753" s="24" t="str">
        <f t="shared" si="1"/>
        <v/>
      </c>
      <c r="K753" s="25"/>
      <c r="L753" s="24" t="str">
        <f t="shared" si="2"/>
        <v/>
      </c>
      <c r="M753" s="4"/>
      <c r="N753" s="23"/>
      <c r="O753" s="23"/>
      <c r="P753" s="23"/>
      <c r="Q753" s="4" t="str">
        <f t="shared" si="4"/>
        <v/>
      </c>
      <c r="R753" s="20"/>
      <c r="S753" s="20"/>
    </row>
    <row r="754">
      <c r="A754" s="4"/>
      <c r="B754" s="4"/>
      <c r="C754" s="37"/>
      <c r="D754" s="7" t="str">
        <f>IFERROR(__xludf.DUMMYFUNCTION("iferror(iferror(INDEX(IMPORTRANGE(""12vtnxaE_Q1s4tyr10kZQx7ZF_xG0lBFae4jQEUtgsMU"",""All!B2:B""),MATCH($C754,IMPORTRANGE(""12vtnxaE_Q1s4tyr10kZQx7ZF_xG0lBFae4jQEUtgsMU"",""All!A2:A""),0)),INDEX(IMPORTRANGE(""13KC70HngS4DDi8y9E5khtSpQEPG6owaQ9z4E-tR5mnY"","&amp;"""Non-Food!B2:B""),MATCH($C754,IMPORTRANGE(""13KC70HngS4DDi8y9E5khtSpQEPG6owaQ9z4E-tR5mnY"",""Non-Food!A2:A""),0))),"""")"),"")</f>
        <v/>
      </c>
      <c r="E754" s="15"/>
      <c r="F754" s="15"/>
      <c r="G754" s="36"/>
      <c r="H754" s="23" t="str">
        <f>IFERROR(__xludf.DUMMYFUNCTION("iferror(iferror(iferror(index(IMPORTRANGE(""1NK5L1mviMn0j3D3uo53ASkIZOFRlLnqaCTnwzOG2_Wg"",""Direct Link!B2:B""),MATCH($C754,IMPORTRANGE(""1NK5L1mviMn0j3D3uo53ASkIZOFRlLnqaCTnwzOG2_Wg"",""Direct Link!A2:A""),0)),XLOOKUP($C754,IMPORTRANGE(""1NK5L1mviMn0j3D"&amp;"3uo53ASkIZOFRlLnqaCTnwzOG2_Wg"",""Direct links Without Sizes!A2:A""),IMPORTRANGE(""1NK5L1mviMn0j3D3uo53ASkIZOFRlLnqaCTnwzOG2_Wg"",""Direct links Without Sizes!B2:B""))),XLOOKUP($C754,IMPORTRANGE(""1NK5L1mviMn0j3D3uo53ASkIZOFRlLnqaCTnwzOG2_Wg"",""Direct li"&amp;"nks Without Sizes!D2:D""),IMPORTRANGE(""1NK5L1mviMn0j3D3uo53ASkIZOFRlLnqaCTnwzOG2_Wg"",""Direct links Without Sizes!E2:E""))),"""")"),"")</f>
        <v/>
      </c>
      <c r="I754" s="4"/>
      <c r="J754" s="24" t="str">
        <f t="shared" si="1"/>
        <v/>
      </c>
      <c r="K754" s="25"/>
      <c r="L754" s="24" t="str">
        <f t="shared" si="2"/>
        <v/>
      </c>
      <c r="M754" s="4"/>
      <c r="N754" s="23"/>
      <c r="O754" s="23"/>
      <c r="P754" s="23"/>
      <c r="Q754" s="4" t="str">
        <f t="shared" si="4"/>
        <v/>
      </c>
      <c r="R754" s="20"/>
      <c r="S754" s="20"/>
    </row>
    <row r="755">
      <c r="A755" s="4"/>
      <c r="B755" s="4"/>
      <c r="C755" s="37"/>
      <c r="D755" s="7" t="str">
        <f>IFERROR(__xludf.DUMMYFUNCTION("iferror(iferror(INDEX(IMPORTRANGE(""12vtnxaE_Q1s4tyr10kZQx7ZF_xG0lBFae4jQEUtgsMU"",""All!B2:B""),MATCH($C755,IMPORTRANGE(""12vtnxaE_Q1s4tyr10kZQx7ZF_xG0lBFae4jQEUtgsMU"",""All!A2:A""),0)),INDEX(IMPORTRANGE(""13KC70HngS4DDi8y9E5khtSpQEPG6owaQ9z4E-tR5mnY"","&amp;"""Non-Food!B2:B""),MATCH($C755,IMPORTRANGE(""13KC70HngS4DDi8y9E5khtSpQEPG6owaQ9z4E-tR5mnY"",""Non-Food!A2:A""),0))),"""")"),"")</f>
        <v/>
      </c>
      <c r="E755" s="15"/>
      <c r="F755" s="15"/>
      <c r="G755" s="36"/>
      <c r="H755" s="23" t="str">
        <f>IFERROR(__xludf.DUMMYFUNCTION("iferror(iferror(iferror(index(IMPORTRANGE(""1NK5L1mviMn0j3D3uo53ASkIZOFRlLnqaCTnwzOG2_Wg"",""Direct Link!B2:B""),MATCH($C755,IMPORTRANGE(""1NK5L1mviMn0j3D3uo53ASkIZOFRlLnqaCTnwzOG2_Wg"",""Direct Link!A2:A""),0)),XLOOKUP($C755,IMPORTRANGE(""1NK5L1mviMn0j3D"&amp;"3uo53ASkIZOFRlLnqaCTnwzOG2_Wg"",""Direct links Without Sizes!A2:A""),IMPORTRANGE(""1NK5L1mviMn0j3D3uo53ASkIZOFRlLnqaCTnwzOG2_Wg"",""Direct links Without Sizes!B2:B""))),XLOOKUP($C755,IMPORTRANGE(""1NK5L1mviMn0j3D3uo53ASkIZOFRlLnqaCTnwzOG2_Wg"",""Direct li"&amp;"nks Without Sizes!D2:D""),IMPORTRANGE(""1NK5L1mviMn0j3D3uo53ASkIZOFRlLnqaCTnwzOG2_Wg"",""Direct links Without Sizes!E2:E""))),"""")"),"")</f>
        <v/>
      </c>
      <c r="I755" s="4"/>
      <c r="J755" s="24" t="str">
        <f t="shared" si="1"/>
        <v/>
      </c>
      <c r="K755" s="25"/>
      <c r="L755" s="24" t="str">
        <f t="shared" si="2"/>
        <v/>
      </c>
      <c r="M755" s="4"/>
      <c r="N755" s="23"/>
      <c r="O755" s="23"/>
      <c r="P755" s="23"/>
      <c r="Q755" s="4" t="str">
        <f t="shared" si="4"/>
        <v/>
      </c>
      <c r="R755" s="20"/>
      <c r="S755" s="20"/>
    </row>
    <row r="756">
      <c r="A756" s="4"/>
      <c r="B756" s="4"/>
      <c r="C756" s="37"/>
      <c r="D756" s="7" t="str">
        <f>IFERROR(__xludf.DUMMYFUNCTION("iferror(iferror(INDEX(IMPORTRANGE(""12vtnxaE_Q1s4tyr10kZQx7ZF_xG0lBFae4jQEUtgsMU"",""All!B2:B""),MATCH($C756,IMPORTRANGE(""12vtnxaE_Q1s4tyr10kZQx7ZF_xG0lBFae4jQEUtgsMU"",""All!A2:A""),0)),INDEX(IMPORTRANGE(""13KC70HngS4DDi8y9E5khtSpQEPG6owaQ9z4E-tR5mnY"","&amp;"""Non-Food!B2:B""),MATCH($C756,IMPORTRANGE(""13KC70HngS4DDi8y9E5khtSpQEPG6owaQ9z4E-tR5mnY"",""Non-Food!A2:A""),0))),"""")"),"")</f>
        <v/>
      </c>
      <c r="E756" s="15"/>
      <c r="F756" s="15"/>
      <c r="G756" s="36"/>
      <c r="H756" s="23" t="str">
        <f>IFERROR(__xludf.DUMMYFUNCTION("iferror(iferror(iferror(index(IMPORTRANGE(""1NK5L1mviMn0j3D3uo53ASkIZOFRlLnqaCTnwzOG2_Wg"",""Direct Link!B2:B""),MATCH($C756,IMPORTRANGE(""1NK5L1mviMn0j3D3uo53ASkIZOFRlLnqaCTnwzOG2_Wg"",""Direct Link!A2:A""),0)),XLOOKUP($C756,IMPORTRANGE(""1NK5L1mviMn0j3D"&amp;"3uo53ASkIZOFRlLnqaCTnwzOG2_Wg"",""Direct links Without Sizes!A2:A""),IMPORTRANGE(""1NK5L1mviMn0j3D3uo53ASkIZOFRlLnqaCTnwzOG2_Wg"",""Direct links Without Sizes!B2:B""))),XLOOKUP($C756,IMPORTRANGE(""1NK5L1mviMn0j3D3uo53ASkIZOFRlLnqaCTnwzOG2_Wg"",""Direct li"&amp;"nks Without Sizes!D2:D""),IMPORTRANGE(""1NK5L1mviMn0j3D3uo53ASkIZOFRlLnqaCTnwzOG2_Wg"",""Direct links Without Sizes!E2:E""))),"""")"),"")</f>
        <v/>
      </c>
      <c r="I756" s="4"/>
      <c r="J756" s="24" t="str">
        <f t="shared" si="1"/>
        <v/>
      </c>
      <c r="K756" s="25"/>
      <c r="L756" s="24" t="str">
        <f t="shared" si="2"/>
        <v/>
      </c>
      <c r="M756" s="4"/>
      <c r="N756" s="23"/>
      <c r="O756" s="23"/>
      <c r="P756" s="23"/>
      <c r="Q756" s="4" t="str">
        <f t="shared" si="4"/>
        <v/>
      </c>
      <c r="R756" s="20"/>
      <c r="S756" s="20"/>
    </row>
    <row r="757">
      <c r="A757" s="4"/>
      <c r="B757" s="4"/>
      <c r="C757" s="37"/>
      <c r="D757" s="7" t="str">
        <f>IFERROR(__xludf.DUMMYFUNCTION("iferror(iferror(INDEX(IMPORTRANGE(""12vtnxaE_Q1s4tyr10kZQx7ZF_xG0lBFae4jQEUtgsMU"",""All!B2:B""),MATCH($C757,IMPORTRANGE(""12vtnxaE_Q1s4tyr10kZQx7ZF_xG0lBFae4jQEUtgsMU"",""All!A2:A""),0)),INDEX(IMPORTRANGE(""13KC70HngS4DDi8y9E5khtSpQEPG6owaQ9z4E-tR5mnY"","&amp;"""Non-Food!B2:B""),MATCH($C757,IMPORTRANGE(""13KC70HngS4DDi8y9E5khtSpQEPG6owaQ9z4E-tR5mnY"",""Non-Food!A2:A""),0))),"""")"),"")</f>
        <v/>
      </c>
      <c r="E757" s="15"/>
      <c r="F757" s="15"/>
      <c r="G757" s="36"/>
      <c r="H757" s="23" t="str">
        <f>IFERROR(__xludf.DUMMYFUNCTION("iferror(iferror(iferror(index(IMPORTRANGE(""1NK5L1mviMn0j3D3uo53ASkIZOFRlLnqaCTnwzOG2_Wg"",""Direct Link!B2:B""),MATCH($C757,IMPORTRANGE(""1NK5L1mviMn0j3D3uo53ASkIZOFRlLnqaCTnwzOG2_Wg"",""Direct Link!A2:A""),0)),XLOOKUP($C757,IMPORTRANGE(""1NK5L1mviMn0j3D"&amp;"3uo53ASkIZOFRlLnqaCTnwzOG2_Wg"",""Direct links Without Sizes!A2:A""),IMPORTRANGE(""1NK5L1mviMn0j3D3uo53ASkIZOFRlLnqaCTnwzOG2_Wg"",""Direct links Without Sizes!B2:B""))),XLOOKUP($C757,IMPORTRANGE(""1NK5L1mviMn0j3D3uo53ASkIZOFRlLnqaCTnwzOG2_Wg"",""Direct li"&amp;"nks Without Sizes!D2:D""),IMPORTRANGE(""1NK5L1mviMn0j3D3uo53ASkIZOFRlLnqaCTnwzOG2_Wg"",""Direct links Without Sizes!E2:E""))),"""")"),"")</f>
        <v/>
      </c>
      <c r="I757" s="4"/>
      <c r="J757" s="24" t="str">
        <f t="shared" si="1"/>
        <v/>
      </c>
      <c r="K757" s="25"/>
      <c r="L757" s="24" t="str">
        <f t="shared" si="2"/>
        <v/>
      </c>
      <c r="M757" s="4"/>
      <c r="N757" s="23"/>
      <c r="O757" s="23"/>
      <c r="P757" s="23"/>
      <c r="Q757" s="4" t="str">
        <f t="shared" si="4"/>
        <v/>
      </c>
      <c r="R757" s="20"/>
      <c r="S757" s="20"/>
    </row>
    <row r="758">
      <c r="A758" s="4"/>
      <c r="B758" s="4"/>
      <c r="C758" s="37"/>
      <c r="D758" s="7" t="str">
        <f>IFERROR(__xludf.DUMMYFUNCTION("iferror(iferror(INDEX(IMPORTRANGE(""12vtnxaE_Q1s4tyr10kZQx7ZF_xG0lBFae4jQEUtgsMU"",""All!B2:B""),MATCH($C758,IMPORTRANGE(""12vtnxaE_Q1s4tyr10kZQx7ZF_xG0lBFae4jQEUtgsMU"",""All!A2:A""),0)),INDEX(IMPORTRANGE(""13KC70HngS4DDi8y9E5khtSpQEPG6owaQ9z4E-tR5mnY"","&amp;"""Non-Food!B2:B""),MATCH($C758,IMPORTRANGE(""13KC70HngS4DDi8y9E5khtSpQEPG6owaQ9z4E-tR5mnY"",""Non-Food!A2:A""),0))),"""")"),"")</f>
        <v/>
      </c>
      <c r="E758" s="15"/>
      <c r="F758" s="15"/>
      <c r="G758" s="36"/>
      <c r="H758" s="23" t="str">
        <f>IFERROR(__xludf.DUMMYFUNCTION("iferror(iferror(iferror(index(IMPORTRANGE(""1NK5L1mviMn0j3D3uo53ASkIZOFRlLnqaCTnwzOG2_Wg"",""Direct Link!B2:B""),MATCH($C758,IMPORTRANGE(""1NK5L1mviMn0j3D3uo53ASkIZOFRlLnqaCTnwzOG2_Wg"",""Direct Link!A2:A""),0)),XLOOKUP($C758,IMPORTRANGE(""1NK5L1mviMn0j3D"&amp;"3uo53ASkIZOFRlLnqaCTnwzOG2_Wg"",""Direct links Without Sizes!A2:A""),IMPORTRANGE(""1NK5L1mviMn0j3D3uo53ASkIZOFRlLnqaCTnwzOG2_Wg"",""Direct links Without Sizes!B2:B""))),XLOOKUP($C758,IMPORTRANGE(""1NK5L1mviMn0j3D3uo53ASkIZOFRlLnqaCTnwzOG2_Wg"",""Direct li"&amp;"nks Without Sizes!D2:D""),IMPORTRANGE(""1NK5L1mviMn0j3D3uo53ASkIZOFRlLnqaCTnwzOG2_Wg"",""Direct links Without Sizes!E2:E""))),"""")"),"")</f>
        <v/>
      </c>
      <c r="I758" s="4"/>
      <c r="J758" s="24" t="str">
        <f t="shared" si="1"/>
        <v/>
      </c>
      <c r="K758" s="25"/>
      <c r="L758" s="24" t="str">
        <f t="shared" si="2"/>
        <v/>
      </c>
      <c r="M758" s="4"/>
      <c r="N758" s="23"/>
      <c r="O758" s="23"/>
      <c r="P758" s="23"/>
      <c r="Q758" s="4" t="str">
        <f t="shared" si="4"/>
        <v/>
      </c>
      <c r="R758" s="20"/>
      <c r="S758" s="20"/>
    </row>
    <row r="759">
      <c r="A759" s="4"/>
      <c r="B759" s="4"/>
      <c r="C759" s="37"/>
      <c r="D759" s="7" t="str">
        <f>IFERROR(__xludf.DUMMYFUNCTION("iferror(iferror(INDEX(IMPORTRANGE(""12vtnxaE_Q1s4tyr10kZQx7ZF_xG0lBFae4jQEUtgsMU"",""All!B2:B""),MATCH($C759,IMPORTRANGE(""12vtnxaE_Q1s4tyr10kZQx7ZF_xG0lBFae4jQEUtgsMU"",""All!A2:A""),0)),INDEX(IMPORTRANGE(""13KC70HngS4DDi8y9E5khtSpQEPG6owaQ9z4E-tR5mnY"","&amp;"""Non-Food!B2:B""),MATCH($C759,IMPORTRANGE(""13KC70HngS4DDi8y9E5khtSpQEPG6owaQ9z4E-tR5mnY"",""Non-Food!A2:A""),0))),"""")"),"")</f>
        <v/>
      </c>
      <c r="E759" s="15"/>
      <c r="F759" s="15"/>
      <c r="G759" s="36"/>
      <c r="H759" s="23" t="str">
        <f>IFERROR(__xludf.DUMMYFUNCTION("iferror(iferror(iferror(index(IMPORTRANGE(""1NK5L1mviMn0j3D3uo53ASkIZOFRlLnqaCTnwzOG2_Wg"",""Direct Link!B2:B""),MATCH($C759,IMPORTRANGE(""1NK5L1mviMn0j3D3uo53ASkIZOFRlLnqaCTnwzOG2_Wg"",""Direct Link!A2:A""),0)),XLOOKUP($C759,IMPORTRANGE(""1NK5L1mviMn0j3D"&amp;"3uo53ASkIZOFRlLnqaCTnwzOG2_Wg"",""Direct links Without Sizes!A2:A""),IMPORTRANGE(""1NK5L1mviMn0j3D3uo53ASkIZOFRlLnqaCTnwzOG2_Wg"",""Direct links Without Sizes!B2:B""))),XLOOKUP($C759,IMPORTRANGE(""1NK5L1mviMn0j3D3uo53ASkIZOFRlLnqaCTnwzOG2_Wg"",""Direct li"&amp;"nks Without Sizes!D2:D""),IMPORTRANGE(""1NK5L1mviMn0j3D3uo53ASkIZOFRlLnqaCTnwzOG2_Wg"",""Direct links Without Sizes!E2:E""))),"""")"),"")</f>
        <v/>
      </c>
      <c r="I759" s="4"/>
      <c r="J759" s="24" t="str">
        <f t="shared" si="1"/>
        <v/>
      </c>
      <c r="K759" s="25"/>
      <c r="L759" s="24" t="str">
        <f t="shared" si="2"/>
        <v/>
      </c>
      <c r="M759" s="4"/>
      <c r="N759" s="23"/>
      <c r="O759" s="23"/>
      <c r="P759" s="23"/>
      <c r="Q759" s="4" t="str">
        <f t="shared" si="4"/>
        <v/>
      </c>
      <c r="R759" s="20"/>
      <c r="S759" s="20"/>
    </row>
    <row r="760">
      <c r="A760" s="4"/>
      <c r="B760" s="4"/>
      <c r="C760" s="37"/>
      <c r="D760" s="7" t="str">
        <f>IFERROR(__xludf.DUMMYFUNCTION("iferror(iferror(INDEX(IMPORTRANGE(""12vtnxaE_Q1s4tyr10kZQx7ZF_xG0lBFae4jQEUtgsMU"",""All!B2:B""),MATCH($C760,IMPORTRANGE(""12vtnxaE_Q1s4tyr10kZQx7ZF_xG0lBFae4jQEUtgsMU"",""All!A2:A""),0)),INDEX(IMPORTRANGE(""13KC70HngS4DDi8y9E5khtSpQEPG6owaQ9z4E-tR5mnY"","&amp;"""Non-Food!B2:B""),MATCH($C760,IMPORTRANGE(""13KC70HngS4DDi8y9E5khtSpQEPG6owaQ9z4E-tR5mnY"",""Non-Food!A2:A""),0))),"""")"),"")</f>
        <v/>
      </c>
      <c r="E760" s="15"/>
      <c r="F760" s="15"/>
      <c r="G760" s="36"/>
      <c r="H760" s="23" t="str">
        <f>IFERROR(__xludf.DUMMYFUNCTION("iferror(iferror(iferror(index(IMPORTRANGE(""1NK5L1mviMn0j3D3uo53ASkIZOFRlLnqaCTnwzOG2_Wg"",""Direct Link!B2:B""),MATCH($C760,IMPORTRANGE(""1NK5L1mviMn0j3D3uo53ASkIZOFRlLnqaCTnwzOG2_Wg"",""Direct Link!A2:A""),0)),XLOOKUP($C760,IMPORTRANGE(""1NK5L1mviMn0j3D"&amp;"3uo53ASkIZOFRlLnqaCTnwzOG2_Wg"",""Direct links Without Sizes!A2:A""),IMPORTRANGE(""1NK5L1mviMn0j3D3uo53ASkIZOFRlLnqaCTnwzOG2_Wg"",""Direct links Without Sizes!B2:B""))),XLOOKUP($C760,IMPORTRANGE(""1NK5L1mviMn0j3D3uo53ASkIZOFRlLnqaCTnwzOG2_Wg"",""Direct li"&amp;"nks Without Sizes!D2:D""),IMPORTRANGE(""1NK5L1mviMn0j3D3uo53ASkIZOFRlLnqaCTnwzOG2_Wg"",""Direct links Without Sizes!E2:E""))),"""")"),"")</f>
        <v/>
      </c>
      <c r="I760" s="4"/>
      <c r="J760" s="24" t="str">
        <f t="shared" si="1"/>
        <v/>
      </c>
      <c r="K760" s="25"/>
      <c r="L760" s="24" t="str">
        <f t="shared" si="2"/>
        <v/>
      </c>
      <c r="M760" s="4"/>
      <c r="N760" s="23"/>
      <c r="O760" s="23"/>
      <c r="P760" s="23"/>
      <c r="Q760" s="4" t="str">
        <f t="shared" si="4"/>
        <v/>
      </c>
      <c r="R760" s="20"/>
      <c r="S760" s="20"/>
    </row>
    <row r="761">
      <c r="A761" s="4"/>
      <c r="B761" s="4"/>
      <c r="C761" s="37"/>
      <c r="D761" s="7" t="str">
        <f>IFERROR(__xludf.DUMMYFUNCTION("iferror(iferror(INDEX(IMPORTRANGE(""12vtnxaE_Q1s4tyr10kZQx7ZF_xG0lBFae4jQEUtgsMU"",""All!B2:B""),MATCH($C761,IMPORTRANGE(""12vtnxaE_Q1s4tyr10kZQx7ZF_xG0lBFae4jQEUtgsMU"",""All!A2:A""),0)),INDEX(IMPORTRANGE(""13KC70HngS4DDi8y9E5khtSpQEPG6owaQ9z4E-tR5mnY"","&amp;"""Non-Food!B2:B""),MATCH($C761,IMPORTRANGE(""13KC70HngS4DDi8y9E5khtSpQEPG6owaQ9z4E-tR5mnY"",""Non-Food!A2:A""),0))),"""")"),"")</f>
        <v/>
      </c>
      <c r="E761" s="15"/>
      <c r="F761" s="15"/>
      <c r="G761" s="36"/>
      <c r="H761" s="23" t="str">
        <f>IFERROR(__xludf.DUMMYFUNCTION("iferror(iferror(iferror(index(IMPORTRANGE(""1NK5L1mviMn0j3D3uo53ASkIZOFRlLnqaCTnwzOG2_Wg"",""Direct Link!B2:B""),MATCH($C761,IMPORTRANGE(""1NK5L1mviMn0j3D3uo53ASkIZOFRlLnqaCTnwzOG2_Wg"",""Direct Link!A2:A""),0)),XLOOKUP($C761,IMPORTRANGE(""1NK5L1mviMn0j3D"&amp;"3uo53ASkIZOFRlLnqaCTnwzOG2_Wg"",""Direct links Without Sizes!A2:A""),IMPORTRANGE(""1NK5L1mviMn0j3D3uo53ASkIZOFRlLnqaCTnwzOG2_Wg"",""Direct links Without Sizes!B2:B""))),XLOOKUP($C761,IMPORTRANGE(""1NK5L1mviMn0j3D3uo53ASkIZOFRlLnqaCTnwzOG2_Wg"",""Direct li"&amp;"nks Without Sizes!D2:D""),IMPORTRANGE(""1NK5L1mviMn0j3D3uo53ASkIZOFRlLnqaCTnwzOG2_Wg"",""Direct links Without Sizes!E2:E""))),"""")"),"")</f>
        <v/>
      </c>
      <c r="I761" s="4"/>
      <c r="J761" s="24" t="str">
        <f t="shared" si="1"/>
        <v/>
      </c>
      <c r="K761" s="25"/>
      <c r="L761" s="24" t="str">
        <f t="shared" si="2"/>
        <v/>
      </c>
      <c r="M761" s="4"/>
      <c r="N761" s="23"/>
      <c r="O761" s="23"/>
      <c r="P761" s="23"/>
      <c r="Q761" s="4" t="str">
        <f t="shared" si="4"/>
        <v/>
      </c>
      <c r="R761" s="20"/>
      <c r="S761" s="20"/>
    </row>
    <row r="762">
      <c r="A762" s="4"/>
      <c r="B762" s="4"/>
      <c r="C762" s="37"/>
      <c r="D762" s="7" t="str">
        <f>IFERROR(__xludf.DUMMYFUNCTION("iferror(iferror(INDEX(IMPORTRANGE(""12vtnxaE_Q1s4tyr10kZQx7ZF_xG0lBFae4jQEUtgsMU"",""All!B2:B""),MATCH($C762,IMPORTRANGE(""12vtnxaE_Q1s4tyr10kZQx7ZF_xG0lBFae4jQEUtgsMU"",""All!A2:A""),0)),INDEX(IMPORTRANGE(""13KC70HngS4DDi8y9E5khtSpQEPG6owaQ9z4E-tR5mnY"","&amp;"""Non-Food!B2:B""),MATCH($C762,IMPORTRANGE(""13KC70HngS4DDi8y9E5khtSpQEPG6owaQ9z4E-tR5mnY"",""Non-Food!A2:A""),0))),"""")"),"")</f>
        <v/>
      </c>
      <c r="E762" s="15"/>
      <c r="F762" s="15"/>
      <c r="G762" s="36"/>
      <c r="H762" s="23" t="str">
        <f>IFERROR(__xludf.DUMMYFUNCTION("iferror(iferror(iferror(index(IMPORTRANGE(""1NK5L1mviMn0j3D3uo53ASkIZOFRlLnqaCTnwzOG2_Wg"",""Direct Link!B2:B""),MATCH($C762,IMPORTRANGE(""1NK5L1mviMn0j3D3uo53ASkIZOFRlLnqaCTnwzOG2_Wg"",""Direct Link!A2:A""),0)),XLOOKUP($C762,IMPORTRANGE(""1NK5L1mviMn0j3D"&amp;"3uo53ASkIZOFRlLnqaCTnwzOG2_Wg"",""Direct links Without Sizes!A2:A""),IMPORTRANGE(""1NK5L1mviMn0j3D3uo53ASkIZOFRlLnqaCTnwzOG2_Wg"",""Direct links Without Sizes!B2:B""))),XLOOKUP($C762,IMPORTRANGE(""1NK5L1mviMn0j3D3uo53ASkIZOFRlLnqaCTnwzOG2_Wg"",""Direct li"&amp;"nks Without Sizes!D2:D""),IMPORTRANGE(""1NK5L1mviMn0j3D3uo53ASkIZOFRlLnqaCTnwzOG2_Wg"",""Direct links Without Sizes!E2:E""))),"""")"),"")</f>
        <v/>
      </c>
      <c r="I762" s="4"/>
      <c r="J762" s="24" t="str">
        <f t="shared" si="1"/>
        <v/>
      </c>
      <c r="K762" s="25"/>
      <c r="L762" s="24" t="str">
        <f t="shared" si="2"/>
        <v/>
      </c>
      <c r="M762" s="4"/>
      <c r="N762" s="23"/>
      <c r="O762" s="23"/>
      <c r="P762" s="23"/>
      <c r="Q762" s="4" t="str">
        <f t="shared" si="4"/>
        <v/>
      </c>
      <c r="R762" s="20"/>
      <c r="S762" s="20"/>
    </row>
    <row r="763">
      <c r="A763" s="4"/>
      <c r="B763" s="4"/>
      <c r="C763" s="37"/>
      <c r="D763" s="7" t="str">
        <f>IFERROR(__xludf.DUMMYFUNCTION("iferror(iferror(INDEX(IMPORTRANGE(""12vtnxaE_Q1s4tyr10kZQx7ZF_xG0lBFae4jQEUtgsMU"",""All!B2:B""),MATCH($C763,IMPORTRANGE(""12vtnxaE_Q1s4tyr10kZQx7ZF_xG0lBFae4jQEUtgsMU"",""All!A2:A""),0)),INDEX(IMPORTRANGE(""13KC70HngS4DDi8y9E5khtSpQEPG6owaQ9z4E-tR5mnY"","&amp;"""Non-Food!B2:B""),MATCH($C763,IMPORTRANGE(""13KC70HngS4DDi8y9E5khtSpQEPG6owaQ9z4E-tR5mnY"",""Non-Food!A2:A""),0))),"""")"),"")</f>
        <v/>
      </c>
      <c r="E763" s="15"/>
      <c r="F763" s="15"/>
      <c r="G763" s="36"/>
      <c r="H763" s="23" t="str">
        <f>IFERROR(__xludf.DUMMYFUNCTION("iferror(iferror(iferror(index(IMPORTRANGE(""1NK5L1mviMn0j3D3uo53ASkIZOFRlLnqaCTnwzOG2_Wg"",""Direct Link!B2:B""),MATCH($C763,IMPORTRANGE(""1NK5L1mviMn0j3D3uo53ASkIZOFRlLnqaCTnwzOG2_Wg"",""Direct Link!A2:A""),0)),XLOOKUP($C763,IMPORTRANGE(""1NK5L1mviMn0j3D"&amp;"3uo53ASkIZOFRlLnqaCTnwzOG2_Wg"",""Direct links Without Sizes!A2:A""),IMPORTRANGE(""1NK5L1mviMn0j3D3uo53ASkIZOFRlLnqaCTnwzOG2_Wg"",""Direct links Without Sizes!B2:B""))),XLOOKUP($C763,IMPORTRANGE(""1NK5L1mviMn0j3D3uo53ASkIZOFRlLnqaCTnwzOG2_Wg"",""Direct li"&amp;"nks Without Sizes!D2:D""),IMPORTRANGE(""1NK5L1mviMn0j3D3uo53ASkIZOFRlLnqaCTnwzOG2_Wg"",""Direct links Without Sizes!E2:E""))),"""")"),"")</f>
        <v/>
      </c>
      <c r="I763" s="4"/>
      <c r="J763" s="24" t="str">
        <f t="shared" si="1"/>
        <v/>
      </c>
      <c r="K763" s="25"/>
      <c r="L763" s="24" t="str">
        <f t="shared" si="2"/>
        <v/>
      </c>
      <c r="M763" s="4"/>
      <c r="N763" s="23"/>
      <c r="O763" s="23"/>
      <c r="P763" s="23"/>
      <c r="Q763" s="4" t="str">
        <f t="shared" si="4"/>
        <v/>
      </c>
      <c r="R763" s="20"/>
      <c r="S763" s="20"/>
    </row>
    <row r="764">
      <c r="A764" s="4"/>
      <c r="B764" s="4"/>
      <c r="C764" s="37"/>
      <c r="D764" s="7" t="str">
        <f>IFERROR(__xludf.DUMMYFUNCTION("iferror(iferror(INDEX(IMPORTRANGE(""12vtnxaE_Q1s4tyr10kZQx7ZF_xG0lBFae4jQEUtgsMU"",""All!B2:B""),MATCH($C764,IMPORTRANGE(""12vtnxaE_Q1s4tyr10kZQx7ZF_xG0lBFae4jQEUtgsMU"",""All!A2:A""),0)),INDEX(IMPORTRANGE(""13KC70HngS4DDi8y9E5khtSpQEPG6owaQ9z4E-tR5mnY"","&amp;"""Non-Food!B2:B""),MATCH($C764,IMPORTRANGE(""13KC70HngS4DDi8y9E5khtSpQEPG6owaQ9z4E-tR5mnY"",""Non-Food!A2:A""),0))),"""")"),"")</f>
        <v/>
      </c>
      <c r="E764" s="15"/>
      <c r="F764" s="15"/>
      <c r="G764" s="36"/>
      <c r="H764" s="23" t="str">
        <f>IFERROR(__xludf.DUMMYFUNCTION("iferror(iferror(iferror(index(IMPORTRANGE(""1NK5L1mviMn0j3D3uo53ASkIZOFRlLnqaCTnwzOG2_Wg"",""Direct Link!B2:B""),MATCH($C764,IMPORTRANGE(""1NK5L1mviMn0j3D3uo53ASkIZOFRlLnqaCTnwzOG2_Wg"",""Direct Link!A2:A""),0)),XLOOKUP($C764,IMPORTRANGE(""1NK5L1mviMn0j3D"&amp;"3uo53ASkIZOFRlLnqaCTnwzOG2_Wg"",""Direct links Without Sizes!A2:A""),IMPORTRANGE(""1NK5L1mviMn0j3D3uo53ASkIZOFRlLnqaCTnwzOG2_Wg"",""Direct links Without Sizes!B2:B""))),XLOOKUP($C764,IMPORTRANGE(""1NK5L1mviMn0j3D3uo53ASkIZOFRlLnqaCTnwzOG2_Wg"",""Direct li"&amp;"nks Without Sizes!D2:D""),IMPORTRANGE(""1NK5L1mviMn0j3D3uo53ASkIZOFRlLnqaCTnwzOG2_Wg"",""Direct links Without Sizes!E2:E""))),"""")"),"")</f>
        <v/>
      </c>
      <c r="I764" s="4"/>
      <c r="J764" s="24" t="str">
        <f t="shared" si="1"/>
        <v/>
      </c>
      <c r="K764" s="25"/>
      <c r="L764" s="24" t="str">
        <f t="shared" si="2"/>
        <v/>
      </c>
      <c r="M764" s="4"/>
      <c r="N764" s="23"/>
      <c r="O764" s="23"/>
      <c r="P764" s="23"/>
      <c r="Q764" s="4" t="str">
        <f t="shared" si="4"/>
        <v/>
      </c>
      <c r="R764" s="20"/>
      <c r="S764" s="20"/>
    </row>
    <row r="765">
      <c r="A765" s="4"/>
      <c r="B765" s="4"/>
      <c r="C765" s="37"/>
      <c r="D765" s="7" t="str">
        <f>IFERROR(__xludf.DUMMYFUNCTION("iferror(iferror(INDEX(IMPORTRANGE(""12vtnxaE_Q1s4tyr10kZQx7ZF_xG0lBFae4jQEUtgsMU"",""All!B2:B""),MATCH($C765,IMPORTRANGE(""12vtnxaE_Q1s4tyr10kZQx7ZF_xG0lBFae4jQEUtgsMU"",""All!A2:A""),0)),INDEX(IMPORTRANGE(""13KC70HngS4DDi8y9E5khtSpQEPG6owaQ9z4E-tR5mnY"","&amp;"""Non-Food!B2:B""),MATCH($C765,IMPORTRANGE(""13KC70HngS4DDi8y9E5khtSpQEPG6owaQ9z4E-tR5mnY"",""Non-Food!A2:A""),0))),"""")"),"")</f>
        <v/>
      </c>
      <c r="E765" s="15"/>
      <c r="F765" s="15"/>
      <c r="G765" s="36"/>
      <c r="H765" s="23" t="str">
        <f>IFERROR(__xludf.DUMMYFUNCTION("iferror(iferror(iferror(index(IMPORTRANGE(""1NK5L1mviMn0j3D3uo53ASkIZOFRlLnqaCTnwzOG2_Wg"",""Direct Link!B2:B""),MATCH($C765,IMPORTRANGE(""1NK5L1mviMn0j3D3uo53ASkIZOFRlLnqaCTnwzOG2_Wg"",""Direct Link!A2:A""),0)),XLOOKUP($C765,IMPORTRANGE(""1NK5L1mviMn0j3D"&amp;"3uo53ASkIZOFRlLnqaCTnwzOG2_Wg"",""Direct links Without Sizes!A2:A""),IMPORTRANGE(""1NK5L1mviMn0j3D3uo53ASkIZOFRlLnqaCTnwzOG2_Wg"",""Direct links Without Sizes!B2:B""))),XLOOKUP($C765,IMPORTRANGE(""1NK5L1mviMn0j3D3uo53ASkIZOFRlLnqaCTnwzOG2_Wg"",""Direct li"&amp;"nks Without Sizes!D2:D""),IMPORTRANGE(""1NK5L1mviMn0j3D3uo53ASkIZOFRlLnqaCTnwzOG2_Wg"",""Direct links Without Sizes!E2:E""))),"""")"),"")</f>
        <v/>
      </c>
      <c r="I765" s="4"/>
      <c r="J765" s="24" t="str">
        <f t="shared" si="1"/>
        <v/>
      </c>
      <c r="K765" s="25"/>
      <c r="L765" s="24" t="str">
        <f t="shared" si="2"/>
        <v/>
      </c>
      <c r="M765" s="4"/>
      <c r="N765" s="23"/>
      <c r="O765" s="23"/>
      <c r="P765" s="23"/>
      <c r="Q765" s="4" t="str">
        <f t="shared" si="4"/>
        <v/>
      </c>
      <c r="R765" s="20"/>
      <c r="S765" s="20"/>
    </row>
    <row r="766">
      <c r="A766" s="4"/>
      <c r="B766" s="4"/>
      <c r="C766" s="37"/>
      <c r="D766" s="7" t="str">
        <f>IFERROR(__xludf.DUMMYFUNCTION("iferror(iferror(INDEX(IMPORTRANGE(""12vtnxaE_Q1s4tyr10kZQx7ZF_xG0lBFae4jQEUtgsMU"",""All!B2:B""),MATCH($C766,IMPORTRANGE(""12vtnxaE_Q1s4tyr10kZQx7ZF_xG0lBFae4jQEUtgsMU"",""All!A2:A""),0)),INDEX(IMPORTRANGE(""13KC70HngS4DDi8y9E5khtSpQEPG6owaQ9z4E-tR5mnY"","&amp;"""Non-Food!B2:B""),MATCH($C766,IMPORTRANGE(""13KC70HngS4DDi8y9E5khtSpQEPG6owaQ9z4E-tR5mnY"",""Non-Food!A2:A""),0))),"""")"),"")</f>
        <v/>
      </c>
      <c r="E766" s="15"/>
      <c r="F766" s="15"/>
      <c r="G766" s="36"/>
      <c r="H766" s="23" t="str">
        <f>IFERROR(__xludf.DUMMYFUNCTION("iferror(iferror(iferror(index(IMPORTRANGE(""1NK5L1mviMn0j3D3uo53ASkIZOFRlLnqaCTnwzOG2_Wg"",""Direct Link!B2:B""),MATCH($C766,IMPORTRANGE(""1NK5L1mviMn0j3D3uo53ASkIZOFRlLnqaCTnwzOG2_Wg"",""Direct Link!A2:A""),0)),XLOOKUP($C766,IMPORTRANGE(""1NK5L1mviMn0j3D"&amp;"3uo53ASkIZOFRlLnqaCTnwzOG2_Wg"",""Direct links Without Sizes!A2:A""),IMPORTRANGE(""1NK5L1mviMn0j3D3uo53ASkIZOFRlLnqaCTnwzOG2_Wg"",""Direct links Without Sizes!B2:B""))),XLOOKUP($C766,IMPORTRANGE(""1NK5L1mviMn0j3D3uo53ASkIZOFRlLnqaCTnwzOG2_Wg"",""Direct li"&amp;"nks Without Sizes!D2:D""),IMPORTRANGE(""1NK5L1mviMn0j3D3uo53ASkIZOFRlLnqaCTnwzOG2_Wg"",""Direct links Without Sizes!E2:E""))),"""")"),"")</f>
        <v/>
      </c>
      <c r="I766" s="4"/>
      <c r="J766" s="24" t="str">
        <f t="shared" si="1"/>
        <v/>
      </c>
      <c r="K766" s="25"/>
      <c r="L766" s="24" t="str">
        <f t="shared" si="2"/>
        <v/>
      </c>
      <c r="M766" s="4"/>
      <c r="N766" s="23"/>
      <c r="O766" s="23"/>
      <c r="P766" s="23"/>
      <c r="Q766" s="4" t="str">
        <f t="shared" si="4"/>
        <v/>
      </c>
      <c r="R766" s="20"/>
      <c r="S766" s="20"/>
    </row>
    <row r="767">
      <c r="A767" s="4"/>
      <c r="B767" s="4"/>
      <c r="C767" s="37"/>
      <c r="D767" s="7" t="str">
        <f>IFERROR(__xludf.DUMMYFUNCTION("iferror(iferror(INDEX(IMPORTRANGE(""12vtnxaE_Q1s4tyr10kZQx7ZF_xG0lBFae4jQEUtgsMU"",""All!B2:B""),MATCH($C767,IMPORTRANGE(""12vtnxaE_Q1s4tyr10kZQx7ZF_xG0lBFae4jQEUtgsMU"",""All!A2:A""),0)),INDEX(IMPORTRANGE(""13KC70HngS4DDi8y9E5khtSpQEPG6owaQ9z4E-tR5mnY"","&amp;"""Non-Food!B2:B""),MATCH($C767,IMPORTRANGE(""13KC70HngS4DDi8y9E5khtSpQEPG6owaQ9z4E-tR5mnY"",""Non-Food!A2:A""),0))),"""")"),"")</f>
        <v/>
      </c>
      <c r="E767" s="15"/>
      <c r="F767" s="15"/>
      <c r="G767" s="36"/>
      <c r="H767" s="23" t="str">
        <f>IFERROR(__xludf.DUMMYFUNCTION("iferror(iferror(iferror(index(IMPORTRANGE(""1NK5L1mviMn0j3D3uo53ASkIZOFRlLnqaCTnwzOG2_Wg"",""Direct Link!B2:B""),MATCH($C767,IMPORTRANGE(""1NK5L1mviMn0j3D3uo53ASkIZOFRlLnqaCTnwzOG2_Wg"",""Direct Link!A2:A""),0)),XLOOKUP($C767,IMPORTRANGE(""1NK5L1mviMn0j3D"&amp;"3uo53ASkIZOFRlLnqaCTnwzOG2_Wg"",""Direct links Without Sizes!A2:A""),IMPORTRANGE(""1NK5L1mviMn0j3D3uo53ASkIZOFRlLnqaCTnwzOG2_Wg"",""Direct links Without Sizes!B2:B""))),XLOOKUP($C767,IMPORTRANGE(""1NK5L1mviMn0j3D3uo53ASkIZOFRlLnqaCTnwzOG2_Wg"",""Direct li"&amp;"nks Without Sizes!D2:D""),IMPORTRANGE(""1NK5L1mviMn0j3D3uo53ASkIZOFRlLnqaCTnwzOG2_Wg"",""Direct links Without Sizes!E2:E""))),"""")"),"")</f>
        <v/>
      </c>
      <c r="I767" s="4"/>
      <c r="J767" s="24" t="str">
        <f t="shared" si="1"/>
        <v/>
      </c>
      <c r="K767" s="25"/>
      <c r="L767" s="24" t="str">
        <f t="shared" si="2"/>
        <v/>
      </c>
      <c r="M767" s="4"/>
      <c r="N767" s="23"/>
      <c r="O767" s="23"/>
      <c r="P767" s="23"/>
      <c r="Q767" s="4" t="str">
        <f t="shared" si="4"/>
        <v/>
      </c>
      <c r="R767" s="20"/>
      <c r="S767" s="20"/>
    </row>
    <row r="768">
      <c r="A768" s="4"/>
      <c r="B768" s="4"/>
      <c r="C768" s="37"/>
      <c r="D768" s="7" t="str">
        <f>IFERROR(__xludf.DUMMYFUNCTION("iferror(iferror(INDEX(IMPORTRANGE(""12vtnxaE_Q1s4tyr10kZQx7ZF_xG0lBFae4jQEUtgsMU"",""All!B2:B""),MATCH($C768,IMPORTRANGE(""12vtnxaE_Q1s4tyr10kZQx7ZF_xG0lBFae4jQEUtgsMU"",""All!A2:A""),0)),INDEX(IMPORTRANGE(""13KC70HngS4DDi8y9E5khtSpQEPG6owaQ9z4E-tR5mnY"","&amp;"""Non-Food!B2:B""),MATCH($C768,IMPORTRANGE(""13KC70HngS4DDi8y9E5khtSpQEPG6owaQ9z4E-tR5mnY"",""Non-Food!A2:A""),0))),"""")"),"")</f>
        <v/>
      </c>
      <c r="E768" s="15"/>
      <c r="F768" s="15"/>
      <c r="G768" s="36"/>
      <c r="H768" s="23" t="str">
        <f>IFERROR(__xludf.DUMMYFUNCTION("iferror(iferror(iferror(index(IMPORTRANGE(""1NK5L1mviMn0j3D3uo53ASkIZOFRlLnqaCTnwzOG2_Wg"",""Direct Link!B2:B""),MATCH($C768,IMPORTRANGE(""1NK5L1mviMn0j3D3uo53ASkIZOFRlLnqaCTnwzOG2_Wg"",""Direct Link!A2:A""),0)),XLOOKUP($C768,IMPORTRANGE(""1NK5L1mviMn0j3D"&amp;"3uo53ASkIZOFRlLnqaCTnwzOG2_Wg"",""Direct links Without Sizes!A2:A""),IMPORTRANGE(""1NK5L1mviMn0j3D3uo53ASkIZOFRlLnqaCTnwzOG2_Wg"",""Direct links Without Sizes!B2:B""))),XLOOKUP($C768,IMPORTRANGE(""1NK5L1mviMn0j3D3uo53ASkIZOFRlLnqaCTnwzOG2_Wg"",""Direct li"&amp;"nks Without Sizes!D2:D""),IMPORTRANGE(""1NK5L1mviMn0j3D3uo53ASkIZOFRlLnqaCTnwzOG2_Wg"",""Direct links Without Sizes!E2:E""))),"""")"),"")</f>
        <v/>
      </c>
      <c r="I768" s="4"/>
      <c r="J768" s="24" t="str">
        <f t="shared" si="1"/>
        <v/>
      </c>
      <c r="K768" s="25"/>
      <c r="L768" s="24" t="str">
        <f t="shared" si="2"/>
        <v/>
      </c>
      <c r="M768" s="4"/>
      <c r="N768" s="23"/>
      <c r="O768" s="23"/>
      <c r="P768" s="23"/>
      <c r="Q768" s="4" t="str">
        <f t="shared" si="4"/>
        <v/>
      </c>
      <c r="R768" s="20"/>
      <c r="S768" s="20"/>
    </row>
    <row r="769">
      <c r="A769" s="4"/>
      <c r="B769" s="4"/>
      <c r="C769" s="37"/>
      <c r="D769" s="7" t="str">
        <f>IFERROR(__xludf.DUMMYFUNCTION("iferror(iferror(INDEX(IMPORTRANGE(""12vtnxaE_Q1s4tyr10kZQx7ZF_xG0lBFae4jQEUtgsMU"",""All!B2:B""),MATCH($C769,IMPORTRANGE(""12vtnxaE_Q1s4tyr10kZQx7ZF_xG0lBFae4jQEUtgsMU"",""All!A2:A""),0)),INDEX(IMPORTRANGE(""13KC70HngS4DDi8y9E5khtSpQEPG6owaQ9z4E-tR5mnY"","&amp;"""Non-Food!B2:B""),MATCH($C769,IMPORTRANGE(""13KC70HngS4DDi8y9E5khtSpQEPG6owaQ9z4E-tR5mnY"",""Non-Food!A2:A""),0))),"""")"),"")</f>
        <v/>
      </c>
      <c r="E769" s="15"/>
      <c r="F769" s="15"/>
      <c r="G769" s="36"/>
      <c r="H769" s="23" t="str">
        <f>IFERROR(__xludf.DUMMYFUNCTION("iferror(iferror(iferror(index(IMPORTRANGE(""1NK5L1mviMn0j3D3uo53ASkIZOFRlLnqaCTnwzOG2_Wg"",""Direct Link!B2:B""),MATCH($C769,IMPORTRANGE(""1NK5L1mviMn0j3D3uo53ASkIZOFRlLnqaCTnwzOG2_Wg"",""Direct Link!A2:A""),0)),XLOOKUP($C769,IMPORTRANGE(""1NK5L1mviMn0j3D"&amp;"3uo53ASkIZOFRlLnqaCTnwzOG2_Wg"",""Direct links Without Sizes!A2:A""),IMPORTRANGE(""1NK5L1mviMn0j3D3uo53ASkIZOFRlLnqaCTnwzOG2_Wg"",""Direct links Without Sizes!B2:B""))),XLOOKUP($C769,IMPORTRANGE(""1NK5L1mviMn0j3D3uo53ASkIZOFRlLnqaCTnwzOG2_Wg"",""Direct li"&amp;"nks Without Sizes!D2:D""),IMPORTRANGE(""1NK5L1mviMn0j3D3uo53ASkIZOFRlLnqaCTnwzOG2_Wg"",""Direct links Without Sizes!E2:E""))),"""")"),"")</f>
        <v/>
      </c>
      <c r="I769" s="4"/>
      <c r="J769" s="24" t="str">
        <f t="shared" si="1"/>
        <v/>
      </c>
      <c r="K769" s="25"/>
      <c r="L769" s="24" t="str">
        <f t="shared" si="2"/>
        <v/>
      </c>
      <c r="M769" s="4"/>
      <c r="N769" s="23"/>
      <c r="O769" s="23"/>
      <c r="P769" s="23"/>
      <c r="Q769" s="4" t="str">
        <f t="shared" si="4"/>
        <v/>
      </c>
      <c r="R769" s="20"/>
      <c r="S769" s="20"/>
    </row>
    <row r="770">
      <c r="A770" s="4"/>
      <c r="B770" s="4"/>
      <c r="C770" s="37"/>
      <c r="D770" s="7" t="str">
        <f>IFERROR(__xludf.DUMMYFUNCTION("iferror(iferror(INDEX(IMPORTRANGE(""12vtnxaE_Q1s4tyr10kZQx7ZF_xG0lBFae4jQEUtgsMU"",""All!B2:B""),MATCH($C770,IMPORTRANGE(""12vtnxaE_Q1s4tyr10kZQx7ZF_xG0lBFae4jQEUtgsMU"",""All!A2:A""),0)),INDEX(IMPORTRANGE(""13KC70HngS4DDi8y9E5khtSpQEPG6owaQ9z4E-tR5mnY"","&amp;"""Non-Food!B2:B""),MATCH($C770,IMPORTRANGE(""13KC70HngS4DDi8y9E5khtSpQEPG6owaQ9z4E-tR5mnY"",""Non-Food!A2:A""),0))),"""")"),"")</f>
        <v/>
      </c>
      <c r="E770" s="15"/>
      <c r="F770" s="15"/>
      <c r="G770" s="36"/>
      <c r="H770" s="23" t="str">
        <f>IFERROR(__xludf.DUMMYFUNCTION("iferror(iferror(iferror(index(IMPORTRANGE(""1NK5L1mviMn0j3D3uo53ASkIZOFRlLnqaCTnwzOG2_Wg"",""Direct Link!B2:B""),MATCH($C770,IMPORTRANGE(""1NK5L1mviMn0j3D3uo53ASkIZOFRlLnqaCTnwzOG2_Wg"",""Direct Link!A2:A""),0)),XLOOKUP($C770,IMPORTRANGE(""1NK5L1mviMn0j3D"&amp;"3uo53ASkIZOFRlLnqaCTnwzOG2_Wg"",""Direct links Without Sizes!A2:A""),IMPORTRANGE(""1NK5L1mviMn0j3D3uo53ASkIZOFRlLnqaCTnwzOG2_Wg"",""Direct links Without Sizes!B2:B""))),XLOOKUP($C770,IMPORTRANGE(""1NK5L1mviMn0j3D3uo53ASkIZOFRlLnqaCTnwzOG2_Wg"",""Direct li"&amp;"nks Without Sizes!D2:D""),IMPORTRANGE(""1NK5L1mviMn0j3D3uo53ASkIZOFRlLnqaCTnwzOG2_Wg"",""Direct links Without Sizes!E2:E""))),"""")"),"")</f>
        <v/>
      </c>
      <c r="I770" s="4"/>
      <c r="J770" s="24" t="str">
        <f t="shared" si="1"/>
        <v/>
      </c>
      <c r="K770" s="25"/>
      <c r="L770" s="24" t="str">
        <f t="shared" si="2"/>
        <v/>
      </c>
      <c r="M770" s="4"/>
      <c r="N770" s="23"/>
      <c r="O770" s="23"/>
      <c r="P770" s="23"/>
      <c r="Q770" s="4" t="str">
        <f t="shared" si="4"/>
        <v/>
      </c>
      <c r="R770" s="20"/>
      <c r="S770" s="20"/>
    </row>
    <row r="771">
      <c r="A771" s="4"/>
      <c r="B771" s="4"/>
      <c r="C771" s="37"/>
      <c r="D771" s="7" t="str">
        <f>IFERROR(__xludf.DUMMYFUNCTION("iferror(iferror(INDEX(IMPORTRANGE(""12vtnxaE_Q1s4tyr10kZQx7ZF_xG0lBFae4jQEUtgsMU"",""All!B2:B""),MATCH($C771,IMPORTRANGE(""12vtnxaE_Q1s4tyr10kZQx7ZF_xG0lBFae4jQEUtgsMU"",""All!A2:A""),0)),INDEX(IMPORTRANGE(""13KC70HngS4DDi8y9E5khtSpQEPG6owaQ9z4E-tR5mnY"","&amp;"""Non-Food!B2:B""),MATCH($C771,IMPORTRANGE(""13KC70HngS4DDi8y9E5khtSpQEPG6owaQ9z4E-tR5mnY"",""Non-Food!A2:A""),0))),"""")"),"")</f>
        <v/>
      </c>
      <c r="E771" s="15"/>
      <c r="F771" s="15"/>
      <c r="G771" s="36"/>
      <c r="H771" s="23" t="str">
        <f>IFERROR(__xludf.DUMMYFUNCTION("iferror(iferror(iferror(index(IMPORTRANGE(""1NK5L1mviMn0j3D3uo53ASkIZOFRlLnqaCTnwzOG2_Wg"",""Direct Link!B2:B""),MATCH($C771,IMPORTRANGE(""1NK5L1mviMn0j3D3uo53ASkIZOFRlLnqaCTnwzOG2_Wg"",""Direct Link!A2:A""),0)),XLOOKUP($C771,IMPORTRANGE(""1NK5L1mviMn0j3D"&amp;"3uo53ASkIZOFRlLnqaCTnwzOG2_Wg"",""Direct links Without Sizes!A2:A""),IMPORTRANGE(""1NK5L1mviMn0j3D3uo53ASkIZOFRlLnqaCTnwzOG2_Wg"",""Direct links Without Sizes!B2:B""))),XLOOKUP($C771,IMPORTRANGE(""1NK5L1mviMn0j3D3uo53ASkIZOFRlLnqaCTnwzOG2_Wg"",""Direct li"&amp;"nks Without Sizes!D2:D""),IMPORTRANGE(""1NK5L1mviMn0j3D3uo53ASkIZOFRlLnqaCTnwzOG2_Wg"",""Direct links Without Sizes!E2:E""))),"""")"),"")</f>
        <v/>
      </c>
      <c r="I771" s="4"/>
      <c r="J771" s="24" t="str">
        <f t="shared" si="1"/>
        <v/>
      </c>
      <c r="K771" s="25"/>
      <c r="L771" s="24" t="str">
        <f t="shared" si="2"/>
        <v/>
      </c>
      <c r="M771" s="4"/>
      <c r="N771" s="23"/>
      <c r="O771" s="23"/>
      <c r="P771" s="23"/>
      <c r="Q771" s="4" t="str">
        <f t="shared" si="4"/>
        <v/>
      </c>
      <c r="R771" s="20"/>
      <c r="S771" s="20"/>
    </row>
    <row r="772">
      <c r="A772" s="4"/>
      <c r="B772" s="4"/>
      <c r="C772" s="37"/>
      <c r="D772" s="7" t="str">
        <f>IFERROR(__xludf.DUMMYFUNCTION("iferror(iferror(INDEX(IMPORTRANGE(""12vtnxaE_Q1s4tyr10kZQx7ZF_xG0lBFae4jQEUtgsMU"",""All!B2:B""),MATCH($C772,IMPORTRANGE(""12vtnxaE_Q1s4tyr10kZQx7ZF_xG0lBFae4jQEUtgsMU"",""All!A2:A""),0)),INDEX(IMPORTRANGE(""13KC70HngS4DDi8y9E5khtSpQEPG6owaQ9z4E-tR5mnY"","&amp;"""Non-Food!B2:B""),MATCH($C772,IMPORTRANGE(""13KC70HngS4DDi8y9E5khtSpQEPG6owaQ9z4E-tR5mnY"",""Non-Food!A2:A""),0))),"""")"),"")</f>
        <v/>
      </c>
      <c r="E772" s="15"/>
      <c r="F772" s="15"/>
      <c r="G772" s="36"/>
      <c r="H772" s="23" t="str">
        <f>IFERROR(__xludf.DUMMYFUNCTION("iferror(iferror(iferror(index(IMPORTRANGE(""1NK5L1mviMn0j3D3uo53ASkIZOFRlLnqaCTnwzOG2_Wg"",""Direct Link!B2:B""),MATCH($C772,IMPORTRANGE(""1NK5L1mviMn0j3D3uo53ASkIZOFRlLnqaCTnwzOG2_Wg"",""Direct Link!A2:A""),0)),XLOOKUP($C772,IMPORTRANGE(""1NK5L1mviMn0j3D"&amp;"3uo53ASkIZOFRlLnqaCTnwzOG2_Wg"",""Direct links Without Sizes!A2:A""),IMPORTRANGE(""1NK5L1mviMn0j3D3uo53ASkIZOFRlLnqaCTnwzOG2_Wg"",""Direct links Without Sizes!B2:B""))),XLOOKUP($C772,IMPORTRANGE(""1NK5L1mviMn0j3D3uo53ASkIZOFRlLnqaCTnwzOG2_Wg"",""Direct li"&amp;"nks Without Sizes!D2:D""),IMPORTRANGE(""1NK5L1mviMn0j3D3uo53ASkIZOFRlLnqaCTnwzOG2_Wg"",""Direct links Without Sizes!E2:E""))),"""")"),"")</f>
        <v/>
      </c>
      <c r="I772" s="4"/>
      <c r="J772" s="24" t="str">
        <f t="shared" si="1"/>
        <v/>
      </c>
      <c r="K772" s="25"/>
      <c r="L772" s="24" t="str">
        <f t="shared" si="2"/>
        <v/>
      </c>
      <c r="M772" s="4"/>
      <c r="N772" s="23"/>
      <c r="O772" s="23"/>
      <c r="P772" s="23"/>
      <c r="Q772" s="4" t="str">
        <f t="shared" si="4"/>
        <v/>
      </c>
      <c r="R772" s="20"/>
      <c r="S772" s="20"/>
    </row>
    <row r="773">
      <c r="A773" s="4"/>
      <c r="B773" s="4"/>
      <c r="C773" s="37"/>
      <c r="D773" s="7" t="str">
        <f>IFERROR(__xludf.DUMMYFUNCTION("iferror(iferror(INDEX(IMPORTRANGE(""12vtnxaE_Q1s4tyr10kZQx7ZF_xG0lBFae4jQEUtgsMU"",""All!B2:B""),MATCH($C773,IMPORTRANGE(""12vtnxaE_Q1s4tyr10kZQx7ZF_xG0lBFae4jQEUtgsMU"",""All!A2:A""),0)),INDEX(IMPORTRANGE(""13KC70HngS4DDi8y9E5khtSpQEPG6owaQ9z4E-tR5mnY"","&amp;"""Non-Food!B2:B""),MATCH($C773,IMPORTRANGE(""13KC70HngS4DDi8y9E5khtSpQEPG6owaQ9z4E-tR5mnY"",""Non-Food!A2:A""),0))),"""")"),"")</f>
        <v/>
      </c>
      <c r="E773" s="15"/>
      <c r="F773" s="15"/>
      <c r="G773" s="36"/>
      <c r="H773" s="23" t="str">
        <f>IFERROR(__xludf.DUMMYFUNCTION("iferror(iferror(iferror(index(IMPORTRANGE(""1NK5L1mviMn0j3D3uo53ASkIZOFRlLnqaCTnwzOG2_Wg"",""Direct Link!B2:B""),MATCH($C773,IMPORTRANGE(""1NK5L1mviMn0j3D3uo53ASkIZOFRlLnqaCTnwzOG2_Wg"",""Direct Link!A2:A""),0)),XLOOKUP($C773,IMPORTRANGE(""1NK5L1mviMn0j3D"&amp;"3uo53ASkIZOFRlLnqaCTnwzOG2_Wg"",""Direct links Without Sizes!A2:A""),IMPORTRANGE(""1NK5L1mviMn0j3D3uo53ASkIZOFRlLnqaCTnwzOG2_Wg"",""Direct links Without Sizes!B2:B""))),XLOOKUP($C773,IMPORTRANGE(""1NK5L1mviMn0j3D3uo53ASkIZOFRlLnqaCTnwzOG2_Wg"",""Direct li"&amp;"nks Without Sizes!D2:D""),IMPORTRANGE(""1NK5L1mviMn0j3D3uo53ASkIZOFRlLnqaCTnwzOG2_Wg"",""Direct links Without Sizes!E2:E""))),"""")"),"")</f>
        <v/>
      </c>
      <c r="I773" s="4"/>
      <c r="J773" s="24" t="str">
        <f t="shared" si="1"/>
        <v/>
      </c>
      <c r="K773" s="25"/>
      <c r="L773" s="24" t="str">
        <f t="shared" si="2"/>
        <v/>
      </c>
      <c r="M773" s="4"/>
      <c r="N773" s="23"/>
      <c r="O773" s="23"/>
      <c r="P773" s="23"/>
      <c r="Q773" s="4" t="str">
        <f t="shared" si="4"/>
        <v/>
      </c>
      <c r="R773" s="20"/>
      <c r="S773" s="20"/>
    </row>
    <row r="774">
      <c r="A774" s="4"/>
      <c r="B774" s="4"/>
      <c r="C774" s="37"/>
      <c r="D774" s="7" t="str">
        <f>IFERROR(__xludf.DUMMYFUNCTION("iferror(iferror(INDEX(IMPORTRANGE(""12vtnxaE_Q1s4tyr10kZQx7ZF_xG0lBFae4jQEUtgsMU"",""All!B2:B""),MATCH($C774,IMPORTRANGE(""12vtnxaE_Q1s4tyr10kZQx7ZF_xG0lBFae4jQEUtgsMU"",""All!A2:A""),0)),INDEX(IMPORTRANGE(""13KC70HngS4DDi8y9E5khtSpQEPG6owaQ9z4E-tR5mnY"","&amp;"""Non-Food!B2:B""),MATCH($C774,IMPORTRANGE(""13KC70HngS4DDi8y9E5khtSpQEPG6owaQ9z4E-tR5mnY"",""Non-Food!A2:A""),0))),"""")"),"")</f>
        <v/>
      </c>
      <c r="E774" s="15"/>
      <c r="F774" s="15"/>
      <c r="G774" s="36"/>
      <c r="H774" s="23" t="str">
        <f>IFERROR(__xludf.DUMMYFUNCTION("iferror(iferror(iferror(index(IMPORTRANGE(""1NK5L1mviMn0j3D3uo53ASkIZOFRlLnqaCTnwzOG2_Wg"",""Direct Link!B2:B""),MATCH($C774,IMPORTRANGE(""1NK5L1mviMn0j3D3uo53ASkIZOFRlLnqaCTnwzOG2_Wg"",""Direct Link!A2:A""),0)),XLOOKUP($C774,IMPORTRANGE(""1NK5L1mviMn0j3D"&amp;"3uo53ASkIZOFRlLnqaCTnwzOG2_Wg"",""Direct links Without Sizes!A2:A""),IMPORTRANGE(""1NK5L1mviMn0j3D3uo53ASkIZOFRlLnqaCTnwzOG2_Wg"",""Direct links Without Sizes!B2:B""))),XLOOKUP($C774,IMPORTRANGE(""1NK5L1mviMn0j3D3uo53ASkIZOFRlLnqaCTnwzOG2_Wg"",""Direct li"&amp;"nks Without Sizes!D2:D""),IMPORTRANGE(""1NK5L1mviMn0j3D3uo53ASkIZOFRlLnqaCTnwzOG2_Wg"",""Direct links Without Sizes!E2:E""))),"""")"),"")</f>
        <v/>
      </c>
      <c r="I774" s="4"/>
      <c r="J774" s="24" t="str">
        <f t="shared" si="1"/>
        <v/>
      </c>
      <c r="K774" s="25"/>
      <c r="L774" s="24" t="str">
        <f t="shared" si="2"/>
        <v/>
      </c>
      <c r="M774" s="4"/>
      <c r="N774" s="23"/>
      <c r="O774" s="23"/>
      <c r="P774" s="23"/>
      <c r="Q774" s="4" t="str">
        <f t="shared" si="4"/>
        <v/>
      </c>
      <c r="R774" s="20"/>
      <c r="S774" s="20"/>
    </row>
    <row r="775">
      <c r="A775" s="4"/>
      <c r="B775" s="4"/>
      <c r="C775" s="37"/>
      <c r="D775" s="7" t="str">
        <f>IFERROR(__xludf.DUMMYFUNCTION("iferror(iferror(INDEX(IMPORTRANGE(""12vtnxaE_Q1s4tyr10kZQx7ZF_xG0lBFae4jQEUtgsMU"",""All!B2:B""),MATCH($C775,IMPORTRANGE(""12vtnxaE_Q1s4tyr10kZQx7ZF_xG0lBFae4jQEUtgsMU"",""All!A2:A""),0)),INDEX(IMPORTRANGE(""13KC70HngS4DDi8y9E5khtSpQEPG6owaQ9z4E-tR5mnY"","&amp;"""Non-Food!B2:B""),MATCH($C775,IMPORTRANGE(""13KC70HngS4DDi8y9E5khtSpQEPG6owaQ9z4E-tR5mnY"",""Non-Food!A2:A""),0))),"""")"),"")</f>
        <v/>
      </c>
      <c r="E775" s="15"/>
      <c r="F775" s="15"/>
      <c r="G775" s="36"/>
      <c r="H775" s="23" t="str">
        <f>IFERROR(__xludf.DUMMYFUNCTION("iferror(iferror(iferror(index(IMPORTRANGE(""1NK5L1mviMn0j3D3uo53ASkIZOFRlLnqaCTnwzOG2_Wg"",""Direct Link!B2:B""),MATCH($C775,IMPORTRANGE(""1NK5L1mviMn0j3D3uo53ASkIZOFRlLnqaCTnwzOG2_Wg"",""Direct Link!A2:A""),0)),XLOOKUP($C775,IMPORTRANGE(""1NK5L1mviMn0j3D"&amp;"3uo53ASkIZOFRlLnqaCTnwzOG2_Wg"",""Direct links Without Sizes!A2:A""),IMPORTRANGE(""1NK5L1mviMn0j3D3uo53ASkIZOFRlLnqaCTnwzOG2_Wg"",""Direct links Without Sizes!B2:B""))),XLOOKUP($C775,IMPORTRANGE(""1NK5L1mviMn0j3D3uo53ASkIZOFRlLnqaCTnwzOG2_Wg"",""Direct li"&amp;"nks Without Sizes!D2:D""),IMPORTRANGE(""1NK5L1mviMn0j3D3uo53ASkIZOFRlLnqaCTnwzOG2_Wg"",""Direct links Without Sizes!E2:E""))),"""")"),"")</f>
        <v/>
      </c>
      <c r="I775" s="4"/>
      <c r="J775" s="24" t="str">
        <f t="shared" si="1"/>
        <v/>
      </c>
      <c r="K775" s="25"/>
      <c r="L775" s="24" t="str">
        <f t="shared" si="2"/>
        <v/>
      </c>
      <c r="M775" s="4"/>
      <c r="N775" s="23"/>
      <c r="O775" s="23"/>
      <c r="P775" s="23"/>
      <c r="Q775" s="4" t="str">
        <f t="shared" si="4"/>
        <v/>
      </c>
      <c r="R775" s="20"/>
      <c r="S775" s="20"/>
    </row>
    <row r="776">
      <c r="A776" s="4"/>
      <c r="B776" s="4"/>
      <c r="C776" s="37"/>
      <c r="D776" s="7" t="str">
        <f>IFERROR(__xludf.DUMMYFUNCTION("iferror(iferror(INDEX(IMPORTRANGE(""12vtnxaE_Q1s4tyr10kZQx7ZF_xG0lBFae4jQEUtgsMU"",""All!B2:B""),MATCH($C776,IMPORTRANGE(""12vtnxaE_Q1s4tyr10kZQx7ZF_xG0lBFae4jQEUtgsMU"",""All!A2:A""),0)),INDEX(IMPORTRANGE(""13KC70HngS4DDi8y9E5khtSpQEPG6owaQ9z4E-tR5mnY"","&amp;"""Non-Food!B2:B""),MATCH($C776,IMPORTRANGE(""13KC70HngS4DDi8y9E5khtSpQEPG6owaQ9z4E-tR5mnY"",""Non-Food!A2:A""),0))),"""")"),"")</f>
        <v/>
      </c>
      <c r="E776" s="15"/>
      <c r="F776" s="15"/>
      <c r="G776" s="36"/>
      <c r="H776" s="23" t="str">
        <f>IFERROR(__xludf.DUMMYFUNCTION("iferror(iferror(iferror(index(IMPORTRANGE(""1NK5L1mviMn0j3D3uo53ASkIZOFRlLnqaCTnwzOG2_Wg"",""Direct Link!B2:B""),MATCH($C776,IMPORTRANGE(""1NK5L1mviMn0j3D3uo53ASkIZOFRlLnqaCTnwzOG2_Wg"",""Direct Link!A2:A""),0)),XLOOKUP($C776,IMPORTRANGE(""1NK5L1mviMn0j3D"&amp;"3uo53ASkIZOFRlLnqaCTnwzOG2_Wg"",""Direct links Without Sizes!A2:A""),IMPORTRANGE(""1NK5L1mviMn0j3D3uo53ASkIZOFRlLnqaCTnwzOG2_Wg"",""Direct links Without Sizes!B2:B""))),XLOOKUP($C776,IMPORTRANGE(""1NK5L1mviMn0j3D3uo53ASkIZOFRlLnqaCTnwzOG2_Wg"",""Direct li"&amp;"nks Without Sizes!D2:D""),IMPORTRANGE(""1NK5L1mviMn0j3D3uo53ASkIZOFRlLnqaCTnwzOG2_Wg"",""Direct links Without Sizes!E2:E""))),"""")"),"")</f>
        <v/>
      </c>
      <c r="I776" s="4"/>
      <c r="J776" s="24" t="str">
        <f t="shared" si="1"/>
        <v/>
      </c>
      <c r="K776" s="25"/>
      <c r="L776" s="24" t="str">
        <f t="shared" si="2"/>
        <v/>
      </c>
      <c r="M776" s="4"/>
      <c r="N776" s="23"/>
      <c r="O776" s="23"/>
      <c r="P776" s="23"/>
      <c r="Q776" s="4" t="str">
        <f t="shared" si="4"/>
        <v/>
      </c>
      <c r="R776" s="20"/>
      <c r="S776" s="20"/>
    </row>
    <row r="777">
      <c r="A777" s="4"/>
      <c r="B777" s="4"/>
      <c r="C777" s="37"/>
      <c r="D777" s="7" t="str">
        <f>IFERROR(__xludf.DUMMYFUNCTION("iferror(iferror(INDEX(IMPORTRANGE(""12vtnxaE_Q1s4tyr10kZQx7ZF_xG0lBFae4jQEUtgsMU"",""All!B2:B""),MATCH($C777,IMPORTRANGE(""12vtnxaE_Q1s4tyr10kZQx7ZF_xG0lBFae4jQEUtgsMU"",""All!A2:A""),0)),INDEX(IMPORTRANGE(""13KC70HngS4DDi8y9E5khtSpQEPG6owaQ9z4E-tR5mnY"","&amp;"""Non-Food!B2:B""),MATCH($C777,IMPORTRANGE(""13KC70HngS4DDi8y9E5khtSpQEPG6owaQ9z4E-tR5mnY"",""Non-Food!A2:A""),0))),"""")"),"")</f>
        <v/>
      </c>
      <c r="E777" s="15"/>
      <c r="F777" s="15"/>
      <c r="G777" s="36"/>
      <c r="H777" s="23" t="str">
        <f>IFERROR(__xludf.DUMMYFUNCTION("iferror(iferror(iferror(index(IMPORTRANGE(""1NK5L1mviMn0j3D3uo53ASkIZOFRlLnqaCTnwzOG2_Wg"",""Direct Link!B2:B""),MATCH($C777,IMPORTRANGE(""1NK5L1mviMn0j3D3uo53ASkIZOFRlLnqaCTnwzOG2_Wg"",""Direct Link!A2:A""),0)),XLOOKUP($C777,IMPORTRANGE(""1NK5L1mviMn0j3D"&amp;"3uo53ASkIZOFRlLnqaCTnwzOG2_Wg"",""Direct links Without Sizes!A2:A""),IMPORTRANGE(""1NK5L1mviMn0j3D3uo53ASkIZOFRlLnqaCTnwzOG2_Wg"",""Direct links Without Sizes!B2:B""))),XLOOKUP($C777,IMPORTRANGE(""1NK5L1mviMn0j3D3uo53ASkIZOFRlLnqaCTnwzOG2_Wg"",""Direct li"&amp;"nks Without Sizes!D2:D""),IMPORTRANGE(""1NK5L1mviMn0j3D3uo53ASkIZOFRlLnqaCTnwzOG2_Wg"",""Direct links Without Sizes!E2:E""))),"""")"),"")</f>
        <v/>
      </c>
      <c r="I777" s="4"/>
      <c r="J777" s="24" t="str">
        <f t="shared" si="1"/>
        <v/>
      </c>
      <c r="K777" s="25"/>
      <c r="L777" s="24" t="str">
        <f t="shared" si="2"/>
        <v/>
      </c>
      <c r="M777" s="4"/>
      <c r="N777" s="23"/>
      <c r="O777" s="23"/>
      <c r="P777" s="23"/>
      <c r="Q777" s="4" t="str">
        <f t="shared" si="4"/>
        <v/>
      </c>
      <c r="R777" s="20"/>
      <c r="S777" s="20"/>
    </row>
    <row r="778">
      <c r="A778" s="4"/>
      <c r="B778" s="4"/>
      <c r="C778" s="37"/>
      <c r="D778" s="7" t="str">
        <f>IFERROR(__xludf.DUMMYFUNCTION("iferror(iferror(INDEX(IMPORTRANGE(""12vtnxaE_Q1s4tyr10kZQx7ZF_xG0lBFae4jQEUtgsMU"",""All!B2:B""),MATCH($C778,IMPORTRANGE(""12vtnxaE_Q1s4tyr10kZQx7ZF_xG0lBFae4jQEUtgsMU"",""All!A2:A""),0)),INDEX(IMPORTRANGE(""13KC70HngS4DDi8y9E5khtSpQEPG6owaQ9z4E-tR5mnY"","&amp;"""Non-Food!B2:B""),MATCH($C778,IMPORTRANGE(""13KC70HngS4DDi8y9E5khtSpQEPG6owaQ9z4E-tR5mnY"",""Non-Food!A2:A""),0))),"""")"),"")</f>
        <v/>
      </c>
      <c r="E778" s="15"/>
      <c r="F778" s="15"/>
      <c r="G778" s="36"/>
      <c r="H778" s="23" t="str">
        <f>IFERROR(__xludf.DUMMYFUNCTION("iferror(iferror(iferror(index(IMPORTRANGE(""1NK5L1mviMn0j3D3uo53ASkIZOFRlLnqaCTnwzOG2_Wg"",""Direct Link!B2:B""),MATCH($C778,IMPORTRANGE(""1NK5L1mviMn0j3D3uo53ASkIZOFRlLnqaCTnwzOG2_Wg"",""Direct Link!A2:A""),0)),XLOOKUP($C778,IMPORTRANGE(""1NK5L1mviMn0j3D"&amp;"3uo53ASkIZOFRlLnqaCTnwzOG2_Wg"",""Direct links Without Sizes!A2:A""),IMPORTRANGE(""1NK5L1mviMn0j3D3uo53ASkIZOFRlLnqaCTnwzOG2_Wg"",""Direct links Without Sizes!B2:B""))),XLOOKUP($C778,IMPORTRANGE(""1NK5L1mviMn0j3D3uo53ASkIZOFRlLnqaCTnwzOG2_Wg"",""Direct li"&amp;"nks Without Sizes!D2:D""),IMPORTRANGE(""1NK5L1mviMn0j3D3uo53ASkIZOFRlLnqaCTnwzOG2_Wg"",""Direct links Without Sizes!E2:E""))),"""")"),"")</f>
        <v/>
      </c>
      <c r="I778" s="4"/>
      <c r="J778" s="24" t="str">
        <f t="shared" si="1"/>
        <v/>
      </c>
      <c r="K778" s="25"/>
      <c r="L778" s="24" t="str">
        <f t="shared" si="2"/>
        <v/>
      </c>
      <c r="M778" s="4"/>
      <c r="N778" s="23"/>
      <c r="O778" s="23"/>
      <c r="P778" s="23"/>
      <c r="Q778" s="4" t="str">
        <f t="shared" si="4"/>
        <v/>
      </c>
      <c r="R778" s="20"/>
      <c r="S778" s="20"/>
    </row>
    <row r="779">
      <c r="A779" s="4"/>
      <c r="B779" s="4"/>
      <c r="C779" s="37"/>
      <c r="D779" s="7" t="str">
        <f>IFERROR(__xludf.DUMMYFUNCTION("iferror(iferror(INDEX(IMPORTRANGE(""12vtnxaE_Q1s4tyr10kZQx7ZF_xG0lBFae4jQEUtgsMU"",""All!B2:B""),MATCH($C779,IMPORTRANGE(""12vtnxaE_Q1s4tyr10kZQx7ZF_xG0lBFae4jQEUtgsMU"",""All!A2:A""),0)),INDEX(IMPORTRANGE(""13KC70HngS4DDi8y9E5khtSpQEPG6owaQ9z4E-tR5mnY"","&amp;"""Non-Food!B2:B""),MATCH($C779,IMPORTRANGE(""13KC70HngS4DDi8y9E5khtSpQEPG6owaQ9z4E-tR5mnY"",""Non-Food!A2:A""),0))),"""")"),"")</f>
        <v/>
      </c>
      <c r="E779" s="15"/>
      <c r="F779" s="15"/>
      <c r="G779" s="36"/>
      <c r="H779" s="23" t="str">
        <f>IFERROR(__xludf.DUMMYFUNCTION("iferror(iferror(iferror(index(IMPORTRANGE(""1NK5L1mviMn0j3D3uo53ASkIZOFRlLnqaCTnwzOG2_Wg"",""Direct Link!B2:B""),MATCH($C779,IMPORTRANGE(""1NK5L1mviMn0j3D3uo53ASkIZOFRlLnqaCTnwzOG2_Wg"",""Direct Link!A2:A""),0)),XLOOKUP($C779,IMPORTRANGE(""1NK5L1mviMn0j3D"&amp;"3uo53ASkIZOFRlLnqaCTnwzOG2_Wg"",""Direct links Without Sizes!A2:A""),IMPORTRANGE(""1NK5L1mviMn0j3D3uo53ASkIZOFRlLnqaCTnwzOG2_Wg"",""Direct links Without Sizes!B2:B""))),XLOOKUP($C779,IMPORTRANGE(""1NK5L1mviMn0j3D3uo53ASkIZOFRlLnqaCTnwzOG2_Wg"",""Direct li"&amp;"nks Without Sizes!D2:D""),IMPORTRANGE(""1NK5L1mviMn0j3D3uo53ASkIZOFRlLnqaCTnwzOG2_Wg"",""Direct links Without Sizes!E2:E""))),"""")"),"")</f>
        <v/>
      </c>
      <c r="I779" s="4"/>
      <c r="J779" s="24" t="str">
        <f t="shared" si="1"/>
        <v/>
      </c>
      <c r="K779" s="25"/>
      <c r="L779" s="24" t="str">
        <f t="shared" si="2"/>
        <v/>
      </c>
      <c r="M779" s="4"/>
      <c r="N779" s="23"/>
      <c r="O779" s="23"/>
      <c r="P779" s="23"/>
      <c r="Q779" s="4" t="str">
        <f t="shared" si="4"/>
        <v/>
      </c>
      <c r="R779" s="20"/>
      <c r="S779" s="20"/>
    </row>
    <row r="780">
      <c r="A780" s="4"/>
      <c r="B780" s="4"/>
      <c r="C780" s="37"/>
      <c r="D780" s="7" t="str">
        <f>IFERROR(__xludf.DUMMYFUNCTION("iferror(iferror(INDEX(IMPORTRANGE(""12vtnxaE_Q1s4tyr10kZQx7ZF_xG0lBFae4jQEUtgsMU"",""All!B2:B""),MATCH($C780,IMPORTRANGE(""12vtnxaE_Q1s4tyr10kZQx7ZF_xG0lBFae4jQEUtgsMU"",""All!A2:A""),0)),INDEX(IMPORTRANGE(""13KC70HngS4DDi8y9E5khtSpQEPG6owaQ9z4E-tR5mnY"","&amp;"""Non-Food!B2:B""),MATCH($C780,IMPORTRANGE(""13KC70HngS4DDi8y9E5khtSpQEPG6owaQ9z4E-tR5mnY"",""Non-Food!A2:A""),0))),"""")"),"")</f>
        <v/>
      </c>
      <c r="E780" s="15"/>
      <c r="F780" s="15"/>
      <c r="G780" s="36"/>
      <c r="H780" s="23" t="str">
        <f>IFERROR(__xludf.DUMMYFUNCTION("iferror(iferror(iferror(index(IMPORTRANGE(""1NK5L1mviMn0j3D3uo53ASkIZOFRlLnqaCTnwzOG2_Wg"",""Direct Link!B2:B""),MATCH($C780,IMPORTRANGE(""1NK5L1mviMn0j3D3uo53ASkIZOFRlLnqaCTnwzOG2_Wg"",""Direct Link!A2:A""),0)),XLOOKUP($C780,IMPORTRANGE(""1NK5L1mviMn0j3D"&amp;"3uo53ASkIZOFRlLnqaCTnwzOG2_Wg"",""Direct links Without Sizes!A2:A""),IMPORTRANGE(""1NK5L1mviMn0j3D3uo53ASkIZOFRlLnqaCTnwzOG2_Wg"",""Direct links Without Sizes!B2:B""))),XLOOKUP($C780,IMPORTRANGE(""1NK5L1mviMn0j3D3uo53ASkIZOFRlLnqaCTnwzOG2_Wg"",""Direct li"&amp;"nks Without Sizes!D2:D""),IMPORTRANGE(""1NK5L1mviMn0j3D3uo53ASkIZOFRlLnqaCTnwzOG2_Wg"",""Direct links Without Sizes!E2:E""))),"""")"),"")</f>
        <v/>
      </c>
      <c r="I780" s="4"/>
      <c r="J780" s="24" t="str">
        <f t="shared" si="1"/>
        <v/>
      </c>
      <c r="K780" s="25"/>
      <c r="L780" s="24" t="str">
        <f t="shared" si="2"/>
        <v/>
      </c>
      <c r="M780" s="4"/>
      <c r="N780" s="23"/>
      <c r="O780" s="23"/>
      <c r="P780" s="23"/>
      <c r="Q780" s="4" t="str">
        <f t="shared" si="4"/>
        <v/>
      </c>
      <c r="R780" s="20"/>
      <c r="S780" s="20"/>
    </row>
    <row r="781">
      <c r="A781" s="4"/>
      <c r="B781" s="4"/>
      <c r="C781" s="37"/>
      <c r="D781" s="7" t="str">
        <f>IFERROR(__xludf.DUMMYFUNCTION("iferror(iferror(INDEX(IMPORTRANGE(""12vtnxaE_Q1s4tyr10kZQx7ZF_xG0lBFae4jQEUtgsMU"",""All!B2:B""),MATCH($C781,IMPORTRANGE(""12vtnxaE_Q1s4tyr10kZQx7ZF_xG0lBFae4jQEUtgsMU"",""All!A2:A""),0)),INDEX(IMPORTRANGE(""13KC70HngS4DDi8y9E5khtSpQEPG6owaQ9z4E-tR5mnY"","&amp;"""Non-Food!B2:B""),MATCH($C781,IMPORTRANGE(""13KC70HngS4DDi8y9E5khtSpQEPG6owaQ9z4E-tR5mnY"",""Non-Food!A2:A""),0))),"""")"),"")</f>
        <v/>
      </c>
      <c r="E781" s="15"/>
      <c r="F781" s="15"/>
      <c r="G781" s="36"/>
      <c r="H781" s="23" t="str">
        <f>IFERROR(__xludf.DUMMYFUNCTION("iferror(iferror(iferror(index(IMPORTRANGE(""1NK5L1mviMn0j3D3uo53ASkIZOFRlLnqaCTnwzOG2_Wg"",""Direct Link!B2:B""),MATCH($C781,IMPORTRANGE(""1NK5L1mviMn0j3D3uo53ASkIZOFRlLnqaCTnwzOG2_Wg"",""Direct Link!A2:A""),0)),XLOOKUP($C781,IMPORTRANGE(""1NK5L1mviMn0j3D"&amp;"3uo53ASkIZOFRlLnqaCTnwzOG2_Wg"",""Direct links Without Sizes!A2:A""),IMPORTRANGE(""1NK5L1mviMn0j3D3uo53ASkIZOFRlLnqaCTnwzOG2_Wg"",""Direct links Without Sizes!B2:B""))),XLOOKUP($C781,IMPORTRANGE(""1NK5L1mviMn0j3D3uo53ASkIZOFRlLnqaCTnwzOG2_Wg"",""Direct li"&amp;"nks Without Sizes!D2:D""),IMPORTRANGE(""1NK5L1mviMn0j3D3uo53ASkIZOFRlLnqaCTnwzOG2_Wg"",""Direct links Without Sizes!E2:E""))),"""")"),"")</f>
        <v/>
      </c>
      <c r="I781" s="4"/>
      <c r="J781" s="24" t="str">
        <f t="shared" si="1"/>
        <v/>
      </c>
      <c r="K781" s="25"/>
      <c r="L781" s="24" t="str">
        <f t="shared" si="2"/>
        <v/>
      </c>
      <c r="M781" s="4"/>
      <c r="N781" s="23"/>
      <c r="O781" s="23"/>
      <c r="P781" s="23"/>
      <c r="Q781" s="4" t="str">
        <f t="shared" si="4"/>
        <v/>
      </c>
      <c r="R781" s="20"/>
      <c r="S781" s="20"/>
    </row>
    <row r="782">
      <c r="A782" s="4"/>
      <c r="B782" s="4"/>
      <c r="C782" s="37"/>
      <c r="D782" s="7" t="str">
        <f>IFERROR(__xludf.DUMMYFUNCTION("iferror(iferror(INDEX(IMPORTRANGE(""12vtnxaE_Q1s4tyr10kZQx7ZF_xG0lBFae4jQEUtgsMU"",""All!B2:B""),MATCH($C782,IMPORTRANGE(""12vtnxaE_Q1s4tyr10kZQx7ZF_xG0lBFae4jQEUtgsMU"",""All!A2:A""),0)),INDEX(IMPORTRANGE(""13KC70HngS4DDi8y9E5khtSpQEPG6owaQ9z4E-tR5mnY"","&amp;"""Non-Food!B2:B""),MATCH($C782,IMPORTRANGE(""13KC70HngS4DDi8y9E5khtSpQEPG6owaQ9z4E-tR5mnY"",""Non-Food!A2:A""),0))),"""")"),"")</f>
        <v/>
      </c>
      <c r="E782" s="15"/>
      <c r="F782" s="15"/>
      <c r="G782" s="36"/>
      <c r="H782" s="23" t="str">
        <f>IFERROR(__xludf.DUMMYFUNCTION("iferror(iferror(iferror(index(IMPORTRANGE(""1NK5L1mviMn0j3D3uo53ASkIZOFRlLnqaCTnwzOG2_Wg"",""Direct Link!B2:B""),MATCH($C782,IMPORTRANGE(""1NK5L1mviMn0j3D3uo53ASkIZOFRlLnqaCTnwzOG2_Wg"",""Direct Link!A2:A""),0)),XLOOKUP($C782,IMPORTRANGE(""1NK5L1mviMn0j3D"&amp;"3uo53ASkIZOFRlLnqaCTnwzOG2_Wg"",""Direct links Without Sizes!A2:A""),IMPORTRANGE(""1NK5L1mviMn0j3D3uo53ASkIZOFRlLnqaCTnwzOG2_Wg"",""Direct links Without Sizes!B2:B""))),XLOOKUP($C782,IMPORTRANGE(""1NK5L1mviMn0j3D3uo53ASkIZOFRlLnqaCTnwzOG2_Wg"",""Direct li"&amp;"nks Without Sizes!D2:D""),IMPORTRANGE(""1NK5L1mviMn0j3D3uo53ASkIZOFRlLnqaCTnwzOG2_Wg"",""Direct links Without Sizes!E2:E""))),"""")"),"")</f>
        <v/>
      </c>
      <c r="I782" s="4"/>
      <c r="J782" s="24" t="str">
        <f t="shared" si="1"/>
        <v/>
      </c>
      <c r="K782" s="25"/>
      <c r="L782" s="24" t="str">
        <f t="shared" si="2"/>
        <v/>
      </c>
      <c r="M782" s="4"/>
      <c r="N782" s="23"/>
      <c r="O782" s="23"/>
      <c r="P782" s="23"/>
      <c r="Q782" s="4" t="str">
        <f t="shared" si="4"/>
        <v/>
      </c>
      <c r="R782" s="20"/>
      <c r="S782" s="20"/>
    </row>
    <row r="783">
      <c r="A783" s="4"/>
      <c r="B783" s="4"/>
      <c r="C783" s="37"/>
      <c r="D783" s="7" t="str">
        <f>IFERROR(__xludf.DUMMYFUNCTION("iferror(iferror(INDEX(IMPORTRANGE(""12vtnxaE_Q1s4tyr10kZQx7ZF_xG0lBFae4jQEUtgsMU"",""All!B2:B""),MATCH($C783,IMPORTRANGE(""12vtnxaE_Q1s4tyr10kZQx7ZF_xG0lBFae4jQEUtgsMU"",""All!A2:A""),0)),INDEX(IMPORTRANGE(""13KC70HngS4DDi8y9E5khtSpQEPG6owaQ9z4E-tR5mnY"","&amp;"""Non-Food!B2:B""),MATCH($C783,IMPORTRANGE(""13KC70HngS4DDi8y9E5khtSpQEPG6owaQ9z4E-tR5mnY"",""Non-Food!A2:A""),0))),"""")"),"")</f>
        <v/>
      </c>
      <c r="E783" s="15"/>
      <c r="F783" s="15"/>
      <c r="G783" s="36"/>
      <c r="H783" s="23" t="str">
        <f>IFERROR(__xludf.DUMMYFUNCTION("iferror(iferror(iferror(index(IMPORTRANGE(""1NK5L1mviMn0j3D3uo53ASkIZOFRlLnqaCTnwzOG2_Wg"",""Direct Link!B2:B""),MATCH($C783,IMPORTRANGE(""1NK5L1mviMn0j3D3uo53ASkIZOFRlLnqaCTnwzOG2_Wg"",""Direct Link!A2:A""),0)),XLOOKUP($C783,IMPORTRANGE(""1NK5L1mviMn0j3D"&amp;"3uo53ASkIZOFRlLnqaCTnwzOG2_Wg"",""Direct links Without Sizes!A2:A""),IMPORTRANGE(""1NK5L1mviMn0j3D3uo53ASkIZOFRlLnqaCTnwzOG2_Wg"",""Direct links Without Sizes!B2:B""))),XLOOKUP($C783,IMPORTRANGE(""1NK5L1mviMn0j3D3uo53ASkIZOFRlLnqaCTnwzOG2_Wg"",""Direct li"&amp;"nks Without Sizes!D2:D""),IMPORTRANGE(""1NK5L1mviMn0j3D3uo53ASkIZOFRlLnqaCTnwzOG2_Wg"",""Direct links Without Sizes!E2:E""))),"""")"),"")</f>
        <v/>
      </c>
      <c r="I783" s="4"/>
      <c r="J783" s="24" t="str">
        <f t="shared" si="1"/>
        <v/>
      </c>
      <c r="K783" s="25"/>
      <c r="L783" s="24" t="str">
        <f t="shared" si="2"/>
        <v/>
      </c>
      <c r="M783" s="4"/>
      <c r="N783" s="23"/>
      <c r="O783" s="23"/>
      <c r="P783" s="23"/>
      <c r="Q783" s="4" t="str">
        <f t="shared" si="4"/>
        <v/>
      </c>
      <c r="R783" s="20"/>
      <c r="S783" s="20"/>
    </row>
    <row r="784">
      <c r="A784" s="4"/>
      <c r="B784" s="4"/>
      <c r="C784" s="37"/>
      <c r="D784" s="7" t="str">
        <f>IFERROR(__xludf.DUMMYFUNCTION("iferror(iferror(INDEX(IMPORTRANGE(""12vtnxaE_Q1s4tyr10kZQx7ZF_xG0lBFae4jQEUtgsMU"",""All!B2:B""),MATCH($C784,IMPORTRANGE(""12vtnxaE_Q1s4tyr10kZQx7ZF_xG0lBFae4jQEUtgsMU"",""All!A2:A""),0)),INDEX(IMPORTRANGE(""13KC70HngS4DDi8y9E5khtSpQEPG6owaQ9z4E-tR5mnY"","&amp;"""Non-Food!B2:B""),MATCH($C784,IMPORTRANGE(""13KC70HngS4DDi8y9E5khtSpQEPG6owaQ9z4E-tR5mnY"",""Non-Food!A2:A""),0))),"""")"),"")</f>
        <v/>
      </c>
      <c r="E784" s="15"/>
      <c r="F784" s="15"/>
      <c r="G784" s="36"/>
      <c r="H784" s="23" t="str">
        <f>IFERROR(__xludf.DUMMYFUNCTION("iferror(iferror(iferror(index(IMPORTRANGE(""1NK5L1mviMn0j3D3uo53ASkIZOFRlLnqaCTnwzOG2_Wg"",""Direct Link!B2:B""),MATCH($C784,IMPORTRANGE(""1NK5L1mviMn0j3D3uo53ASkIZOFRlLnqaCTnwzOG2_Wg"",""Direct Link!A2:A""),0)),XLOOKUP($C784,IMPORTRANGE(""1NK5L1mviMn0j3D"&amp;"3uo53ASkIZOFRlLnqaCTnwzOG2_Wg"",""Direct links Without Sizes!A2:A""),IMPORTRANGE(""1NK5L1mviMn0j3D3uo53ASkIZOFRlLnqaCTnwzOG2_Wg"",""Direct links Without Sizes!B2:B""))),XLOOKUP($C784,IMPORTRANGE(""1NK5L1mviMn0j3D3uo53ASkIZOFRlLnqaCTnwzOG2_Wg"",""Direct li"&amp;"nks Without Sizes!D2:D""),IMPORTRANGE(""1NK5L1mviMn0j3D3uo53ASkIZOFRlLnqaCTnwzOG2_Wg"",""Direct links Without Sizes!E2:E""))),"""")"),"")</f>
        <v/>
      </c>
      <c r="I784" s="4"/>
      <c r="J784" s="24" t="str">
        <f t="shared" si="1"/>
        <v/>
      </c>
      <c r="K784" s="25"/>
      <c r="L784" s="24" t="str">
        <f t="shared" si="2"/>
        <v/>
      </c>
      <c r="M784" s="4"/>
      <c r="N784" s="23"/>
      <c r="O784" s="23"/>
      <c r="P784" s="23"/>
      <c r="Q784" s="4" t="str">
        <f t="shared" si="4"/>
        <v/>
      </c>
      <c r="R784" s="20"/>
      <c r="S784" s="20"/>
    </row>
    <row r="785">
      <c r="A785" s="4"/>
      <c r="B785" s="4"/>
      <c r="C785" s="37"/>
      <c r="D785" s="7" t="str">
        <f>IFERROR(__xludf.DUMMYFUNCTION("iferror(iferror(INDEX(IMPORTRANGE(""12vtnxaE_Q1s4tyr10kZQx7ZF_xG0lBFae4jQEUtgsMU"",""All!B2:B""),MATCH($C785,IMPORTRANGE(""12vtnxaE_Q1s4tyr10kZQx7ZF_xG0lBFae4jQEUtgsMU"",""All!A2:A""),0)),INDEX(IMPORTRANGE(""13KC70HngS4DDi8y9E5khtSpQEPG6owaQ9z4E-tR5mnY"","&amp;"""Non-Food!B2:B""),MATCH($C785,IMPORTRANGE(""13KC70HngS4DDi8y9E5khtSpQEPG6owaQ9z4E-tR5mnY"",""Non-Food!A2:A""),0))),"""")"),"")</f>
        <v/>
      </c>
      <c r="E785" s="15"/>
      <c r="F785" s="15"/>
      <c r="G785" s="36"/>
      <c r="H785" s="23" t="str">
        <f>IFERROR(__xludf.DUMMYFUNCTION("iferror(iferror(iferror(index(IMPORTRANGE(""1NK5L1mviMn0j3D3uo53ASkIZOFRlLnqaCTnwzOG2_Wg"",""Direct Link!B2:B""),MATCH($C785,IMPORTRANGE(""1NK5L1mviMn0j3D3uo53ASkIZOFRlLnqaCTnwzOG2_Wg"",""Direct Link!A2:A""),0)),XLOOKUP($C785,IMPORTRANGE(""1NK5L1mviMn0j3D"&amp;"3uo53ASkIZOFRlLnqaCTnwzOG2_Wg"",""Direct links Without Sizes!A2:A""),IMPORTRANGE(""1NK5L1mviMn0j3D3uo53ASkIZOFRlLnqaCTnwzOG2_Wg"",""Direct links Without Sizes!B2:B""))),XLOOKUP($C785,IMPORTRANGE(""1NK5L1mviMn0j3D3uo53ASkIZOFRlLnqaCTnwzOG2_Wg"",""Direct li"&amp;"nks Without Sizes!D2:D""),IMPORTRANGE(""1NK5L1mviMn0j3D3uo53ASkIZOFRlLnqaCTnwzOG2_Wg"",""Direct links Without Sizes!E2:E""))),"""")"),"")</f>
        <v/>
      </c>
      <c r="I785" s="4"/>
      <c r="J785" s="24" t="str">
        <f t="shared" si="1"/>
        <v/>
      </c>
      <c r="K785" s="25"/>
      <c r="L785" s="24" t="str">
        <f t="shared" si="2"/>
        <v/>
      </c>
      <c r="M785" s="4"/>
      <c r="N785" s="23"/>
      <c r="O785" s="23"/>
      <c r="P785" s="23"/>
      <c r="Q785" s="4" t="str">
        <f t="shared" si="4"/>
        <v/>
      </c>
      <c r="R785" s="20"/>
      <c r="S785" s="20"/>
    </row>
    <row r="786">
      <c r="A786" s="4"/>
      <c r="B786" s="4"/>
      <c r="C786" s="37"/>
      <c r="D786" s="7" t="str">
        <f>IFERROR(__xludf.DUMMYFUNCTION("iferror(iferror(INDEX(IMPORTRANGE(""12vtnxaE_Q1s4tyr10kZQx7ZF_xG0lBFae4jQEUtgsMU"",""All!B2:B""),MATCH($C786,IMPORTRANGE(""12vtnxaE_Q1s4tyr10kZQx7ZF_xG0lBFae4jQEUtgsMU"",""All!A2:A""),0)),INDEX(IMPORTRANGE(""13KC70HngS4DDi8y9E5khtSpQEPG6owaQ9z4E-tR5mnY"","&amp;"""Non-Food!B2:B""),MATCH($C786,IMPORTRANGE(""13KC70HngS4DDi8y9E5khtSpQEPG6owaQ9z4E-tR5mnY"",""Non-Food!A2:A""),0))),"""")"),"")</f>
        <v/>
      </c>
      <c r="E786" s="15"/>
      <c r="F786" s="15"/>
      <c r="G786" s="36"/>
      <c r="H786" s="23" t="str">
        <f>IFERROR(__xludf.DUMMYFUNCTION("iferror(iferror(iferror(index(IMPORTRANGE(""1NK5L1mviMn0j3D3uo53ASkIZOFRlLnqaCTnwzOG2_Wg"",""Direct Link!B2:B""),MATCH($C786,IMPORTRANGE(""1NK5L1mviMn0j3D3uo53ASkIZOFRlLnqaCTnwzOG2_Wg"",""Direct Link!A2:A""),0)),XLOOKUP($C786,IMPORTRANGE(""1NK5L1mviMn0j3D"&amp;"3uo53ASkIZOFRlLnqaCTnwzOG2_Wg"",""Direct links Without Sizes!A2:A""),IMPORTRANGE(""1NK5L1mviMn0j3D3uo53ASkIZOFRlLnqaCTnwzOG2_Wg"",""Direct links Without Sizes!B2:B""))),XLOOKUP($C786,IMPORTRANGE(""1NK5L1mviMn0j3D3uo53ASkIZOFRlLnqaCTnwzOG2_Wg"",""Direct li"&amp;"nks Without Sizes!D2:D""),IMPORTRANGE(""1NK5L1mviMn0j3D3uo53ASkIZOFRlLnqaCTnwzOG2_Wg"",""Direct links Without Sizes!E2:E""))),"""")"),"")</f>
        <v/>
      </c>
      <c r="I786" s="4"/>
      <c r="J786" s="24" t="str">
        <f t="shared" si="1"/>
        <v/>
      </c>
      <c r="K786" s="25"/>
      <c r="L786" s="24" t="str">
        <f t="shared" si="2"/>
        <v/>
      </c>
      <c r="M786" s="4"/>
      <c r="N786" s="23"/>
      <c r="O786" s="23"/>
      <c r="P786" s="23"/>
      <c r="Q786" s="4" t="str">
        <f t="shared" si="4"/>
        <v/>
      </c>
      <c r="R786" s="20"/>
      <c r="S786" s="20"/>
    </row>
    <row r="787">
      <c r="A787" s="4"/>
      <c r="B787" s="4"/>
      <c r="C787" s="37"/>
      <c r="D787" s="7" t="str">
        <f>IFERROR(__xludf.DUMMYFUNCTION("iferror(iferror(INDEX(IMPORTRANGE(""12vtnxaE_Q1s4tyr10kZQx7ZF_xG0lBFae4jQEUtgsMU"",""All!B2:B""),MATCH($C787,IMPORTRANGE(""12vtnxaE_Q1s4tyr10kZQx7ZF_xG0lBFae4jQEUtgsMU"",""All!A2:A""),0)),INDEX(IMPORTRANGE(""13KC70HngS4DDi8y9E5khtSpQEPG6owaQ9z4E-tR5mnY"","&amp;"""Non-Food!B2:B""),MATCH($C787,IMPORTRANGE(""13KC70HngS4DDi8y9E5khtSpQEPG6owaQ9z4E-tR5mnY"",""Non-Food!A2:A""),0))),"""")"),"")</f>
        <v/>
      </c>
      <c r="E787" s="15"/>
      <c r="F787" s="15"/>
      <c r="G787" s="36"/>
      <c r="H787" s="23" t="str">
        <f>IFERROR(__xludf.DUMMYFUNCTION("iferror(iferror(iferror(index(IMPORTRANGE(""1NK5L1mviMn0j3D3uo53ASkIZOFRlLnqaCTnwzOG2_Wg"",""Direct Link!B2:B""),MATCH($C787,IMPORTRANGE(""1NK5L1mviMn0j3D3uo53ASkIZOFRlLnqaCTnwzOG2_Wg"",""Direct Link!A2:A""),0)),XLOOKUP($C787,IMPORTRANGE(""1NK5L1mviMn0j3D"&amp;"3uo53ASkIZOFRlLnqaCTnwzOG2_Wg"",""Direct links Without Sizes!A2:A""),IMPORTRANGE(""1NK5L1mviMn0j3D3uo53ASkIZOFRlLnqaCTnwzOG2_Wg"",""Direct links Without Sizes!B2:B""))),XLOOKUP($C787,IMPORTRANGE(""1NK5L1mviMn0j3D3uo53ASkIZOFRlLnqaCTnwzOG2_Wg"",""Direct li"&amp;"nks Without Sizes!D2:D""),IMPORTRANGE(""1NK5L1mviMn0j3D3uo53ASkIZOFRlLnqaCTnwzOG2_Wg"",""Direct links Without Sizes!E2:E""))),"""")"),"")</f>
        <v/>
      </c>
      <c r="I787" s="4"/>
      <c r="J787" s="24" t="str">
        <f t="shared" si="1"/>
        <v/>
      </c>
      <c r="K787" s="25"/>
      <c r="L787" s="24" t="str">
        <f t="shared" si="2"/>
        <v/>
      </c>
      <c r="M787" s="4"/>
      <c r="N787" s="23"/>
      <c r="O787" s="23"/>
      <c r="P787" s="23"/>
      <c r="Q787" s="4" t="str">
        <f t="shared" si="4"/>
        <v/>
      </c>
      <c r="R787" s="20"/>
      <c r="S787" s="20"/>
    </row>
    <row r="788">
      <c r="A788" s="4"/>
      <c r="B788" s="4"/>
      <c r="C788" s="37"/>
      <c r="D788" s="7" t="str">
        <f>IFERROR(__xludf.DUMMYFUNCTION("iferror(iferror(INDEX(IMPORTRANGE(""12vtnxaE_Q1s4tyr10kZQx7ZF_xG0lBFae4jQEUtgsMU"",""All!B2:B""),MATCH($C788,IMPORTRANGE(""12vtnxaE_Q1s4tyr10kZQx7ZF_xG0lBFae4jQEUtgsMU"",""All!A2:A""),0)),INDEX(IMPORTRANGE(""13KC70HngS4DDi8y9E5khtSpQEPG6owaQ9z4E-tR5mnY"","&amp;"""Non-Food!B2:B""),MATCH($C788,IMPORTRANGE(""13KC70HngS4DDi8y9E5khtSpQEPG6owaQ9z4E-tR5mnY"",""Non-Food!A2:A""),0))),"""")"),"")</f>
        <v/>
      </c>
      <c r="E788" s="15"/>
      <c r="F788" s="15"/>
      <c r="G788" s="36"/>
      <c r="H788" s="23" t="str">
        <f>IFERROR(__xludf.DUMMYFUNCTION("iferror(iferror(iferror(index(IMPORTRANGE(""1NK5L1mviMn0j3D3uo53ASkIZOFRlLnqaCTnwzOG2_Wg"",""Direct Link!B2:B""),MATCH($C788,IMPORTRANGE(""1NK5L1mviMn0j3D3uo53ASkIZOFRlLnqaCTnwzOG2_Wg"",""Direct Link!A2:A""),0)),XLOOKUP($C788,IMPORTRANGE(""1NK5L1mviMn0j3D"&amp;"3uo53ASkIZOFRlLnqaCTnwzOG2_Wg"",""Direct links Without Sizes!A2:A""),IMPORTRANGE(""1NK5L1mviMn0j3D3uo53ASkIZOFRlLnqaCTnwzOG2_Wg"",""Direct links Without Sizes!B2:B""))),XLOOKUP($C788,IMPORTRANGE(""1NK5L1mviMn0j3D3uo53ASkIZOFRlLnqaCTnwzOG2_Wg"",""Direct li"&amp;"nks Without Sizes!D2:D""),IMPORTRANGE(""1NK5L1mviMn0j3D3uo53ASkIZOFRlLnqaCTnwzOG2_Wg"",""Direct links Without Sizes!E2:E""))),"""")"),"")</f>
        <v/>
      </c>
      <c r="I788" s="4"/>
      <c r="J788" s="24" t="str">
        <f t="shared" si="1"/>
        <v/>
      </c>
      <c r="K788" s="25"/>
      <c r="L788" s="24" t="str">
        <f t="shared" si="2"/>
        <v/>
      </c>
      <c r="M788" s="4"/>
      <c r="N788" s="23"/>
      <c r="O788" s="23"/>
      <c r="P788" s="23"/>
      <c r="Q788" s="4" t="str">
        <f t="shared" si="4"/>
        <v/>
      </c>
      <c r="R788" s="20"/>
      <c r="S788" s="20"/>
    </row>
    <row r="789">
      <c r="A789" s="4"/>
      <c r="B789" s="4"/>
      <c r="C789" s="37"/>
      <c r="D789" s="7" t="str">
        <f>IFERROR(__xludf.DUMMYFUNCTION("iferror(iferror(INDEX(IMPORTRANGE(""12vtnxaE_Q1s4tyr10kZQx7ZF_xG0lBFae4jQEUtgsMU"",""All!B2:B""),MATCH($C789,IMPORTRANGE(""12vtnxaE_Q1s4tyr10kZQx7ZF_xG0lBFae4jQEUtgsMU"",""All!A2:A""),0)),INDEX(IMPORTRANGE(""13KC70HngS4DDi8y9E5khtSpQEPG6owaQ9z4E-tR5mnY"","&amp;"""Non-Food!B2:B""),MATCH($C789,IMPORTRANGE(""13KC70HngS4DDi8y9E5khtSpQEPG6owaQ9z4E-tR5mnY"",""Non-Food!A2:A""),0))),"""")"),"")</f>
        <v/>
      </c>
      <c r="E789" s="15"/>
      <c r="F789" s="15"/>
      <c r="G789" s="36"/>
      <c r="H789" s="23" t="str">
        <f>IFERROR(__xludf.DUMMYFUNCTION("iferror(iferror(iferror(index(IMPORTRANGE(""1NK5L1mviMn0j3D3uo53ASkIZOFRlLnqaCTnwzOG2_Wg"",""Direct Link!B2:B""),MATCH($C789,IMPORTRANGE(""1NK5L1mviMn0j3D3uo53ASkIZOFRlLnqaCTnwzOG2_Wg"",""Direct Link!A2:A""),0)),XLOOKUP($C789,IMPORTRANGE(""1NK5L1mviMn0j3D"&amp;"3uo53ASkIZOFRlLnqaCTnwzOG2_Wg"",""Direct links Without Sizes!A2:A""),IMPORTRANGE(""1NK5L1mviMn0j3D3uo53ASkIZOFRlLnqaCTnwzOG2_Wg"",""Direct links Without Sizes!B2:B""))),XLOOKUP($C789,IMPORTRANGE(""1NK5L1mviMn0j3D3uo53ASkIZOFRlLnqaCTnwzOG2_Wg"",""Direct li"&amp;"nks Without Sizes!D2:D""),IMPORTRANGE(""1NK5L1mviMn0j3D3uo53ASkIZOFRlLnqaCTnwzOG2_Wg"",""Direct links Without Sizes!E2:E""))),"""")"),"")</f>
        <v/>
      </c>
      <c r="I789" s="4"/>
      <c r="J789" s="24" t="str">
        <f t="shared" si="1"/>
        <v/>
      </c>
      <c r="K789" s="25"/>
      <c r="L789" s="24" t="str">
        <f t="shared" si="2"/>
        <v/>
      </c>
      <c r="M789" s="4"/>
      <c r="N789" s="23"/>
      <c r="O789" s="23"/>
      <c r="P789" s="23"/>
      <c r="Q789" s="4" t="str">
        <f t="shared" si="4"/>
        <v/>
      </c>
      <c r="R789" s="20"/>
      <c r="S789" s="20"/>
    </row>
    <row r="790">
      <c r="A790" s="4"/>
      <c r="B790" s="4"/>
      <c r="C790" s="37"/>
      <c r="D790" s="7" t="str">
        <f>IFERROR(__xludf.DUMMYFUNCTION("iferror(iferror(INDEX(IMPORTRANGE(""12vtnxaE_Q1s4tyr10kZQx7ZF_xG0lBFae4jQEUtgsMU"",""All!B2:B""),MATCH($C790,IMPORTRANGE(""12vtnxaE_Q1s4tyr10kZQx7ZF_xG0lBFae4jQEUtgsMU"",""All!A2:A""),0)),INDEX(IMPORTRANGE(""13KC70HngS4DDi8y9E5khtSpQEPG6owaQ9z4E-tR5mnY"","&amp;"""Non-Food!B2:B""),MATCH($C790,IMPORTRANGE(""13KC70HngS4DDi8y9E5khtSpQEPG6owaQ9z4E-tR5mnY"",""Non-Food!A2:A""),0))),"""")"),"")</f>
        <v/>
      </c>
      <c r="E790" s="15"/>
      <c r="F790" s="15"/>
      <c r="G790" s="36"/>
      <c r="H790" s="23" t="str">
        <f>IFERROR(__xludf.DUMMYFUNCTION("iferror(iferror(iferror(index(IMPORTRANGE(""1NK5L1mviMn0j3D3uo53ASkIZOFRlLnqaCTnwzOG2_Wg"",""Direct Link!B2:B""),MATCH($C790,IMPORTRANGE(""1NK5L1mviMn0j3D3uo53ASkIZOFRlLnqaCTnwzOG2_Wg"",""Direct Link!A2:A""),0)),XLOOKUP($C790,IMPORTRANGE(""1NK5L1mviMn0j3D"&amp;"3uo53ASkIZOFRlLnqaCTnwzOG2_Wg"",""Direct links Without Sizes!A2:A""),IMPORTRANGE(""1NK5L1mviMn0j3D3uo53ASkIZOFRlLnqaCTnwzOG2_Wg"",""Direct links Without Sizes!B2:B""))),XLOOKUP($C790,IMPORTRANGE(""1NK5L1mviMn0j3D3uo53ASkIZOFRlLnqaCTnwzOG2_Wg"",""Direct li"&amp;"nks Without Sizes!D2:D""),IMPORTRANGE(""1NK5L1mviMn0j3D3uo53ASkIZOFRlLnqaCTnwzOG2_Wg"",""Direct links Without Sizes!E2:E""))),"""")"),"")</f>
        <v/>
      </c>
      <c r="I790" s="4"/>
      <c r="J790" s="24" t="str">
        <f t="shared" si="1"/>
        <v/>
      </c>
      <c r="K790" s="25"/>
      <c r="L790" s="24" t="str">
        <f t="shared" si="2"/>
        <v/>
      </c>
      <c r="M790" s="4"/>
      <c r="N790" s="23"/>
      <c r="O790" s="23"/>
      <c r="P790" s="23"/>
      <c r="Q790" s="4" t="str">
        <f t="shared" si="4"/>
        <v/>
      </c>
      <c r="R790" s="20"/>
      <c r="S790" s="20"/>
    </row>
    <row r="791">
      <c r="A791" s="4"/>
      <c r="B791" s="4"/>
      <c r="C791" s="37"/>
      <c r="D791" s="7" t="str">
        <f>IFERROR(__xludf.DUMMYFUNCTION("iferror(iferror(INDEX(IMPORTRANGE(""12vtnxaE_Q1s4tyr10kZQx7ZF_xG0lBFae4jQEUtgsMU"",""All!B2:B""),MATCH($C791,IMPORTRANGE(""12vtnxaE_Q1s4tyr10kZQx7ZF_xG0lBFae4jQEUtgsMU"",""All!A2:A""),0)),INDEX(IMPORTRANGE(""13KC70HngS4DDi8y9E5khtSpQEPG6owaQ9z4E-tR5mnY"","&amp;"""Non-Food!B2:B""),MATCH($C791,IMPORTRANGE(""13KC70HngS4DDi8y9E5khtSpQEPG6owaQ9z4E-tR5mnY"",""Non-Food!A2:A""),0))),"""")"),"")</f>
        <v/>
      </c>
      <c r="E791" s="15"/>
      <c r="F791" s="15"/>
      <c r="G791" s="36"/>
      <c r="H791" s="23" t="str">
        <f>IFERROR(__xludf.DUMMYFUNCTION("iferror(iferror(iferror(index(IMPORTRANGE(""1NK5L1mviMn0j3D3uo53ASkIZOFRlLnqaCTnwzOG2_Wg"",""Direct Link!B2:B""),MATCH($C791,IMPORTRANGE(""1NK5L1mviMn0j3D3uo53ASkIZOFRlLnqaCTnwzOG2_Wg"",""Direct Link!A2:A""),0)),XLOOKUP($C791,IMPORTRANGE(""1NK5L1mviMn0j3D"&amp;"3uo53ASkIZOFRlLnqaCTnwzOG2_Wg"",""Direct links Without Sizes!A2:A""),IMPORTRANGE(""1NK5L1mviMn0j3D3uo53ASkIZOFRlLnqaCTnwzOG2_Wg"",""Direct links Without Sizes!B2:B""))),XLOOKUP($C791,IMPORTRANGE(""1NK5L1mviMn0j3D3uo53ASkIZOFRlLnqaCTnwzOG2_Wg"",""Direct li"&amp;"nks Without Sizes!D2:D""),IMPORTRANGE(""1NK5L1mviMn0j3D3uo53ASkIZOFRlLnqaCTnwzOG2_Wg"",""Direct links Without Sizes!E2:E""))),"""")"),"")</f>
        <v/>
      </c>
      <c r="I791" s="4"/>
      <c r="J791" s="24" t="str">
        <f t="shared" si="1"/>
        <v/>
      </c>
      <c r="K791" s="25"/>
      <c r="L791" s="24" t="str">
        <f t="shared" si="2"/>
        <v/>
      </c>
      <c r="M791" s="4"/>
      <c r="N791" s="23"/>
      <c r="O791" s="23"/>
      <c r="P791" s="23"/>
      <c r="Q791" s="4" t="str">
        <f t="shared" si="4"/>
        <v/>
      </c>
      <c r="R791" s="20"/>
      <c r="S791" s="20"/>
    </row>
    <row r="792">
      <c r="A792" s="4"/>
      <c r="B792" s="4"/>
      <c r="C792" s="37"/>
      <c r="D792" s="7" t="str">
        <f>IFERROR(__xludf.DUMMYFUNCTION("iferror(iferror(INDEX(IMPORTRANGE(""12vtnxaE_Q1s4tyr10kZQx7ZF_xG0lBFae4jQEUtgsMU"",""All!B2:B""),MATCH($C792,IMPORTRANGE(""12vtnxaE_Q1s4tyr10kZQx7ZF_xG0lBFae4jQEUtgsMU"",""All!A2:A""),0)),INDEX(IMPORTRANGE(""13KC70HngS4DDi8y9E5khtSpQEPG6owaQ9z4E-tR5mnY"","&amp;"""Non-Food!B2:B""),MATCH($C792,IMPORTRANGE(""13KC70HngS4DDi8y9E5khtSpQEPG6owaQ9z4E-tR5mnY"",""Non-Food!A2:A""),0))),"""")"),"")</f>
        <v/>
      </c>
      <c r="E792" s="15"/>
      <c r="F792" s="15"/>
      <c r="G792" s="36"/>
      <c r="H792" s="23" t="str">
        <f>IFERROR(__xludf.DUMMYFUNCTION("iferror(iferror(iferror(index(IMPORTRANGE(""1NK5L1mviMn0j3D3uo53ASkIZOFRlLnqaCTnwzOG2_Wg"",""Direct Link!B2:B""),MATCH($C792,IMPORTRANGE(""1NK5L1mviMn0j3D3uo53ASkIZOFRlLnqaCTnwzOG2_Wg"",""Direct Link!A2:A""),0)),XLOOKUP($C792,IMPORTRANGE(""1NK5L1mviMn0j3D"&amp;"3uo53ASkIZOFRlLnqaCTnwzOG2_Wg"",""Direct links Without Sizes!A2:A""),IMPORTRANGE(""1NK5L1mviMn0j3D3uo53ASkIZOFRlLnqaCTnwzOG2_Wg"",""Direct links Without Sizes!B2:B""))),XLOOKUP($C792,IMPORTRANGE(""1NK5L1mviMn0j3D3uo53ASkIZOFRlLnqaCTnwzOG2_Wg"",""Direct li"&amp;"nks Without Sizes!D2:D""),IMPORTRANGE(""1NK5L1mviMn0j3D3uo53ASkIZOFRlLnqaCTnwzOG2_Wg"",""Direct links Without Sizes!E2:E""))),"""")"),"")</f>
        <v/>
      </c>
      <c r="I792" s="4"/>
      <c r="J792" s="24" t="str">
        <f t="shared" si="1"/>
        <v/>
      </c>
      <c r="K792" s="25"/>
      <c r="L792" s="24" t="str">
        <f t="shared" si="2"/>
        <v/>
      </c>
      <c r="M792" s="4"/>
      <c r="N792" s="23"/>
      <c r="O792" s="23"/>
      <c r="P792" s="23"/>
      <c r="Q792" s="4" t="str">
        <f t="shared" si="4"/>
        <v/>
      </c>
      <c r="R792" s="20"/>
      <c r="S792" s="20"/>
    </row>
    <row r="793">
      <c r="A793" s="4"/>
      <c r="B793" s="4"/>
      <c r="C793" s="37"/>
      <c r="D793" s="7" t="str">
        <f>IFERROR(__xludf.DUMMYFUNCTION("iferror(iferror(INDEX(IMPORTRANGE(""12vtnxaE_Q1s4tyr10kZQx7ZF_xG0lBFae4jQEUtgsMU"",""All!B2:B""),MATCH($C793,IMPORTRANGE(""12vtnxaE_Q1s4tyr10kZQx7ZF_xG0lBFae4jQEUtgsMU"",""All!A2:A""),0)),INDEX(IMPORTRANGE(""13KC70HngS4DDi8y9E5khtSpQEPG6owaQ9z4E-tR5mnY"","&amp;"""Non-Food!B2:B""),MATCH($C793,IMPORTRANGE(""13KC70HngS4DDi8y9E5khtSpQEPG6owaQ9z4E-tR5mnY"",""Non-Food!A2:A""),0))),"""")"),"")</f>
        <v/>
      </c>
      <c r="E793" s="15"/>
      <c r="F793" s="15"/>
      <c r="G793" s="36"/>
      <c r="H793" s="23" t="str">
        <f>IFERROR(__xludf.DUMMYFUNCTION("iferror(iferror(iferror(index(IMPORTRANGE(""1NK5L1mviMn0j3D3uo53ASkIZOFRlLnqaCTnwzOG2_Wg"",""Direct Link!B2:B""),MATCH($C793,IMPORTRANGE(""1NK5L1mviMn0j3D3uo53ASkIZOFRlLnqaCTnwzOG2_Wg"",""Direct Link!A2:A""),0)),XLOOKUP($C793,IMPORTRANGE(""1NK5L1mviMn0j3D"&amp;"3uo53ASkIZOFRlLnqaCTnwzOG2_Wg"",""Direct links Without Sizes!A2:A""),IMPORTRANGE(""1NK5L1mviMn0j3D3uo53ASkIZOFRlLnqaCTnwzOG2_Wg"",""Direct links Without Sizes!B2:B""))),XLOOKUP($C793,IMPORTRANGE(""1NK5L1mviMn0j3D3uo53ASkIZOFRlLnqaCTnwzOG2_Wg"",""Direct li"&amp;"nks Without Sizes!D2:D""),IMPORTRANGE(""1NK5L1mviMn0j3D3uo53ASkIZOFRlLnqaCTnwzOG2_Wg"",""Direct links Without Sizes!E2:E""))),"""")"),"")</f>
        <v/>
      </c>
      <c r="I793" s="4"/>
      <c r="J793" s="24" t="str">
        <f t="shared" si="1"/>
        <v/>
      </c>
      <c r="K793" s="25"/>
      <c r="L793" s="24" t="str">
        <f t="shared" si="2"/>
        <v/>
      </c>
      <c r="M793" s="4"/>
      <c r="N793" s="23"/>
      <c r="O793" s="23"/>
      <c r="P793" s="23"/>
      <c r="Q793" s="4" t="str">
        <f t="shared" si="4"/>
        <v/>
      </c>
      <c r="R793" s="20"/>
      <c r="S793" s="20"/>
    </row>
    <row r="794">
      <c r="A794" s="4"/>
      <c r="B794" s="4"/>
      <c r="C794" s="37"/>
      <c r="D794" s="7" t="str">
        <f>IFERROR(__xludf.DUMMYFUNCTION("iferror(iferror(INDEX(IMPORTRANGE(""12vtnxaE_Q1s4tyr10kZQx7ZF_xG0lBFae4jQEUtgsMU"",""All!B2:B""),MATCH($C794,IMPORTRANGE(""12vtnxaE_Q1s4tyr10kZQx7ZF_xG0lBFae4jQEUtgsMU"",""All!A2:A""),0)),INDEX(IMPORTRANGE(""13KC70HngS4DDi8y9E5khtSpQEPG6owaQ9z4E-tR5mnY"","&amp;"""Non-Food!B2:B""),MATCH($C794,IMPORTRANGE(""13KC70HngS4DDi8y9E5khtSpQEPG6owaQ9z4E-tR5mnY"",""Non-Food!A2:A""),0))),"""")"),"")</f>
        <v/>
      </c>
      <c r="E794" s="15"/>
      <c r="F794" s="15"/>
      <c r="G794" s="36"/>
      <c r="H794" s="23" t="str">
        <f>IFERROR(__xludf.DUMMYFUNCTION("iferror(iferror(iferror(index(IMPORTRANGE(""1NK5L1mviMn0j3D3uo53ASkIZOFRlLnqaCTnwzOG2_Wg"",""Direct Link!B2:B""),MATCH($C794,IMPORTRANGE(""1NK5L1mviMn0j3D3uo53ASkIZOFRlLnqaCTnwzOG2_Wg"",""Direct Link!A2:A""),0)),XLOOKUP($C794,IMPORTRANGE(""1NK5L1mviMn0j3D"&amp;"3uo53ASkIZOFRlLnqaCTnwzOG2_Wg"",""Direct links Without Sizes!A2:A""),IMPORTRANGE(""1NK5L1mviMn0j3D3uo53ASkIZOFRlLnqaCTnwzOG2_Wg"",""Direct links Without Sizes!B2:B""))),XLOOKUP($C794,IMPORTRANGE(""1NK5L1mviMn0j3D3uo53ASkIZOFRlLnqaCTnwzOG2_Wg"",""Direct li"&amp;"nks Without Sizes!D2:D""),IMPORTRANGE(""1NK5L1mviMn0j3D3uo53ASkIZOFRlLnqaCTnwzOG2_Wg"",""Direct links Without Sizes!E2:E""))),"""")"),"")</f>
        <v/>
      </c>
      <c r="I794" s="4"/>
      <c r="J794" s="24" t="str">
        <f t="shared" si="1"/>
        <v/>
      </c>
      <c r="K794" s="25"/>
      <c r="L794" s="24" t="str">
        <f t="shared" si="2"/>
        <v/>
      </c>
      <c r="M794" s="4"/>
      <c r="N794" s="23"/>
      <c r="O794" s="23"/>
      <c r="P794" s="23"/>
      <c r="Q794" s="4" t="str">
        <f t="shared" si="4"/>
        <v/>
      </c>
      <c r="R794" s="20"/>
      <c r="S794" s="20"/>
    </row>
    <row r="795">
      <c r="A795" s="4"/>
      <c r="B795" s="4"/>
      <c r="C795" s="37"/>
      <c r="D795" s="7" t="str">
        <f>IFERROR(__xludf.DUMMYFUNCTION("iferror(iferror(INDEX(IMPORTRANGE(""12vtnxaE_Q1s4tyr10kZQx7ZF_xG0lBFae4jQEUtgsMU"",""All!B2:B""),MATCH($C795,IMPORTRANGE(""12vtnxaE_Q1s4tyr10kZQx7ZF_xG0lBFae4jQEUtgsMU"",""All!A2:A""),0)),INDEX(IMPORTRANGE(""13KC70HngS4DDi8y9E5khtSpQEPG6owaQ9z4E-tR5mnY"","&amp;"""Non-Food!B2:B""),MATCH($C795,IMPORTRANGE(""13KC70HngS4DDi8y9E5khtSpQEPG6owaQ9z4E-tR5mnY"",""Non-Food!A2:A""),0))),"""")"),"")</f>
        <v/>
      </c>
      <c r="E795" s="15"/>
      <c r="F795" s="15"/>
      <c r="G795" s="36"/>
      <c r="H795" s="23" t="str">
        <f>IFERROR(__xludf.DUMMYFUNCTION("iferror(iferror(iferror(index(IMPORTRANGE(""1NK5L1mviMn0j3D3uo53ASkIZOFRlLnqaCTnwzOG2_Wg"",""Direct Link!B2:B""),MATCH($C795,IMPORTRANGE(""1NK5L1mviMn0j3D3uo53ASkIZOFRlLnqaCTnwzOG2_Wg"",""Direct Link!A2:A""),0)),XLOOKUP($C795,IMPORTRANGE(""1NK5L1mviMn0j3D"&amp;"3uo53ASkIZOFRlLnqaCTnwzOG2_Wg"",""Direct links Without Sizes!A2:A""),IMPORTRANGE(""1NK5L1mviMn0j3D3uo53ASkIZOFRlLnqaCTnwzOG2_Wg"",""Direct links Without Sizes!B2:B""))),XLOOKUP($C795,IMPORTRANGE(""1NK5L1mviMn0j3D3uo53ASkIZOFRlLnqaCTnwzOG2_Wg"",""Direct li"&amp;"nks Without Sizes!D2:D""),IMPORTRANGE(""1NK5L1mviMn0j3D3uo53ASkIZOFRlLnqaCTnwzOG2_Wg"",""Direct links Without Sizes!E2:E""))),"""")"),"")</f>
        <v/>
      </c>
      <c r="I795" s="4"/>
      <c r="J795" s="24" t="str">
        <f t="shared" si="1"/>
        <v/>
      </c>
      <c r="K795" s="25"/>
      <c r="L795" s="24" t="str">
        <f t="shared" si="2"/>
        <v/>
      </c>
      <c r="M795" s="4"/>
      <c r="N795" s="23"/>
      <c r="O795" s="23"/>
      <c r="P795" s="23"/>
      <c r="Q795" s="4" t="str">
        <f t="shared" si="4"/>
        <v/>
      </c>
      <c r="R795" s="20"/>
      <c r="S795" s="20"/>
    </row>
    <row r="796">
      <c r="A796" s="4"/>
      <c r="B796" s="4"/>
      <c r="C796" s="37"/>
      <c r="D796" s="7" t="str">
        <f>IFERROR(__xludf.DUMMYFUNCTION("iferror(iferror(INDEX(IMPORTRANGE(""12vtnxaE_Q1s4tyr10kZQx7ZF_xG0lBFae4jQEUtgsMU"",""All!B2:B""),MATCH($C796,IMPORTRANGE(""12vtnxaE_Q1s4tyr10kZQx7ZF_xG0lBFae4jQEUtgsMU"",""All!A2:A""),0)),INDEX(IMPORTRANGE(""13KC70HngS4DDi8y9E5khtSpQEPG6owaQ9z4E-tR5mnY"","&amp;"""Non-Food!B2:B""),MATCH($C796,IMPORTRANGE(""13KC70HngS4DDi8y9E5khtSpQEPG6owaQ9z4E-tR5mnY"",""Non-Food!A2:A""),0))),"""")"),"")</f>
        <v/>
      </c>
      <c r="E796" s="15"/>
      <c r="F796" s="15"/>
      <c r="G796" s="36"/>
      <c r="H796" s="23" t="str">
        <f>IFERROR(__xludf.DUMMYFUNCTION("iferror(iferror(iferror(index(IMPORTRANGE(""1NK5L1mviMn0j3D3uo53ASkIZOFRlLnqaCTnwzOG2_Wg"",""Direct Link!B2:B""),MATCH($C796,IMPORTRANGE(""1NK5L1mviMn0j3D3uo53ASkIZOFRlLnqaCTnwzOG2_Wg"",""Direct Link!A2:A""),0)),XLOOKUP($C796,IMPORTRANGE(""1NK5L1mviMn0j3D"&amp;"3uo53ASkIZOFRlLnqaCTnwzOG2_Wg"",""Direct links Without Sizes!A2:A""),IMPORTRANGE(""1NK5L1mviMn0j3D3uo53ASkIZOFRlLnqaCTnwzOG2_Wg"",""Direct links Without Sizes!B2:B""))),XLOOKUP($C796,IMPORTRANGE(""1NK5L1mviMn0j3D3uo53ASkIZOFRlLnqaCTnwzOG2_Wg"",""Direct li"&amp;"nks Without Sizes!D2:D""),IMPORTRANGE(""1NK5L1mviMn0j3D3uo53ASkIZOFRlLnqaCTnwzOG2_Wg"",""Direct links Without Sizes!E2:E""))),"""")"),"")</f>
        <v/>
      </c>
      <c r="I796" s="4"/>
      <c r="J796" s="24" t="str">
        <f t="shared" si="1"/>
        <v/>
      </c>
      <c r="K796" s="25"/>
      <c r="L796" s="24" t="str">
        <f t="shared" si="2"/>
        <v/>
      </c>
      <c r="M796" s="4"/>
      <c r="N796" s="23"/>
      <c r="O796" s="23"/>
      <c r="P796" s="23"/>
      <c r="Q796" s="4" t="str">
        <f t="shared" si="4"/>
        <v/>
      </c>
      <c r="R796" s="20"/>
      <c r="S796" s="20"/>
    </row>
    <row r="797">
      <c r="A797" s="4"/>
      <c r="B797" s="4"/>
      <c r="C797" s="37"/>
      <c r="D797" s="7" t="str">
        <f>IFERROR(__xludf.DUMMYFUNCTION("iferror(iferror(INDEX(IMPORTRANGE(""12vtnxaE_Q1s4tyr10kZQx7ZF_xG0lBFae4jQEUtgsMU"",""All!B2:B""),MATCH($C797,IMPORTRANGE(""12vtnxaE_Q1s4tyr10kZQx7ZF_xG0lBFae4jQEUtgsMU"",""All!A2:A""),0)),INDEX(IMPORTRANGE(""13KC70HngS4DDi8y9E5khtSpQEPG6owaQ9z4E-tR5mnY"","&amp;"""Non-Food!B2:B""),MATCH($C797,IMPORTRANGE(""13KC70HngS4DDi8y9E5khtSpQEPG6owaQ9z4E-tR5mnY"",""Non-Food!A2:A""),0))),"""")"),"")</f>
        <v/>
      </c>
      <c r="E797" s="15"/>
      <c r="F797" s="15"/>
      <c r="G797" s="36"/>
      <c r="H797" s="23" t="str">
        <f>IFERROR(__xludf.DUMMYFUNCTION("iferror(iferror(iferror(index(IMPORTRANGE(""1NK5L1mviMn0j3D3uo53ASkIZOFRlLnqaCTnwzOG2_Wg"",""Direct Link!B2:B""),MATCH($C797,IMPORTRANGE(""1NK5L1mviMn0j3D3uo53ASkIZOFRlLnqaCTnwzOG2_Wg"",""Direct Link!A2:A""),0)),XLOOKUP($C797,IMPORTRANGE(""1NK5L1mviMn0j3D"&amp;"3uo53ASkIZOFRlLnqaCTnwzOG2_Wg"",""Direct links Without Sizes!A2:A""),IMPORTRANGE(""1NK5L1mviMn0j3D3uo53ASkIZOFRlLnqaCTnwzOG2_Wg"",""Direct links Without Sizes!B2:B""))),XLOOKUP($C797,IMPORTRANGE(""1NK5L1mviMn0j3D3uo53ASkIZOFRlLnqaCTnwzOG2_Wg"",""Direct li"&amp;"nks Without Sizes!D2:D""),IMPORTRANGE(""1NK5L1mviMn0j3D3uo53ASkIZOFRlLnqaCTnwzOG2_Wg"",""Direct links Without Sizes!E2:E""))),"""")"),"")</f>
        <v/>
      </c>
      <c r="I797" s="4"/>
      <c r="J797" s="24" t="str">
        <f t="shared" si="1"/>
        <v/>
      </c>
      <c r="K797" s="25"/>
      <c r="L797" s="24" t="str">
        <f t="shared" si="2"/>
        <v/>
      </c>
      <c r="M797" s="4"/>
      <c r="N797" s="23"/>
      <c r="O797" s="23"/>
      <c r="P797" s="23"/>
      <c r="Q797" s="4" t="str">
        <f t="shared" si="4"/>
        <v/>
      </c>
      <c r="R797" s="20"/>
      <c r="S797" s="20"/>
    </row>
    <row r="798">
      <c r="A798" s="4"/>
      <c r="B798" s="4"/>
      <c r="C798" s="37"/>
      <c r="D798" s="7" t="str">
        <f>IFERROR(__xludf.DUMMYFUNCTION("iferror(iferror(INDEX(IMPORTRANGE(""12vtnxaE_Q1s4tyr10kZQx7ZF_xG0lBFae4jQEUtgsMU"",""All!B2:B""),MATCH($C798,IMPORTRANGE(""12vtnxaE_Q1s4tyr10kZQx7ZF_xG0lBFae4jQEUtgsMU"",""All!A2:A""),0)),INDEX(IMPORTRANGE(""13KC70HngS4DDi8y9E5khtSpQEPG6owaQ9z4E-tR5mnY"","&amp;"""Non-Food!B2:B""),MATCH($C798,IMPORTRANGE(""13KC70HngS4DDi8y9E5khtSpQEPG6owaQ9z4E-tR5mnY"",""Non-Food!A2:A""),0))),"""")"),"")</f>
        <v/>
      </c>
      <c r="E798" s="15"/>
      <c r="F798" s="15"/>
      <c r="G798" s="36"/>
      <c r="H798" s="23" t="str">
        <f>IFERROR(__xludf.DUMMYFUNCTION("iferror(iferror(iferror(index(IMPORTRANGE(""1NK5L1mviMn0j3D3uo53ASkIZOFRlLnqaCTnwzOG2_Wg"",""Direct Link!B2:B""),MATCH($C798,IMPORTRANGE(""1NK5L1mviMn0j3D3uo53ASkIZOFRlLnqaCTnwzOG2_Wg"",""Direct Link!A2:A""),0)),XLOOKUP($C798,IMPORTRANGE(""1NK5L1mviMn0j3D"&amp;"3uo53ASkIZOFRlLnqaCTnwzOG2_Wg"",""Direct links Without Sizes!A2:A""),IMPORTRANGE(""1NK5L1mviMn0j3D3uo53ASkIZOFRlLnqaCTnwzOG2_Wg"",""Direct links Without Sizes!B2:B""))),XLOOKUP($C798,IMPORTRANGE(""1NK5L1mviMn0j3D3uo53ASkIZOFRlLnqaCTnwzOG2_Wg"",""Direct li"&amp;"nks Without Sizes!D2:D""),IMPORTRANGE(""1NK5L1mviMn0j3D3uo53ASkIZOFRlLnqaCTnwzOG2_Wg"",""Direct links Without Sizes!E2:E""))),"""")"),"")</f>
        <v/>
      </c>
      <c r="I798" s="4"/>
      <c r="J798" s="24" t="str">
        <f t="shared" si="1"/>
        <v/>
      </c>
      <c r="K798" s="25"/>
      <c r="L798" s="24" t="str">
        <f t="shared" si="2"/>
        <v/>
      </c>
      <c r="M798" s="4"/>
      <c r="N798" s="23"/>
      <c r="O798" s="23"/>
      <c r="P798" s="23"/>
      <c r="Q798" s="4" t="str">
        <f t="shared" si="4"/>
        <v/>
      </c>
      <c r="R798" s="20"/>
      <c r="S798" s="20"/>
    </row>
    <row r="799">
      <c r="A799" s="4"/>
      <c r="B799" s="4"/>
      <c r="C799" s="37"/>
      <c r="D799" s="7" t="str">
        <f>IFERROR(__xludf.DUMMYFUNCTION("iferror(iferror(INDEX(IMPORTRANGE(""12vtnxaE_Q1s4tyr10kZQx7ZF_xG0lBFae4jQEUtgsMU"",""All!B2:B""),MATCH($C799,IMPORTRANGE(""12vtnxaE_Q1s4tyr10kZQx7ZF_xG0lBFae4jQEUtgsMU"",""All!A2:A""),0)),INDEX(IMPORTRANGE(""13KC70HngS4DDi8y9E5khtSpQEPG6owaQ9z4E-tR5mnY"","&amp;"""Non-Food!B2:B""),MATCH($C799,IMPORTRANGE(""13KC70HngS4DDi8y9E5khtSpQEPG6owaQ9z4E-tR5mnY"",""Non-Food!A2:A""),0))),"""")"),"")</f>
        <v/>
      </c>
      <c r="E799" s="15"/>
      <c r="F799" s="15"/>
      <c r="G799" s="36"/>
      <c r="H799" s="23" t="str">
        <f>IFERROR(__xludf.DUMMYFUNCTION("iferror(iferror(iferror(index(IMPORTRANGE(""1NK5L1mviMn0j3D3uo53ASkIZOFRlLnqaCTnwzOG2_Wg"",""Direct Link!B2:B""),MATCH($C799,IMPORTRANGE(""1NK5L1mviMn0j3D3uo53ASkIZOFRlLnqaCTnwzOG2_Wg"",""Direct Link!A2:A""),0)),XLOOKUP($C799,IMPORTRANGE(""1NK5L1mviMn0j3D"&amp;"3uo53ASkIZOFRlLnqaCTnwzOG2_Wg"",""Direct links Without Sizes!A2:A""),IMPORTRANGE(""1NK5L1mviMn0j3D3uo53ASkIZOFRlLnqaCTnwzOG2_Wg"",""Direct links Without Sizes!B2:B""))),XLOOKUP($C799,IMPORTRANGE(""1NK5L1mviMn0j3D3uo53ASkIZOFRlLnqaCTnwzOG2_Wg"",""Direct li"&amp;"nks Without Sizes!D2:D""),IMPORTRANGE(""1NK5L1mviMn0j3D3uo53ASkIZOFRlLnqaCTnwzOG2_Wg"",""Direct links Without Sizes!E2:E""))),"""")"),"")</f>
        <v/>
      </c>
      <c r="I799" s="4"/>
      <c r="J799" s="24" t="str">
        <f t="shared" si="1"/>
        <v/>
      </c>
      <c r="K799" s="25"/>
      <c r="L799" s="24" t="str">
        <f t="shared" si="2"/>
        <v/>
      </c>
      <c r="M799" s="4"/>
      <c r="N799" s="23"/>
      <c r="O799" s="23"/>
      <c r="P799" s="23"/>
      <c r="Q799" s="4" t="str">
        <f t="shared" si="4"/>
        <v/>
      </c>
      <c r="R799" s="20"/>
      <c r="S799" s="20"/>
    </row>
    <row r="800">
      <c r="A800" s="4"/>
      <c r="B800" s="4"/>
      <c r="C800" s="37"/>
      <c r="D800" s="7" t="str">
        <f>IFERROR(__xludf.DUMMYFUNCTION("iferror(iferror(INDEX(IMPORTRANGE(""12vtnxaE_Q1s4tyr10kZQx7ZF_xG0lBFae4jQEUtgsMU"",""All!B2:B""),MATCH($C800,IMPORTRANGE(""12vtnxaE_Q1s4tyr10kZQx7ZF_xG0lBFae4jQEUtgsMU"",""All!A2:A""),0)),INDEX(IMPORTRANGE(""13KC70HngS4DDi8y9E5khtSpQEPG6owaQ9z4E-tR5mnY"","&amp;"""Non-Food!B2:B""),MATCH($C800,IMPORTRANGE(""13KC70HngS4DDi8y9E5khtSpQEPG6owaQ9z4E-tR5mnY"",""Non-Food!A2:A""),0))),"""")"),"")</f>
        <v/>
      </c>
      <c r="E800" s="15"/>
      <c r="F800" s="15"/>
      <c r="G800" s="36"/>
      <c r="H800" s="23" t="str">
        <f>IFERROR(__xludf.DUMMYFUNCTION("iferror(iferror(iferror(index(IMPORTRANGE(""1NK5L1mviMn0j3D3uo53ASkIZOFRlLnqaCTnwzOG2_Wg"",""Direct Link!B2:B""),MATCH($C800,IMPORTRANGE(""1NK5L1mviMn0j3D3uo53ASkIZOFRlLnqaCTnwzOG2_Wg"",""Direct Link!A2:A""),0)),XLOOKUP($C800,IMPORTRANGE(""1NK5L1mviMn0j3D"&amp;"3uo53ASkIZOFRlLnqaCTnwzOG2_Wg"",""Direct links Without Sizes!A2:A""),IMPORTRANGE(""1NK5L1mviMn0j3D3uo53ASkIZOFRlLnqaCTnwzOG2_Wg"",""Direct links Without Sizes!B2:B""))),XLOOKUP($C800,IMPORTRANGE(""1NK5L1mviMn0j3D3uo53ASkIZOFRlLnqaCTnwzOG2_Wg"",""Direct li"&amp;"nks Without Sizes!D2:D""),IMPORTRANGE(""1NK5L1mviMn0j3D3uo53ASkIZOFRlLnqaCTnwzOG2_Wg"",""Direct links Without Sizes!E2:E""))),"""")"),"")</f>
        <v/>
      </c>
      <c r="I800" s="4"/>
      <c r="J800" s="24" t="str">
        <f t="shared" si="1"/>
        <v/>
      </c>
      <c r="K800" s="25"/>
      <c r="L800" s="24" t="str">
        <f t="shared" si="2"/>
        <v/>
      </c>
      <c r="M800" s="4"/>
      <c r="N800" s="23"/>
      <c r="O800" s="23"/>
      <c r="P800" s="23"/>
      <c r="Q800" s="4" t="str">
        <f t="shared" si="4"/>
        <v/>
      </c>
      <c r="R800" s="20"/>
      <c r="S800" s="20"/>
    </row>
    <row r="801">
      <c r="A801" s="4"/>
      <c r="B801" s="4"/>
      <c r="C801" s="37"/>
      <c r="D801" s="7" t="str">
        <f>IFERROR(__xludf.DUMMYFUNCTION("iferror(iferror(INDEX(IMPORTRANGE(""12vtnxaE_Q1s4tyr10kZQx7ZF_xG0lBFae4jQEUtgsMU"",""All!B2:B""),MATCH($C801,IMPORTRANGE(""12vtnxaE_Q1s4tyr10kZQx7ZF_xG0lBFae4jQEUtgsMU"",""All!A2:A""),0)),INDEX(IMPORTRANGE(""13KC70HngS4DDi8y9E5khtSpQEPG6owaQ9z4E-tR5mnY"","&amp;"""Non-Food!B2:B""),MATCH($C801,IMPORTRANGE(""13KC70HngS4DDi8y9E5khtSpQEPG6owaQ9z4E-tR5mnY"",""Non-Food!A2:A""),0))),"""")"),"")</f>
        <v/>
      </c>
      <c r="E801" s="15"/>
      <c r="F801" s="15"/>
      <c r="G801" s="36"/>
      <c r="H801" s="23" t="str">
        <f>IFERROR(__xludf.DUMMYFUNCTION("iferror(iferror(iferror(index(IMPORTRANGE(""1NK5L1mviMn0j3D3uo53ASkIZOFRlLnqaCTnwzOG2_Wg"",""Direct Link!B2:B""),MATCH($C801,IMPORTRANGE(""1NK5L1mviMn0j3D3uo53ASkIZOFRlLnqaCTnwzOG2_Wg"",""Direct Link!A2:A""),0)),XLOOKUP($C801,IMPORTRANGE(""1NK5L1mviMn0j3D"&amp;"3uo53ASkIZOFRlLnqaCTnwzOG2_Wg"",""Direct links Without Sizes!A2:A""),IMPORTRANGE(""1NK5L1mviMn0j3D3uo53ASkIZOFRlLnqaCTnwzOG2_Wg"",""Direct links Without Sizes!B2:B""))),XLOOKUP($C801,IMPORTRANGE(""1NK5L1mviMn0j3D3uo53ASkIZOFRlLnqaCTnwzOG2_Wg"",""Direct li"&amp;"nks Without Sizes!D2:D""),IMPORTRANGE(""1NK5L1mviMn0j3D3uo53ASkIZOFRlLnqaCTnwzOG2_Wg"",""Direct links Without Sizes!E2:E""))),"""")"),"")</f>
        <v/>
      </c>
      <c r="I801" s="4"/>
      <c r="J801" s="24" t="str">
        <f t="shared" si="1"/>
        <v/>
      </c>
      <c r="K801" s="25"/>
      <c r="L801" s="24" t="str">
        <f t="shared" si="2"/>
        <v/>
      </c>
      <c r="M801" s="4"/>
      <c r="N801" s="23"/>
      <c r="O801" s="23"/>
      <c r="P801" s="23"/>
      <c r="Q801" s="4" t="str">
        <f t="shared" si="4"/>
        <v/>
      </c>
      <c r="R801" s="20"/>
      <c r="S801" s="20"/>
    </row>
    <row r="802">
      <c r="A802" s="4"/>
      <c r="B802" s="4"/>
      <c r="C802" s="37"/>
      <c r="D802" s="7" t="str">
        <f>IFERROR(__xludf.DUMMYFUNCTION("iferror(iferror(INDEX(IMPORTRANGE(""12vtnxaE_Q1s4tyr10kZQx7ZF_xG0lBFae4jQEUtgsMU"",""All!B2:B""),MATCH($C802,IMPORTRANGE(""12vtnxaE_Q1s4tyr10kZQx7ZF_xG0lBFae4jQEUtgsMU"",""All!A2:A""),0)),INDEX(IMPORTRANGE(""13KC70HngS4DDi8y9E5khtSpQEPG6owaQ9z4E-tR5mnY"","&amp;"""Non-Food!B2:B""),MATCH($C802,IMPORTRANGE(""13KC70HngS4DDi8y9E5khtSpQEPG6owaQ9z4E-tR5mnY"",""Non-Food!A2:A""),0))),"""")"),"")</f>
        <v/>
      </c>
      <c r="E802" s="15"/>
      <c r="F802" s="15"/>
      <c r="G802" s="36"/>
      <c r="H802" s="23" t="str">
        <f>IFERROR(__xludf.DUMMYFUNCTION("iferror(iferror(iferror(index(IMPORTRANGE(""1NK5L1mviMn0j3D3uo53ASkIZOFRlLnqaCTnwzOG2_Wg"",""Direct Link!B2:B""),MATCH($C802,IMPORTRANGE(""1NK5L1mviMn0j3D3uo53ASkIZOFRlLnqaCTnwzOG2_Wg"",""Direct Link!A2:A""),0)),XLOOKUP($C802,IMPORTRANGE(""1NK5L1mviMn0j3D"&amp;"3uo53ASkIZOFRlLnqaCTnwzOG2_Wg"",""Direct links Without Sizes!A2:A""),IMPORTRANGE(""1NK5L1mviMn0j3D3uo53ASkIZOFRlLnqaCTnwzOG2_Wg"",""Direct links Without Sizes!B2:B""))),XLOOKUP($C802,IMPORTRANGE(""1NK5L1mviMn0j3D3uo53ASkIZOFRlLnqaCTnwzOG2_Wg"",""Direct li"&amp;"nks Without Sizes!D2:D""),IMPORTRANGE(""1NK5L1mviMn0j3D3uo53ASkIZOFRlLnqaCTnwzOG2_Wg"",""Direct links Without Sizes!E2:E""))),"""")"),"")</f>
        <v/>
      </c>
      <c r="I802" s="4"/>
      <c r="J802" s="24" t="str">
        <f t="shared" si="1"/>
        <v/>
      </c>
      <c r="K802" s="25"/>
      <c r="L802" s="24" t="str">
        <f t="shared" si="2"/>
        <v/>
      </c>
      <c r="M802" s="4"/>
      <c r="N802" s="23"/>
      <c r="O802" s="23"/>
      <c r="P802" s="23"/>
      <c r="Q802" s="4" t="str">
        <f t="shared" si="4"/>
        <v/>
      </c>
      <c r="R802" s="20"/>
      <c r="S802" s="20"/>
    </row>
    <row r="803">
      <c r="A803" s="4"/>
      <c r="B803" s="4"/>
      <c r="C803" s="37"/>
      <c r="D803" s="7" t="str">
        <f>IFERROR(__xludf.DUMMYFUNCTION("iferror(iferror(INDEX(IMPORTRANGE(""12vtnxaE_Q1s4tyr10kZQx7ZF_xG0lBFae4jQEUtgsMU"",""All!B2:B""),MATCH($C803,IMPORTRANGE(""12vtnxaE_Q1s4tyr10kZQx7ZF_xG0lBFae4jQEUtgsMU"",""All!A2:A""),0)),INDEX(IMPORTRANGE(""13KC70HngS4DDi8y9E5khtSpQEPG6owaQ9z4E-tR5mnY"","&amp;"""Non-Food!B2:B""),MATCH($C803,IMPORTRANGE(""13KC70HngS4DDi8y9E5khtSpQEPG6owaQ9z4E-tR5mnY"",""Non-Food!A2:A""),0))),"""")"),"")</f>
        <v/>
      </c>
      <c r="E803" s="15"/>
      <c r="F803" s="15"/>
      <c r="G803" s="36"/>
      <c r="H803" s="23" t="str">
        <f>IFERROR(__xludf.DUMMYFUNCTION("iferror(iferror(iferror(index(IMPORTRANGE(""1NK5L1mviMn0j3D3uo53ASkIZOFRlLnqaCTnwzOG2_Wg"",""Direct Link!B2:B""),MATCH($C803,IMPORTRANGE(""1NK5L1mviMn0j3D3uo53ASkIZOFRlLnqaCTnwzOG2_Wg"",""Direct Link!A2:A""),0)),XLOOKUP($C803,IMPORTRANGE(""1NK5L1mviMn0j3D"&amp;"3uo53ASkIZOFRlLnqaCTnwzOG2_Wg"",""Direct links Without Sizes!A2:A""),IMPORTRANGE(""1NK5L1mviMn0j3D3uo53ASkIZOFRlLnqaCTnwzOG2_Wg"",""Direct links Without Sizes!B2:B""))),XLOOKUP($C803,IMPORTRANGE(""1NK5L1mviMn0j3D3uo53ASkIZOFRlLnqaCTnwzOG2_Wg"",""Direct li"&amp;"nks Without Sizes!D2:D""),IMPORTRANGE(""1NK5L1mviMn0j3D3uo53ASkIZOFRlLnqaCTnwzOG2_Wg"",""Direct links Without Sizes!E2:E""))),"""")"),"")</f>
        <v/>
      </c>
      <c r="I803" s="4"/>
      <c r="J803" s="24" t="str">
        <f t="shared" si="1"/>
        <v/>
      </c>
      <c r="K803" s="25"/>
      <c r="L803" s="24" t="str">
        <f t="shared" si="2"/>
        <v/>
      </c>
      <c r="M803" s="4"/>
      <c r="N803" s="23"/>
      <c r="O803" s="23"/>
      <c r="P803" s="23"/>
      <c r="Q803" s="4" t="str">
        <f t="shared" si="4"/>
        <v/>
      </c>
      <c r="R803" s="20"/>
      <c r="S803" s="20"/>
    </row>
    <row r="804">
      <c r="A804" s="4"/>
      <c r="B804" s="4"/>
      <c r="C804" s="37"/>
      <c r="D804" s="7" t="str">
        <f>IFERROR(__xludf.DUMMYFUNCTION("iferror(iferror(INDEX(IMPORTRANGE(""12vtnxaE_Q1s4tyr10kZQx7ZF_xG0lBFae4jQEUtgsMU"",""All!B2:B""),MATCH($C804,IMPORTRANGE(""12vtnxaE_Q1s4tyr10kZQx7ZF_xG0lBFae4jQEUtgsMU"",""All!A2:A""),0)),INDEX(IMPORTRANGE(""13KC70HngS4DDi8y9E5khtSpQEPG6owaQ9z4E-tR5mnY"","&amp;"""Non-Food!B2:B""),MATCH($C804,IMPORTRANGE(""13KC70HngS4DDi8y9E5khtSpQEPG6owaQ9z4E-tR5mnY"",""Non-Food!A2:A""),0))),"""")"),"")</f>
        <v/>
      </c>
      <c r="E804" s="15"/>
      <c r="F804" s="15"/>
      <c r="G804" s="36"/>
      <c r="H804" s="23" t="str">
        <f>IFERROR(__xludf.DUMMYFUNCTION("iferror(iferror(iferror(index(IMPORTRANGE(""1NK5L1mviMn0j3D3uo53ASkIZOFRlLnqaCTnwzOG2_Wg"",""Direct Link!B2:B""),MATCH($C804,IMPORTRANGE(""1NK5L1mviMn0j3D3uo53ASkIZOFRlLnqaCTnwzOG2_Wg"",""Direct Link!A2:A""),0)),XLOOKUP($C804,IMPORTRANGE(""1NK5L1mviMn0j3D"&amp;"3uo53ASkIZOFRlLnqaCTnwzOG2_Wg"",""Direct links Without Sizes!A2:A""),IMPORTRANGE(""1NK5L1mviMn0j3D3uo53ASkIZOFRlLnqaCTnwzOG2_Wg"",""Direct links Without Sizes!B2:B""))),XLOOKUP($C804,IMPORTRANGE(""1NK5L1mviMn0j3D3uo53ASkIZOFRlLnqaCTnwzOG2_Wg"",""Direct li"&amp;"nks Without Sizes!D2:D""),IMPORTRANGE(""1NK5L1mviMn0j3D3uo53ASkIZOFRlLnqaCTnwzOG2_Wg"",""Direct links Without Sizes!E2:E""))),"""")"),"")</f>
        <v/>
      </c>
      <c r="I804" s="4"/>
      <c r="J804" s="24" t="str">
        <f t="shared" si="1"/>
        <v/>
      </c>
      <c r="K804" s="25"/>
      <c r="L804" s="24" t="str">
        <f t="shared" si="2"/>
        <v/>
      </c>
      <c r="M804" s="4"/>
      <c r="N804" s="23"/>
      <c r="O804" s="23"/>
      <c r="P804" s="23"/>
      <c r="Q804" s="4" t="str">
        <f t="shared" si="4"/>
        <v/>
      </c>
      <c r="R804" s="20"/>
      <c r="S804" s="20"/>
    </row>
    <row r="805">
      <c r="A805" s="4"/>
      <c r="B805" s="4"/>
      <c r="C805" s="37"/>
      <c r="D805" s="7" t="str">
        <f>IFERROR(__xludf.DUMMYFUNCTION("iferror(iferror(INDEX(IMPORTRANGE(""12vtnxaE_Q1s4tyr10kZQx7ZF_xG0lBFae4jQEUtgsMU"",""All!B2:B""),MATCH($C805,IMPORTRANGE(""12vtnxaE_Q1s4tyr10kZQx7ZF_xG0lBFae4jQEUtgsMU"",""All!A2:A""),0)),INDEX(IMPORTRANGE(""13KC70HngS4DDi8y9E5khtSpQEPG6owaQ9z4E-tR5mnY"","&amp;"""Non-Food!B2:B""),MATCH($C805,IMPORTRANGE(""13KC70HngS4DDi8y9E5khtSpQEPG6owaQ9z4E-tR5mnY"",""Non-Food!A2:A""),0))),"""")"),"")</f>
        <v/>
      </c>
      <c r="E805" s="15"/>
      <c r="F805" s="15"/>
      <c r="G805" s="36"/>
      <c r="H805" s="23" t="str">
        <f>IFERROR(__xludf.DUMMYFUNCTION("iferror(iferror(iferror(index(IMPORTRANGE(""1NK5L1mviMn0j3D3uo53ASkIZOFRlLnqaCTnwzOG2_Wg"",""Direct Link!B2:B""),MATCH($C805,IMPORTRANGE(""1NK5L1mviMn0j3D3uo53ASkIZOFRlLnqaCTnwzOG2_Wg"",""Direct Link!A2:A""),0)),XLOOKUP($C805,IMPORTRANGE(""1NK5L1mviMn0j3D"&amp;"3uo53ASkIZOFRlLnqaCTnwzOG2_Wg"",""Direct links Without Sizes!A2:A""),IMPORTRANGE(""1NK5L1mviMn0j3D3uo53ASkIZOFRlLnqaCTnwzOG2_Wg"",""Direct links Without Sizes!B2:B""))),XLOOKUP($C805,IMPORTRANGE(""1NK5L1mviMn0j3D3uo53ASkIZOFRlLnqaCTnwzOG2_Wg"",""Direct li"&amp;"nks Without Sizes!D2:D""),IMPORTRANGE(""1NK5L1mviMn0j3D3uo53ASkIZOFRlLnqaCTnwzOG2_Wg"",""Direct links Without Sizes!E2:E""))),"""")"),"")</f>
        <v/>
      </c>
      <c r="I805" s="4"/>
      <c r="J805" s="24" t="str">
        <f t="shared" si="1"/>
        <v/>
      </c>
      <c r="K805" s="25"/>
      <c r="L805" s="24" t="str">
        <f t="shared" si="2"/>
        <v/>
      </c>
      <c r="M805" s="4"/>
      <c r="N805" s="23"/>
      <c r="O805" s="23"/>
      <c r="P805" s="23"/>
      <c r="Q805" s="4" t="str">
        <f t="shared" si="4"/>
        <v/>
      </c>
      <c r="R805" s="20"/>
      <c r="S805" s="20"/>
    </row>
    <row r="806">
      <c r="A806" s="4"/>
      <c r="B806" s="4"/>
      <c r="C806" s="37"/>
      <c r="D806" s="7" t="str">
        <f>IFERROR(__xludf.DUMMYFUNCTION("iferror(iferror(INDEX(IMPORTRANGE(""12vtnxaE_Q1s4tyr10kZQx7ZF_xG0lBFae4jQEUtgsMU"",""All!B2:B""),MATCH($C806,IMPORTRANGE(""12vtnxaE_Q1s4tyr10kZQx7ZF_xG0lBFae4jQEUtgsMU"",""All!A2:A""),0)),INDEX(IMPORTRANGE(""13KC70HngS4DDi8y9E5khtSpQEPG6owaQ9z4E-tR5mnY"","&amp;"""Non-Food!B2:B""),MATCH($C806,IMPORTRANGE(""13KC70HngS4DDi8y9E5khtSpQEPG6owaQ9z4E-tR5mnY"",""Non-Food!A2:A""),0))),"""")"),"")</f>
        <v/>
      </c>
      <c r="E806" s="15"/>
      <c r="F806" s="15"/>
      <c r="G806" s="36"/>
      <c r="H806" s="23" t="str">
        <f>IFERROR(__xludf.DUMMYFUNCTION("iferror(iferror(iferror(index(IMPORTRANGE(""1NK5L1mviMn0j3D3uo53ASkIZOFRlLnqaCTnwzOG2_Wg"",""Direct Link!B2:B""),MATCH($C806,IMPORTRANGE(""1NK5L1mviMn0j3D3uo53ASkIZOFRlLnqaCTnwzOG2_Wg"",""Direct Link!A2:A""),0)),XLOOKUP($C806,IMPORTRANGE(""1NK5L1mviMn0j3D"&amp;"3uo53ASkIZOFRlLnqaCTnwzOG2_Wg"",""Direct links Without Sizes!A2:A""),IMPORTRANGE(""1NK5L1mviMn0j3D3uo53ASkIZOFRlLnqaCTnwzOG2_Wg"",""Direct links Without Sizes!B2:B""))),XLOOKUP($C806,IMPORTRANGE(""1NK5L1mviMn0j3D3uo53ASkIZOFRlLnqaCTnwzOG2_Wg"",""Direct li"&amp;"nks Without Sizes!D2:D""),IMPORTRANGE(""1NK5L1mviMn0j3D3uo53ASkIZOFRlLnqaCTnwzOG2_Wg"",""Direct links Without Sizes!E2:E""))),"""")"),"")</f>
        <v/>
      </c>
      <c r="I806" s="4"/>
      <c r="J806" s="24" t="str">
        <f t="shared" si="1"/>
        <v/>
      </c>
      <c r="K806" s="25"/>
      <c r="L806" s="24" t="str">
        <f t="shared" si="2"/>
        <v/>
      </c>
      <c r="M806" s="4"/>
      <c r="N806" s="23"/>
      <c r="O806" s="23"/>
      <c r="P806" s="23"/>
      <c r="Q806" s="4" t="str">
        <f t="shared" si="4"/>
        <v/>
      </c>
      <c r="R806" s="20"/>
      <c r="S806" s="20"/>
    </row>
    <row r="807">
      <c r="A807" s="4"/>
      <c r="B807" s="4"/>
      <c r="C807" s="37"/>
      <c r="D807" s="7" t="str">
        <f>IFERROR(__xludf.DUMMYFUNCTION("iferror(iferror(INDEX(IMPORTRANGE(""12vtnxaE_Q1s4tyr10kZQx7ZF_xG0lBFae4jQEUtgsMU"",""All!B2:B""),MATCH($C807,IMPORTRANGE(""12vtnxaE_Q1s4tyr10kZQx7ZF_xG0lBFae4jQEUtgsMU"",""All!A2:A""),0)),INDEX(IMPORTRANGE(""13KC70HngS4DDi8y9E5khtSpQEPG6owaQ9z4E-tR5mnY"","&amp;"""Non-Food!B2:B""),MATCH($C807,IMPORTRANGE(""13KC70HngS4DDi8y9E5khtSpQEPG6owaQ9z4E-tR5mnY"",""Non-Food!A2:A""),0))),"""")"),"")</f>
        <v/>
      </c>
      <c r="E807" s="15"/>
      <c r="F807" s="15"/>
      <c r="G807" s="36"/>
      <c r="H807" s="23" t="str">
        <f>IFERROR(__xludf.DUMMYFUNCTION("iferror(iferror(iferror(index(IMPORTRANGE(""1NK5L1mviMn0j3D3uo53ASkIZOFRlLnqaCTnwzOG2_Wg"",""Direct Link!B2:B""),MATCH($C807,IMPORTRANGE(""1NK5L1mviMn0j3D3uo53ASkIZOFRlLnqaCTnwzOG2_Wg"",""Direct Link!A2:A""),0)),XLOOKUP($C807,IMPORTRANGE(""1NK5L1mviMn0j3D"&amp;"3uo53ASkIZOFRlLnqaCTnwzOG2_Wg"",""Direct links Without Sizes!A2:A""),IMPORTRANGE(""1NK5L1mviMn0j3D3uo53ASkIZOFRlLnqaCTnwzOG2_Wg"",""Direct links Without Sizes!B2:B""))),XLOOKUP($C807,IMPORTRANGE(""1NK5L1mviMn0j3D3uo53ASkIZOFRlLnqaCTnwzOG2_Wg"",""Direct li"&amp;"nks Without Sizes!D2:D""),IMPORTRANGE(""1NK5L1mviMn0j3D3uo53ASkIZOFRlLnqaCTnwzOG2_Wg"",""Direct links Without Sizes!E2:E""))),"""")"),"")</f>
        <v/>
      </c>
      <c r="I807" s="4"/>
      <c r="J807" s="24" t="str">
        <f t="shared" si="1"/>
        <v/>
      </c>
      <c r="K807" s="25"/>
      <c r="L807" s="24" t="str">
        <f t="shared" si="2"/>
        <v/>
      </c>
      <c r="M807" s="4"/>
      <c r="N807" s="23"/>
      <c r="O807" s="23"/>
      <c r="P807" s="23"/>
      <c r="Q807" s="4" t="str">
        <f t="shared" si="4"/>
        <v/>
      </c>
      <c r="R807" s="20"/>
      <c r="S807" s="20"/>
    </row>
    <row r="808">
      <c r="A808" s="4"/>
      <c r="B808" s="4"/>
      <c r="C808" s="37"/>
      <c r="D808" s="7" t="str">
        <f>IFERROR(__xludf.DUMMYFUNCTION("iferror(iferror(INDEX(IMPORTRANGE(""12vtnxaE_Q1s4tyr10kZQx7ZF_xG0lBFae4jQEUtgsMU"",""All!B2:B""),MATCH($C808,IMPORTRANGE(""12vtnxaE_Q1s4tyr10kZQx7ZF_xG0lBFae4jQEUtgsMU"",""All!A2:A""),0)),INDEX(IMPORTRANGE(""13KC70HngS4DDi8y9E5khtSpQEPG6owaQ9z4E-tR5mnY"","&amp;"""Non-Food!B2:B""),MATCH($C808,IMPORTRANGE(""13KC70HngS4DDi8y9E5khtSpQEPG6owaQ9z4E-tR5mnY"",""Non-Food!A2:A""),0))),"""")"),"")</f>
        <v/>
      </c>
      <c r="E808" s="15"/>
      <c r="F808" s="15"/>
      <c r="G808" s="36"/>
      <c r="H808" s="23" t="str">
        <f>IFERROR(__xludf.DUMMYFUNCTION("iferror(iferror(iferror(index(IMPORTRANGE(""1NK5L1mviMn0j3D3uo53ASkIZOFRlLnqaCTnwzOG2_Wg"",""Direct Link!B2:B""),MATCH($C808,IMPORTRANGE(""1NK5L1mviMn0j3D3uo53ASkIZOFRlLnqaCTnwzOG2_Wg"",""Direct Link!A2:A""),0)),XLOOKUP($C808,IMPORTRANGE(""1NK5L1mviMn0j3D"&amp;"3uo53ASkIZOFRlLnqaCTnwzOG2_Wg"",""Direct links Without Sizes!A2:A""),IMPORTRANGE(""1NK5L1mviMn0j3D3uo53ASkIZOFRlLnqaCTnwzOG2_Wg"",""Direct links Without Sizes!B2:B""))),XLOOKUP($C808,IMPORTRANGE(""1NK5L1mviMn0j3D3uo53ASkIZOFRlLnqaCTnwzOG2_Wg"",""Direct li"&amp;"nks Without Sizes!D2:D""),IMPORTRANGE(""1NK5L1mviMn0j3D3uo53ASkIZOFRlLnqaCTnwzOG2_Wg"",""Direct links Without Sizes!E2:E""))),"""")"),"")</f>
        <v/>
      </c>
      <c r="I808" s="4"/>
      <c r="J808" s="24" t="str">
        <f t="shared" si="1"/>
        <v/>
      </c>
      <c r="K808" s="25"/>
      <c r="L808" s="24" t="str">
        <f t="shared" si="2"/>
        <v/>
      </c>
      <c r="M808" s="4"/>
      <c r="N808" s="23"/>
      <c r="O808" s="23"/>
      <c r="P808" s="23"/>
      <c r="Q808" s="4" t="str">
        <f t="shared" si="4"/>
        <v/>
      </c>
      <c r="R808" s="20"/>
      <c r="S808" s="20"/>
    </row>
    <row r="809">
      <c r="A809" s="4"/>
      <c r="B809" s="4"/>
      <c r="C809" s="37"/>
      <c r="D809" s="7" t="str">
        <f>IFERROR(__xludf.DUMMYFUNCTION("iferror(iferror(INDEX(IMPORTRANGE(""12vtnxaE_Q1s4tyr10kZQx7ZF_xG0lBFae4jQEUtgsMU"",""All!B2:B""),MATCH($C809,IMPORTRANGE(""12vtnxaE_Q1s4tyr10kZQx7ZF_xG0lBFae4jQEUtgsMU"",""All!A2:A""),0)),INDEX(IMPORTRANGE(""13KC70HngS4DDi8y9E5khtSpQEPG6owaQ9z4E-tR5mnY"","&amp;"""Non-Food!B2:B""),MATCH($C809,IMPORTRANGE(""13KC70HngS4DDi8y9E5khtSpQEPG6owaQ9z4E-tR5mnY"",""Non-Food!A2:A""),0))),"""")"),"")</f>
        <v/>
      </c>
      <c r="E809" s="15"/>
      <c r="F809" s="15"/>
      <c r="G809" s="36"/>
      <c r="H809" s="23" t="str">
        <f>IFERROR(__xludf.DUMMYFUNCTION("iferror(iferror(iferror(index(IMPORTRANGE(""1NK5L1mviMn0j3D3uo53ASkIZOFRlLnqaCTnwzOG2_Wg"",""Direct Link!B2:B""),MATCH($C809,IMPORTRANGE(""1NK5L1mviMn0j3D3uo53ASkIZOFRlLnqaCTnwzOG2_Wg"",""Direct Link!A2:A""),0)),XLOOKUP($C809,IMPORTRANGE(""1NK5L1mviMn0j3D"&amp;"3uo53ASkIZOFRlLnqaCTnwzOG2_Wg"",""Direct links Without Sizes!A2:A""),IMPORTRANGE(""1NK5L1mviMn0j3D3uo53ASkIZOFRlLnqaCTnwzOG2_Wg"",""Direct links Without Sizes!B2:B""))),XLOOKUP($C809,IMPORTRANGE(""1NK5L1mviMn0j3D3uo53ASkIZOFRlLnqaCTnwzOG2_Wg"",""Direct li"&amp;"nks Without Sizes!D2:D""),IMPORTRANGE(""1NK5L1mviMn0j3D3uo53ASkIZOFRlLnqaCTnwzOG2_Wg"",""Direct links Without Sizes!E2:E""))),"""")"),"")</f>
        <v/>
      </c>
      <c r="I809" s="4"/>
      <c r="J809" s="24" t="str">
        <f t="shared" si="1"/>
        <v/>
      </c>
      <c r="K809" s="25"/>
      <c r="L809" s="24" t="str">
        <f t="shared" si="2"/>
        <v/>
      </c>
      <c r="M809" s="4"/>
      <c r="N809" s="23"/>
      <c r="O809" s="23"/>
      <c r="P809" s="23"/>
      <c r="Q809" s="4" t="str">
        <f t="shared" si="4"/>
        <v/>
      </c>
      <c r="R809" s="20"/>
      <c r="S809" s="20"/>
    </row>
    <row r="810">
      <c r="A810" s="4"/>
      <c r="B810" s="4"/>
      <c r="C810" s="37"/>
      <c r="D810" s="7" t="str">
        <f>IFERROR(__xludf.DUMMYFUNCTION("iferror(iferror(INDEX(IMPORTRANGE(""12vtnxaE_Q1s4tyr10kZQx7ZF_xG0lBFae4jQEUtgsMU"",""All!B2:B""),MATCH($C810,IMPORTRANGE(""12vtnxaE_Q1s4tyr10kZQx7ZF_xG0lBFae4jQEUtgsMU"",""All!A2:A""),0)),INDEX(IMPORTRANGE(""13KC70HngS4DDi8y9E5khtSpQEPG6owaQ9z4E-tR5mnY"","&amp;"""Non-Food!B2:B""),MATCH($C810,IMPORTRANGE(""13KC70HngS4DDi8y9E5khtSpQEPG6owaQ9z4E-tR5mnY"",""Non-Food!A2:A""),0))),"""")"),"")</f>
        <v/>
      </c>
      <c r="E810" s="15"/>
      <c r="F810" s="15"/>
      <c r="G810" s="36"/>
      <c r="H810" s="23" t="str">
        <f>IFERROR(__xludf.DUMMYFUNCTION("iferror(iferror(iferror(index(IMPORTRANGE(""1NK5L1mviMn0j3D3uo53ASkIZOFRlLnqaCTnwzOG2_Wg"",""Direct Link!B2:B""),MATCH($C810,IMPORTRANGE(""1NK5L1mviMn0j3D3uo53ASkIZOFRlLnqaCTnwzOG2_Wg"",""Direct Link!A2:A""),0)),XLOOKUP($C810,IMPORTRANGE(""1NK5L1mviMn0j3D"&amp;"3uo53ASkIZOFRlLnqaCTnwzOG2_Wg"",""Direct links Without Sizes!A2:A""),IMPORTRANGE(""1NK5L1mviMn0j3D3uo53ASkIZOFRlLnqaCTnwzOG2_Wg"",""Direct links Without Sizes!B2:B""))),XLOOKUP($C810,IMPORTRANGE(""1NK5L1mviMn0j3D3uo53ASkIZOFRlLnqaCTnwzOG2_Wg"",""Direct li"&amp;"nks Without Sizes!D2:D""),IMPORTRANGE(""1NK5L1mviMn0j3D3uo53ASkIZOFRlLnqaCTnwzOG2_Wg"",""Direct links Without Sizes!E2:E""))),"""")"),"")</f>
        <v/>
      </c>
      <c r="I810" s="4"/>
      <c r="J810" s="24" t="str">
        <f t="shared" si="1"/>
        <v/>
      </c>
      <c r="K810" s="25"/>
      <c r="L810" s="24" t="str">
        <f t="shared" si="2"/>
        <v/>
      </c>
      <c r="M810" s="4"/>
      <c r="N810" s="23"/>
      <c r="O810" s="23"/>
      <c r="P810" s="23"/>
      <c r="Q810" s="4" t="str">
        <f t="shared" si="4"/>
        <v/>
      </c>
      <c r="R810" s="20"/>
      <c r="S810" s="20"/>
    </row>
    <row r="811">
      <c r="A811" s="4"/>
      <c r="B811" s="4"/>
      <c r="C811" s="37"/>
      <c r="D811" s="7" t="str">
        <f>IFERROR(__xludf.DUMMYFUNCTION("iferror(iferror(INDEX(IMPORTRANGE(""12vtnxaE_Q1s4tyr10kZQx7ZF_xG0lBFae4jQEUtgsMU"",""All!B2:B""),MATCH($C811,IMPORTRANGE(""12vtnxaE_Q1s4tyr10kZQx7ZF_xG0lBFae4jQEUtgsMU"",""All!A2:A""),0)),INDEX(IMPORTRANGE(""13KC70HngS4DDi8y9E5khtSpQEPG6owaQ9z4E-tR5mnY"","&amp;"""Non-Food!B2:B""),MATCH($C811,IMPORTRANGE(""13KC70HngS4DDi8y9E5khtSpQEPG6owaQ9z4E-tR5mnY"",""Non-Food!A2:A""),0))),"""")"),"")</f>
        <v/>
      </c>
      <c r="E811" s="15"/>
      <c r="F811" s="15"/>
      <c r="G811" s="36"/>
      <c r="H811" s="23" t="str">
        <f>IFERROR(__xludf.DUMMYFUNCTION("iferror(iferror(iferror(index(IMPORTRANGE(""1NK5L1mviMn0j3D3uo53ASkIZOFRlLnqaCTnwzOG2_Wg"",""Direct Link!B2:B""),MATCH($C811,IMPORTRANGE(""1NK5L1mviMn0j3D3uo53ASkIZOFRlLnqaCTnwzOG2_Wg"",""Direct Link!A2:A""),0)),XLOOKUP($C811,IMPORTRANGE(""1NK5L1mviMn0j3D"&amp;"3uo53ASkIZOFRlLnqaCTnwzOG2_Wg"",""Direct links Without Sizes!A2:A""),IMPORTRANGE(""1NK5L1mviMn0j3D3uo53ASkIZOFRlLnqaCTnwzOG2_Wg"",""Direct links Without Sizes!B2:B""))),XLOOKUP($C811,IMPORTRANGE(""1NK5L1mviMn0j3D3uo53ASkIZOFRlLnqaCTnwzOG2_Wg"",""Direct li"&amp;"nks Without Sizes!D2:D""),IMPORTRANGE(""1NK5L1mviMn0j3D3uo53ASkIZOFRlLnqaCTnwzOG2_Wg"",""Direct links Without Sizes!E2:E""))),"""")"),"")</f>
        <v/>
      </c>
      <c r="I811" s="4"/>
      <c r="J811" s="24" t="str">
        <f t="shared" si="1"/>
        <v/>
      </c>
      <c r="K811" s="25"/>
      <c r="L811" s="24" t="str">
        <f t="shared" si="2"/>
        <v/>
      </c>
      <c r="M811" s="4"/>
      <c r="N811" s="23"/>
      <c r="O811" s="23"/>
      <c r="P811" s="23"/>
      <c r="Q811" s="4" t="str">
        <f t="shared" si="4"/>
        <v/>
      </c>
      <c r="R811" s="20"/>
      <c r="S811" s="20"/>
    </row>
    <row r="812">
      <c r="A812" s="4"/>
      <c r="B812" s="4"/>
      <c r="C812" s="37"/>
      <c r="D812" s="7" t="str">
        <f>IFERROR(__xludf.DUMMYFUNCTION("iferror(iferror(INDEX(IMPORTRANGE(""12vtnxaE_Q1s4tyr10kZQx7ZF_xG0lBFae4jQEUtgsMU"",""All!B2:B""),MATCH($C812,IMPORTRANGE(""12vtnxaE_Q1s4tyr10kZQx7ZF_xG0lBFae4jQEUtgsMU"",""All!A2:A""),0)),INDEX(IMPORTRANGE(""13KC70HngS4DDi8y9E5khtSpQEPG6owaQ9z4E-tR5mnY"","&amp;"""Non-Food!B2:B""),MATCH($C812,IMPORTRANGE(""13KC70HngS4DDi8y9E5khtSpQEPG6owaQ9z4E-tR5mnY"",""Non-Food!A2:A""),0))),"""")"),"")</f>
        <v/>
      </c>
      <c r="E812" s="15"/>
      <c r="F812" s="15"/>
      <c r="G812" s="36"/>
      <c r="H812" s="23" t="str">
        <f>IFERROR(__xludf.DUMMYFUNCTION("iferror(iferror(iferror(index(IMPORTRANGE(""1NK5L1mviMn0j3D3uo53ASkIZOFRlLnqaCTnwzOG2_Wg"",""Direct Link!B2:B""),MATCH($C812,IMPORTRANGE(""1NK5L1mviMn0j3D3uo53ASkIZOFRlLnqaCTnwzOG2_Wg"",""Direct Link!A2:A""),0)),XLOOKUP($C812,IMPORTRANGE(""1NK5L1mviMn0j3D"&amp;"3uo53ASkIZOFRlLnqaCTnwzOG2_Wg"",""Direct links Without Sizes!A2:A""),IMPORTRANGE(""1NK5L1mviMn0j3D3uo53ASkIZOFRlLnqaCTnwzOG2_Wg"",""Direct links Without Sizes!B2:B""))),XLOOKUP($C812,IMPORTRANGE(""1NK5L1mviMn0j3D3uo53ASkIZOFRlLnqaCTnwzOG2_Wg"",""Direct li"&amp;"nks Without Sizes!D2:D""),IMPORTRANGE(""1NK5L1mviMn0j3D3uo53ASkIZOFRlLnqaCTnwzOG2_Wg"",""Direct links Without Sizes!E2:E""))),"""")"),"")</f>
        <v/>
      </c>
      <c r="I812" s="4"/>
      <c r="J812" s="24" t="str">
        <f t="shared" si="1"/>
        <v/>
      </c>
      <c r="K812" s="25"/>
      <c r="L812" s="24" t="str">
        <f t="shared" si="2"/>
        <v/>
      </c>
      <c r="M812" s="4"/>
      <c r="N812" s="23"/>
      <c r="O812" s="23"/>
      <c r="P812" s="23"/>
      <c r="Q812" s="4" t="str">
        <f t="shared" si="4"/>
        <v/>
      </c>
      <c r="R812" s="20"/>
      <c r="S812" s="20"/>
    </row>
    <row r="813">
      <c r="A813" s="4"/>
      <c r="B813" s="4"/>
      <c r="C813" s="37"/>
      <c r="D813" s="7" t="str">
        <f>IFERROR(__xludf.DUMMYFUNCTION("iferror(iferror(INDEX(IMPORTRANGE(""12vtnxaE_Q1s4tyr10kZQx7ZF_xG0lBFae4jQEUtgsMU"",""All!B2:B""),MATCH($C813,IMPORTRANGE(""12vtnxaE_Q1s4tyr10kZQx7ZF_xG0lBFae4jQEUtgsMU"",""All!A2:A""),0)),INDEX(IMPORTRANGE(""13KC70HngS4DDi8y9E5khtSpQEPG6owaQ9z4E-tR5mnY"","&amp;"""Non-Food!B2:B""),MATCH($C813,IMPORTRANGE(""13KC70HngS4DDi8y9E5khtSpQEPG6owaQ9z4E-tR5mnY"",""Non-Food!A2:A""),0))),"""")"),"")</f>
        <v/>
      </c>
      <c r="E813" s="15"/>
      <c r="F813" s="15"/>
      <c r="G813" s="36"/>
      <c r="H813" s="23" t="str">
        <f>IFERROR(__xludf.DUMMYFUNCTION("iferror(iferror(iferror(index(IMPORTRANGE(""1NK5L1mviMn0j3D3uo53ASkIZOFRlLnqaCTnwzOG2_Wg"",""Direct Link!B2:B""),MATCH($C813,IMPORTRANGE(""1NK5L1mviMn0j3D3uo53ASkIZOFRlLnqaCTnwzOG2_Wg"",""Direct Link!A2:A""),0)),XLOOKUP($C813,IMPORTRANGE(""1NK5L1mviMn0j3D"&amp;"3uo53ASkIZOFRlLnqaCTnwzOG2_Wg"",""Direct links Without Sizes!A2:A""),IMPORTRANGE(""1NK5L1mviMn0j3D3uo53ASkIZOFRlLnqaCTnwzOG2_Wg"",""Direct links Without Sizes!B2:B""))),XLOOKUP($C813,IMPORTRANGE(""1NK5L1mviMn0j3D3uo53ASkIZOFRlLnqaCTnwzOG2_Wg"",""Direct li"&amp;"nks Without Sizes!D2:D""),IMPORTRANGE(""1NK5L1mviMn0j3D3uo53ASkIZOFRlLnqaCTnwzOG2_Wg"",""Direct links Without Sizes!E2:E""))),"""")"),"")</f>
        <v/>
      </c>
      <c r="I813" s="4"/>
      <c r="J813" s="24" t="str">
        <f t="shared" si="1"/>
        <v/>
      </c>
      <c r="K813" s="25"/>
      <c r="L813" s="24" t="str">
        <f t="shared" si="2"/>
        <v/>
      </c>
      <c r="M813" s="4"/>
      <c r="N813" s="23"/>
      <c r="O813" s="23"/>
      <c r="P813" s="23"/>
      <c r="Q813" s="4" t="str">
        <f t="shared" si="4"/>
        <v/>
      </c>
      <c r="R813" s="20"/>
      <c r="S813" s="20"/>
    </row>
    <row r="814">
      <c r="A814" s="4"/>
      <c r="B814" s="4"/>
      <c r="C814" s="37"/>
      <c r="D814" s="7" t="str">
        <f>IFERROR(__xludf.DUMMYFUNCTION("iferror(iferror(INDEX(IMPORTRANGE(""12vtnxaE_Q1s4tyr10kZQx7ZF_xG0lBFae4jQEUtgsMU"",""All!B2:B""),MATCH($C814,IMPORTRANGE(""12vtnxaE_Q1s4tyr10kZQx7ZF_xG0lBFae4jQEUtgsMU"",""All!A2:A""),0)),INDEX(IMPORTRANGE(""13KC70HngS4DDi8y9E5khtSpQEPG6owaQ9z4E-tR5mnY"","&amp;"""Non-Food!B2:B""),MATCH($C814,IMPORTRANGE(""13KC70HngS4DDi8y9E5khtSpQEPG6owaQ9z4E-tR5mnY"",""Non-Food!A2:A""),0))),"""")"),"")</f>
        <v/>
      </c>
      <c r="E814" s="15"/>
      <c r="F814" s="15"/>
      <c r="G814" s="36"/>
      <c r="H814" s="23" t="str">
        <f>IFERROR(__xludf.DUMMYFUNCTION("iferror(iferror(iferror(index(IMPORTRANGE(""1NK5L1mviMn0j3D3uo53ASkIZOFRlLnqaCTnwzOG2_Wg"",""Direct Link!B2:B""),MATCH($C814,IMPORTRANGE(""1NK5L1mviMn0j3D3uo53ASkIZOFRlLnqaCTnwzOG2_Wg"",""Direct Link!A2:A""),0)),XLOOKUP($C814,IMPORTRANGE(""1NK5L1mviMn0j3D"&amp;"3uo53ASkIZOFRlLnqaCTnwzOG2_Wg"",""Direct links Without Sizes!A2:A""),IMPORTRANGE(""1NK5L1mviMn0j3D3uo53ASkIZOFRlLnqaCTnwzOG2_Wg"",""Direct links Without Sizes!B2:B""))),XLOOKUP($C814,IMPORTRANGE(""1NK5L1mviMn0j3D3uo53ASkIZOFRlLnqaCTnwzOG2_Wg"",""Direct li"&amp;"nks Without Sizes!D2:D""),IMPORTRANGE(""1NK5L1mviMn0j3D3uo53ASkIZOFRlLnqaCTnwzOG2_Wg"",""Direct links Without Sizes!E2:E""))),"""")"),"")</f>
        <v/>
      </c>
      <c r="I814" s="4"/>
      <c r="J814" s="24" t="str">
        <f t="shared" si="1"/>
        <v/>
      </c>
      <c r="K814" s="25"/>
      <c r="L814" s="24" t="str">
        <f t="shared" si="2"/>
        <v/>
      </c>
      <c r="M814" s="4"/>
      <c r="N814" s="23"/>
      <c r="O814" s="23"/>
      <c r="P814" s="23"/>
      <c r="Q814" s="4" t="str">
        <f t="shared" si="4"/>
        <v/>
      </c>
      <c r="R814" s="20"/>
      <c r="S814" s="20"/>
    </row>
    <row r="815">
      <c r="A815" s="4"/>
      <c r="B815" s="4"/>
      <c r="C815" s="37"/>
      <c r="D815" s="7" t="str">
        <f>IFERROR(__xludf.DUMMYFUNCTION("iferror(iferror(INDEX(IMPORTRANGE(""12vtnxaE_Q1s4tyr10kZQx7ZF_xG0lBFae4jQEUtgsMU"",""All!B2:B""),MATCH($C815,IMPORTRANGE(""12vtnxaE_Q1s4tyr10kZQx7ZF_xG0lBFae4jQEUtgsMU"",""All!A2:A""),0)),INDEX(IMPORTRANGE(""13KC70HngS4DDi8y9E5khtSpQEPG6owaQ9z4E-tR5mnY"","&amp;"""Non-Food!B2:B""),MATCH($C815,IMPORTRANGE(""13KC70HngS4DDi8y9E5khtSpQEPG6owaQ9z4E-tR5mnY"",""Non-Food!A2:A""),0))),"""")"),"")</f>
        <v/>
      </c>
      <c r="E815" s="15"/>
      <c r="F815" s="15"/>
      <c r="G815" s="36"/>
      <c r="H815" s="23" t="str">
        <f>IFERROR(__xludf.DUMMYFUNCTION("iferror(iferror(iferror(index(IMPORTRANGE(""1NK5L1mviMn0j3D3uo53ASkIZOFRlLnqaCTnwzOG2_Wg"",""Direct Link!B2:B""),MATCH($C815,IMPORTRANGE(""1NK5L1mviMn0j3D3uo53ASkIZOFRlLnqaCTnwzOG2_Wg"",""Direct Link!A2:A""),0)),XLOOKUP($C815,IMPORTRANGE(""1NK5L1mviMn0j3D"&amp;"3uo53ASkIZOFRlLnqaCTnwzOG2_Wg"",""Direct links Without Sizes!A2:A""),IMPORTRANGE(""1NK5L1mviMn0j3D3uo53ASkIZOFRlLnqaCTnwzOG2_Wg"",""Direct links Without Sizes!B2:B""))),XLOOKUP($C815,IMPORTRANGE(""1NK5L1mviMn0j3D3uo53ASkIZOFRlLnqaCTnwzOG2_Wg"",""Direct li"&amp;"nks Without Sizes!D2:D""),IMPORTRANGE(""1NK5L1mviMn0j3D3uo53ASkIZOFRlLnqaCTnwzOG2_Wg"",""Direct links Without Sizes!E2:E""))),"""")"),"")</f>
        <v/>
      </c>
      <c r="I815" s="4"/>
      <c r="J815" s="24" t="str">
        <f t="shared" si="1"/>
        <v/>
      </c>
      <c r="K815" s="25"/>
      <c r="L815" s="24" t="str">
        <f t="shared" si="2"/>
        <v/>
      </c>
      <c r="M815" s="4"/>
      <c r="N815" s="23"/>
      <c r="O815" s="23"/>
      <c r="P815" s="23"/>
      <c r="Q815" s="4" t="str">
        <f t="shared" si="4"/>
        <v/>
      </c>
      <c r="R815" s="20"/>
      <c r="S815" s="20"/>
    </row>
    <row r="816">
      <c r="A816" s="4"/>
      <c r="B816" s="4"/>
      <c r="C816" s="37"/>
      <c r="D816" s="7" t="str">
        <f>IFERROR(__xludf.DUMMYFUNCTION("iferror(iferror(INDEX(IMPORTRANGE(""12vtnxaE_Q1s4tyr10kZQx7ZF_xG0lBFae4jQEUtgsMU"",""All!B2:B""),MATCH($C816,IMPORTRANGE(""12vtnxaE_Q1s4tyr10kZQx7ZF_xG0lBFae4jQEUtgsMU"",""All!A2:A""),0)),INDEX(IMPORTRANGE(""13KC70HngS4DDi8y9E5khtSpQEPG6owaQ9z4E-tR5mnY"","&amp;"""Non-Food!B2:B""),MATCH($C816,IMPORTRANGE(""13KC70HngS4DDi8y9E5khtSpQEPG6owaQ9z4E-tR5mnY"",""Non-Food!A2:A""),0))),"""")"),"")</f>
        <v/>
      </c>
      <c r="E816" s="15"/>
      <c r="F816" s="15"/>
      <c r="G816" s="36"/>
      <c r="H816" s="23" t="str">
        <f>IFERROR(__xludf.DUMMYFUNCTION("iferror(iferror(iferror(index(IMPORTRANGE(""1NK5L1mviMn0j3D3uo53ASkIZOFRlLnqaCTnwzOG2_Wg"",""Direct Link!B2:B""),MATCH($C816,IMPORTRANGE(""1NK5L1mviMn0j3D3uo53ASkIZOFRlLnqaCTnwzOG2_Wg"",""Direct Link!A2:A""),0)),XLOOKUP($C816,IMPORTRANGE(""1NK5L1mviMn0j3D"&amp;"3uo53ASkIZOFRlLnqaCTnwzOG2_Wg"",""Direct links Without Sizes!A2:A""),IMPORTRANGE(""1NK5L1mviMn0j3D3uo53ASkIZOFRlLnqaCTnwzOG2_Wg"",""Direct links Without Sizes!B2:B""))),XLOOKUP($C816,IMPORTRANGE(""1NK5L1mviMn0j3D3uo53ASkIZOFRlLnqaCTnwzOG2_Wg"",""Direct li"&amp;"nks Without Sizes!D2:D""),IMPORTRANGE(""1NK5L1mviMn0j3D3uo53ASkIZOFRlLnqaCTnwzOG2_Wg"",""Direct links Without Sizes!E2:E""))),"""")"),"")</f>
        <v/>
      </c>
      <c r="I816" s="4"/>
      <c r="J816" s="24" t="str">
        <f t="shared" si="1"/>
        <v/>
      </c>
      <c r="K816" s="25"/>
      <c r="L816" s="24" t="str">
        <f t="shared" si="2"/>
        <v/>
      </c>
      <c r="M816" s="4"/>
      <c r="N816" s="23"/>
      <c r="O816" s="23"/>
      <c r="P816" s="23"/>
      <c r="Q816" s="4" t="str">
        <f t="shared" si="4"/>
        <v/>
      </c>
      <c r="R816" s="20"/>
      <c r="S816" s="20"/>
    </row>
    <row r="817">
      <c r="A817" s="4"/>
      <c r="B817" s="4"/>
      <c r="C817" s="37"/>
      <c r="D817" s="7" t="str">
        <f>IFERROR(__xludf.DUMMYFUNCTION("iferror(iferror(INDEX(IMPORTRANGE(""12vtnxaE_Q1s4tyr10kZQx7ZF_xG0lBFae4jQEUtgsMU"",""All!B2:B""),MATCH($C817,IMPORTRANGE(""12vtnxaE_Q1s4tyr10kZQx7ZF_xG0lBFae4jQEUtgsMU"",""All!A2:A""),0)),INDEX(IMPORTRANGE(""13KC70HngS4DDi8y9E5khtSpQEPG6owaQ9z4E-tR5mnY"","&amp;"""Non-Food!B2:B""),MATCH($C817,IMPORTRANGE(""13KC70HngS4DDi8y9E5khtSpQEPG6owaQ9z4E-tR5mnY"",""Non-Food!A2:A""),0))),"""")"),"")</f>
        <v/>
      </c>
      <c r="E817" s="15"/>
      <c r="F817" s="15"/>
      <c r="G817" s="36"/>
      <c r="H817" s="23" t="str">
        <f>IFERROR(__xludf.DUMMYFUNCTION("iferror(iferror(iferror(index(IMPORTRANGE(""1NK5L1mviMn0j3D3uo53ASkIZOFRlLnqaCTnwzOG2_Wg"",""Direct Link!B2:B""),MATCH($C817,IMPORTRANGE(""1NK5L1mviMn0j3D3uo53ASkIZOFRlLnqaCTnwzOG2_Wg"",""Direct Link!A2:A""),0)),XLOOKUP($C817,IMPORTRANGE(""1NK5L1mviMn0j3D"&amp;"3uo53ASkIZOFRlLnqaCTnwzOG2_Wg"",""Direct links Without Sizes!A2:A""),IMPORTRANGE(""1NK5L1mviMn0j3D3uo53ASkIZOFRlLnqaCTnwzOG2_Wg"",""Direct links Without Sizes!B2:B""))),XLOOKUP($C817,IMPORTRANGE(""1NK5L1mviMn0j3D3uo53ASkIZOFRlLnqaCTnwzOG2_Wg"",""Direct li"&amp;"nks Without Sizes!D2:D""),IMPORTRANGE(""1NK5L1mviMn0j3D3uo53ASkIZOFRlLnqaCTnwzOG2_Wg"",""Direct links Without Sizes!E2:E""))),"""")"),"")</f>
        <v/>
      </c>
      <c r="I817" s="4"/>
      <c r="J817" s="24" t="str">
        <f t="shared" si="1"/>
        <v/>
      </c>
      <c r="K817" s="25"/>
      <c r="L817" s="24" t="str">
        <f t="shared" si="2"/>
        <v/>
      </c>
      <c r="M817" s="4"/>
      <c r="N817" s="23"/>
      <c r="O817" s="23"/>
      <c r="P817" s="23"/>
      <c r="Q817" s="4" t="str">
        <f t="shared" si="4"/>
        <v/>
      </c>
      <c r="R817" s="20"/>
      <c r="S817" s="20"/>
    </row>
    <row r="818">
      <c r="A818" s="4"/>
      <c r="B818" s="4"/>
      <c r="C818" s="37"/>
      <c r="D818" s="7" t="str">
        <f>IFERROR(__xludf.DUMMYFUNCTION("iferror(iferror(INDEX(IMPORTRANGE(""12vtnxaE_Q1s4tyr10kZQx7ZF_xG0lBFae4jQEUtgsMU"",""All!B2:B""),MATCH($C818,IMPORTRANGE(""12vtnxaE_Q1s4tyr10kZQx7ZF_xG0lBFae4jQEUtgsMU"",""All!A2:A""),0)),INDEX(IMPORTRANGE(""13KC70HngS4DDi8y9E5khtSpQEPG6owaQ9z4E-tR5mnY"","&amp;"""Non-Food!B2:B""),MATCH($C818,IMPORTRANGE(""13KC70HngS4DDi8y9E5khtSpQEPG6owaQ9z4E-tR5mnY"",""Non-Food!A2:A""),0))),"""")"),"")</f>
        <v/>
      </c>
      <c r="E818" s="15"/>
      <c r="F818" s="15"/>
      <c r="G818" s="36"/>
      <c r="H818" s="23" t="str">
        <f>IFERROR(__xludf.DUMMYFUNCTION("iferror(iferror(iferror(index(IMPORTRANGE(""1NK5L1mviMn0j3D3uo53ASkIZOFRlLnqaCTnwzOG2_Wg"",""Direct Link!B2:B""),MATCH($C818,IMPORTRANGE(""1NK5L1mviMn0j3D3uo53ASkIZOFRlLnqaCTnwzOG2_Wg"",""Direct Link!A2:A""),0)),XLOOKUP($C818,IMPORTRANGE(""1NK5L1mviMn0j3D"&amp;"3uo53ASkIZOFRlLnqaCTnwzOG2_Wg"",""Direct links Without Sizes!A2:A""),IMPORTRANGE(""1NK5L1mviMn0j3D3uo53ASkIZOFRlLnqaCTnwzOG2_Wg"",""Direct links Without Sizes!B2:B""))),XLOOKUP($C818,IMPORTRANGE(""1NK5L1mviMn0j3D3uo53ASkIZOFRlLnqaCTnwzOG2_Wg"",""Direct li"&amp;"nks Without Sizes!D2:D""),IMPORTRANGE(""1NK5L1mviMn0j3D3uo53ASkIZOFRlLnqaCTnwzOG2_Wg"",""Direct links Without Sizes!E2:E""))),"""")"),"")</f>
        <v/>
      </c>
      <c r="I818" s="4"/>
      <c r="J818" s="24" t="str">
        <f t="shared" si="1"/>
        <v/>
      </c>
      <c r="K818" s="25"/>
      <c r="L818" s="24" t="str">
        <f t="shared" si="2"/>
        <v/>
      </c>
      <c r="M818" s="4"/>
      <c r="N818" s="23"/>
      <c r="O818" s="23"/>
      <c r="P818" s="23"/>
      <c r="Q818" s="4" t="str">
        <f t="shared" si="4"/>
        <v/>
      </c>
      <c r="R818" s="20"/>
      <c r="S818" s="20"/>
    </row>
    <row r="819">
      <c r="A819" s="4"/>
      <c r="B819" s="4"/>
      <c r="C819" s="37"/>
      <c r="D819" s="7" t="str">
        <f>IFERROR(__xludf.DUMMYFUNCTION("iferror(iferror(INDEX(IMPORTRANGE(""12vtnxaE_Q1s4tyr10kZQx7ZF_xG0lBFae4jQEUtgsMU"",""All!B2:B""),MATCH($C819,IMPORTRANGE(""12vtnxaE_Q1s4tyr10kZQx7ZF_xG0lBFae4jQEUtgsMU"",""All!A2:A""),0)),INDEX(IMPORTRANGE(""13KC70HngS4DDi8y9E5khtSpQEPG6owaQ9z4E-tR5mnY"","&amp;"""Non-Food!B2:B""),MATCH($C819,IMPORTRANGE(""13KC70HngS4DDi8y9E5khtSpQEPG6owaQ9z4E-tR5mnY"",""Non-Food!A2:A""),0))),"""")"),"")</f>
        <v/>
      </c>
      <c r="E819" s="15"/>
      <c r="F819" s="15"/>
      <c r="G819" s="36"/>
      <c r="H819" s="23" t="str">
        <f>IFERROR(__xludf.DUMMYFUNCTION("iferror(iferror(iferror(index(IMPORTRANGE(""1NK5L1mviMn0j3D3uo53ASkIZOFRlLnqaCTnwzOG2_Wg"",""Direct Link!B2:B""),MATCH($C819,IMPORTRANGE(""1NK5L1mviMn0j3D3uo53ASkIZOFRlLnqaCTnwzOG2_Wg"",""Direct Link!A2:A""),0)),XLOOKUP($C819,IMPORTRANGE(""1NK5L1mviMn0j3D"&amp;"3uo53ASkIZOFRlLnqaCTnwzOG2_Wg"",""Direct links Without Sizes!A2:A""),IMPORTRANGE(""1NK5L1mviMn0j3D3uo53ASkIZOFRlLnqaCTnwzOG2_Wg"",""Direct links Without Sizes!B2:B""))),XLOOKUP($C819,IMPORTRANGE(""1NK5L1mviMn0j3D3uo53ASkIZOFRlLnqaCTnwzOG2_Wg"",""Direct li"&amp;"nks Without Sizes!D2:D""),IMPORTRANGE(""1NK5L1mviMn0j3D3uo53ASkIZOFRlLnqaCTnwzOG2_Wg"",""Direct links Without Sizes!E2:E""))),"""")"),"")</f>
        <v/>
      </c>
      <c r="I819" s="4"/>
      <c r="J819" s="24" t="str">
        <f t="shared" si="1"/>
        <v/>
      </c>
      <c r="K819" s="25"/>
      <c r="L819" s="24" t="str">
        <f t="shared" si="2"/>
        <v/>
      </c>
      <c r="M819" s="4"/>
      <c r="N819" s="23"/>
      <c r="O819" s="23"/>
      <c r="P819" s="23"/>
      <c r="Q819" s="4" t="str">
        <f t="shared" si="4"/>
        <v/>
      </c>
      <c r="R819" s="20"/>
      <c r="S819" s="20"/>
    </row>
    <row r="820">
      <c r="A820" s="4"/>
      <c r="B820" s="4"/>
      <c r="C820" s="37"/>
      <c r="D820" s="7" t="str">
        <f>IFERROR(__xludf.DUMMYFUNCTION("iferror(iferror(INDEX(IMPORTRANGE(""12vtnxaE_Q1s4tyr10kZQx7ZF_xG0lBFae4jQEUtgsMU"",""All!B2:B""),MATCH($C820,IMPORTRANGE(""12vtnxaE_Q1s4tyr10kZQx7ZF_xG0lBFae4jQEUtgsMU"",""All!A2:A""),0)),INDEX(IMPORTRANGE(""13KC70HngS4DDi8y9E5khtSpQEPG6owaQ9z4E-tR5mnY"","&amp;"""Non-Food!B2:B""),MATCH($C820,IMPORTRANGE(""13KC70HngS4DDi8y9E5khtSpQEPG6owaQ9z4E-tR5mnY"",""Non-Food!A2:A""),0))),"""")"),"")</f>
        <v/>
      </c>
      <c r="E820" s="15"/>
      <c r="F820" s="15"/>
      <c r="G820" s="36"/>
      <c r="H820" s="23" t="str">
        <f>IFERROR(__xludf.DUMMYFUNCTION("iferror(iferror(iferror(index(IMPORTRANGE(""1NK5L1mviMn0j3D3uo53ASkIZOFRlLnqaCTnwzOG2_Wg"",""Direct Link!B2:B""),MATCH($C820,IMPORTRANGE(""1NK5L1mviMn0j3D3uo53ASkIZOFRlLnqaCTnwzOG2_Wg"",""Direct Link!A2:A""),0)),XLOOKUP($C820,IMPORTRANGE(""1NK5L1mviMn0j3D"&amp;"3uo53ASkIZOFRlLnqaCTnwzOG2_Wg"",""Direct links Without Sizes!A2:A""),IMPORTRANGE(""1NK5L1mviMn0j3D3uo53ASkIZOFRlLnqaCTnwzOG2_Wg"",""Direct links Without Sizes!B2:B""))),XLOOKUP($C820,IMPORTRANGE(""1NK5L1mviMn0j3D3uo53ASkIZOFRlLnqaCTnwzOG2_Wg"",""Direct li"&amp;"nks Without Sizes!D2:D""),IMPORTRANGE(""1NK5L1mviMn0j3D3uo53ASkIZOFRlLnqaCTnwzOG2_Wg"",""Direct links Without Sizes!E2:E""))),"""")"),"")</f>
        <v/>
      </c>
      <c r="I820" s="4"/>
      <c r="J820" s="24" t="str">
        <f t="shared" si="1"/>
        <v/>
      </c>
      <c r="K820" s="25"/>
      <c r="L820" s="24" t="str">
        <f t="shared" si="2"/>
        <v/>
      </c>
      <c r="M820" s="4"/>
      <c r="N820" s="23"/>
      <c r="O820" s="23"/>
      <c r="P820" s="23"/>
      <c r="Q820" s="4" t="str">
        <f t="shared" si="4"/>
        <v/>
      </c>
      <c r="R820" s="20"/>
      <c r="S820" s="20"/>
    </row>
    <row r="821">
      <c r="A821" s="4"/>
      <c r="B821" s="4"/>
      <c r="C821" s="37"/>
      <c r="D821" s="7" t="str">
        <f>IFERROR(__xludf.DUMMYFUNCTION("iferror(iferror(INDEX(IMPORTRANGE(""12vtnxaE_Q1s4tyr10kZQx7ZF_xG0lBFae4jQEUtgsMU"",""All!B2:B""),MATCH($C821,IMPORTRANGE(""12vtnxaE_Q1s4tyr10kZQx7ZF_xG0lBFae4jQEUtgsMU"",""All!A2:A""),0)),INDEX(IMPORTRANGE(""13KC70HngS4DDi8y9E5khtSpQEPG6owaQ9z4E-tR5mnY"","&amp;"""Non-Food!B2:B""),MATCH($C821,IMPORTRANGE(""13KC70HngS4DDi8y9E5khtSpQEPG6owaQ9z4E-tR5mnY"",""Non-Food!A2:A""),0))),"""")"),"")</f>
        <v/>
      </c>
      <c r="E821" s="15"/>
      <c r="F821" s="15"/>
      <c r="G821" s="36"/>
      <c r="H821" s="23" t="str">
        <f>IFERROR(__xludf.DUMMYFUNCTION("iferror(iferror(iferror(index(IMPORTRANGE(""1NK5L1mviMn0j3D3uo53ASkIZOFRlLnqaCTnwzOG2_Wg"",""Direct Link!B2:B""),MATCH($C821,IMPORTRANGE(""1NK5L1mviMn0j3D3uo53ASkIZOFRlLnqaCTnwzOG2_Wg"",""Direct Link!A2:A""),0)),XLOOKUP($C821,IMPORTRANGE(""1NK5L1mviMn0j3D"&amp;"3uo53ASkIZOFRlLnqaCTnwzOG2_Wg"",""Direct links Without Sizes!A2:A""),IMPORTRANGE(""1NK5L1mviMn0j3D3uo53ASkIZOFRlLnqaCTnwzOG2_Wg"",""Direct links Without Sizes!B2:B""))),XLOOKUP($C821,IMPORTRANGE(""1NK5L1mviMn0j3D3uo53ASkIZOFRlLnqaCTnwzOG2_Wg"",""Direct li"&amp;"nks Without Sizes!D2:D""),IMPORTRANGE(""1NK5L1mviMn0j3D3uo53ASkIZOFRlLnqaCTnwzOG2_Wg"",""Direct links Without Sizes!E2:E""))),"""")"),"")</f>
        <v/>
      </c>
      <c r="I821" s="4"/>
      <c r="J821" s="24" t="str">
        <f t="shared" si="1"/>
        <v/>
      </c>
      <c r="K821" s="25"/>
      <c r="L821" s="24" t="str">
        <f t="shared" si="2"/>
        <v/>
      </c>
      <c r="M821" s="4"/>
      <c r="N821" s="23"/>
      <c r="O821" s="23"/>
      <c r="P821" s="23"/>
      <c r="Q821" s="4" t="str">
        <f t="shared" si="4"/>
        <v/>
      </c>
      <c r="R821" s="20"/>
      <c r="S821" s="20"/>
    </row>
    <row r="822">
      <c r="A822" s="4"/>
      <c r="B822" s="4"/>
      <c r="C822" s="37"/>
      <c r="D822" s="7" t="str">
        <f>IFERROR(__xludf.DUMMYFUNCTION("iferror(iferror(INDEX(IMPORTRANGE(""12vtnxaE_Q1s4tyr10kZQx7ZF_xG0lBFae4jQEUtgsMU"",""All!B2:B""),MATCH($C822,IMPORTRANGE(""12vtnxaE_Q1s4tyr10kZQx7ZF_xG0lBFae4jQEUtgsMU"",""All!A2:A""),0)),INDEX(IMPORTRANGE(""13KC70HngS4DDi8y9E5khtSpQEPG6owaQ9z4E-tR5mnY"","&amp;"""Non-Food!B2:B""),MATCH($C822,IMPORTRANGE(""13KC70HngS4DDi8y9E5khtSpQEPG6owaQ9z4E-tR5mnY"",""Non-Food!A2:A""),0))),"""")"),"")</f>
        <v/>
      </c>
      <c r="E822" s="15"/>
      <c r="F822" s="15"/>
      <c r="G822" s="36"/>
      <c r="H822" s="23" t="str">
        <f>IFERROR(__xludf.DUMMYFUNCTION("iferror(iferror(iferror(index(IMPORTRANGE(""1NK5L1mviMn0j3D3uo53ASkIZOFRlLnqaCTnwzOG2_Wg"",""Direct Link!B2:B""),MATCH($C822,IMPORTRANGE(""1NK5L1mviMn0j3D3uo53ASkIZOFRlLnqaCTnwzOG2_Wg"",""Direct Link!A2:A""),0)),XLOOKUP($C822,IMPORTRANGE(""1NK5L1mviMn0j3D"&amp;"3uo53ASkIZOFRlLnqaCTnwzOG2_Wg"",""Direct links Without Sizes!A2:A""),IMPORTRANGE(""1NK5L1mviMn0j3D3uo53ASkIZOFRlLnqaCTnwzOG2_Wg"",""Direct links Without Sizes!B2:B""))),XLOOKUP($C822,IMPORTRANGE(""1NK5L1mviMn0j3D3uo53ASkIZOFRlLnqaCTnwzOG2_Wg"",""Direct li"&amp;"nks Without Sizes!D2:D""),IMPORTRANGE(""1NK5L1mviMn0j3D3uo53ASkIZOFRlLnqaCTnwzOG2_Wg"",""Direct links Without Sizes!E2:E""))),"""")"),"")</f>
        <v/>
      </c>
      <c r="I822" s="4"/>
      <c r="J822" s="24" t="str">
        <f t="shared" si="1"/>
        <v/>
      </c>
      <c r="K822" s="25"/>
      <c r="L822" s="24" t="str">
        <f t="shared" si="2"/>
        <v/>
      </c>
      <c r="M822" s="4"/>
      <c r="N822" s="23"/>
      <c r="O822" s="23"/>
      <c r="P822" s="23"/>
      <c r="Q822" s="4" t="str">
        <f t="shared" si="4"/>
        <v/>
      </c>
      <c r="R822" s="20"/>
      <c r="S822" s="20"/>
    </row>
    <row r="823">
      <c r="A823" s="4"/>
      <c r="B823" s="4"/>
      <c r="C823" s="37"/>
      <c r="D823" s="7" t="str">
        <f>IFERROR(__xludf.DUMMYFUNCTION("iferror(iferror(INDEX(IMPORTRANGE(""12vtnxaE_Q1s4tyr10kZQx7ZF_xG0lBFae4jQEUtgsMU"",""All!B2:B""),MATCH($C823,IMPORTRANGE(""12vtnxaE_Q1s4tyr10kZQx7ZF_xG0lBFae4jQEUtgsMU"",""All!A2:A""),0)),INDEX(IMPORTRANGE(""13KC70HngS4DDi8y9E5khtSpQEPG6owaQ9z4E-tR5mnY"","&amp;"""Non-Food!B2:B""),MATCH($C823,IMPORTRANGE(""13KC70HngS4DDi8y9E5khtSpQEPG6owaQ9z4E-tR5mnY"",""Non-Food!A2:A""),0))),"""")"),"")</f>
        <v/>
      </c>
      <c r="E823" s="15"/>
      <c r="F823" s="15"/>
      <c r="G823" s="36"/>
      <c r="H823" s="23" t="str">
        <f>IFERROR(__xludf.DUMMYFUNCTION("iferror(iferror(iferror(index(IMPORTRANGE(""1NK5L1mviMn0j3D3uo53ASkIZOFRlLnqaCTnwzOG2_Wg"",""Direct Link!B2:B""),MATCH($C823,IMPORTRANGE(""1NK5L1mviMn0j3D3uo53ASkIZOFRlLnqaCTnwzOG2_Wg"",""Direct Link!A2:A""),0)),XLOOKUP($C823,IMPORTRANGE(""1NK5L1mviMn0j3D"&amp;"3uo53ASkIZOFRlLnqaCTnwzOG2_Wg"",""Direct links Without Sizes!A2:A""),IMPORTRANGE(""1NK5L1mviMn0j3D3uo53ASkIZOFRlLnqaCTnwzOG2_Wg"",""Direct links Without Sizes!B2:B""))),XLOOKUP($C823,IMPORTRANGE(""1NK5L1mviMn0j3D3uo53ASkIZOFRlLnqaCTnwzOG2_Wg"",""Direct li"&amp;"nks Without Sizes!D2:D""),IMPORTRANGE(""1NK5L1mviMn0j3D3uo53ASkIZOFRlLnqaCTnwzOG2_Wg"",""Direct links Without Sizes!E2:E""))),"""")"),"")</f>
        <v/>
      </c>
      <c r="I823" s="4"/>
      <c r="J823" s="24" t="str">
        <f t="shared" si="1"/>
        <v/>
      </c>
      <c r="K823" s="25"/>
      <c r="L823" s="24" t="str">
        <f t="shared" si="2"/>
        <v/>
      </c>
      <c r="M823" s="4"/>
      <c r="N823" s="23"/>
      <c r="O823" s="23"/>
      <c r="P823" s="23"/>
      <c r="Q823" s="4" t="str">
        <f t="shared" si="4"/>
        <v/>
      </c>
      <c r="R823" s="20"/>
      <c r="S823" s="20"/>
    </row>
    <row r="824">
      <c r="A824" s="4"/>
      <c r="B824" s="4"/>
      <c r="C824" s="37"/>
      <c r="D824" s="7" t="str">
        <f>IFERROR(__xludf.DUMMYFUNCTION("iferror(iferror(INDEX(IMPORTRANGE(""12vtnxaE_Q1s4tyr10kZQx7ZF_xG0lBFae4jQEUtgsMU"",""All!B2:B""),MATCH($C824,IMPORTRANGE(""12vtnxaE_Q1s4tyr10kZQx7ZF_xG0lBFae4jQEUtgsMU"",""All!A2:A""),0)),INDEX(IMPORTRANGE(""13KC70HngS4DDi8y9E5khtSpQEPG6owaQ9z4E-tR5mnY"","&amp;"""Non-Food!B2:B""),MATCH($C824,IMPORTRANGE(""13KC70HngS4DDi8y9E5khtSpQEPG6owaQ9z4E-tR5mnY"",""Non-Food!A2:A""),0))),"""")"),"")</f>
        <v/>
      </c>
      <c r="E824" s="15"/>
      <c r="F824" s="15"/>
      <c r="G824" s="36"/>
      <c r="H824" s="23" t="str">
        <f>IFERROR(__xludf.DUMMYFUNCTION("iferror(iferror(iferror(index(IMPORTRANGE(""1NK5L1mviMn0j3D3uo53ASkIZOFRlLnqaCTnwzOG2_Wg"",""Direct Link!B2:B""),MATCH($C824,IMPORTRANGE(""1NK5L1mviMn0j3D3uo53ASkIZOFRlLnqaCTnwzOG2_Wg"",""Direct Link!A2:A""),0)),XLOOKUP($C824,IMPORTRANGE(""1NK5L1mviMn0j3D"&amp;"3uo53ASkIZOFRlLnqaCTnwzOG2_Wg"",""Direct links Without Sizes!A2:A""),IMPORTRANGE(""1NK5L1mviMn0j3D3uo53ASkIZOFRlLnqaCTnwzOG2_Wg"",""Direct links Without Sizes!B2:B""))),XLOOKUP($C824,IMPORTRANGE(""1NK5L1mviMn0j3D3uo53ASkIZOFRlLnqaCTnwzOG2_Wg"",""Direct li"&amp;"nks Without Sizes!D2:D""),IMPORTRANGE(""1NK5L1mviMn0j3D3uo53ASkIZOFRlLnqaCTnwzOG2_Wg"",""Direct links Without Sizes!E2:E""))),"""")"),"")</f>
        <v/>
      </c>
      <c r="I824" s="4"/>
      <c r="J824" s="24" t="str">
        <f t="shared" si="1"/>
        <v/>
      </c>
      <c r="K824" s="25"/>
      <c r="L824" s="24" t="str">
        <f t="shared" si="2"/>
        <v/>
      </c>
      <c r="M824" s="4"/>
      <c r="N824" s="23"/>
      <c r="O824" s="23"/>
      <c r="P824" s="23"/>
      <c r="Q824" s="4" t="str">
        <f t="shared" si="4"/>
        <v/>
      </c>
      <c r="R824" s="20"/>
      <c r="S824" s="20"/>
    </row>
    <row r="825">
      <c r="A825" s="4"/>
      <c r="B825" s="4"/>
      <c r="C825" s="37"/>
      <c r="D825" s="7" t="str">
        <f>IFERROR(__xludf.DUMMYFUNCTION("iferror(iferror(INDEX(IMPORTRANGE(""12vtnxaE_Q1s4tyr10kZQx7ZF_xG0lBFae4jQEUtgsMU"",""All!B2:B""),MATCH($C825,IMPORTRANGE(""12vtnxaE_Q1s4tyr10kZQx7ZF_xG0lBFae4jQEUtgsMU"",""All!A2:A""),0)),INDEX(IMPORTRANGE(""13KC70HngS4DDi8y9E5khtSpQEPG6owaQ9z4E-tR5mnY"","&amp;"""Non-Food!B2:B""),MATCH($C825,IMPORTRANGE(""13KC70HngS4DDi8y9E5khtSpQEPG6owaQ9z4E-tR5mnY"",""Non-Food!A2:A""),0))),"""")"),"")</f>
        <v/>
      </c>
      <c r="E825" s="15"/>
      <c r="F825" s="15"/>
      <c r="G825" s="36"/>
      <c r="H825" s="23" t="str">
        <f>IFERROR(__xludf.DUMMYFUNCTION("iferror(iferror(iferror(index(IMPORTRANGE(""1NK5L1mviMn0j3D3uo53ASkIZOFRlLnqaCTnwzOG2_Wg"",""Direct Link!B2:B""),MATCH($C825,IMPORTRANGE(""1NK5L1mviMn0j3D3uo53ASkIZOFRlLnqaCTnwzOG2_Wg"",""Direct Link!A2:A""),0)),XLOOKUP($C825,IMPORTRANGE(""1NK5L1mviMn0j3D"&amp;"3uo53ASkIZOFRlLnqaCTnwzOG2_Wg"",""Direct links Without Sizes!A2:A""),IMPORTRANGE(""1NK5L1mviMn0j3D3uo53ASkIZOFRlLnqaCTnwzOG2_Wg"",""Direct links Without Sizes!B2:B""))),XLOOKUP($C825,IMPORTRANGE(""1NK5L1mviMn0j3D3uo53ASkIZOFRlLnqaCTnwzOG2_Wg"",""Direct li"&amp;"nks Without Sizes!D2:D""),IMPORTRANGE(""1NK5L1mviMn0j3D3uo53ASkIZOFRlLnqaCTnwzOG2_Wg"",""Direct links Without Sizes!E2:E""))),"""")"),"")</f>
        <v/>
      </c>
      <c r="I825" s="4"/>
      <c r="J825" s="24" t="str">
        <f t="shared" si="1"/>
        <v/>
      </c>
      <c r="K825" s="25"/>
      <c r="L825" s="24" t="str">
        <f t="shared" si="2"/>
        <v/>
      </c>
      <c r="M825" s="4"/>
      <c r="N825" s="23"/>
      <c r="O825" s="23"/>
      <c r="P825" s="23"/>
      <c r="Q825" s="4" t="str">
        <f t="shared" si="4"/>
        <v/>
      </c>
      <c r="R825" s="20"/>
      <c r="S825" s="20"/>
    </row>
    <row r="826">
      <c r="A826" s="4"/>
      <c r="B826" s="4"/>
      <c r="C826" s="37"/>
      <c r="D826" s="7" t="str">
        <f>IFERROR(__xludf.DUMMYFUNCTION("iferror(iferror(INDEX(IMPORTRANGE(""12vtnxaE_Q1s4tyr10kZQx7ZF_xG0lBFae4jQEUtgsMU"",""All!B2:B""),MATCH($C826,IMPORTRANGE(""12vtnxaE_Q1s4tyr10kZQx7ZF_xG0lBFae4jQEUtgsMU"",""All!A2:A""),0)),INDEX(IMPORTRANGE(""13KC70HngS4DDi8y9E5khtSpQEPG6owaQ9z4E-tR5mnY"","&amp;"""Non-Food!B2:B""),MATCH($C826,IMPORTRANGE(""13KC70HngS4DDi8y9E5khtSpQEPG6owaQ9z4E-tR5mnY"",""Non-Food!A2:A""),0))),"""")"),"")</f>
        <v/>
      </c>
      <c r="E826" s="15"/>
      <c r="F826" s="15"/>
      <c r="G826" s="36"/>
      <c r="H826" s="23" t="str">
        <f>IFERROR(__xludf.DUMMYFUNCTION("iferror(iferror(iferror(index(IMPORTRANGE(""1NK5L1mviMn0j3D3uo53ASkIZOFRlLnqaCTnwzOG2_Wg"",""Direct Link!B2:B""),MATCH($C826,IMPORTRANGE(""1NK5L1mviMn0j3D3uo53ASkIZOFRlLnqaCTnwzOG2_Wg"",""Direct Link!A2:A""),0)),XLOOKUP($C826,IMPORTRANGE(""1NK5L1mviMn0j3D"&amp;"3uo53ASkIZOFRlLnqaCTnwzOG2_Wg"",""Direct links Without Sizes!A2:A""),IMPORTRANGE(""1NK5L1mviMn0j3D3uo53ASkIZOFRlLnqaCTnwzOG2_Wg"",""Direct links Without Sizes!B2:B""))),XLOOKUP($C826,IMPORTRANGE(""1NK5L1mviMn0j3D3uo53ASkIZOFRlLnqaCTnwzOG2_Wg"",""Direct li"&amp;"nks Without Sizes!D2:D""),IMPORTRANGE(""1NK5L1mviMn0j3D3uo53ASkIZOFRlLnqaCTnwzOG2_Wg"",""Direct links Without Sizes!E2:E""))),"""")"),"")</f>
        <v/>
      </c>
      <c r="I826" s="4"/>
      <c r="J826" s="24" t="str">
        <f t="shared" si="1"/>
        <v/>
      </c>
      <c r="K826" s="25"/>
      <c r="L826" s="24" t="str">
        <f t="shared" si="2"/>
        <v/>
      </c>
      <c r="M826" s="4"/>
      <c r="N826" s="23"/>
      <c r="O826" s="23"/>
      <c r="P826" s="23"/>
      <c r="Q826" s="4" t="str">
        <f t="shared" si="4"/>
        <v/>
      </c>
      <c r="R826" s="20"/>
      <c r="S826" s="20"/>
    </row>
    <row r="827">
      <c r="A827" s="4"/>
      <c r="B827" s="4"/>
      <c r="C827" s="37"/>
      <c r="D827" s="7" t="str">
        <f>IFERROR(__xludf.DUMMYFUNCTION("iferror(iferror(INDEX(IMPORTRANGE(""12vtnxaE_Q1s4tyr10kZQx7ZF_xG0lBFae4jQEUtgsMU"",""All!B2:B""),MATCH($C827,IMPORTRANGE(""12vtnxaE_Q1s4tyr10kZQx7ZF_xG0lBFae4jQEUtgsMU"",""All!A2:A""),0)),INDEX(IMPORTRANGE(""13KC70HngS4DDi8y9E5khtSpQEPG6owaQ9z4E-tR5mnY"","&amp;"""Non-Food!B2:B""),MATCH($C827,IMPORTRANGE(""13KC70HngS4DDi8y9E5khtSpQEPG6owaQ9z4E-tR5mnY"",""Non-Food!A2:A""),0))),"""")"),"")</f>
        <v/>
      </c>
      <c r="E827" s="15"/>
      <c r="F827" s="15"/>
      <c r="G827" s="36"/>
      <c r="H827" s="23" t="str">
        <f>IFERROR(__xludf.DUMMYFUNCTION("iferror(iferror(iferror(index(IMPORTRANGE(""1NK5L1mviMn0j3D3uo53ASkIZOFRlLnqaCTnwzOG2_Wg"",""Direct Link!B2:B""),MATCH($C827,IMPORTRANGE(""1NK5L1mviMn0j3D3uo53ASkIZOFRlLnqaCTnwzOG2_Wg"",""Direct Link!A2:A""),0)),XLOOKUP($C827,IMPORTRANGE(""1NK5L1mviMn0j3D"&amp;"3uo53ASkIZOFRlLnqaCTnwzOG2_Wg"",""Direct links Without Sizes!A2:A""),IMPORTRANGE(""1NK5L1mviMn0j3D3uo53ASkIZOFRlLnqaCTnwzOG2_Wg"",""Direct links Without Sizes!B2:B""))),XLOOKUP($C827,IMPORTRANGE(""1NK5L1mviMn0j3D3uo53ASkIZOFRlLnqaCTnwzOG2_Wg"",""Direct li"&amp;"nks Without Sizes!D2:D""),IMPORTRANGE(""1NK5L1mviMn0j3D3uo53ASkIZOFRlLnqaCTnwzOG2_Wg"",""Direct links Without Sizes!E2:E""))),"""")"),"")</f>
        <v/>
      </c>
      <c r="I827" s="4"/>
      <c r="J827" s="24" t="str">
        <f t="shared" si="1"/>
        <v/>
      </c>
      <c r="K827" s="25"/>
      <c r="L827" s="24" t="str">
        <f t="shared" si="2"/>
        <v/>
      </c>
      <c r="M827" s="4"/>
      <c r="N827" s="23"/>
      <c r="O827" s="23"/>
      <c r="P827" s="23"/>
      <c r="Q827" s="4" t="str">
        <f t="shared" si="4"/>
        <v/>
      </c>
      <c r="R827" s="20"/>
      <c r="S827" s="20"/>
    </row>
    <row r="828">
      <c r="A828" s="4"/>
      <c r="B828" s="4"/>
      <c r="C828" s="37"/>
      <c r="D828" s="7" t="str">
        <f>IFERROR(__xludf.DUMMYFUNCTION("iferror(iferror(INDEX(IMPORTRANGE(""12vtnxaE_Q1s4tyr10kZQx7ZF_xG0lBFae4jQEUtgsMU"",""All!B2:B""),MATCH($C828,IMPORTRANGE(""12vtnxaE_Q1s4tyr10kZQx7ZF_xG0lBFae4jQEUtgsMU"",""All!A2:A""),0)),INDEX(IMPORTRANGE(""13KC70HngS4DDi8y9E5khtSpQEPG6owaQ9z4E-tR5mnY"","&amp;"""Non-Food!B2:B""),MATCH($C828,IMPORTRANGE(""13KC70HngS4DDi8y9E5khtSpQEPG6owaQ9z4E-tR5mnY"",""Non-Food!A2:A""),0))),"""")"),"")</f>
        <v/>
      </c>
      <c r="E828" s="15"/>
      <c r="F828" s="15"/>
      <c r="G828" s="36"/>
      <c r="H828" s="23" t="str">
        <f>IFERROR(__xludf.DUMMYFUNCTION("iferror(iferror(iferror(index(IMPORTRANGE(""1NK5L1mviMn0j3D3uo53ASkIZOFRlLnqaCTnwzOG2_Wg"",""Direct Link!B2:B""),MATCH($C828,IMPORTRANGE(""1NK5L1mviMn0j3D3uo53ASkIZOFRlLnqaCTnwzOG2_Wg"",""Direct Link!A2:A""),0)),XLOOKUP($C828,IMPORTRANGE(""1NK5L1mviMn0j3D"&amp;"3uo53ASkIZOFRlLnqaCTnwzOG2_Wg"",""Direct links Without Sizes!A2:A""),IMPORTRANGE(""1NK5L1mviMn0j3D3uo53ASkIZOFRlLnqaCTnwzOG2_Wg"",""Direct links Without Sizes!B2:B""))),XLOOKUP($C828,IMPORTRANGE(""1NK5L1mviMn0j3D3uo53ASkIZOFRlLnqaCTnwzOG2_Wg"",""Direct li"&amp;"nks Without Sizes!D2:D""),IMPORTRANGE(""1NK5L1mviMn0j3D3uo53ASkIZOFRlLnqaCTnwzOG2_Wg"",""Direct links Without Sizes!E2:E""))),"""")"),"")</f>
        <v/>
      </c>
      <c r="I828" s="4"/>
      <c r="J828" s="24" t="str">
        <f t="shared" si="1"/>
        <v/>
      </c>
      <c r="K828" s="25"/>
      <c r="L828" s="24" t="str">
        <f t="shared" si="2"/>
        <v/>
      </c>
      <c r="M828" s="4"/>
      <c r="N828" s="23"/>
      <c r="O828" s="23"/>
      <c r="P828" s="23"/>
      <c r="Q828" s="4" t="str">
        <f t="shared" si="4"/>
        <v/>
      </c>
      <c r="R828" s="20"/>
      <c r="S828" s="20"/>
    </row>
    <row r="829">
      <c r="A829" s="4"/>
      <c r="B829" s="4"/>
      <c r="C829" s="37"/>
      <c r="D829" s="7" t="str">
        <f>IFERROR(__xludf.DUMMYFUNCTION("iferror(iferror(INDEX(IMPORTRANGE(""12vtnxaE_Q1s4tyr10kZQx7ZF_xG0lBFae4jQEUtgsMU"",""All!B2:B""),MATCH($C829,IMPORTRANGE(""12vtnxaE_Q1s4tyr10kZQx7ZF_xG0lBFae4jQEUtgsMU"",""All!A2:A""),0)),INDEX(IMPORTRANGE(""13KC70HngS4DDi8y9E5khtSpQEPG6owaQ9z4E-tR5mnY"","&amp;"""Non-Food!B2:B""),MATCH($C829,IMPORTRANGE(""13KC70HngS4DDi8y9E5khtSpQEPG6owaQ9z4E-tR5mnY"",""Non-Food!A2:A""),0))),"""")"),"")</f>
        <v/>
      </c>
      <c r="E829" s="15"/>
      <c r="F829" s="15"/>
      <c r="G829" s="36"/>
      <c r="H829" s="23" t="str">
        <f>IFERROR(__xludf.DUMMYFUNCTION("iferror(iferror(iferror(index(IMPORTRANGE(""1NK5L1mviMn0j3D3uo53ASkIZOFRlLnqaCTnwzOG2_Wg"",""Direct Link!B2:B""),MATCH($C829,IMPORTRANGE(""1NK5L1mviMn0j3D3uo53ASkIZOFRlLnqaCTnwzOG2_Wg"",""Direct Link!A2:A""),0)),XLOOKUP($C829,IMPORTRANGE(""1NK5L1mviMn0j3D"&amp;"3uo53ASkIZOFRlLnqaCTnwzOG2_Wg"",""Direct links Without Sizes!A2:A""),IMPORTRANGE(""1NK5L1mviMn0j3D3uo53ASkIZOFRlLnqaCTnwzOG2_Wg"",""Direct links Without Sizes!B2:B""))),XLOOKUP($C829,IMPORTRANGE(""1NK5L1mviMn0j3D3uo53ASkIZOFRlLnqaCTnwzOG2_Wg"",""Direct li"&amp;"nks Without Sizes!D2:D""),IMPORTRANGE(""1NK5L1mviMn0j3D3uo53ASkIZOFRlLnqaCTnwzOG2_Wg"",""Direct links Without Sizes!E2:E""))),"""")"),"")</f>
        <v/>
      </c>
      <c r="I829" s="4"/>
      <c r="J829" s="24" t="str">
        <f t="shared" si="1"/>
        <v/>
      </c>
      <c r="K829" s="25"/>
      <c r="L829" s="24" t="str">
        <f t="shared" si="2"/>
        <v/>
      </c>
      <c r="M829" s="4"/>
      <c r="N829" s="23"/>
      <c r="O829" s="23"/>
      <c r="P829" s="23"/>
      <c r="Q829" s="4" t="str">
        <f t="shared" si="4"/>
        <v/>
      </c>
      <c r="R829" s="20"/>
      <c r="S829" s="20"/>
    </row>
    <row r="830">
      <c r="A830" s="4"/>
      <c r="B830" s="4"/>
      <c r="C830" s="37"/>
      <c r="D830" s="7" t="str">
        <f>IFERROR(__xludf.DUMMYFUNCTION("iferror(iferror(INDEX(IMPORTRANGE(""12vtnxaE_Q1s4tyr10kZQx7ZF_xG0lBFae4jQEUtgsMU"",""All!B2:B""),MATCH($C830,IMPORTRANGE(""12vtnxaE_Q1s4tyr10kZQx7ZF_xG0lBFae4jQEUtgsMU"",""All!A2:A""),0)),INDEX(IMPORTRANGE(""13KC70HngS4DDi8y9E5khtSpQEPG6owaQ9z4E-tR5mnY"","&amp;"""Non-Food!B2:B""),MATCH($C830,IMPORTRANGE(""13KC70HngS4DDi8y9E5khtSpQEPG6owaQ9z4E-tR5mnY"",""Non-Food!A2:A""),0))),"""")"),"")</f>
        <v/>
      </c>
      <c r="E830" s="15"/>
      <c r="F830" s="15"/>
      <c r="G830" s="36"/>
      <c r="H830" s="23" t="str">
        <f>IFERROR(__xludf.DUMMYFUNCTION("iferror(iferror(iferror(index(IMPORTRANGE(""1NK5L1mviMn0j3D3uo53ASkIZOFRlLnqaCTnwzOG2_Wg"",""Direct Link!B2:B""),MATCH($C830,IMPORTRANGE(""1NK5L1mviMn0j3D3uo53ASkIZOFRlLnqaCTnwzOG2_Wg"",""Direct Link!A2:A""),0)),XLOOKUP($C830,IMPORTRANGE(""1NK5L1mviMn0j3D"&amp;"3uo53ASkIZOFRlLnqaCTnwzOG2_Wg"",""Direct links Without Sizes!A2:A""),IMPORTRANGE(""1NK5L1mviMn0j3D3uo53ASkIZOFRlLnqaCTnwzOG2_Wg"",""Direct links Without Sizes!B2:B""))),XLOOKUP($C830,IMPORTRANGE(""1NK5L1mviMn0j3D3uo53ASkIZOFRlLnqaCTnwzOG2_Wg"",""Direct li"&amp;"nks Without Sizes!D2:D""),IMPORTRANGE(""1NK5L1mviMn0j3D3uo53ASkIZOFRlLnqaCTnwzOG2_Wg"",""Direct links Without Sizes!E2:E""))),"""")"),"")</f>
        <v/>
      </c>
      <c r="I830" s="4"/>
      <c r="J830" s="24" t="str">
        <f t="shared" si="1"/>
        <v/>
      </c>
      <c r="K830" s="25"/>
      <c r="L830" s="24" t="str">
        <f t="shared" si="2"/>
        <v/>
      </c>
      <c r="M830" s="4"/>
      <c r="N830" s="23"/>
      <c r="O830" s="23"/>
      <c r="P830" s="23"/>
      <c r="Q830" s="4" t="str">
        <f t="shared" si="4"/>
        <v/>
      </c>
      <c r="R830" s="20"/>
      <c r="S830" s="20"/>
    </row>
    <row r="831">
      <c r="A831" s="4"/>
      <c r="B831" s="4"/>
      <c r="C831" s="37"/>
      <c r="D831" s="7" t="str">
        <f>IFERROR(__xludf.DUMMYFUNCTION("iferror(iferror(INDEX(IMPORTRANGE(""12vtnxaE_Q1s4tyr10kZQx7ZF_xG0lBFae4jQEUtgsMU"",""All!B2:B""),MATCH($C831,IMPORTRANGE(""12vtnxaE_Q1s4tyr10kZQx7ZF_xG0lBFae4jQEUtgsMU"",""All!A2:A""),0)),INDEX(IMPORTRANGE(""13KC70HngS4DDi8y9E5khtSpQEPG6owaQ9z4E-tR5mnY"","&amp;"""Non-Food!B2:B""),MATCH($C831,IMPORTRANGE(""13KC70HngS4DDi8y9E5khtSpQEPG6owaQ9z4E-tR5mnY"",""Non-Food!A2:A""),0))),"""")"),"")</f>
        <v/>
      </c>
      <c r="E831" s="15"/>
      <c r="F831" s="15"/>
      <c r="G831" s="36"/>
      <c r="H831" s="23" t="str">
        <f>IFERROR(__xludf.DUMMYFUNCTION("iferror(iferror(iferror(index(IMPORTRANGE(""1NK5L1mviMn0j3D3uo53ASkIZOFRlLnqaCTnwzOG2_Wg"",""Direct Link!B2:B""),MATCH($C831,IMPORTRANGE(""1NK5L1mviMn0j3D3uo53ASkIZOFRlLnqaCTnwzOG2_Wg"",""Direct Link!A2:A""),0)),XLOOKUP($C831,IMPORTRANGE(""1NK5L1mviMn0j3D"&amp;"3uo53ASkIZOFRlLnqaCTnwzOG2_Wg"",""Direct links Without Sizes!A2:A""),IMPORTRANGE(""1NK5L1mviMn0j3D3uo53ASkIZOFRlLnqaCTnwzOG2_Wg"",""Direct links Without Sizes!B2:B""))),XLOOKUP($C831,IMPORTRANGE(""1NK5L1mviMn0j3D3uo53ASkIZOFRlLnqaCTnwzOG2_Wg"",""Direct li"&amp;"nks Without Sizes!D2:D""),IMPORTRANGE(""1NK5L1mviMn0j3D3uo53ASkIZOFRlLnqaCTnwzOG2_Wg"",""Direct links Without Sizes!E2:E""))),"""")"),"")</f>
        <v/>
      </c>
      <c r="I831" s="4"/>
      <c r="J831" s="24" t="str">
        <f t="shared" si="1"/>
        <v/>
      </c>
      <c r="K831" s="25"/>
      <c r="L831" s="24" t="str">
        <f t="shared" si="2"/>
        <v/>
      </c>
      <c r="M831" s="4"/>
      <c r="N831" s="23"/>
      <c r="O831" s="23"/>
      <c r="P831" s="23"/>
      <c r="Q831" s="4" t="str">
        <f t="shared" si="4"/>
        <v/>
      </c>
      <c r="R831" s="20"/>
      <c r="S831" s="20"/>
    </row>
    <row r="832">
      <c r="A832" s="4"/>
      <c r="B832" s="4"/>
      <c r="C832" s="37"/>
      <c r="D832" s="7" t="str">
        <f>IFERROR(__xludf.DUMMYFUNCTION("iferror(iferror(INDEX(IMPORTRANGE(""12vtnxaE_Q1s4tyr10kZQx7ZF_xG0lBFae4jQEUtgsMU"",""All!B2:B""),MATCH($C832,IMPORTRANGE(""12vtnxaE_Q1s4tyr10kZQx7ZF_xG0lBFae4jQEUtgsMU"",""All!A2:A""),0)),INDEX(IMPORTRANGE(""13KC70HngS4DDi8y9E5khtSpQEPG6owaQ9z4E-tR5mnY"","&amp;"""Non-Food!B2:B""),MATCH($C832,IMPORTRANGE(""13KC70HngS4DDi8y9E5khtSpQEPG6owaQ9z4E-tR5mnY"",""Non-Food!A2:A""),0))),"""")"),"")</f>
        <v/>
      </c>
      <c r="E832" s="15"/>
      <c r="F832" s="15"/>
      <c r="G832" s="36"/>
      <c r="H832" s="23" t="str">
        <f>IFERROR(__xludf.DUMMYFUNCTION("iferror(iferror(iferror(index(IMPORTRANGE(""1NK5L1mviMn0j3D3uo53ASkIZOFRlLnqaCTnwzOG2_Wg"",""Direct Link!B2:B""),MATCH($C832,IMPORTRANGE(""1NK5L1mviMn0j3D3uo53ASkIZOFRlLnqaCTnwzOG2_Wg"",""Direct Link!A2:A""),0)),XLOOKUP($C832,IMPORTRANGE(""1NK5L1mviMn0j3D"&amp;"3uo53ASkIZOFRlLnqaCTnwzOG2_Wg"",""Direct links Without Sizes!A2:A""),IMPORTRANGE(""1NK5L1mviMn0j3D3uo53ASkIZOFRlLnqaCTnwzOG2_Wg"",""Direct links Without Sizes!B2:B""))),XLOOKUP($C832,IMPORTRANGE(""1NK5L1mviMn0j3D3uo53ASkIZOFRlLnqaCTnwzOG2_Wg"",""Direct li"&amp;"nks Without Sizes!D2:D""),IMPORTRANGE(""1NK5L1mviMn0j3D3uo53ASkIZOFRlLnqaCTnwzOG2_Wg"",""Direct links Without Sizes!E2:E""))),"""")"),"")</f>
        <v/>
      </c>
      <c r="I832" s="4"/>
      <c r="J832" s="24" t="str">
        <f t="shared" si="1"/>
        <v/>
      </c>
      <c r="K832" s="25"/>
      <c r="L832" s="24" t="str">
        <f t="shared" si="2"/>
        <v/>
      </c>
      <c r="M832" s="4"/>
      <c r="N832" s="23"/>
      <c r="O832" s="23"/>
      <c r="P832" s="23"/>
      <c r="Q832" s="4" t="str">
        <f t="shared" si="4"/>
        <v/>
      </c>
      <c r="R832" s="20"/>
      <c r="S832" s="20"/>
    </row>
    <row r="833">
      <c r="A833" s="4"/>
      <c r="B833" s="4"/>
      <c r="C833" s="37"/>
      <c r="D833" s="7" t="str">
        <f>IFERROR(__xludf.DUMMYFUNCTION("iferror(iferror(INDEX(IMPORTRANGE(""12vtnxaE_Q1s4tyr10kZQx7ZF_xG0lBFae4jQEUtgsMU"",""All!B2:B""),MATCH($C833,IMPORTRANGE(""12vtnxaE_Q1s4tyr10kZQx7ZF_xG0lBFae4jQEUtgsMU"",""All!A2:A""),0)),INDEX(IMPORTRANGE(""13KC70HngS4DDi8y9E5khtSpQEPG6owaQ9z4E-tR5mnY"","&amp;"""Non-Food!B2:B""),MATCH($C833,IMPORTRANGE(""13KC70HngS4DDi8y9E5khtSpQEPG6owaQ9z4E-tR5mnY"",""Non-Food!A2:A""),0))),"""")"),"")</f>
        <v/>
      </c>
      <c r="E833" s="15"/>
      <c r="F833" s="15"/>
      <c r="G833" s="36"/>
      <c r="H833" s="23" t="str">
        <f>IFERROR(__xludf.DUMMYFUNCTION("iferror(iferror(iferror(index(IMPORTRANGE(""1NK5L1mviMn0j3D3uo53ASkIZOFRlLnqaCTnwzOG2_Wg"",""Direct Link!B2:B""),MATCH($C833,IMPORTRANGE(""1NK5L1mviMn0j3D3uo53ASkIZOFRlLnqaCTnwzOG2_Wg"",""Direct Link!A2:A""),0)),XLOOKUP($C833,IMPORTRANGE(""1NK5L1mviMn0j3D"&amp;"3uo53ASkIZOFRlLnqaCTnwzOG2_Wg"",""Direct links Without Sizes!A2:A""),IMPORTRANGE(""1NK5L1mviMn0j3D3uo53ASkIZOFRlLnqaCTnwzOG2_Wg"",""Direct links Without Sizes!B2:B""))),XLOOKUP($C833,IMPORTRANGE(""1NK5L1mviMn0j3D3uo53ASkIZOFRlLnqaCTnwzOG2_Wg"",""Direct li"&amp;"nks Without Sizes!D2:D""),IMPORTRANGE(""1NK5L1mviMn0j3D3uo53ASkIZOFRlLnqaCTnwzOG2_Wg"",""Direct links Without Sizes!E2:E""))),"""")"),"")</f>
        <v/>
      </c>
      <c r="I833" s="4"/>
      <c r="J833" s="24" t="str">
        <f t="shared" si="1"/>
        <v/>
      </c>
      <c r="K833" s="25"/>
      <c r="L833" s="24" t="str">
        <f t="shared" si="2"/>
        <v/>
      </c>
      <c r="M833" s="4"/>
      <c r="N833" s="23"/>
      <c r="O833" s="23"/>
      <c r="P833" s="23"/>
      <c r="Q833" s="4" t="str">
        <f t="shared" si="4"/>
        <v/>
      </c>
      <c r="R833" s="20"/>
      <c r="S833" s="20"/>
    </row>
    <row r="834">
      <c r="A834" s="4"/>
      <c r="B834" s="4"/>
      <c r="C834" s="37"/>
      <c r="D834" s="7" t="str">
        <f>IFERROR(__xludf.DUMMYFUNCTION("iferror(iferror(INDEX(IMPORTRANGE(""12vtnxaE_Q1s4tyr10kZQx7ZF_xG0lBFae4jQEUtgsMU"",""All!B2:B""),MATCH($C834,IMPORTRANGE(""12vtnxaE_Q1s4tyr10kZQx7ZF_xG0lBFae4jQEUtgsMU"",""All!A2:A""),0)),INDEX(IMPORTRANGE(""13KC70HngS4DDi8y9E5khtSpQEPG6owaQ9z4E-tR5mnY"","&amp;"""Non-Food!B2:B""),MATCH($C834,IMPORTRANGE(""13KC70HngS4DDi8y9E5khtSpQEPG6owaQ9z4E-tR5mnY"",""Non-Food!A2:A""),0))),"""")"),"")</f>
        <v/>
      </c>
      <c r="E834" s="15"/>
      <c r="F834" s="15"/>
      <c r="G834" s="36"/>
      <c r="H834" s="23" t="str">
        <f>IFERROR(__xludf.DUMMYFUNCTION("iferror(iferror(iferror(index(IMPORTRANGE(""1NK5L1mviMn0j3D3uo53ASkIZOFRlLnqaCTnwzOG2_Wg"",""Direct Link!B2:B""),MATCH($C834,IMPORTRANGE(""1NK5L1mviMn0j3D3uo53ASkIZOFRlLnqaCTnwzOG2_Wg"",""Direct Link!A2:A""),0)),XLOOKUP($C834,IMPORTRANGE(""1NK5L1mviMn0j3D"&amp;"3uo53ASkIZOFRlLnqaCTnwzOG2_Wg"",""Direct links Without Sizes!A2:A""),IMPORTRANGE(""1NK5L1mviMn0j3D3uo53ASkIZOFRlLnqaCTnwzOG2_Wg"",""Direct links Without Sizes!B2:B""))),XLOOKUP($C834,IMPORTRANGE(""1NK5L1mviMn0j3D3uo53ASkIZOFRlLnqaCTnwzOG2_Wg"",""Direct li"&amp;"nks Without Sizes!D2:D""),IMPORTRANGE(""1NK5L1mviMn0j3D3uo53ASkIZOFRlLnqaCTnwzOG2_Wg"",""Direct links Without Sizes!E2:E""))),"""")"),"")</f>
        <v/>
      </c>
      <c r="I834" s="4"/>
      <c r="J834" s="24" t="str">
        <f t="shared" si="1"/>
        <v/>
      </c>
      <c r="K834" s="25"/>
      <c r="L834" s="24" t="str">
        <f t="shared" si="2"/>
        <v/>
      </c>
      <c r="M834" s="4"/>
      <c r="N834" s="23"/>
      <c r="O834" s="23"/>
      <c r="P834" s="23"/>
      <c r="Q834" s="4" t="str">
        <f t="shared" si="4"/>
        <v/>
      </c>
      <c r="R834" s="20"/>
      <c r="S834" s="20"/>
    </row>
    <row r="835">
      <c r="A835" s="4"/>
      <c r="B835" s="4"/>
      <c r="C835" s="37"/>
      <c r="D835" s="7" t="str">
        <f>IFERROR(__xludf.DUMMYFUNCTION("iferror(iferror(INDEX(IMPORTRANGE(""12vtnxaE_Q1s4tyr10kZQx7ZF_xG0lBFae4jQEUtgsMU"",""All!B2:B""),MATCH($C835,IMPORTRANGE(""12vtnxaE_Q1s4tyr10kZQx7ZF_xG0lBFae4jQEUtgsMU"",""All!A2:A""),0)),INDEX(IMPORTRANGE(""13KC70HngS4DDi8y9E5khtSpQEPG6owaQ9z4E-tR5mnY"","&amp;"""Non-Food!B2:B""),MATCH($C835,IMPORTRANGE(""13KC70HngS4DDi8y9E5khtSpQEPG6owaQ9z4E-tR5mnY"",""Non-Food!A2:A""),0))),"""")"),"")</f>
        <v/>
      </c>
      <c r="E835" s="15"/>
      <c r="F835" s="15"/>
      <c r="G835" s="36"/>
      <c r="H835" s="23" t="str">
        <f>IFERROR(__xludf.DUMMYFUNCTION("iferror(iferror(iferror(index(IMPORTRANGE(""1NK5L1mviMn0j3D3uo53ASkIZOFRlLnqaCTnwzOG2_Wg"",""Direct Link!B2:B""),MATCH($C835,IMPORTRANGE(""1NK5L1mviMn0j3D3uo53ASkIZOFRlLnqaCTnwzOG2_Wg"",""Direct Link!A2:A""),0)),XLOOKUP($C835,IMPORTRANGE(""1NK5L1mviMn0j3D"&amp;"3uo53ASkIZOFRlLnqaCTnwzOG2_Wg"",""Direct links Without Sizes!A2:A""),IMPORTRANGE(""1NK5L1mviMn0j3D3uo53ASkIZOFRlLnqaCTnwzOG2_Wg"",""Direct links Without Sizes!B2:B""))),XLOOKUP($C835,IMPORTRANGE(""1NK5L1mviMn0j3D3uo53ASkIZOFRlLnqaCTnwzOG2_Wg"",""Direct li"&amp;"nks Without Sizes!D2:D""),IMPORTRANGE(""1NK5L1mviMn0j3D3uo53ASkIZOFRlLnqaCTnwzOG2_Wg"",""Direct links Without Sizes!E2:E""))),"""")"),"")</f>
        <v/>
      </c>
      <c r="I835" s="4"/>
      <c r="J835" s="24" t="str">
        <f t="shared" si="1"/>
        <v/>
      </c>
      <c r="K835" s="25"/>
      <c r="L835" s="24" t="str">
        <f t="shared" si="2"/>
        <v/>
      </c>
      <c r="M835" s="4"/>
      <c r="N835" s="23"/>
      <c r="O835" s="23"/>
      <c r="P835" s="23"/>
      <c r="Q835" s="4" t="str">
        <f t="shared" si="4"/>
        <v/>
      </c>
      <c r="R835" s="20"/>
      <c r="S835" s="20"/>
    </row>
    <row r="836">
      <c r="A836" s="4"/>
      <c r="B836" s="4"/>
      <c r="C836" s="37"/>
      <c r="D836" s="7" t="str">
        <f>IFERROR(__xludf.DUMMYFUNCTION("iferror(iferror(INDEX(IMPORTRANGE(""12vtnxaE_Q1s4tyr10kZQx7ZF_xG0lBFae4jQEUtgsMU"",""All!B2:B""),MATCH($C836,IMPORTRANGE(""12vtnxaE_Q1s4tyr10kZQx7ZF_xG0lBFae4jQEUtgsMU"",""All!A2:A""),0)),INDEX(IMPORTRANGE(""13KC70HngS4DDi8y9E5khtSpQEPG6owaQ9z4E-tR5mnY"","&amp;"""Non-Food!B2:B""),MATCH($C836,IMPORTRANGE(""13KC70HngS4DDi8y9E5khtSpQEPG6owaQ9z4E-tR5mnY"",""Non-Food!A2:A""),0))),"""")"),"")</f>
        <v/>
      </c>
      <c r="E836" s="15"/>
      <c r="F836" s="15"/>
      <c r="G836" s="36"/>
      <c r="H836" s="23" t="str">
        <f>IFERROR(__xludf.DUMMYFUNCTION("iferror(iferror(iferror(index(IMPORTRANGE(""1NK5L1mviMn0j3D3uo53ASkIZOFRlLnqaCTnwzOG2_Wg"",""Direct Link!B2:B""),MATCH($C836,IMPORTRANGE(""1NK5L1mviMn0j3D3uo53ASkIZOFRlLnqaCTnwzOG2_Wg"",""Direct Link!A2:A""),0)),XLOOKUP($C836,IMPORTRANGE(""1NK5L1mviMn0j3D"&amp;"3uo53ASkIZOFRlLnqaCTnwzOG2_Wg"",""Direct links Without Sizes!A2:A""),IMPORTRANGE(""1NK5L1mviMn0j3D3uo53ASkIZOFRlLnqaCTnwzOG2_Wg"",""Direct links Without Sizes!B2:B""))),XLOOKUP($C836,IMPORTRANGE(""1NK5L1mviMn0j3D3uo53ASkIZOFRlLnqaCTnwzOG2_Wg"",""Direct li"&amp;"nks Without Sizes!D2:D""),IMPORTRANGE(""1NK5L1mviMn0j3D3uo53ASkIZOFRlLnqaCTnwzOG2_Wg"",""Direct links Without Sizes!E2:E""))),"""")"),"")</f>
        <v/>
      </c>
      <c r="I836" s="4"/>
      <c r="J836" s="24" t="str">
        <f t="shared" si="1"/>
        <v/>
      </c>
      <c r="K836" s="25"/>
      <c r="L836" s="24" t="str">
        <f t="shared" si="2"/>
        <v/>
      </c>
      <c r="M836" s="4"/>
      <c r="N836" s="23"/>
      <c r="O836" s="23"/>
      <c r="P836" s="23"/>
      <c r="Q836" s="4" t="str">
        <f t="shared" si="4"/>
        <v/>
      </c>
      <c r="R836" s="20"/>
      <c r="S836" s="20"/>
    </row>
    <row r="837">
      <c r="A837" s="4"/>
      <c r="B837" s="4"/>
      <c r="C837" s="37"/>
      <c r="D837" s="7" t="str">
        <f>IFERROR(__xludf.DUMMYFUNCTION("iferror(iferror(INDEX(IMPORTRANGE(""12vtnxaE_Q1s4tyr10kZQx7ZF_xG0lBFae4jQEUtgsMU"",""All!B2:B""),MATCH($C837,IMPORTRANGE(""12vtnxaE_Q1s4tyr10kZQx7ZF_xG0lBFae4jQEUtgsMU"",""All!A2:A""),0)),INDEX(IMPORTRANGE(""13KC70HngS4DDi8y9E5khtSpQEPG6owaQ9z4E-tR5mnY"","&amp;"""Non-Food!B2:B""),MATCH($C837,IMPORTRANGE(""13KC70HngS4DDi8y9E5khtSpQEPG6owaQ9z4E-tR5mnY"",""Non-Food!A2:A""),0))),"""")"),"")</f>
        <v/>
      </c>
      <c r="E837" s="15"/>
      <c r="F837" s="15"/>
      <c r="G837" s="36"/>
      <c r="H837" s="23" t="str">
        <f>IFERROR(__xludf.DUMMYFUNCTION("iferror(iferror(iferror(index(IMPORTRANGE(""1NK5L1mviMn0j3D3uo53ASkIZOFRlLnqaCTnwzOG2_Wg"",""Direct Link!B2:B""),MATCH($C837,IMPORTRANGE(""1NK5L1mviMn0j3D3uo53ASkIZOFRlLnqaCTnwzOG2_Wg"",""Direct Link!A2:A""),0)),XLOOKUP($C837,IMPORTRANGE(""1NK5L1mviMn0j3D"&amp;"3uo53ASkIZOFRlLnqaCTnwzOG2_Wg"",""Direct links Without Sizes!A2:A""),IMPORTRANGE(""1NK5L1mviMn0j3D3uo53ASkIZOFRlLnqaCTnwzOG2_Wg"",""Direct links Without Sizes!B2:B""))),XLOOKUP($C837,IMPORTRANGE(""1NK5L1mviMn0j3D3uo53ASkIZOFRlLnqaCTnwzOG2_Wg"",""Direct li"&amp;"nks Without Sizes!D2:D""),IMPORTRANGE(""1NK5L1mviMn0j3D3uo53ASkIZOFRlLnqaCTnwzOG2_Wg"",""Direct links Without Sizes!E2:E""))),"""")"),"")</f>
        <v/>
      </c>
      <c r="I837" s="4"/>
      <c r="J837" s="24" t="str">
        <f t="shared" si="1"/>
        <v/>
      </c>
      <c r="K837" s="25"/>
      <c r="L837" s="24" t="str">
        <f t="shared" si="2"/>
        <v/>
      </c>
      <c r="M837" s="4"/>
      <c r="N837" s="23"/>
      <c r="O837" s="23"/>
      <c r="P837" s="23"/>
      <c r="Q837" s="4" t="str">
        <f t="shared" si="4"/>
        <v/>
      </c>
      <c r="R837" s="20"/>
      <c r="S837" s="20"/>
    </row>
    <row r="838">
      <c r="A838" s="4"/>
      <c r="B838" s="4"/>
      <c r="C838" s="37"/>
      <c r="D838" s="7" t="str">
        <f>IFERROR(__xludf.DUMMYFUNCTION("iferror(iferror(INDEX(IMPORTRANGE(""12vtnxaE_Q1s4tyr10kZQx7ZF_xG0lBFae4jQEUtgsMU"",""All!B2:B""),MATCH($C838,IMPORTRANGE(""12vtnxaE_Q1s4tyr10kZQx7ZF_xG0lBFae4jQEUtgsMU"",""All!A2:A""),0)),INDEX(IMPORTRANGE(""13KC70HngS4DDi8y9E5khtSpQEPG6owaQ9z4E-tR5mnY"","&amp;"""Non-Food!B2:B""),MATCH($C838,IMPORTRANGE(""13KC70HngS4DDi8y9E5khtSpQEPG6owaQ9z4E-tR5mnY"",""Non-Food!A2:A""),0))),"""")"),"")</f>
        <v/>
      </c>
      <c r="E838" s="15"/>
      <c r="F838" s="15"/>
      <c r="G838" s="36"/>
      <c r="H838" s="23" t="str">
        <f>IFERROR(__xludf.DUMMYFUNCTION("iferror(iferror(iferror(index(IMPORTRANGE(""1NK5L1mviMn0j3D3uo53ASkIZOFRlLnqaCTnwzOG2_Wg"",""Direct Link!B2:B""),MATCH($C838,IMPORTRANGE(""1NK5L1mviMn0j3D3uo53ASkIZOFRlLnqaCTnwzOG2_Wg"",""Direct Link!A2:A""),0)),XLOOKUP($C838,IMPORTRANGE(""1NK5L1mviMn0j3D"&amp;"3uo53ASkIZOFRlLnqaCTnwzOG2_Wg"",""Direct links Without Sizes!A2:A""),IMPORTRANGE(""1NK5L1mviMn0j3D3uo53ASkIZOFRlLnqaCTnwzOG2_Wg"",""Direct links Without Sizes!B2:B""))),XLOOKUP($C838,IMPORTRANGE(""1NK5L1mviMn0j3D3uo53ASkIZOFRlLnqaCTnwzOG2_Wg"",""Direct li"&amp;"nks Without Sizes!D2:D""),IMPORTRANGE(""1NK5L1mviMn0j3D3uo53ASkIZOFRlLnqaCTnwzOG2_Wg"",""Direct links Without Sizes!E2:E""))),"""")"),"")</f>
        <v/>
      </c>
      <c r="I838" s="4"/>
      <c r="J838" s="24" t="str">
        <f t="shared" si="1"/>
        <v/>
      </c>
      <c r="K838" s="25"/>
      <c r="L838" s="24" t="str">
        <f t="shared" si="2"/>
        <v/>
      </c>
      <c r="M838" s="4"/>
      <c r="N838" s="23"/>
      <c r="O838" s="23"/>
      <c r="P838" s="23"/>
      <c r="Q838" s="4" t="str">
        <f t="shared" si="4"/>
        <v/>
      </c>
      <c r="R838" s="20"/>
      <c r="S838" s="20"/>
    </row>
    <row r="839">
      <c r="A839" s="4"/>
      <c r="B839" s="4"/>
      <c r="C839" s="37"/>
      <c r="D839" s="7" t="str">
        <f>IFERROR(__xludf.DUMMYFUNCTION("iferror(iferror(INDEX(IMPORTRANGE(""12vtnxaE_Q1s4tyr10kZQx7ZF_xG0lBFae4jQEUtgsMU"",""All!B2:B""),MATCH($C839,IMPORTRANGE(""12vtnxaE_Q1s4tyr10kZQx7ZF_xG0lBFae4jQEUtgsMU"",""All!A2:A""),0)),INDEX(IMPORTRANGE(""13KC70HngS4DDi8y9E5khtSpQEPG6owaQ9z4E-tR5mnY"","&amp;"""Non-Food!B2:B""),MATCH($C839,IMPORTRANGE(""13KC70HngS4DDi8y9E5khtSpQEPG6owaQ9z4E-tR5mnY"",""Non-Food!A2:A""),0))),"""")"),"")</f>
        <v/>
      </c>
      <c r="E839" s="15"/>
      <c r="F839" s="15"/>
      <c r="G839" s="36"/>
      <c r="H839" s="23" t="str">
        <f>IFERROR(__xludf.DUMMYFUNCTION("iferror(iferror(iferror(index(IMPORTRANGE(""1NK5L1mviMn0j3D3uo53ASkIZOFRlLnqaCTnwzOG2_Wg"",""Direct Link!B2:B""),MATCH($C839,IMPORTRANGE(""1NK5L1mviMn0j3D3uo53ASkIZOFRlLnqaCTnwzOG2_Wg"",""Direct Link!A2:A""),0)),XLOOKUP($C839,IMPORTRANGE(""1NK5L1mviMn0j3D"&amp;"3uo53ASkIZOFRlLnqaCTnwzOG2_Wg"",""Direct links Without Sizes!A2:A""),IMPORTRANGE(""1NK5L1mviMn0j3D3uo53ASkIZOFRlLnqaCTnwzOG2_Wg"",""Direct links Without Sizes!B2:B""))),XLOOKUP($C839,IMPORTRANGE(""1NK5L1mviMn0j3D3uo53ASkIZOFRlLnqaCTnwzOG2_Wg"",""Direct li"&amp;"nks Without Sizes!D2:D""),IMPORTRANGE(""1NK5L1mviMn0j3D3uo53ASkIZOFRlLnqaCTnwzOG2_Wg"",""Direct links Without Sizes!E2:E""))),"""")"),"")</f>
        <v/>
      </c>
      <c r="I839" s="4"/>
      <c r="J839" s="24" t="str">
        <f t="shared" si="1"/>
        <v/>
      </c>
      <c r="K839" s="25"/>
      <c r="L839" s="24" t="str">
        <f t="shared" si="2"/>
        <v/>
      </c>
      <c r="M839" s="4"/>
      <c r="N839" s="23"/>
      <c r="O839" s="23"/>
      <c r="P839" s="23"/>
      <c r="Q839" s="4" t="str">
        <f t="shared" si="4"/>
        <v/>
      </c>
      <c r="R839" s="20"/>
      <c r="S839" s="20"/>
    </row>
    <row r="840">
      <c r="A840" s="4"/>
      <c r="B840" s="4"/>
      <c r="C840" s="37"/>
      <c r="D840" s="7" t="str">
        <f>IFERROR(__xludf.DUMMYFUNCTION("iferror(iferror(INDEX(IMPORTRANGE(""12vtnxaE_Q1s4tyr10kZQx7ZF_xG0lBFae4jQEUtgsMU"",""All!B2:B""),MATCH($C840,IMPORTRANGE(""12vtnxaE_Q1s4tyr10kZQx7ZF_xG0lBFae4jQEUtgsMU"",""All!A2:A""),0)),INDEX(IMPORTRANGE(""13KC70HngS4DDi8y9E5khtSpQEPG6owaQ9z4E-tR5mnY"","&amp;"""Non-Food!B2:B""),MATCH($C840,IMPORTRANGE(""13KC70HngS4DDi8y9E5khtSpQEPG6owaQ9z4E-tR5mnY"",""Non-Food!A2:A""),0))),"""")"),"")</f>
        <v/>
      </c>
      <c r="E840" s="15"/>
      <c r="F840" s="15"/>
      <c r="G840" s="36"/>
      <c r="H840" s="23" t="str">
        <f>IFERROR(__xludf.DUMMYFUNCTION("iferror(iferror(iferror(index(IMPORTRANGE(""1NK5L1mviMn0j3D3uo53ASkIZOFRlLnqaCTnwzOG2_Wg"",""Direct Link!B2:B""),MATCH($C840,IMPORTRANGE(""1NK5L1mviMn0j3D3uo53ASkIZOFRlLnqaCTnwzOG2_Wg"",""Direct Link!A2:A""),0)),XLOOKUP($C840,IMPORTRANGE(""1NK5L1mviMn0j3D"&amp;"3uo53ASkIZOFRlLnqaCTnwzOG2_Wg"",""Direct links Without Sizes!A2:A""),IMPORTRANGE(""1NK5L1mviMn0j3D3uo53ASkIZOFRlLnqaCTnwzOG2_Wg"",""Direct links Without Sizes!B2:B""))),XLOOKUP($C840,IMPORTRANGE(""1NK5L1mviMn0j3D3uo53ASkIZOFRlLnqaCTnwzOG2_Wg"",""Direct li"&amp;"nks Without Sizes!D2:D""),IMPORTRANGE(""1NK5L1mviMn0j3D3uo53ASkIZOFRlLnqaCTnwzOG2_Wg"",""Direct links Without Sizes!E2:E""))),"""")"),"")</f>
        <v/>
      </c>
      <c r="I840" s="4"/>
      <c r="J840" s="24" t="str">
        <f t="shared" si="1"/>
        <v/>
      </c>
      <c r="K840" s="25"/>
      <c r="L840" s="24" t="str">
        <f t="shared" si="2"/>
        <v/>
      </c>
      <c r="M840" s="4"/>
      <c r="N840" s="23"/>
      <c r="O840" s="23"/>
      <c r="P840" s="23"/>
      <c r="Q840" s="4" t="str">
        <f t="shared" si="4"/>
        <v/>
      </c>
      <c r="R840" s="20"/>
      <c r="S840" s="20"/>
    </row>
    <row r="841">
      <c r="A841" s="4"/>
      <c r="B841" s="4"/>
      <c r="C841" s="37"/>
      <c r="D841" s="7" t="str">
        <f>IFERROR(__xludf.DUMMYFUNCTION("iferror(iferror(INDEX(IMPORTRANGE(""12vtnxaE_Q1s4tyr10kZQx7ZF_xG0lBFae4jQEUtgsMU"",""All!B2:B""),MATCH($C841,IMPORTRANGE(""12vtnxaE_Q1s4tyr10kZQx7ZF_xG0lBFae4jQEUtgsMU"",""All!A2:A""),0)),INDEX(IMPORTRANGE(""13KC70HngS4DDi8y9E5khtSpQEPG6owaQ9z4E-tR5mnY"","&amp;"""Non-Food!B2:B""),MATCH($C841,IMPORTRANGE(""13KC70HngS4DDi8y9E5khtSpQEPG6owaQ9z4E-tR5mnY"",""Non-Food!A2:A""),0))),"""")"),"")</f>
        <v/>
      </c>
      <c r="E841" s="15"/>
      <c r="F841" s="15"/>
      <c r="G841" s="36"/>
      <c r="H841" s="23" t="str">
        <f>IFERROR(__xludf.DUMMYFUNCTION("iferror(iferror(iferror(index(IMPORTRANGE(""1NK5L1mviMn0j3D3uo53ASkIZOFRlLnqaCTnwzOG2_Wg"",""Direct Link!B2:B""),MATCH($C841,IMPORTRANGE(""1NK5L1mviMn0j3D3uo53ASkIZOFRlLnqaCTnwzOG2_Wg"",""Direct Link!A2:A""),0)),XLOOKUP($C841,IMPORTRANGE(""1NK5L1mviMn0j3D"&amp;"3uo53ASkIZOFRlLnqaCTnwzOG2_Wg"",""Direct links Without Sizes!A2:A""),IMPORTRANGE(""1NK5L1mviMn0j3D3uo53ASkIZOFRlLnqaCTnwzOG2_Wg"",""Direct links Without Sizes!B2:B""))),XLOOKUP($C841,IMPORTRANGE(""1NK5L1mviMn0j3D3uo53ASkIZOFRlLnqaCTnwzOG2_Wg"",""Direct li"&amp;"nks Without Sizes!D2:D""),IMPORTRANGE(""1NK5L1mviMn0j3D3uo53ASkIZOFRlLnqaCTnwzOG2_Wg"",""Direct links Without Sizes!E2:E""))),"""")"),"")</f>
        <v/>
      </c>
      <c r="I841" s="4"/>
      <c r="J841" s="24" t="str">
        <f t="shared" si="1"/>
        <v/>
      </c>
      <c r="K841" s="25"/>
      <c r="L841" s="24" t="str">
        <f t="shared" si="2"/>
        <v/>
      </c>
      <c r="M841" s="4"/>
      <c r="N841" s="23"/>
      <c r="O841" s="23"/>
      <c r="P841" s="23"/>
      <c r="Q841" s="4" t="str">
        <f t="shared" si="4"/>
        <v/>
      </c>
      <c r="R841" s="20"/>
      <c r="S841" s="20"/>
    </row>
    <row r="842">
      <c r="A842" s="4"/>
      <c r="B842" s="4"/>
      <c r="C842" s="37"/>
      <c r="D842" s="7" t="str">
        <f>IFERROR(__xludf.DUMMYFUNCTION("iferror(iferror(INDEX(IMPORTRANGE(""12vtnxaE_Q1s4tyr10kZQx7ZF_xG0lBFae4jQEUtgsMU"",""All!B2:B""),MATCH($C842,IMPORTRANGE(""12vtnxaE_Q1s4tyr10kZQx7ZF_xG0lBFae4jQEUtgsMU"",""All!A2:A""),0)),INDEX(IMPORTRANGE(""13KC70HngS4DDi8y9E5khtSpQEPG6owaQ9z4E-tR5mnY"","&amp;"""Non-Food!B2:B""),MATCH($C842,IMPORTRANGE(""13KC70HngS4DDi8y9E5khtSpQEPG6owaQ9z4E-tR5mnY"",""Non-Food!A2:A""),0))),"""")"),"")</f>
        <v/>
      </c>
      <c r="E842" s="15"/>
      <c r="F842" s="15"/>
      <c r="G842" s="36"/>
      <c r="H842" s="23" t="str">
        <f>IFERROR(__xludf.DUMMYFUNCTION("iferror(iferror(iferror(index(IMPORTRANGE(""1NK5L1mviMn0j3D3uo53ASkIZOFRlLnqaCTnwzOG2_Wg"",""Direct Link!B2:B""),MATCH($C842,IMPORTRANGE(""1NK5L1mviMn0j3D3uo53ASkIZOFRlLnqaCTnwzOG2_Wg"",""Direct Link!A2:A""),0)),XLOOKUP($C842,IMPORTRANGE(""1NK5L1mviMn0j3D"&amp;"3uo53ASkIZOFRlLnqaCTnwzOG2_Wg"",""Direct links Without Sizes!A2:A""),IMPORTRANGE(""1NK5L1mviMn0j3D3uo53ASkIZOFRlLnqaCTnwzOG2_Wg"",""Direct links Without Sizes!B2:B""))),XLOOKUP($C842,IMPORTRANGE(""1NK5L1mviMn0j3D3uo53ASkIZOFRlLnqaCTnwzOG2_Wg"",""Direct li"&amp;"nks Without Sizes!D2:D""),IMPORTRANGE(""1NK5L1mviMn0j3D3uo53ASkIZOFRlLnqaCTnwzOG2_Wg"",""Direct links Without Sizes!E2:E""))),"""")"),"")</f>
        <v/>
      </c>
      <c r="I842" s="4"/>
      <c r="J842" s="24" t="str">
        <f t="shared" si="1"/>
        <v/>
      </c>
      <c r="K842" s="25"/>
      <c r="L842" s="24" t="str">
        <f t="shared" si="2"/>
        <v/>
      </c>
      <c r="M842" s="4"/>
      <c r="N842" s="23"/>
      <c r="O842" s="23"/>
      <c r="P842" s="23"/>
      <c r="Q842" s="4" t="str">
        <f t="shared" si="4"/>
        <v/>
      </c>
      <c r="R842" s="20"/>
      <c r="S842" s="20"/>
    </row>
    <row r="843">
      <c r="A843" s="4"/>
      <c r="B843" s="4"/>
      <c r="C843" s="37"/>
      <c r="D843" s="7" t="str">
        <f>IFERROR(__xludf.DUMMYFUNCTION("iferror(iferror(INDEX(IMPORTRANGE(""12vtnxaE_Q1s4tyr10kZQx7ZF_xG0lBFae4jQEUtgsMU"",""All!B2:B""),MATCH($C843,IMPORTRANGE(""12vtnxaE_Q1s4tyr10kZQx7ZF_xG0lBFae4jQEUtgsMU"",""All!A2:A""),0)),INDEX(IMPORTRANGE(""13KC70HngS4DDi8y9E5khtSpQEPG6owaQ9z4E-tR5mnY"","&amp;"""Non-Food!B2:B""),MATCH($C843,IMPORTRANGE(""13KC70HngS4DDi8y9E5khtSpQEPG6owaQ9z4E-tR5mnY"",""Non-Food!A2:A""),0))),"""")"),"")</f>
        <v/>
      </c>
      <c r="E843" s="15"/>
      <c r="F843" s="15"/>
      <c r="G843" s="36"/>
      <c r="H843" s="23" t="str">
        <f>IFERROR(__xludf.DUMMYFUNCTION("iferror(iferror(iferror(index(IMPORTRANGE(""1NK5L1mviMn0j3D3uo53ASkIZOFRlLnqaCTnwzOG2_Wg"",""Direct Link!B2:B""),MATCH($C843,IMPORTRANGE(""1NK5L1mviMn0j3D3uo53ASkIZOFRlLnqaCTnwzOG2_Wg"",""Direct Link!A2:A""),0)),XLOOKUP($C843,IMPORTRANGE(""1NK5L1mviMn0j3D"&amp;"3uo53ASkIZOFRlLnqaCTnwzOG2_Wg"",""Direct links Without Sizes!A2:A""),IMPORTRANGE(""1NK5L1mviMn0j3D3uo53ASkIZOFRlLnqaCTnwzOG2_Wg"",""Direct links Without Sizes!B2:B""))),XLOOKUP($C843,IMPORTRANGE(""1NK5L1mviMn0j3D3uo53ASkIZOFRlLnqaCTnwzOG2_Wg"",""Direct li"&amp;"nks Without Sizes!D2:D""),IMPORTRANGE(""1NK5L1mviMn0j3D3uo53ASkIZOFRlLnqaCTnwzOG2_Wg"",""Direct links Without Sizes!E2:E""))),"""")"),"")</f>
        <v/>
      </c>
      <c r="I843" s="4"/>
      <c r="J843" s="24" t="str">
        <f t="shared" si="1"/>
        <v/>
      </c>
      <c r="K843" s="25"/>
      <c r="L843" s="24" t="str">
        <f t="shared" si="2"/>
        <v/>
      </c>
      <c r="M843" s="4"/>
      <c r="N843" s="23"/>
      <c r="O843" s="23"/>
      <c r="P843" s="23"/>
      <c r="Q843" s="4" t="str">
        <f t="shared" si="4"/>
        <v/>
      </c>
      <c r="R843" s="20"/>
      <c r="S843" s="20"/>
    </row>
    <row r="844">
      <c r="A844" s="4"/>
      <c r="B844" s="4"/>
      <c r="C844" s="37"/>
      <c r="D844" s="7" t="str">
        <f>IFERROR(__xludf.DUMMYFUNCTION("iferror(iferror(INDEX(IMPORTRANGE(""12vtnxaE_Q1s4tyr10kZQx7ZF_xG0lBFae4jQEUtgsMU"",""All!B2:B""),MATCH($C844,IMPORTRANGE(""12vtnxaE_Q1s4tyr10kZQx7ZF_xG0lBFae4jQEUtgsMU"",""All!A2:A""),0)),INDEX(IMPORTRANGE(""13KC70HngS4DDi8y9E5khtSpQEPG6owaQ9z4E-tR5mnY"","&amp;"""Non-Food!B2:B""),MATCH($C844,IMPORTRANGE(""13KC70HngS4DDi8y9E5khtSpQEPG6owaQ9z4E-tR5mnY"",""Non-Food!A2:A""),0))),"""")"),"")</f>
        <v/>
      </c>
      <c r="E844" s="15"/>
      <c r="F844" s="15"/>
      <c r="G844" s="36"/>
      <c r="H844" s="23" t="str">
        <f>IFERROR(__xludf.DUMMYFUNCTION("iferror(iferror(iferror(index(IMPORTRANGE(""1NK5L1mviMn0j3D3uo53ASkIZOFRlLnqaCTnwzOG2_Wg"",""Direct Link!B2:B""),MATCH($C844,IMPORTRANGE(""1NK5L1mviMn0j3D3uo53ASkIZOFRlLnqaCTnwzOG2_Wg"",""Direct Link!A2:A""),0)),XLOOKUP($C844,IMPORTRANGE(""1NK5L1mviMn0j3D"&amp;"3uo53ASkIZOFRlLnqaCTnwzOG2_Wg"",""Direct links Without Sizes!A2:A""),IMPORTRANGE(""1NK5L1mviMn0j3D3uo53ASkIZOFRlLnqaCTnwzOG2_Wg"",""Direct links Without Sizes!B2:B""))),XLOOKUP($C844,IMPORTRANGE(""1NK5L1mviMn0j3D3uo53ASkIZOFRlLnqaCTnwzOG2_Wg"",""Direct li"&amp;"nks Without Sizes!D2:D""),IMPORTRANGE(""1NK5L1mviMn0j3D3uo53ASkIZOFRlLnqaCTnwzOG2_Wg"",""Direct links Without Sizes!E2:E""))),"""")"),"")</f>
        <v/>
      </c>
      <c r="I844" s="4"/>
      <c r="J844" s="24" t="str">
        <f t="shared" si="1"/>
        <v/>
      </c>
      <c r="K844" s="25"/>
      <c r="L844" s="24" t="str">
        <f t="shared" si="2"/>
        <v/>
      </c>
      <c r="M844" s="4"/>
      <c r="N844" s="23"/>
      <c r="O844" s="23"/>
      <c r="P844" s="23"/>
      <c r="Q844" s="4" t="str">
        <f t="shared" si="4"/>
        <v/>
      </c>
      <c r="R844" s="20"/>
      <c r="S844" s="20"/>
    </row>
    <row r="845">
      <c r="A845" s="4"/>
      <c r="B845" s="4"/>
      <c r="C845" s="37"/>
      <c r="D845" s="7" t="str">
        <f>IFERROR(__xludf.DUMMYFUNCTION("iferror(iferror(INDEX(IMPORTRANGE(""12vtnxaE_Q1s4tyr10kZQx7ZF_xG0lBFae4jQEUtgsMU"",""All!B2:B""),MATCH($C845,IMPORTRANGE(""12vtnxaE_Q1s4tyr10kZQx7ZF_xG0lBFae4jQEUtgsMU"",""All!A2:A""),0)),INDEX(IMPORTRANGE(""13KC70HngS4DDi8y9E5khtSpQEPG6owaQ9z4E-tR5mnY"","&amp;"""Non-Food!B2:B""),MATCH($C845,IMPORTRANGE(""13KC70HngS4DDi8y9E5khtSpQEPG6owaQ9z4E-tR5mnY"",""Non-Food!A2:A""),0))),"""")"),"")</f>
        <v/>
      </c>
      <c r="E845" s="15"/>
      <c r="F845" s="15"/>
      <c r="G845" s="36"/>
      <c r="H845" s="23" t="str">
        <f>IFERROR(__xludf.DUMMYFUNCTION("iferror(iferror(iferror(index(IMPORTRANGE(""1NK5L1mviMn0j3D3uo53ASkIZOFRlLnqaCTnwzOG2_Wg"",""Direct Link!B2:B""),MATCH($C845,IMPORTRANGE(""1NK5L1mviMn0j3D3uo53ASkIZOFRlLnqaCTnwzOG2_Wg"",""Direct Link!A2:A""),0)),XLOOKUP($C845,IMPORTRANGE(""1NK5L1mviMn0j3D"&amp;"3uo53ASkIZOFRlLnqaCTnwzOG2_Wg"",""Direct links Without Sizes!A2:A""),IMPORTRANGE(""1NK5L1mviMn0j3D3uo53ASkIZOFRlLnqaCTnwzOG2_Wg"",""Direct links Without Sizes!B2:B""))),XLOOKUP($C845,IMPORTRANGE(""1NK5L1mviMn0j3D3uo53ASkIZOFRlLnqaCTnwzOG2_Wg"",""Direct li"&amp;"nks Without Sizes!D2:D""),IMPORTRANGE(""1NK5L1mviMn0j3D3uo53ASkIZOFRlLnqaCTnwzOG2_Wg"",""Direct links Without Sizes!E2:E""))),"""")"),"")</f>
        <v/>
      </c>
      <c r="I845" s="4"/>
      <c r="J845" s="24" t="str">
        <f t="shared" si="1"/>
        <v/>
      </c>
      <c r="K845" s="25"/>
      <c r="L845" s="24" t="str">
        <f t="shared" si="2"/>
        <v/>
      </c>
      <c r="M845" s="4"/>
      <c r="N845" s="23"/>
      <c r="O845" s="23"/>
      <c r="P845" s="23"/>
      <c r="Q845" s="4" t="str">
        <f t="shared" si="4"/>
        <v/>
      </c>
      <c r="R845" s="20"/>
      <c r="S845" s="20"/>
    </row>
    <row r="846">
      <c r="A846" s="4"/>
      <c r="B846" s="4"/>
      <c r="C846" s="37"/>
      <c r="D846" s="7" t="str">
        <f>IFERROR(__xludf.DUMMYFUNCTION("iferror(iferror(INDEX(IMPORTRANGE(""12vtnxaE_Q1s4tyr10kZQx7ZF_xG0lBFae4jQEUtgsMU"",""All!B2:B""),MATCH($C846,IMPORTRANGE(""12vtnxaE_Q1s4tyr10kZQx7ZF_xG0lBFae4jQEUtgsMU"",""All!A2:A""),0)),INDEX(IMPORTRANGE(""13KC70HngS4DDi8y9E5khtSpQEPG6owaQ9z4E-tR5mnY"","&amp;"""Non-Food!B2:B""),MATCH($C846,IMPORTRANGE(""13KC70HngS4DDi8y9E5khtSpQEPG6owaQ9z4E-tR5mnY"",""Non-Food!A2:A""),0))),"""")"),"")</f>
        <v/>
      </c>
      <c r="E846" s="15"/>
      <c r="F846" s="15"/>
      <c r="G846" s="36"/>
      <c r="H846" s="23" t="str">
        <f>IFERROR(__xludf.DUMMYFUNCTION("iferror(iferror(iferror(index(IMPORTRANGE(""1NK5L1mviMn0j3D3uo53ASkIZOFRlLnqaCTnwzOG2_Wg"",""Direct Link!B2:B""),MATCH($C846,IMPORTRANGE(""1NK5L1mviMn0j3D3uo53ASkIZOFRlLnqaCTnwzOG2_Wg"",""Direct Link!A2:A""),0)),XLOOKUP($C846,IMPORTRANGE(""1NK5L1mviMn0j3D"&amp;"3uo53ASkIZOFRlLnqaCTnwzOG2_Wg"",""Direct links Without Sizes!A2:A""),IMPORTRANGE(""1NK5L1mviMn0j3D3uo53ASkIZOFRlLnqaCTnwzOG2_Wg"",""Direct links Without Sizes!B2:B""))),XLOOKUP($C846,IMPORTRANGE(""1NK5L1mviMn0j3D3uo53ASkIZOFRlLnqaCTnwzOG2_Wg"",""Direct li"&amp;"nks Without Sizes!D2:D""),IMPORTRANGE(""1NK5L1mviMn0j3D3uo53ASkIZOFRlLnqaCTnwzOG2_Wg"",""Direct links Without Sizes!E2:E""))),"""")"),"")</f>
        <v/>
      </c>
      <c r="I846" s="4"/>
      <c r="J846" s="24" t="str">
        <f t="shared" si="1"/>
        <v/>
      </c>
      <c r="K846" s="25"/>
      <c r="L846" s="24" t="str">
        <f t="shared" si="2"/>
        <v/>
      </c>
      <c r="M846" s="4"/>
      <c r="N846" s="23"/>
      <c r="O846" s="23"/>
      <c r="P846" s="23"/>
      <c r="Q846" s="4" t="str">
        <f t="shared" si="4"/>
        <v/>
      </c>
      <c r="R846" s="20"/>
      <c r="S846" s="20"/>
    </row>
    <row r="847">
      <c r="A847" s="4"/>
      <c r="B847" s="4"/>
      <c r="C847" s="37"/>
      <c r="D847" s="7" t="str">
        <f>IFERROR(__xludf.DUMMYFUNCTION("iferror(iferror(INDEX(IMPORTRANGE(""12vtnxaE_Q1s4tyr10kZQx7ZF_xG0lBFae4jQEUtgsMU"",""All!B2:B""),MATCH($C847,IMPORTRANGE(""12vtnxaE_Q1s4tyr10kZQx7ZF_xG0lBFae4jQEUtgsMU"",""All!A2:A""),0)),INDEX(IMPORTRANGE(""13KC70HngS4DDi8y9E5khtSpQEPG6owaQ9z4E-tR5mnY"","&amp;"""Non-Food!B2:B""),MATCH($C847,IMPORTRANGE(""13KC70HngS4DDi8y9E5khtSpQEPG6owaQ9z4E-tR5mnY"",""Non-Food!A2:A""),0))),"""")"),"")</f>
        <v/>
      </c>
      <c r="E847" s="15"/>
      <c r="F847" s="15"/>
      <c r="G847" s="36"/>
      <c r="H847" s="23" t="str">
        <f>IFERROR(__xludf.DUMMYFUNCTION("iferror(iferror(iferror(index(IMPORTRANGE(""1NK5L1mviMn0j3D3uo53ASkIZOFRlLnqaCTnwzOG2_Wg"",""Direct Link!B2:B""),MATCH($C847,IMPORTRANGE(""1NK5L1mviMn0j3D3uo53ASkIZOFRlLnqaCTnwzOG2_Wg"",""Direct Link!A2:A""),0)),XLOOKUP($C847,IMPORTRANGE(""1NK5L1mviMn0j3D"&amp;"3uo53ASkIZOFRlLnqaCTnwzOG2_Wg"",""Direct links Without Sizes!A2:A""),IMPORTRANGE(""1NK5L1mviMn0j3D3uo53ASkIZOFRlLnqaCTnwzOG2_Wg"",""Direct links Without Sizes!B2:B""))),XLOOKUP($C847,IMPORTRANGE(""1NK5L1mviMn0j3D3uo53ASkIZOFRlLnqaCTnwzOG2_Wg"",""Direct li"&amp;"nks Without Sizes!D2:D""),IMPORTRANGE(""1NK5L1mviMn0j3D3uo53ASkIZOFRlLnqaCTnwzOG2_Wg"",""Direct links Without Sizes!E2:E""))),"""")"),"")</f>
        <v/>
      </c>
      <c r="I847" s="4"/>
      <c r="J847" s="24" t="str">
        <f t="shared" si="1"/>
        <v/>
      </c>
      <c r="K847" s="25"/>
      <c r="L847" s="24" t="str">
        <f t="shared" si="2"/>
        <v/>
      </c>
      <c r="M847" s="4"/>
      <c r="N847" s="23"/>
      <c r="O847" s="23"/>
      <c r="P847" s="23"/>
      <c r="Q847" s="4" t="str">
        <f t="shared" si="4"/>
        <v/>
      </c>
      <c r="R847" s="20"/>
      <c r="S847" s="20"/>
    </row>
    <row r="848">
      <c r="A848" s="4"/>
      <c r="B848" s="4"/>
      <c r="C848" s="37"/>
      <c r="D848" s="7" t="str">
        <f>IFERROR(__xludf.DUMMYFUNCTION("iferror(iferror(INDEX(IMPORTRANGE(""12vtnxaE_Q1s4tyr10kZQx7ZF_xG0lBFae4jQEUtgsMU"",""All!B2:B""),MATCH($C848,IMPORTRANGE(""12vtnxaE_Q1s4tyr10kZQx7ZF_xG0lBFae4jQEUtgsMU"",""All!A2:A""),0)),INDEX(IMPORTRANGE(""13KC70HngS4DDi8y9E5khtSpQEPG6owaQ9z4E-tR5mnY"","&amp;"""Non-Food!B2:B""),MATCH($C848,IMPORTRANGE(""13KC70HngS4DDi8y9E5khtSpQEPG6owaQ9z4E-tR5mnY"",""Non-Food!A2:A""),0))),"""")"),"")</f>
        <v/>
      </c>
      <c r="E848" s="15"/>
      <c r="F848" s="15"/>
      <c r="G848" s="36"/>
      <c r="H848" s="23" t="str">
        <f>IFERROR(__xludf.DUMMYFUNCTION("iferror(iferror(iferror(index(IMPORTRANGE(""1NK5L1mviMn0j3D3uo53ASkIZOFRlLnqaCTnwzOG2_Wg"",""Direct Link!B2:B""),MATCH($C848,IMPORTRANGE(""1NK5L1mviMn0j3D3uo53ASkIZOFRlLnqaCTnwzOG2_Wg"",""Direct Link!A2:A""),0)),XLOOKUP($C848,IMPORTRANGE(""1NK5L1mviMn0j3D"&amp;"3uo53ASkIZOFRlLnqaCTnwzOG2_Wg"",""Direct links Without Sizes!A2:A""),IMPORTRANGE(""1NK5L1mviMn0j3D3uo53ASkIZOFRlLnqaCTnwzOG2_Wg"",""Direct links Without Sizes!B2:B""))),XLOOKUP($C848,IMPORTRANGE(""1NK5L1mviMn0j3D3uo53ASkIZOFRlLnqaCTnwzOG2_Wg"",""Direct li"&amp;"nks Without Sizes!D2:D""),IMPORTRANGE(""1NK5L1mviMn0j3D3uo53ASkIZOFRlLnqaCTnwzOG2_Wg"",""Direct links Without Sizes!E2:E""))),"""")"),"")</f>
        <v/>
      </c>
      <c r="I848" s="4"/>
      <c r="J848" s="24" t="str">
        <f t="shared" si="1"/>
        <v/>
      </c>
      <c r="K848" s="25"/>
      <c r="L848" s="24" t="str">
        <f t="shared" si="2"/>
        <v/>
      </c>
      <c r="M848" s="4"/>
      <c r="N848" s="23"/>
      <c r="O848" s="23"/>
      <c r="P848" s="23"/>
      <c r="Q848" s="4" t="str">
        <f t="shared" si="4"/>
        <v/>
      </c>
      <c r="R848" s="20"/>
      <c r="S848" s="20"/>
    </row>
    <row r="849">
      <c r="A849" s="4"/>
      <c r="B849" s="4"/>
      <c r="C849" s="37"/>
      <c r="D849" s="7" t="str">
        <f>IFERROR(__xludf.DUMMYFUNCTION("iferror(iferror(INDEX(IMPORTRANGE(""12vtnxaE_Q1s4tyr10kZQx7ZF_xG0lBFae4jQEUtgsMU"",""All!B2:B""),MATCH($C849,IMPORTRANGE(""12vtnxaE_Q1s4tyr10kZQx7ZF_xG0lBFae4jQEUtgsMU"",""All!A2:A""),0)),INDEX(IMPORTRANGE(""13KC70HngS4DDi8y9E5khtSpQEPG6owaQ9z4E-tR5mnY"","&amp;"""Non-Food!B2:B""),MATCH($C849,IMPORTRANGE(""13KC70HngS4DDi8y9E5khtSpQEPG6owaQ9z4E-tR5mnY"",""Non-Food!A2:A""),0))),"""")"),"")</f>
        <v/>
      </c>
      <c r="E849" s="15"/>
      <c r="F849" s="15"/>
      <c r="G849" s="36"/>
      <c r="H849" s="23" t="str">
        <f>IFERROR(__xludf.DUMMYFUNCTION("iferror(iferror(iferror(index(IMPORTRANGE(""1NK5L1mviMn0j3D3uo53ASkIZOFRlLnqaCTnwzOG2_Wg"",""Direct Link!B2:B""),MATCH($C849,IMPORTRANGE(""1NK5L1mviMn0j3D3uo53ASkIZOFRlLnqaCTnwzOG2_Wg"",""Direct Link!A2:A""),0)),XLOOKUP($C849,IMPORTRANGE(""1NK5L1mviMn0j3D"&amp;"3uo53ASkIZOFRlLnqaCTnwzOG2_Wg"",""Direct links Without Sizes!A2:A""),IMPORTRANGE(""1NK5L1mviMn0j3D3uo53ASkIZOFRlLnqaCTnwzOG2_Wg"",""Direct links Without Sizes!B2:B""))),XLOOKUP($C849,IMPORTRANGE(""1NK5L1mviMn0j3D3uo53ASkIZOFRlLnqaCTnwzOG2_Wg"",""Direct li"&amp;"nks Without Sizes!D2:D""),IMPORTRANGE(""1NK5L1mviMn0j3D3uo53ASkIZOFRlLnqaCTnwzOG2_Wg"",""Direct links Without Sizes!E2:E""))),"""")"),"")</f>
        <v/>
      </c>
      <c r="I849" s="4"/>
      <c r="J849" s="24" t="str">
        <f t="shared" si="1"/>
        <v/>
      </c>
      <c r="K849" s="25"/>
      <c r="L849" s="24" t="str">
        <f t="shared" si="2"/>
        <v/>
      </c>
      <c r="M849" s="4"/>
      <c r="N849" s="23"/>
      <c r="O849" s="23"/>
      <c r="P849" s="23"/>
      <c r="Q849" s="4" t="str">
        <f t="shared" si="4"/>
        <v/>
      </c>
      <c r="R849" s="20"/>
      <c r="S849" s="20"/>
    </row>
    <row r="850">
      <c r="A850" s="4"/>
      <c r="B850" s="4"/>
      <c r="C850" s="37"/>
      <c r="D850" s="7" t="str">
        <f>IFERROR(__xludf.DUMMYFUNCTION("iferror(iferror(INDEX(IMPORTRANGE(""12vtnxaE_Q1s4tyr10kZQx7ZF_xG0lBFae4jQEUtgsMU"",""All!B2:B""),MATCH($C850,IMPORTRANGE(""12vtnxaE_Q1s4tyr10kZQx7ZF_xG0lBFae4jQEUtgsMU"",""All!A2:A""),0)),INDEX(IMPORTRANGE(""13KC70HngS4DDi8y9E5khtSpQEPG6owaQ9z4E-tR5mnY"","&amp;"""Non-Food!B2:B""),MATCH($C850,IMPORTRANGE(""13KC70HngS4DDi8y9E5khtSpQEPG6owaQ9z4E-tR5mnY"",""Non-Food!A2:A""),0))),"""")"),"")</f>
        <v/>
      </c>
      <c r="E850" s="15"/>
      <c r="F850" s="15"/>
      <c r="G850" s="36"/>
      <c r="H850" s="23" t="str">
        <f>IFERROR(__xludf.DUMMYFUNCTION("iferror(iferror(iferror(index(IMPORTRANGE(""1NK5L1mviMn0j3D3uo53ASkIZOFRlLnqaCTnwzOG2_Wg"",""Direct Link!B2:B""),MATCH($C850,IMPORTRANGE(""1NK5L1mviMn0j3D3uo53ASkIZOFRlLnqaCTnwzOG2_Wg"",""Direct Link!A2:A""),0)),XLOOKUP($C850,IMPORTRANGE(""1NK5L1mviMn0j3D"&amp;"3uo53ASkIZOFRlLnqaCTnwzOG2_Wg"",""Direct links Without Sizes!A2:A""),IMPORTRANGE(""1NK5L1mviMn0j3D3uo53ASkIZOFRlLnqaCTnwzOG2_Wg"",""Direct links Without Sizes!B2:B""))),XLOOKUP($C850,IMPORTRANGE(""1NK5L1mviMn0j3D3uo53ASkIZOFRlLnqaCTnwzOG2_Wg"",""Direct li"&amp;"nks Without Sizes!D2:D""),IMPORTRANGE(""1NK5L1mviMn0j3D3uo53ASkIZOFRlLnqaCTnwzOG2_Wg"",""Direct links Without Sizes!E2:E""))),"""")"),"")</f>
        <v/>
      </c>
      <c r="I850" s="4"/>
      <c r="J850" s="24" t="str">
        <f t="shared" si="1"/>
        <v/>
      </c>
      <c r="K850" s="25"/>
      <c r="L850" s="24" t="str">
        <f t="shared" si="2"/>
        <v/>
      </c>
      <c r="M850" s="4"/>
      <c r="N850" s="23"/>
      <c r="O850" s="23"/>
      <c r="P850" s="23"/>
      <c r="Q850" s="4" t="str">
        <f t="shared" si="4"/>
        <v/>
      </c>
      <c r="R850" s="20"/>
      <c r="S850" s="20"/>
    </row>
    <row r="851">
      <c r="A851" s="4"/>
      <c r="B851" s="4"/>
      <c r="C851" s="37"/>
      <c r="D851" s="7" t="str">
        <f>IFERROR(__xludf.DUMMYFUNCTION("iferror(iferror(INDEX(IMPORTRANGE(""12vtnxaE_Q1s4tyr10kZQx7ZF_xG0lBFae4jQEUtgsMU"",""All!B2:B""),MATCH($C851,IMPORTRANGE(""12vtnxaE_Q1s4tyr10kZQx7ZF_xG0lBFae4jQEUtgsMU"",""All!A2:A""),0)),INDEX(IMPORTRANGE(""13KC70HngS4DDi8y9E5khtSpQEPG6owaQ9z4E-tR5mnY"","&amp;"""Non-Food!B2:B""),MATCH($C851,IMPORTRANGE(""13KC70HngS4DDi8y9E5khtSpQEPG6owaQ9z4E-tR5mnY"",""Non-Food!A2:A""),0))),"""")"),"")</f>
        <v/>
      </c>
      <c r="E851" s="15"/>
      <c r="F851" s="15"/>
      <c r="G851" s="36"/>
      <c r="H851" s="23" t="str">
        <f>IFERROR(__xludf.DUMMYFUNCTION("iferror(iferror(iferror(index(IMPORTRANGE(""1NK5L1mviMn0j3D3uo53ASkIZOFRlLnqaCTnwzOG2_Wg"",""Direct Link!B2:B""),MATCH($C851,IMPORTRANGE(""1NK5L1mviMn0j3D3uo53ASkIZOFRlLnqaCTnwzOG2_Wg"",""Direct Link!A2:A""),0)),XLOOKUP($C851,IMPORTRANGE(""1NK5L1mviMn0j3D"&amp;"3uo53ASkIZOFRlLnqaCTnwzOG2_Wg"",""Direct links Without Sizes!A2:A""),IMPORTRANGE(""1NK5L1mviMn0j3D3uo53ASkIZOFRlLnqaCTnwzOG2_Wg"",""Direct links Without Sizes!B2:B""))),XLOOKUP($C851,IMPORTRANGE(""1NK5L1mviMn0j3D3uo53ASkIZOFRlLnqaCTnwzOG2_Wg"",""Direct li"&amp;"nks Without Sizes!D2:D""),IMPORTRANGE(""1NK5L1mviMn0j3D3uo53ASkIZOFRlLnqaCTnwzOG2_Wg"",""Direct links Without Sizes!E2:E""))),"""")"),"")</f>
        <v/>
      </c>
      <c r="I851" s="4"/>
      <c r="J851" s="24" t="str">
        <f t="shared" si="1"/>
        <v/>
      </c>
      <c r="K851" s="25"/>
      <c r="L851" s="24" t="str">
        <f t="shared" si="2"/>
        <v/>
      </c>
      <c r="M851" s="4"/>
      <c r="N851" s="23"/>
      <c r="O851" s="23"/>
      <c r="P851" s="23"/>
      <c r="Q851" s="4" t="str">
        <f t="shared" si="4"/>
        <v/>
      </c>
      <c r="R851" s="20"/>
      <c r="S851" s="20"/>
    </row>
    <row r="852">
      <c r="A852" s="4"/>
      <c r="B852" s="4"/>
      <c r="C852" s="37"/>
      <c r="D852" s="7" t="str">
        <f>IFERROR(__xludf.DUMMYFUNCTION("iferror(iferror(INDEX(IMPORTRANGE(""12vtnxaE_Q1s4tyr10kZQx7ZF_xG0lBFae4jQEUtgsMU"",""All!B2:B""),MATCH($C852,IMPORTRANGE(""12vtnxaE_Q1s4tyr10kZQx7ZF_xG0lBFae4jQEUtgsMU"",""All!A2:A""),0)),INDEX(IMPORTRANGE(""13KC70HngS4DDi8y9E5khtSpQEPG6owaQ9z4E-tR5mnY"","&amp;"""Non-Food!B2:B""),MATCH($C852,IMPORTRANGE(""13KC70HngS4DDi8y9E5khtSpQEPG6owaQ9z4E-tR5mnY"",""Non-Food!A2:A""),0))),"""")"),"")</f>
        <v/>
      </c>
      <c r="E852" s="15"/>
      <c r="F852" s="15"/>
      <c r="G852" s="36"/>
      <c r="H852" s="23" t="str">
        <f>IFERROR(__xludf.DUMMYFUNCTION("iferror(iferror(iferror(index(IMPORTRANGE(""1NK5L1mviMn0j3D3uo53ASkIZOFRlLnqaCTnwzOG2_Wg"",""Direct Link!B2:B""),MATCH($C852,IMPORTRANGE(""1NK5L1mviMn0j3D3uo53ASkIZOFRlLnqaCTnwzOG2_Wg"",""Direct Link!A2:A""),0)),XLOOKUP($C852,IMPORTRANGE(""1NK5L1mviMn0j3D"&amp;"3uo53ASkIZOFRlLnqaCTnwzOG2_Wg"",""Direct links Without Sizes!A2:A""),IMPORTRANGE(""1NK5L1mviMn0j3D3uo53ASkIZOFRlLnqaCTnwzOG2_Wg"",""Direct links Without Sizes!B2:B""))),XLOOKUP($C852,IMPORTRANGE(""1NK5L1mviMn0j3D3uo53ASkIZOFRlLnqaCTnwzOG2_Wg"",""Direct li"&amp;"nks Without Sizes!D2:D""),IMPORTRANGE(""1NK5L1mviMn0j3D3uo53ASkIZOFRlLnqaCTnwzOG2_Wg"",""Direct links Without Sizes!E2:E""))),"""")"),"")</f>
        <v/>
      </c>
      <c r="I852" s="4"/>
      <c r="J852" s="24" t="str">
        <f t="shared" si="1"/>
        <v/>
      </c>
      <c r="K852" s="25"/>
      <c r="L852" s="24" t="str">
        <f t="shared" si="2"/>
        <v/>
      </c>
      <c r="M852" s="4"/>
      <c r="N852" s="23"/>
      <c r="O852" s="23"/>
      <c r="P852" s="23"/>
      <c r="Q852" s="4" t="str">
        <f t="shared" si="4"/>
        <v/>
      </c>
      <c r="R852" s="20"/>
      <c r="S852" s="20"/>
    </row>
    <row r="853">
      <c r="A853" s="4"/>
      <c r="B853" s="4"/>
      <c r="C853" s="37"/>
      <c r="D853" s="7" t="str">
        <f>IFERROR(__xludf.DUMMYFUNCTION("iferror(iferror(INDEX(IMPORTRANGE(""12vtnxaE_Q1s4tyr10kZQx7ZF_xG0lBFae4jQEUtgsMU"",""All!B2:B""),MATCH($C853,IMPORTRANGE(""12vtnxaE_Q1s4tyr10kZQx7ZF_xG0lBFae4jQEUtgsMU"",""All!A2:A""),0)),INDEX(IMPORTRANGE(""13KC70HngS4DDi8y9E5khtSpQEPG6owaQ9z4E-tR5mnY"","&amp;"""Non-Food!B2:B""),MATCH($C853,IMPORTRANGE(""13KC70HngS4DDi8y9E5khtSpQEPG6owaQ9z4E-tR5mnY"",""Non-Food!A2:A""),0))),"""")"),"")</f>
        <v/>
      </c>
      <c r="E853" s="15"/>
      <c r="F853" s="15"/>
      <c r="G853" s="36"/>
      <c r="H853" s="23" t="str">
        <f>IFERROR(__xludf.DUMMYFUNCTION("iferror(iferror(iferror(index(IMPORTRANGE(""1NK5L1mviMn0j3D3uo53ASkIZOFRlLnqaCTnwzOG2_Wg"",""Direct Link!B2:B""),MATCH($C853,IMPORTRANGE(""1NK5L1mviMn0j3D3uo53ASkIZOFRlLnqaCTnwzOG2_Wg"",""Direct Link!A2:A""),0)),XLOOKUP($C853,IMPORTRANGE(""1NK5L1mviMn0j3D"&amp;"3uo53ASkIZOFRlLnqaCTnwzOG2_Wg"",""Direct links Without Sizes!A2:A""),IMPORTRANGE(""1NK5L1mviMn0j3D3uo53ASkIZOFRlLnqaCTnwzOG2_Wg"",""Direct links Without Sizes!B2:B""))),XLOOKUP($C853,IMPORTRANGE(""1NK5L1mviMn0j3D3uo53ASkIZOFRlLnqaCTnwzOG2_Wg"",""Direct li"&amp;"nks Without Sizes!D2:D""),IMPORTRANGE(""1NK5L1mviMn0j3D3uo53ASkIZOFRlLnqaCTnwzOG2_Wg"",""Direct links Without Sizes!E2:E""))),"""")"),"")</f>
        <v/>
      </c>
      <c r="I853" s="4"/>
      <c r="J853" s="24" t="str">
        <f t="shared" si="1"/>
        <v/>
      </c>
      <c r="K853" s="25"/>
      <c r="L853" s="24" t="str">
        <f t="shared" si="2"/>
        <v/>
      </c>
      <c r="M853" s="4"/>
      <c r="N853" s="23"/>
      <c r="O853" s="23"/>
      <c r="P853" s="23"/>
      <c r="Q853" s="4" t="str">
        <f t="shared" si="4"/>
        <v/>
      </c>
      <c r="R853" s="20"/>
      <c r="S853" s="20"/>
    </row>
    <row r="854">
      <c r="A854" s="4"/>
      <c r="B854" s="4"/>
      <c r="C854" s="37"/>
      <c r="D854" s="7" t="str">
        <f>IFERROR(__xludf.DUMMYFUNCTION("iferror(iferror(INDEX(IMPORTRANGE(""12vtnxaE_Q1s4tyr10kZQx7ZF_xG0lBFae4jQEUtgsMU"",""All!B2:B""),MATCH($C854,IMPORTRANGE(""12vtnxaE_Q1s4tyr10kZQx7ZF_xG0lBFae4jQEUtgsMU"",""All!A2:A""),0)),INDEX(IMPORTRANGE(""13KC70HngS4DDi8y9E5khtSpQEPG6owaQ9z4E-tR5mnY"","&amp;"""Non-Food!B2:B""),MATCH($C854,IMPORTRANGE(""13KC70HngS4DDi8y9E5khtSpQEPG6owaQ9z4E-tR5mnY"",""Non-Food!A2:A""),0))),"""")"),"")</f>
        <v/>
      </c>
      <c r="E854" s="15"/>
      <c r="F854" s="15"/>
      <c r="G854" s="36"/>
      <c r="H854" s="23" t="str">
        <f>IFERROR(__xludf.DUMMYFUNCTION("iferror(iferror(iferror(index(IMPORTRANGE(""1NK5L1mviMn0j3D3uo53ASkIZOFRlLnqaCTnwzOG2_Wg"",""Direct Link!B2:B""),MATCH($C854,IMPORTRANGE(""1NK5L1mviMn0j3D3uo53ASkIZOFRlLnqaCTnwzOG2_Wg"",""Direct Link!A2:A""),0)),XLOOKUP($C854,IMPORTRANGE(""1NK5L1mviMn0j3D"&amp;"3uo53ASkIZOFRlLnqaCTnwzOG2_Wg"",""Direct links Without Sizes!A2:A""),IMPORTRANGE(""1NK5L1mviMn0j3D3uo53ASkIZOFRlLnqaCTnwzOG2_Wg"",""Direct links Without Sizes!B2:B""))),XLOOKUP($C854,IMPORTRANGE(""1NK5L1mviMn0j3D3uo53ASkIZOFRlLnqaCTnwzOG2_Wg"",""Direct li"&amp;"nks Without Sizes!D2:D""),IMPORTRANGE(""1NK5L1mviMn0j3D3uo53ASkIZOFRlLnqaCTnwzOG2_Wg"",""Direct links Without Sizes!E2:E""))),"""")"),"")</f>
        <v/>
      </c>
      <c r="I854" s="4"/>
      <c r="J854" s="24" t="str">
        <f t="shared" si="1"/>
        <v/>
      </c>
      <c r="K854" s="25"/>
      <c r="L854" s="24" t="str">
        <f t="shared" si="2"/>
        <v/>
      </c>
      <c r="M854" s="4"/>
      <c r="N854" s="23"/>
      <c r="O854" s="23"/>
      <c r="P854" s="23"/>
      <c r="Q854" s="4" t="str">
        <f t="shared" si="4"/>
        <v/>
      </c>
      <c r="R854" s="20"/>
      <c r="S854" s="20"/>
    </row>
    <row r="855">
      <c r="A855" s="4"/>
      <c r="B855" s="4"/>
      <c r="C855" s="37"/>
      <c r="D855" s="7" t="str">
        <f>IFERROR(__xludf.DUMMYFUNCTION("iferror(iferror(INDEX(IMPORTRANGE(""12vtnxaE_Q1s4tyr10kZQx7ZF_xG0lBFae4jQEUtgsMU"",""All!B2:B""),MATCH($C855,IMPORTRANGE(""12vtnxaE_Q1s4tyr10kZQx7ZF_xG0lBFae4jQEUtgsMU"",""All!A2:A""),0)),INDEX(IMPORTRANGE(""13KC70HngS4DDi8y9E5khtSpQEPG6owaQ9z4E-tR5mnY"","&amp;"""Non-Food!B2:B""),MATCH($C855,IMPORTRANGE(""13KC70HngS4DDi8y9E5khtSpQEPG6owaQ9z4E-tR5mnY"",""Non-Food!A2:A""),0))),"""")"),"")</f>
        <v/>
      </c>
      <c r="E855" s="15"/>
      <c r="F855" s="15"/>
      <c r="G855" s="36"/>
      <c r="H855" s="23" t="str">
        <f>IFERROR(__xludf.DUMMYFUNCTION("iferror(iferror(iferror(index(IMPORTRANGE(""1NK5L1mviMn0j3D3uo53ASkIZOFRlLnqaCTnwzOG2_Wg"",""Direct Link!B2:B""),MATCH($C855,IMPORTRANGE(""1NK5L1mviMn0j3D3uo53ASkIZOFRlLnqaCTnwzOG2_Wg"",""Direct Link!A2:A""),0)),XLOOKUP($C855,IMPORTRANGE(""1NK5L1mviMn0j3D"&amp;"3uo53ASkIZOFRlLnqaCTnwzOG2_Wg"",""Direct links Without Sizes!A2:A""),IMPORTRANGE(""1NK5L1mviMn0j3D3uo53ASkIZOFRlLnqaCTnwzOG2_Wg"",""Direct links Without Sizes!B2:B""))),XLOOKUP($C855,IMPORTRANGE(""1NK5L1mviMn0j3D3uo53ASkIZOFRlLnqaCTnwzOG2_Wg"",""Direct li"&amp;"nks Without Sizes!D2:D""),IMPORTRANGE(""1NK5L1mviMn0j3D3uo53ASkIZOFRlLnqaCTnwzOG2_Wg"",""Direct links Without Sizes!E2:E""))),"""")"),"")</f>
        <v/>
      </c>
      <c r="I855" s="4"/>
      <c r="J855" s="24" t="str">
        <f t="shared" si="1"/>
        <v/>
      </c>
      <c r="K855" s="25"/>
      <c r="L855" s="24" t="str">
        <f t="shared" si="2"/>
        <v/>
      </c>
      <c r="M855" s="4"/>
      <c r="N855" s="23"/>
      <c r="O855" s="23"/>
      <c r="P855" s="23"/>
      <c r="Q855" s="4" t="str">
        <f t="shared" si="4"/>
        <v/>
      </c>
      <c r="R855" s="20"/>
      <c r="S855" s="20"/>
    </row>
    <row r="856">
      <c r="A856" s="4"/>
      <c r="B856" s="4"/>
      <c r="C856" s="37"/>
      <c r="D856" s="7" t="str">
        <f>IFERROR(__xludf.DUMMYFUNCTION("iferror(iferror(INDEX(IMPORTRANGE(""12vtnxaE_Q1s4tyr10kZQx7ZF_xG0lBFae4jQEUtgsMU"",""All!B2:B""),MATCH($C856,IMPORTRANGE(""12vtnxaE_Q1s4tyr10kZQx7ZF_xG0lBFae4jQEUtgsMU"",""All!A2:A""),0)),INDEX(IMPORTRANGE(""13KC70HngS4DDi8y9E5khtSpQEPG6owaQ9z4E-tR5mnY"","&amp;"""Non-Food!B2:B""),MATCH($C856,IMPORTRANGE(""13KC70HngS4DDi8y9E5khtSpQEPG6owaQ9z4E-tR5mnY"",""Non-Food!A2:A""),0))),"""")"),"")</f>
        <v/>
      </c>
      <c r="E856" s="15"/>
      <c r="F856" s="15"/>
      <c r="G856" s="36"/>
      <c r="H856" s="23" t="str">
        <f>IFERROR(__xludf.DUMMYFUNCTION("iferror(iferror(iferror(index(IMPORTRANGE(""1NK5L1mviMn0j3D3uo53ASkIZOFRlLnqaCTnwzOG2_Wg"",""Direct Link!B2:B""),MATCH($C856,IMPORTRANGE(""1NK5L1mviMn0j3D3uo53ASkIZOFRlLnqaCTnwzOG2_Wg"",""Direct Link!A2:A""),0)),XLOOKUP($C856,IMPORTRANGE(""1NK5L1mviMn0j3D"&amp;"3uo53ASkIZOFRlLnqaCTnwzOG2_Wg"",""Direct links Without Sizes!A2:A""),IMPORTRANGE(""1NK5L1mviMn0j3D3uo53ASkIZOFRlLnqaCTnwzOG2_Wg"",""Direct links Without Sizes!B2:B""))),XLOOKUP($C856,IMPORTRANGE(""1NK5L1mviMn0j3D3uo53ASkIZOFRlLnqaCTnwzOG2_Wg"",""Direct li"&amp;"nks Without Sizes!D2:D""),IMPORTRANGE(""1NK5L1mviMn0j3D3uo53ASkIZOFRlLnqaCTnwzOG2_Wg"",""Direct links Without Sizes!E2:E""))),"""")"),"")</f>
        <v/>
      </c>
      <c r="I856" s="4"/>
      <c r="J856" s="24" t="str">
        <f t="shared" si="1"/>
        <v/>
      </c>
      <c r="K856" s="25"/>
      <c r="L856" s="24" t="str">
        <f t="shared" si="2"/>
        <v/>
      </c>
      <c r="M856" s="4"/>
      <c r="N856" s="23"/>
      <c r="O856" s="23"/>
      <c r="P856" s="23"/>
      <c r="Q856" s="4" t="str">
        <f t="shared" si="4"/>
        <v/>
      </c>
      <c r="R856" s="20"/>
      <c r="S856" s="20"/>
    </row>
    <row r="857">
      <c r="A857" s="4"/>
      <c r="B857" s="4"/>
      <c r="C857" s="37"/>
      <c r="D857" s="7" t="str">
        <f>IFERROR(__xludf.DUMMYFUNCTION("iferror(iferror(INDEX(IMPORTRANGE(""12vtnxaE_Q1s4tyr10kZQx7ZF_xG0lBFae4jQEUtgsMU"",""All!B2:B""),MATCH($C857,IMPORTRANGE(""12vtnxaE_Q1s4tyr10kZQx7ZF_xG0lBFae4jQEUtgsMU"",""All!A2:A""),0)),INDEX(IMPORTRANGE(""13KC70HngS4DDi8y9E5khtSpQEPG6owaQ9z4E-tR5mnY"","&amp;"""Non-Food!B2:B""),MATCH($C857,IMPORTRANGE(""13KC70HngS4DDi8y9E5khtSpQEPG6owaQ9z4E-tR5mnY"",""Non-Food!A2:A""),0))),"""")"),"")</f>
        <v/>
      </c>
      <c r="E857" s="15"/>
      <c r="F857" s="15"/>
      <c r="G857" s="36"/>
      <c r="H857" s="23" t="str">
        <f>IFERROR(__xludf.DUMMYFUNCTION("iferror(iferror(iferror(index(IMPORTRANGE(""1NK5L1mviMn0j3D3uo53ASkIZOFRlLnqaCTnwzOG2_Wg"",""Direct Link!B2:B""),MATCH($C857,IMPORTRANGE(""1NK5L1mviMn0j3D3uo53ASkIZOFRlLnqaCTnwzOG2_Wg"",""Direct Link!A2:A""),0)),XLOOKUP($C857,IMPORTRANGE(""1NK5L1mviMn0j3D"&amp;"3uo53ASkIZOFRlLnqaCTnwzOG2_Wg"",""Direct links Without Sizes!A2:A""),IMPORTRANGE(""1NK5L1mviMn0j3D3uo53ASkIZOFRlLnqaCTnwzOG2_Wg"",""Direct links Without Sizes!B2:B""))),XLOOKUP($C857,IMPORTRANGE(""1NK5L1mviMn0j3D3uo53ASkIZOFRlLnqaCTnwzOG2_Wg"",""Direct li"&amp;"nks Without Sizes!D2:D""),IMPORTRANGE(""1NK5L1mviMn0j3D3uo53ASkIZOFRlLnqaCTnwzOG2_Wg"",""Direct links Without Sizes!E2:E""))),"""")"),"")</f>
        <v/>
      </c>
      <c r="I857" s="4"/>
      <c r="J857" s="24" t="str">
        <f t="shared" si="1"/>
        <v/>
      </c>
      <c r="K857" s="25"/>
      <c r="L857" s="24" t="str">
        <f t="shared" si="2"/>
        <v/>
      </c>
      <c r="M857" s="4"/>
      <c r="N857" s="23"/>
      <c r="O857" s="23"/>
      <c r="P857" s="23"/>
      <c r="Q857" s="4" t="str">
        <f t="shared" si="4"/>
        <v/>
      </c>
      <c r="R857" s="20"/>
      <c r="S857" s="20"/>
    </row>
    <row r="858">
      <c r="A858" s="4"/>
      <c r="B858" s="4"/>
      <c r="C858" s="37"/>
      <c r="D858" s="7" t="str">
        <f>IFERROR(__xludf.DUMMYFUNCTION("iferror(iferror(INDEX(IMPORTRANGE(""12vtnxaE_Q1s4tyr10kZQx7ZF_xG0lBFae4jQEUtgsMU"",""All!B2:B""),MATCH($C858,IMPORTRANGE(""12vtnxaE_Q1s4tyr10kZQx7ZF_xG0lBFae4jQEUtgsMU"",""All!A2:A""),0)),INDEX(IMPORTRANGE(""13KC70HngS4DDi8y9E5khtSpQEPG6owaQ9z4E-tR5mnY"","&amp;"""Non-Food!B2:B""),MATCH($C858,IMPORTRANGE(""13KC70HngS4DDi8y9E5khtSpQEPG6owaQ9z4E-tR5mnY"",""Non-Food!A2:A""),0))),"""")"),"")</f>
        <v/>
      </c>
      <c r="E858" s="15"/>
      <c r="F858" s="15"/>
      <c r="G858" s="36"/>
      <c r="H858" s="23" t="str">
        <f>IFERROR(__xludf.DUMMYFUNCTION("iferror(iferror(iferror(index(IMPORTRANGE(""1NK5L1mviMn0j3D3uo53ASkIZOFRlLnqaCTnwzOG2_Wg"",""Direct Link!B2:B""),MATCH($C858,IMPORTRANGE(""1NK5L1mviMn0j3D3uo53ASkIZOFRlLnqaCTnwzOG2_Wg"",""Direct Link!A2:A""),0)),XLOOKUP($C858,IMPORTRANGE(""1NK5L1mviMn0j3D"&amp;"3uo53ASkIZOFRlLnqaCTnwzOG2_Wg"",""Direct links Without Sizes!A2:A""),IMPORTRANGE(""1NK5L1mviMn0j3D3uo53ASkIZOFRlLnqaCTnwzOG2_Wg"",""Direct links Without Sizes!B2:B""))),XLOOKUP($C858,IMPORTRANGE(""1NK5L1mviMn0j3D3uo53ASkIZOFRlLnqaCTnwzOG2_Wg"",""Direct li"&amp;"nks Without Sizes!D2:D""),IMPORTRANGE(""1NK5L1mviMn0j3D3uo53ASkIZOFRlLnqaCTnwzOG2_Wg"",""Direct links Without Sizes!E2:E""))),"""")"),"")</f>
        <v/>
      </c>
      <c r="I858" s="4"/>
      <c r="J858" s="24" t="str">
        <f t="shared" si="1"/>
        <v/>
      </c>
      <c r="K858" s="25"/>
      <c r="L858" s="24" t="str">
        <f t="shared" si="2"/>
        <v/>
      </c>
      <c r="M858" s="4"/>
      <c r="N858" s="23"/>
      <c r="O858" s="23"/>
      <c r="P858" s="23"/>
      <c r="Q858" s="4" t="str">
        <f t="shared" si="4"/>
        <v/>
      </c>
      <c r="R858" s="20"/>
      <c r="S858" s="20"/>
    </row>
    <row r="859">
      <c r="A859" s="4"/>
      <c r="B859" s="4"/>
      <c r="C859" s="37"/>
      <c r="D859" s="7" t="str">
        <f>IFERROR(__xludf.DUMMYFUNCTION("iferror(iferror(INDEX(IMPORTRANGE(""12vtnxaE_Q1s4tyr10kZQx7ZF_xG0lBFae4jQEUtgsMU"",""All!B2:B""),MATCH($C859,IMPORTRANGE(""12vtnxaE_Q1s4tyr10kZQx7ZF_xG0lBFae4jQEUtgsMU"",""All!A2:A""),0)),INDEX(IMPORTRANGE(""13KC70HngS4DDi8y9E5khtSpQEPG6owaQ9z4E-tR5mnY"","&amp;"""Non-Food!B2:B""),MATCH($C859,IMPORTRANGE(""13KC70HngS4DDi8y9E5khtSpQEPG6owaQ9z4E-tR5mnY"",""Non-Food!A2:A""),0))),"""")"),"")</f>
        <v/>
      </c>
      <c r="E859" s="15"/>
      <c r="F859" s="15"/>
      <c r="G859" s="36"/>
      <c r="H859" s="23" t="str">
        <f>IFERROR(__xludf.DUMMYFUNCTION("iferror(iferror(iferror(index(IMPORTRANGE(""1NK5L1mviMn0j3D3uo53ASkIZOFRlLnqaCTnwzOG2_Wg"",""Direct Link!B2:B""),MATCH($C859,IMPORTRANGE(""1NK5L1mviMn0j3D3uo53ASkIZOFRlLnqaCTnwzOG2_Wg"",""Direct Link!A2:A""),0)),XLOOKUP($C859,IMPORTRANGE(""1NK5L1mviMn0j3D"&amp;"3uo53ASkIZOFRlLnqaCTnwzOG2_Wg"",""Direct links Without Sizes!A2:A""),IMPORTRANGE(""1NK5L1mviMn0j3D3uo53ASkIZOFRlLnqaCTnwzOG2_Wg"",""Direct links Without Sizes!B2:B""))),XLOOKUP($C859,IMPORTRANGE(""1NK5L1mviMn0j3D3uo53ASkIZOFRlLnqaCTnwzOG2_Wg"",""Direct li"&amp;"nks Without Sizes!D2:D""),IMPORTRANGE(""1NK5L1mviMn0j3D3uo53ASkIZOFRlLnqaCTnwzOG2_Wg"",""Direct links Without Sizes!E2:E""))),"""")"),"")</f>
        <v/>
      </c>
      <c r="I859" s="4"/>
      <c r="J859" s="24" t="str">
        <f t="shared" si="1"/>
        <v/>
      </c>
      <c r="K859" s="25"/>
      <c r="L859" s="24" t="str">
        <f t="shared" si="2"/>
        <v/>
      </c>
      <c r="M859" s="4"/>
      <c r="N859" s="23"/>
      <c r="O859" s="23"/>
      <c r="P859" s="23"/>
      <c r="Q859" s="4" t="str">
        <f t="shared" si="4"/>
        <v/>
      </c>
      <c r="R859" s="20"/>
      <c r="S859" s="20"/>
    </row>
    <row r="860">
      <c r="A860" s="4"/>
      <c r="B860" s="4"/>
      <c r="C860" s="37"/>
      <c r="D860" s="7" t="str">
        <f>IFERROR(__xludf.DUMMYFUNCTION("iferror(iferror(INDEX(IMPORTRANGE(""12vtnxaE_Q1s4tyr10kZQx7ZF_xG0lBFae4jQEUtgsMU"",""All!B2:B""),MATCH($C860,IMPORTRANGE(""12vtnxaE_Q1s4tyr10kZQx7ZF_xG0lBFae4jQEUtgsMU"",""All!A2:A""),0)),INDEX(IMPORTRANGE(""13KC70HngS4DDi8y9E5khtSpQEPG6owaQ9z4E-tR5mnY"","&amp;"""Non-Food!B2:B""),MATCH($C860,IMPORTRANGE(""13KC70HngS4DDi8y9E5khtSpQEPG6owaQ9z4E-tR5mnY"",""Non-Food!A2:A""),0))),"""")"),"")</f>
        <v/>
      </c>
      <c r="E860" s="15"/>
      <c r="F860" s="15"/>
      <c r="G860" s="36"/>
      <c r="H860" s="23" t="str">
        <f>IFERROR(__xludf.DUMMYFUNCTION("iferror(iferror(iferror(index(IMPORTRANGE(""1NK5L1mviMn0j3D3uo53ASkIZOFRlLnqaCTnwzOG2_Wg"",""Direct Link!B2:B""),MATCH($C860,IMPORTRANGE(""1NK5L1mviMn0j3D3uo53ASkIZOFRlLnqaCTnwzOG2_Wg"",""Direct Link!A2:A""),0)),XLOOKUP($C860,IMPORTRANGE(""1NK5L1mviMn0j3D"&amp;"3uo53ASkIZOFRlLnqaCTnwzOG2_Wg"",""Direct links Without Sizes!A2:A""),IMPORTRANGE(""1NK5L1mviMn0j3D3uo53ASkIZOFRlLnqaCTnwzOG2_Wg"",""Direct links Without Sizes!B2:B""))),XLOOKUP($C860,IMPORTRANGE(""1NK5L1mviMn0j3D3uo53ASkIZOFRlLnqaCTnwzOG2_Wg"",""Direct li"&amp;"nks Without Sizes!D2:D""),IMPORTRANGE(""1NK5L1mviMn0j3D3uo53ASkIZOFRlLnqaCTnwzOG2_Wg"",""Direct links Without Sizes!E2:E""))),"""")"),"")</f>
        <v/>
      </c>
      <c r="I860" s="4"/>
      <c r="J860" s="24" t="str">
        <f t="shared" si="1"/>
        <v/>
      </c>
      <c r="K860" s="25"/>
      <c r="L860" s="24" t="str">
        <f t="shared" si="2"/>
        <v/>
      </c>
      <c r="M860" s="4"/>
      <c r="N860" s="23"/>
      <c r="O860" s="23"/>
      <c r="P860" s="23"/>
      <c r="Q860" s="4" t="str">
        <f t="shared" si="4"/>
        <v/>
      </c>
      <c r="R860" s="20"/>
      <c r="S860" s="20"/>
    </row>
    <row r="861">
      <c r="A861" s="4"/>
      <c r="B861" s="4"/>
      <c r="C861" s="37"/>
      <c r="D861" s="7" t="str">
        <f>IFERROR(__xludf.DUMMYFUNCTION("iferror(iferror(INDEX(IMPORTRANGE(""12vtnxaE_Q1s4tyr10kZQx7ZF_xG0lBFae4jQEUtgsMU"",""All!B2:B""),MATCH($C861,IMPORTRANGE(""12vtnxaE_Q1s4tyr10kZQx7ZF_xG0lBFae4jQEUtgsMU"",""All!A2:A""),0)),INDEX(IMPORTRANGE(""13KC70HngS4DDi8y9E5khtSpQEPG6owaQ9z4E-tR5mnY"","&amp;"""Non-Food!B2:B""),MATCH($C861,IMPORTRANGE(""13KC70HngS4DDi8y9E5khtSpQEPG6owaQ9z4E-tR5mnY"",""Non-Food!A2:A""),0))),"""")"),"")</f>
        <v/>
      </c>
      <c r="E861" s="15"/>
      <c r="F861" s="15"/>
      <c r="G861" s="36"/>
      <c r="H861" s="23" t="str">
        <f>IFERROR(__xludf.DUMMYFUNCTION("iferror(iferror(iferror(index(IMPORTRANGE(""1NK5L1mviMn0j3D3uo53ASkIZOFRlLnqaCTnwzOG2_Wg"",""Direct Link!B2:B""),MATCH($C861,IMPORTRANGE(""1NK5L1mviMn0j3D3uo53ASkIZOFRlLnqaCTnwzOG2_Wg"",""Direct Link!A2:A""),0)),XLOOKUP($C861,IMPORTRANGE(""1NK5L1mviMn0j3D"&amp;"3uo53ASkIZOFRlLnqaCTnwzOG2_Wg"",""Direct links Without Sizes!A2:A""),IMPORTRANGE(""1NK5L1mviMn0j3D3uo53ASkIZOFRlLnqaCTnwzOG2_Wg"",""Direct links Without Sizes!B2:B""))),XLOOKUP($C861,IMPORTRANGE(""1NK5L1mviMn0j3D3uo53ASkIZOFRlLnqaCTnwzOG2_Wg"",""Direct li"&amp;"nks Without Sizes!D2:D""),IMPORTRANGE(""1NK5L1mviMn0j3D3uo53ASkIZOFRlLnqaCTnwzOG2_Wg"",""Direct links Without Sizes!E2:E""))),"""")"),"")</f>
        <v/>
      </c>
      <c r="I861" s="4"/>
      <c r="J861" s="24" t="str">
        <f t="shared" si="1"/>
        <v/>
      </c>
      <c r="K861" s="25"/>
      <c r="L861" s="24" t="str">
        <f t="shared" si="2"/>
        <v/>
      </c>
      <c r="M861" s="4"/>
      <c r="N861" s="23"/>
      <c r="O861" s="23"/>
      <c r="P861" s="23"/>
      <c r="Q861" s="4" t="str">
        <f t="shared" si="4"/>
        <v/>
      </c>
      <c r="R861" s="20"/>
      <c r="S861" s="20"/>
    </row>
    <row r="862">
      <c r="A862" s="4"/>
      <c r="B862" s="4"/>
      <c r="C862" s="37"/>
      <c r="D862" s="7" t="str">
        <f>IFERROR(__xludf.DUMMYFUNCTION("iferror(iferror(INDEX(IMPORTRANGE(""12vtnxaE_Q1s4tyr10kZQx7ZF_xG0lBFae4jQEUtgsMU"",""All!B2:B""),MATCH($C862,IMPORTRANGE(""12vtnxaE_Q1s4tyr10kZQx7ZF_xG0lBFae4jQEUtgsMU"",""All!A2:A""),0)),INDEX(IMPORTRANGE(""13KC70HngS4DDi8y9E5khtSpQEPG6owaQ9z4E-tR5mnY"","&amp;"""Non-Food!B2:B""),MATCH($C862,IMPORTRANGE(""13KC70HngS4DDi8y9E5khtSpQEPG6owaQ9z4E-tR5mnY"",""Non-Food!A2:A""),0))),"""")"),"")</f>
        <v/>
      </c>
      <c r="E862" s="15"/>
      <c r="F862" s="15"/>
      <c r="G862" s="36"/>
      <c r="H862" s="23" t="str">
        <f>IFERROR(__xludf.DUMMYFUNCTION("iferror(iferror(iferror(index(IMPORTRANGE(""1NK5L1mviMn0j3D3uo53ASkIZOFRlLnqaCTnwzOG2_Wg"",""Direct Link!B2:B""),MATCH($C862,IMPORTRANGE(""1NK5L1mviMn0j3D3uo53ASkIZOFRlLnqaCTnwzOG2_Wg"",""Direct Link!A2:A""),0)),XLOOKUP($C862,IMPORTRANGE(""1NK5L1mviMn0j3D"&amp;"3uo53ASkIZOFRlLnqaCTnwzOG2_Wg"",""Direct links Without Sizes!A2:A""),IMPORTRANGE(""1NK5L1mviMn0j3D3uo53ASkIZOFRlLnqaCTnwzOG2_Wg"",""Direct links Without Sizes!B2:B""))),XLOOKUP($C862,IMPORTRANGE(""1NK5L1mviMn0j3D3uo53ASkIZOFRlLnqaCTnwzOG2_Wg"",""Direct li"&amp;"nks Without Sizes!D2:D""),IMPORTRANGE(""1NK5L1mviMn0j3D3uo53ASkIZOFRlLnqaCTnwzOG2_Wg"",""Direct links Without Sizes!E2:E""))),"""")"),"")</f>
        <v/>
      </c>
      <c r="I862" s="4"/>
      <c r="J862" s="24" t="str">
        <f t="shared" si="1"/>
        <v/>
      </c>
      <c r="K862" s="25"/>
      <c r="L862" s="24" t="str">
        <f t="shared" si="2"/>
        <v/>
      </c>
      <c r="M862" s="4"/>
      <c r="N862" s="23"/>
      <c r="O862" s="23"/>
      <c r="P862" s="23"/>
      <c r="Q862" s="4" t="str">
        <f t="shared" si="4"/>
        <v/>
      </c>
      <c r="R862" s="20"/>
      <c r="S862" s="20"/>
    </row>
    <row r="863">
      <c r="A863" s="4"/>
      <c r="B863" s="4"/>
      <c r="C863" s="37"/>
      <c r="D863" s="7" t="str">
        <f>IFERROR(__xludf.DUMMYFUNCTION("iferror(iferror(INDEX(IMPORTRANGE(""12vtnxaE_Q1s4tyr10kZQx7ZF_xG0lBFae4jQEUtgsMU"",""All!B2:B""),MATCH($C863,IMPORTRANGE(""12vtnxaE_Q1s4tyr10kZQx7ZF_xG0lBFae4jQEUtgsMU"",""All!A2:A""),0)),INDEX(IMPORTRANGE(""13KC70HngS4DDi8y9E5khtSpQEPG6owaQ9z4E-tR5mnY"","&amp;"""Non-Food!B2:B""),MATCH($C863,IMPORTRANGE(""13KC70HngS4DDi8y9E5khtSpQEPG6owaQ9z4E-tR5mnY"",""Non-Food!A2:A""),0))),"""")"),"")</f>
        <v/>
      </c>
      <c r="E863" s="15"/>
      <c r="F863" s="15"/>
      <c r="G863" s="36"/>
      <c r="H863" s="23" t="str">
        <f>IFERROR(__xludf.DUMMYFUNCTION("iferror(iferror(iferror(index(IMPORTRANGE(""1NK5L1mviMn0j3D3uo53ASkIZOFRlLnqaCTnwzOG2_Wg"",""Direct Link!B2:B""),MATCH($C863,IMPORTRANGE(""1NK5L1mviMn0j3D3uo53ASkIZOFRlLnqaCTnwzOG2_Wg"",""Direct Link!A2:A""),0)),XLOOKUP($C863,IMPORTRANGE(""1NK5L1mviMn0j3D"&amp;"3uo53ASkIZOFRlLnqaCTnwzOG2_Wg"",""Direct links Without Sizes!A2:A""),IMPORTRANGE(""1NK5L1mviMn0j3D3uo53ASkIZOFRlLnqaCTnwzOG2_Wg"",""Direct links Without Sizes!B2:B""))),XLOOKUP($C863,IMPORTRANGE(""1NK5L1mviMn0j3D3uo53ASkIZOFRlLnqaCTnwzOG2_Wg"",""Direct li"&amp;"nks Without Sizes!D2:D""),IMPORTRANGE(""1NK5L1mviMn0j3D3uo53ASkIZOFRlLnqaCTnwzOG2_Wg"",""Direct links Without Sizes!E2:E""))),"""")"),"")</f>
        <v/>
      </c>
      <c r="I863" s="4"/>
      <c r="J863" s="24" t="str">
        <f t="shared" si="1"/>
        <v/>
      </c>
      <c r="K863" s="25"/>
      <c r="L863" s="24" t="str">
        <f t="shared" si="2"/>
        <v/>
      </c>
      <c r="M863" s="4"/>
      <c r="N863" s="23"/>
      <c r="O863" s="23"/>
      <c r="P863" s="23"/>
      <c r="Q863" s="4" t="str">
        <f t="shared" si="4"/>
        <v/>
      </c>
      <c r="R863" s="20"/>
      <c r="S863" s="20"/>
    </row>
    <row r="864">
      <c r="A864" s="4"/>
      <c r="B864" s="4"/>
      <c r="C864" s="37"/>
      <c r="D864" s="7" t="str">
        <f>IFERROR(__xludf.DUMMYFUNCTION("iferror(iferror(INDEX(IMPORTRANGE(""12vtnxaE_Q1s4tyr10kZQx7ZF_xG0lBFae4jQEUtgsMU"",""All!B2:B""),MATCH($C864,IMPORTRANGE(""12vtnxaE_Q1s4tyr10kZQx7ZF_xG0lBFae4jQEUtgsMU"",""All!A2:A""),0)),INDEX(IMPORTRANGE(""13KC70HngS4DDi8y9E5khtSpQEPG6owaQ9z4E-tR5mnY"","&amp;"""Non-Food!B2:B""),MATCH($C864,IMPORTRANGE(""13KC70HngS4DDi8y9E5khtSpQEPG6owaQ9z4E-tR5mnY"",""Non-Food!A2:A""),0))),"""")"),"")</f>
        <v/>
      </c>
      <c r="E864" s="15"/>
      <c r="F864" s="15"/>
      <c r="G864" s="36"/>
      <c r="H864" s="23" t="str">
        <f>IFERROR(__xludf.DUMMYFUNCTION("iferror(iferror(iferror(index(IMPORTRANGE(""1NK5L1mviMn0j3D3uo53ASkIZOFRlLnqaCTnwzOG2_Wg"",""Direct Link!B2:B""),MATCH($C864,IMPORTRANGE(""1NK5L1mviMn0j3D3uo53ASkIZOFRlLnqaCTnwzOG2_Wg"",""Direct Link!A2:A""),0)),XLOOKUP($C864,IMPORTRANGE(""1NK5L1mviMn0j3D"&amp;"3uo53ASkIZOFRlLnqaCTnwzOG2_Wg"",""Direct links Without Sizes!A2:A""),IMPORTRANGE(""1NK5L1mviMn0j3D3uo53ASkIZOFRlLnqaCTnwzOG2_Wg"",""Direct links Without Sizes!B2:B""))),XLOOKUP($C864,IMPORTRANGE(""1NK5L1mviMn0j3D3uo53ASkIZOFRlLnqaCTnwzOG2_Wg"",""Direct li"&amp;"nks Without Sizes!D2:D""),IMPORTRANGE(""1NK5L1mviMn0j3D3uo53ASkIZOFRlLnqaCTnwzOG2_Wg"",""Direct links Without Sizes!E2:E""))),"""")"),"")</f>
        <v/>
      </c>
      <c r="I864" s="4"/>
      <c r="J864" s="24" t="str">
        <f t="shared" si="1"/>
        <v/>
      </c>
      <c r="K864" s="25"/>
      <c r="L864" s="24" t="str">
        <f t="shared" si="2"/>
        <v/>
      </c>
      <c r="M864" s="4"/>
      <c r="N864" s="23"/>
      <c r="O864" s="23"/>
      <c r="P864" s="23"/>
      <c r="Q864" s="4" t="str">
        <f t="shared" si="4"/>
        <v/>
      </c>
      <c r="R864" s="20"/>
      <c r="S864" s="20"/>
    </row>
    <row r="865">
      <c r="A865" s="4"/>
      <c r="B865" s="4"/>
      <c r="C865" s="37"/>
      <c r="D865" s="7" t="str">
        <f>IFERROR(__xludf.DUMMYFUNCTION("iferror(iferror(INDEX(IMPORTRANGE(""12vtnxaE_Q1s4tyr10kZQx7ZF_xG0lBFae4jQEUtgsMU"",""All!B2:B""),MATCH($C865,IMPORTRANGE(""12vtnxaE_Q1s4tyr10kZQx7ZF_xG0lBFae4jQEUtgsMU"",""All!A2:A""),0)),INDEX(IMPORTRANGE(""13KC70HngS4DDi8y9E5khtSpQEPG6owaQ9z4E-tR5mnY"","&amp;"""Non-Food!B2:B""),MATCH($C865,IMPORTRANGE(""13KC70HngS4DDi8y9E5khtSpQEPG6owaQ9z4E-tR5mnY"",""Non-Food!A2:A""),0))),"""")"),"")</f>
        <v/>
      </c>
      <c r="E865" s="15"/>
      <c r="F865" s="15"/>
      <c r="G865" s="36"/>
      <c r="H865" s="23" t="str">
        <f>IFERROR(__xludf.DUMMYFUNCTION("iferror(iferror(iferror(index(IMPORTRANGE(""1NK5L1mviMn0j3D3uo53ASkIZOFRlLnqaCTnwzOG2_Wg"",""Direct Link!B2:B""),MATCH($C865,IMPORTRANGE(""1NK5L1mviMn0j3D3uo53ASkIZOFRlLnqaCTnwzOG2_Wg"",""Direct Link!A2:A""),0)),XLOOKUP($C865,IMPORTRANGE(""1NK5L1mviMn0j3D"&amp;"3uo53ASkIZOFRlLnqaCTnwzOG2_Wg"",""Direct links Without Sizes!A2:A""),IMPORTRANGE(""1NK5L1mviMn0j3D3uo53ASkIZOFRlLnqaCTnwzOG2_Wg"",""Direct links Without Sizes!B2:B""))),XLOOKUP($C865,IMPORTRANGE(""1NK5L1mviMn0j3D3uo53ASkIZOFRlLnqaCTnwzOG2_Wg"",""Direct li"&amp;"nks Without Sizes!D2:D""),IMPORTRANGE(""1NK5L1mviMn0j3D3uo53ASkIZOFRlLnqaCTnwzOG2_Wg"",""Direct links Without Sizes!E2:E""))),"""")"),"")</f>
        <v/>
      </c>
      <c r="I865" s="4"/>
      <c r="J865" s="24" t="str">
        <f t="shared" si="1"/>
        <v/>
      </c>
      <c r="K865" s="25"/>
      <c r="L865" s="24" t="str">
        <f t="shared" si="2"/>
        <v/>
      </c>
      <c r="M865" s="4"/>
      <c r="N865" s="23"/>
      <c r="O865" s="23"/>
      <c r="P865" s="23"/>
      <c r="Q865" s="4" t="str">
        <f t="shared" si="4"/>
        <v/>
      </c>
      <c r="R865" s="20"/>
      <c r="S865" s="20"/>
    </row>
    <row r="866">
      <c r="A866" s="4"/>
      <c r="B866" s="4"/>
      <c r="C866" s="37"/>
      <c r="D866" s="7" t="str">
        <f>IFERROR(__xludf.DUMMYFUNCTION("iferror(iferror(INDEX(IMPORTRANGE(""12vtnxaE_Q1s4tyr10kZQx7ZF_xG0lBFae4jQEUtgsMU"",""All!B2:B""),MATCH($C866,IMPORTRANGE(""12vtnxaE_Q1s4tyr10kZQx7ZF_xG0lBFae4jQEUtgsMU"",""All!A2:A""),0)),INDEX(IMPORTRANGE(""13KC70HngS4DDi8y9E5khtSpQEPG6owaQ9z4E-tR5mnY"","&amp;"""Non-Food!B2:B""),MATCH($C866,IMPORTRANGE(""13KC70HngS4DDi8y9E5khtSpQEPG6owaQ9z4E-tR5mnY"",""Non-Food!A2:A""),0))),"""")"),"")</f>
        <v/>
      </c>
      <c r="E866" s="15"/>
      <c r="F866" s="15"/>
      <c r="G866" s="36"/>
      <c r="H866" s="23" t="str">
        <f>IFERROR(__xludf.DUMMYFUNCTION("iferror(iferror(iferror(index(IMPORTRANGE(""1NK5L1mviMn0j3D3uo53ASkIZOFRlLnqaCTnwzOG2_Wg"",""Direct Link!B2:B""),MATCH($C866,IMPORTRANGE(""1NK5L1mviMn0j3D3uo53ASkIZOFRlLnqaCTnwzOG2_Wg"",""Direct Link!A2:A""),0)),XLOOKUP($C866,IMPORTRANGE(""1NK5L1mviMn0j3D"&amp;"3uo53ASkIZOFRlLnqaCTnwzOG2_Wg"",""Direct links Without Sizes!A2:A""),IMPORTRANGE(""1NK5L1mviMn0j3D3uo53ASkIZOFRlLnqaCTnwzOG2_Wg"",""Direct links Without Sizes!B2:B""))),XLOOKUP($C866,IMPORTRANGE(""1NK5L1mviMn0j3D3uo53ASkIZOFRlLnqaCTnwzOG2_Wg"",""Direct li"&amp;"nks Without Sizes!D2:D""),IMPORTRANGE(""1NK5L1mviMn0j3D3uo53ASkIZOFRlLnqaCTnwzOG2_Wg"",""Direct links Without Sizes!E2:E""))),"""")"),"")</f>
        <v/>
      </c>
      <c r="I866" s="4"/>
      <c r="J866" s="24" t="str">
        <f t="shared" si="1"/>
        <v/>
      </c>
      <c r="K866" s="25"/>
      <c r="L866" s="24" t="str">
        <f t="shared" si="2"/>
        <v/>
      </c>
      <c r="M866" s="4"/>
      <c r="N866" s="23"/>
      <c r="O866" s="23"/>
      <c r="P866" s="23"/>
      <c r="Q866" s="4" t="str">
        <f t="shared" si="4"/>
        <v/>
      </c>
      <c r="R866" s="20"/>
      <c r="S866" s="20"/>
    </row>
    <row r="867">
      <c r="A867" s="4"/>
      <c r="B867" s="4"/>
      <c r="C867" s="37"/>
      <c r="D867" s="7" t="str">
        <f>IFERROR(__xludf.DUMMYFUNCTION("iferror(iferror(INDEX(IMPORTRANGE(""12vtnxaE_Q1s4tyr10kZQx7ZF_xG0lBFae4jQEUtgsMU"",""All!B2:B""),MATCH($C867,IMPORTRANGE(""12vtnxaE_Q1s4tyr10kZQx7ZF_xG0lBFae4jQEUtgsMU"",""All!A2:A""),0)),INDEX(IMPORTRANGE(""13KC70HngS4DDi8y9E5khtSpQEPG6owaQ9z4E-tR5mnY"","&amp;"""Non-Food!B2:B""),MATCH($C867,IMPORTRANGE(""13KC70HngS4DDi8y9E5khtSpQEPG6owaQ9z4E-tR5mnY"",""Non-Food!A2:A""),0))),"""")"),"")</f>
        <v/>
      </c>
      <c r="E867" s="15"/>
      <c r="F867" s="15"/>
      <c r="G867" s="36"/>
      <c r="H867" s="23" t="str">
        <f>IFERROR(__xludf.DUMMYFUNCTION("iferror(iferror(iferror(index(IMPORTRANGE(""1NK5L1mviMn0j3D3uo53ASkIZOFRlLnqaCTnwzOG2_Wg"",""Direct Link!B2:B""),MATCH($C867,IMPORTRANGE(""1NK5L1mviMn0j3D3uo53ASkIZOFRlLnqaCTnwzOG2_Wg"",""Direct Link!A2:A""),0)),XLOOKUP($C867,IMPORTRANGE(""1NK5L1mviMn0j3D"&amp;"3uo53ASkIZOFRlLnqaCTnwzOG2_Wg"",""Direct links Without Sizes!A2:A""),IMPORTRANGE(""1NK5L1mviMn0j3D3uo53ASkIZOFRlLnqaCTnwzOG2_Wg"",""Direct links Without Sizes!B2:B""))),XLOOKUP($C867,IMPORTRANGE(""1NK5L1mviMn0j3D3uo53ASkIZOFRlLnqaCTnwzOG2_Wg"",""Direct li"&amp;"nks Without Sizes!D2:D""),IMPORTRANGE(""1NK5L1mviMn0j3D3uo53ASkIZOFRlLnqaCTnwzOG2_Wg"",""Direct links Without Sizes!E2:E""))),"""")"),"")</f>
        <v/>
      </c>
      <c r="I867" s="4"/>
      <c r="J867" s="24" t="str">
        <f t="shared" si="1"/>
        <v/>
      </c>
      <c r="K867" s="25"/>
      <c r="L867" s="24" t="str">
        <f t="shared" si="2"/>
        <v/>
      </c>
      <c r="M867" s="4"/>
      <c r="N867" s="23"/>
      <c r="O867" s="23"/>
      <c r="P867" s="23"/>
      <c r="Q867" s="4" t="str">
        <f t="shared" si="4"/>
        <v/>
      </c>
      <c r="R867" s="20"/>
      <c r="S867" s="20"/>
    </row>
    <row r="868">
      <c r="A868" s="4"/>
      <c r="B868" s="4"/>
      <c r="C868" s="37"/>
      <c r="D868" s="7" t="str">
        <f>IFERROR(__xludf.DUMMYFUNCTION("iferror(iferror(INDEX(IMPORTRANGE(""12vtnxaE_Q1s4tyr10kZQx7ZF_xG0lBFae4jQEUtgsMU"",""All!B2:B""),MATCH($C868,IMPORTRANGE(""12vtnxaE_Q1s4tyr10kZQx7ZF_xG0lBFae4jQEUtgsMU"",""All!A2:A""),0)),INDEX(IMPORTRANGE(""13KC70HngS4DDi8y9E5khtSpQEPG6owaQ9z4E-tR5mnY"","&amp;"""Non-Food!B2:B""),MATCH($C868,IMPORTRANGE(""13KC70HngS4DDi8y9E5khtSpQEPG6owaQ9z4E-tR5mnY"",""Non-Food!A2:A""),0))),"""")"),"")</f>
        <v/>
      </c>
      <c r="E868" s="15"/>
      <c r="F868" s="15"/>
      <c r="G868" s="36"/>
      <c r="H868" s="23" t="str">
        <f>IFERROR(__xludf.DUMMYFUNCTION("iferror(iferror(iferror(index(IMPORTRANGE(""1NK5L1mviMn0j3D3uo53ASkIZOFRlLnqaCTnwzOG2_Wg"",""Direct Link!B2:B""),MATCH($C868,IMPORTRANGE(""1NK5L1mviMn0j3D3uo53ASkIZOFRlLnqaCTnwzOG2_Wg"",""Direct Link!A2:A""),0)),XLOOKUP($C868,IMPORTRANGE(""1NK5L1mviMn0j3D"&amp;"3uo53ASkIZOFRlLnqaCTnwzOG2_Wg"",""Direct links Without Sizes!A2:A""),IMPORTRANGE(""1NK5L1mviMn0j3D3uo53ASkIZOFRlLnqaCTnwzOG2_Wg"",""Direct links Without Sizes!B2:B""))),XLOOKUP($C868,IMPORTRANGE(""1NK5L1mviMn0j3D3uo53ASkIZOFRlLnqaCTnwzOG2_Wg"",""Direct li"&amp;"nks Without Sizes!D2:D""),IMPORTRANGE(""1NK5L1mviMn0j3D3uo53ASkIZOFRlLnqaCTnwzOG2_Wg"",""Direct links Without Sizes!E2:E""))),"""")"),"")</f>
        <v/>
      </c>
      <c r="I868" s="4"/>
      <c r="J868" s="24" t="str">
        <f t="shared" si="1"/>
        <v/>
      </c>
      <c r="K868" s="25"/>
      <c r="L868" s="24" t="str">
        <f t="shared" si="2"/>
        <v/>
      </c>
      <c r="M868" s="4"/>
      <c r="N868" s="23"/>
      <c r="O868" s="23"/>
      <c r="P868" s="23"/>
      <c r="Q868" s="4" t="str">
        <f t="shared" si="4"/>
        <v/>
      </c>
      <c r="R868" s="20"/>
      <c r="S868" s="20"/>
    </row>
    <row r="869">
      <c r="A869" s="4"/>
      <c r="B869" s="4"/>
      <c r="C869" s="37"/>
      <c r="D869" s="7" t="str">
        <f>IFERROR(__xludf.DUMMYFUNCTION("iferror(iferror(INDEX(IMPORTRANGE(""12vtnxaE_Q1s4tyr10kZQx7ZF_xG0lBFae4jQEUtgsMU"",""All!B2:B""),MATCH($C869,IMPORTRANGE(""12vtnxaE_Q1s4tyr10kZQx7ZF_xG0lBFae4jQEUtgsMU"",""All!A2:A""),0)),INDEX(IMPORTRANGE(""13KC70HngS4DDi8y9E5khtSpQEPG6owaQ9z4E-tR5mnY"","&amp;"""Non-Food!B2:B""),MATCH($C869,IMPORTRANGE(""13KC70HngS4DDi8y9E5khtSpQEPG6owaQ9z4E-tR5mnY"",""Non-Food!A2:A""),0))),"""")"),"")</f>
        <v/>
      </c>
      <c r="E869" s="15"/>
      <c r="F869" s="15"/>
      <c r="G869" s="36"/>
      <c r="H869" s="23" t="str">
        <f>IFERROR(__xludf.DUMMYFUNCTION("iferror(iferror(iferror(index(IMPORTRANGE(""1NK5L1mviMn0j3D3uo53ASkIZOFRlLnqaCTnwzOG2_Wg"",""Direct Link!B2:B""),MATCH($C869,IMPORTRANGE(""1NK5L1mviMn0j3D3uo53ASkIZOFRlLnqaCTnwzOG2_Wg"",""Direct Link!A2:A""),0)),XLOOKUP($C869,IMPORTRANGE(""1NK5L1mviMn0j3D"&amp;"3uo53ASkIZOFRlLnqaCTnwzOG2_Wg"",""Direct links Without Sizes!A2:A""),IMPORTRANGE(""1NK5L1mviMn0j3D3uo53ASkIZOFRlLnqaCTnwzOG2_Wg"",""Direct links Without Sizes!B2:B""))),XLOOKUP($C869,IMPORTRANGE(""1NK5L1mviMn0j3D3uo53ASkIZOFRlLnqaCTnwzOG2_Wg"",""Direct li"&amp;"nks Without Sizes!D2:D""),IMPORTRANGE(""1NK5L1mviMn0j3D3uo53ASkIZOFRlLnqaCTnwzOG2_Wg"",""Direct links Without Sizes!E2:E""))),"""")"),"")</f>
        <v/>
      </c>
      <c r="I869" s="4"/>
      <c r="J869" s="24" t="str">
        <f t="shared" si="1"/>
        <v/>
      </c>
      <c r="K869" s="25"/>
      <c r="L869" s="24" t="str">
        <f t="shared" si="2"/>
        <v/>
      </c>
      <c r="M869" s="4"/>
      <c r="N869" s="23"/>
      <c r="O869" s="23"/>
      <c r="P869" s="23"/>
      <c r="Q869" s="4" t="str">
        <f t="shared" si="4"/>
        <v/>
      </c>
      <c r="R869" s="20"/>
      <c r="S869" s="20"/>
    </row>
    <row r="870">
      <c r="A870" s="4"/>
      <c r="B870" s="4"/>
      <c r="C870" s="37"/>
      <c r="D870" s="7" t="str">
        <f>IFERROR(__xludf.DUMMYFUNCTION("iferror(iferror(INDEX(IMPORTRANGE(""12vtnxaE_Q1s4tyr10kZQx7ZF_xG0lBFae4jQEUtgsMU"",""All!B2:B""),MATCH($C870,IMPORTRANGE(""12vtnxaE_Q1s4tyr10kZQx7ZF_xG0lBFae4jQEUtgsMU"",""All!A2:A""),0)),INDEX(IMPORTRANGE(""13KC70HngS4DDi8y9E5khtSpQEPG6owaQ9z4E-tR5mnY"","&amp;"""Non-Food!B2:B""),MATCH($C870,IMPORTRANGE(""13KC70HngS4DDi8y9E5khtSpQEPG6owaQ9z4E-tR5mnY"",""Non-Food!A2:A""),0))),"""")"),"")</f>
        <v/>
      </c>
      <c r="E870" s="15"/>
      <c r="F870" s="15"/>
      <c r="G870" s="36"/>
      <c r="H870" s="23" t="str">
        <f>IFERROR(__xludf.DUMMYFUNCTION("iferror(iferror(iferror(index(IMPORTRANGE(""1NK5L1mviMn0j3D3uo53ASkIZOFRlLnqaCTnwzOG2_Wg"",""Direct Link!B2:B""),MATCH($C870,IMPORTRANGE(""1NK5L1mviMn0j3D3uo53ASkIZOFRlLnqaCTnwzOG2_Wg"",""Direct Link!A2:A""),0)),XLOOKUP($C870,IMPORTRANGE(""1NK5L1mviMn0j3D"&amp;"3uo53ASkIZOFRlLnqaCTnwzOG2_Wg"",""Direct links Without Sizes!A2:A""),IMPORTRANGE(""1NK5L1mviMn0j3D3uo53ASkIZOFRlLnqaCTnwzOG2_Wg"",""Direct links Without Sizes!B2:B""))),XLOOKUP($C870,IMPORTRANGE(""1NK5L1mviMn0j3D3uo53ASkIZOFRlLnqaCTnwzOG2_Wg"",""Direct li"&amp;"nks Without Sizes!D2:D""),IMPORTRANGE(""1NK5L1mviMn0j3D3uo53ASkIZOFRlLnqaCTnwzOG2_Wg"",""Direct links Without Sizes!E2:E""))),"""")"),"")</f>
        <v/>
      </c>
      <c r="I870" s="4"/>
      <c r="J870" s="24" t="str">
        <f t="shared" si="1"/>
        <v/>
      </c>
      <c r="K870" s="25"/>
      <c r="L870" s="24" t="str">
        <f t="shared" si="2"/>
        <v/>
      </c>
      <c r="M870" s="4"/>
      <c r="N870" s="23"/>
      <c r="O870" s="23"/>
      <c r="P870" s="23"/>
      <c r="Q870" s="4" t="str">
        <f t="shared" si="4"/>
        <v/>
      </c>
      <c r="R870" s="20"/>
      <c r="S870" s="20"/>
    </row>
    <row r="871">
      <c r="A871" s="4"/>
      <c r="B871" s="4"/>
      <c r="C871" s="37"/>
      <c r="D871" s="7" t="str">
        <f>IFERROR(__xludf.DUMMYFUNCTION("iferror(iferror(INDEX(IMPORTRANGE(""12vtnxaE_Q1s4tyr10kZQx7ZF_xG0lBFae4jQEUtgsMU"",""All!B2:B""),MATCH($C871,IMPORTRANGE(""12vtnxaE_Q1s4tyr10kZQx7ZF_xG0lBFae4jQEUtgsMU"",""All!A2:A""),0)),INDEX(IMPORTRANGE(""13KC70HngS4DDi8y9E5khtSpQEPG6owaQ9z4E-tR5mnY"","&amp;"""Non-Food!B2:B""),MATCH($C871,IMPORTRANGE(""13KC70HngS4DDi8y9E5khtSpQEPG6owaQ9z4E-tR5mnY"",""Non-Food!A2:A""),0))),"""")"),"")</f>
        <v/>
      </c>
      <c r="E871" s="15"/>
      <c r="F871" s="15"/>
      <c r="G871" s="36"/>
      <c r="H871" s="23" t="str">
        <f>IFERROR(__xludf.DUMMYFUNCTION("iferror(iferror(iferror(index(IMPORTRANGE(""1NK5L1mviMn0j3D3uo53ASkIZOFRlLnqaCTnwzOG2_Wg"",""Direct Link!B2:B""),MATCH($C871,IMPORTRANGE(""1NK5L1mviMn0j3D3uo53ASkIZOFRlLnqaCTnwzOG2_Wg"",""Direct Link!A2:A""),0)),XLOOKUP($C871,IMPORTRANGE(""1NK5L1mviMn0j3D"&amp;"3uo53ASkIZOFRlLnqaCTnwzOG2_Wg"",""Direct links Without Sizes!A2:A""),IMPORTRANGE(""1NK5L1mviMn0j3D3uo53ASkIZOFRlLnqaCTnwzOG2_Wg"",""Direct links Without Sizes!B2:B""))),XLOOKUP($C871,IMPORTRANGE(""1NK5L1mviMn0j3D3uo53ASkIZOFRlLnqaCTnwzOG2_Wg"",""Direct li"&amp;"nks Without Sizes!D2:D""),IMPORTRANGE(""1NK5L1mviMn0j3D3uo53ASkIZOFRlLnqaCTnwzOG2_Wg"",""Direct links Without Sizes!E2:E""))),"""")"),"")</f>
        <v/>
      </c>
      <c r="I871" s="4"/>
      <c r="J871" s="24" t="str">
        <f t="shared" si="1"/>
        <v/>
      </c>
      <c r="K871" s="25"/>
      <c r="L871" s="24" t="str">
        <f t="shared" si="2"/>
        <v/>
      </c>
      <c r="M871" s="4"/>
      <c r="N871" s="23"/>
      <c r="O871" s="23"/>
      <c r="P871" s="23"/>
      <c r="Q871" s="4" t="str">
        <f t="shared" si="4"/>
        <v/>
      </c>
      <c r="R871" s="20"/>
      <c r="S871" s="20"/>
    </row>
    <row r="872">
      <c r="A872" s="4"/>
      <c r="B872" s="4"/>
      <c r="C872" s="37"/>
      <c r="D872" s="7" t="str">
        <f>IFERROR(__xludf.DUMMYFUNCTION("iferror(iferror(INDEX(IMPORTRANGE(""12vtnxaE_Q1s4tyr10kZQx7ZF_xG0lBFae4jQEUtgsMU"",""All!B2:B""),MATCH($C872,IMPORTRANGE(""12vtnxaE_Q1s4tyr10kZQx7ZF_xG0lBFae4jQEUtgsMU"",""All!A2:A""),0)),INDEX(IMPORTRANGE(""13KC70HngS4DDi8y9E5khtSpQEPG6owaQ9z4E-tR5mnY"","&amp;"""Non-Food!B2:B""),MATCH($C872,IMPORTRANGE(""13KC70HngS4DDi8y9E5khtSpQEPG6owaQ9z4E-tR5mnY"",""Non-Food!A2:A""),0))),"""")"),"")</f>
        <v/>
      </c>
      <c r="E872" s="15"/>
      <c r="F872" s="15"/>
      <c r="G872" s="36"/>
      <c r="H872" s="23" t="str">
        <f>IFERROR(__xludf.DUMMYFUNCTION("iferror(iferror(iferror(index(IMPORTRANGE(""1NK5L1mviMn0j3D3uo53ASkIZOFRlLnqaCTnwzOG2_Wg"",""Direct Link!B2:B""),MATCH($C872,IMPORTRANGE(""1NK5L1mviMn0j3D3uo53ASkIZOFRlLnqaCTnwzOG2_Wg"",""Direct Link!A2:A""),0)),XLOOKUP($C872,IMPORTRANGE(""1NK5L1mviMn0j3D"&amp;"3uo53ASkIZOFRlLnqaCTnwzOG2_Wg"",""Direct links Without Sizes!A2:A""),IMPORTRANGE(""1NK5L1mviMn0j3D3uo53ASkIZOFRlLnqaCTnwzOG2_Wg"",""Direct links Without Sizes!B2:B""))),XLOOKUP($C872,IMPORTRANGE(""1NK5L1mviMn0j3D3uo53ASkIZOFRlLnqaCTnwzOG2_Wg"",""Direct li"&amp;"nks Without Sizes!D2:D""),IMPORTRANGE(""1NK5L1mviMn0j3D3uo53ASkIZOFRlLnqaCTnwzOG2_Wg"",""Direct links Without Sizes!E2:E""))),"""")"),"")</f>
        <v/>
      </c>
      <c r="I872" s="4"/>
      <c r="J872" s="24" t="str">
        <f t="shared" si="1"/>
        <v/>
      </c>
      <c r="K872" s="25"/>
      <c r="L872" s="24" t="str">
        <f t="shared" si="2"/>
        <v/>
      </c>
      <c r="M872" s="4"/>
      <c r="N872" s="23"/>
      <c r="O872" s="23"/>
      <c r="P872" s="23"/>
      <c r="Q872" s="4" t="str">
        <f t="shared" si="4"/>
        <v/>
      </c>
      <c r="R872" s="20"/>
      <c r="S872" s="20"/>
    </row>
    <row r="873">
      <c r="A873" s="4"/>
      <c r="B873" s="4"/>
      <c r="C873" s="37"/>
      <c r="D873" s="7" t="str">
        <f>IFERROR(__xludf.DUMMYFUNCTION("iferror(iferror(INDEX(IMPORTRANGE(""12vtnxaE_Q1s4tyr10kZQx7ZF_xG0lBFae4jQEUtgsMU"",""All!B2:B""),MATCH($C873,IMPORTRANGE(""12vtnxaE_Q1s4tyr10kZQx7ZF_xG0lBFae4jQEUtgsMU"",""All!A2:A""),0)),INDEX(IMPORTRANGE(""13KC70HngS4DDi8y9E5khtSpQEPG6owaQ9z4E-tR5mnY"","&amp;"""Non-Food!B2:B""),MATCH($C873,IMPORTRANGE(""13KC70HngS4DDi8y9E5khtSpQEPG6owaQ9z4E-tR5mnY"",""Non-Food!A2:A""),0))),"""")"),"")</f>
        <v/>
      </c>
      <c r="E873" s="15"/>
      <c r="F873" s="15"/>
      <c r="G873" s="36"/>
      <c r="H873" s="23" t="str">
        <f>IFERROR(__xludf.DUMMYFUNCTION("iferror(iferror(iferror(index(IMPORTRANGE(""1NK5L1mviMn0j3D3uo53ASkIZOFRlLnqaCTnwzOG2_Wg"",""Direct Link!B2:B""),MATCH($C873,IMPORTRANGE(""1NK5L1mviMn0j3D3uo53ASkIZOFRlLnqaCTnwzOG2_Wg"",""Direct Link!A2:A""),0)),XLOOKUP($C873,IMPORTRANGE(""1NK5L1mviMn0j3D"&amp;"3uo53ASkIZOFRlLnqaCTnwzOG2_Wg"",""Direct links Without Sizes!A2:A""),IMPORTRANGE(""1NK5L1mviMn0j3D3uo53ASkIZOFRlLnqaCTnwzOG2_Wg"",""Direct links Without Sizes!B2:B""))),XLOOKUP($C873,IMPORTRANGE(""1NK5L1mviMn0j3D3uo53ASkIZOFRlLnqaCTnwzOG2_Wg"",""Direct li"&amp;"nks Without Sizes!D2:D""),IMPORTRANGE(""1NK5L1mviMn0j3D3uo53ASkIZOFRlLnqaCTnwzOG2_Wg"",""Direct links Without Sizes!E2:E""))),"""")"),"")</f>
        <v/>
      </c>
      <c r="I873" s="4"/>
      <c r="J873" s="24" t="str">
        <f t="shared" si="1"/>
        <v/>
      </c>
      <c r="K873" s="25"/>
      <c r="L873" s="24" t="str">
        <f t="shared" si="2"/>
        <v/>
      </c>
      <c r="M873" s="4"/>
      <c r="N873" s="23"/>
      <c r="O873" s="23"/>
      <c r="P873" s="23"/>
      <c r="Q873" s="4" t="str">
        <f t="shared" si="4"/>
        <v/>
      </c>
      <c r="R873" s="20"/>
      <c r="S873" s="20"/>
    </row>
    <row r="874">
      <c r="A874" s="4"/>
      <c r="B874" s="4"/>
      <c r="C874" s="37"/>
      <c r="D874" s="7" t="str">
        <f>IFERROR(__xludf.DUMMYFUNCTION("iferror(iferror(INDEX(IMPORTRANGE(""12vtnxaE_Q1s4tyr10kZQx7ZF_xG0lBFae4jQEUtgsMU"",""All!B2:B""),MATCH($C874,IMPORTRANGE(""12vtnxaE_Q1s4tyr10kZQx7ZF_xG0lBFae4jQEUtgsMU"",""All!A2:A""),0)),INDEX(IMPORTRANGE(""13KC70HngS4DDi8y9E5khtSpQEPG6owaQ9z4E-tR5mnY"","&amp;"""Non-Food!B2:B""),MATCH($C874,IMPORTRANGE(""13KC70HngS4DDi8y9E5khtSpQEPG6owaQ9z4E-tR5mnY"",""Non-Food!A2:A""),0))),"""")"),"")</f>
        <v/>
      </c>
      <c r="E874" s="15"/>
      <c r="F874" s="15"/>
      <c r="G874" s="36"/>
      <c r="H874" s="23" t="str">
        <f>IFERROR(__xludf.DUMMYFUNCTION("iferror(iferror(iferror(index(IMPORTRANGE(""1NK5L1mviMn0j3D3uo53ASkIZOFRlLnqaCTnwzOG2_Wg"",""Direct Link!B2:B""),MATCH($C874,IMPORTRANGE(""1NK5L1mviMn0j3D3uo53ASkIZOFRlLnqaCTnwzOG2_Wg"",""Direct Link!A2:A""),0)),XLOOKUP($C874,IMPORTRANGE(""1NK5L1mviMn0j3D"&amp;"3uo53ASkIZOFRlLnqaCTnwzOG2_Wg"",""Direct links Without Sizes!A2:A""),IMPORTRANGE(""1NK5L1mviMn0j3D3uo53ASkIZOFRlLnqaCTnwzOG2_Wg"",""Direct links Without Sizes!B2:B""))),XLOOKUP($C874,IMPORTRANGE(""1NK5L1mviMn0j3D3uo53ASkIZOFRlLnqaCTnwzOG2_Wg"",""Direct li"&amp;"nks Without Sizes!D2:D""),IMPORTRANGE(""1NK5L1mviMn0j3D3uo53ASkIZOFRlLnqaCTnwzOG2_Wg"",""Direct links Without Sizes!E2:E""))),"""")"),"")</f>
        <v/>
      </c>
      <c r="I874" s="4"/>
      <c r="J874" s="24" t="str">
        <f t="shared" si="1"/>
        <v/>
      </c>
      <c r="K874" s="25"/>
      <c r="L874" s="24" t="str">
        <f t="shared" si="2"/>
        <v/>
      </c>
      <c r="M874" s="4"/>
      <c r="N874" s="23"/>
      <c r="O874" s="23"/>
      <c r="P874" s="23"/>
      <c r="Q874" s="4" t="str">
        <f t="shared" si="4"/>
        <v/>
      </c>
      <c r="R874" s="20"/>
      <c r="S874" s="20"/>
    </row>
    <row r="875">
      <c r="A875" s="4"/>
      <c r="B875" s="4"/>
      <c r="C875" s="37"/>
      <c r="D875" s="7" t="str">
        <f>IFERROR(__xludf.DUMMYFUNCTION("iferror(iferror(INDEX(IMPORTRANGE(""12vtnxaE_Q1s4tyr10kZQx7ZF_xG0lBFae4jQEUtgsMU"",""All!B2:B""),MATCH($C875,IMPORTRANGE(""12vtnxaE_Q1s4tyr10kZQx7ZF_xG0lBFae4jQEUtgsMU"",""All!A2:A""),0)),INDEX(IMPORTRANGE(""13KC70HngS4DDi8y9E5khtSpQEPG6owaQ9z4E-tR5mnY"","&amp;"""Non-Food!B2:B""),MATCH($C875,IMPORTRANGE(""13KC70HngS4DDi8y9E5khtSpQEPG6owaQ9z4E-tR5mnY"",""Non-Food!A2:A""),0))),"""")"),"")</f>
        <v/>
      </c>
      <c r="E875" s="15"/>
      <c r="F875" s="15"/>
      <c r="G875" s="36"/>
      <c r="H875" s="23" t="str">
        <f>IFERROR(__xludf.DUMMYFUNCTION("iferror(iferror(iferror(index(IMPORTRANGE(""1NK5L1mviMn0j3D3uo53ASkIZOFRlLnqaCTnwzOG2_Wg"",""Direct Link!B2:B""),MATCH($C875,IMPORTRANGE(""1NK5L1mviMn0j3D3uo53ASkIZOFRlLnqaCTnwzOG2_Wg"",""Direct Link!A2:A""),0)),XLOOKUP($C875,IMPORTRANGE(""1NK5L1mviMn0j3D"&amp;"3uo53ASkIZOFRlLnqaCTnwzOG2_Wg"",""Direct links Without Sizes!A2:A""),IMPORTRANGE(""1NK5L1mviMn0j3D3uo53ASkIZOFRlLnqaCTnwzOG2_Wg"",""Direct links Without Sizes!B2:B""))),XLOOKUP($C875,IMPORTRANGE(""1NK5L1mviMn0j3D3uo53ASkIZOFRlLnqaCTnwzOG2_Wg"",""Direct li"&amp;"nks Without Sizes!D2:D""),IMPORTRANGE(""1NK5L1mviMn0j3D3uo53ASkIZOFRlLnqaCTnwzOG2_Wg"",""Direct links Without Sizes!E2:E""))),"""")"),"")</f>
        <v/>
      </c>
      <c r="I875" s="4"/>
      <c r="J875" s="24" t="str">
        <f t="shared" si="1"/>
        <v/>
      </c>
      <c r="K875" s="25"/>
      <c r="L875" s="24" t="str">
        <f t="shared" si="2"/>
        <v/>
      </c>
      <c r="M875" s="4"/>
      <c r="N875" s="23"/>
      <c r="O875" s="23"/>
      <c r="P875" s="23"/>
      <c r="Q875" s="4" t="str">
        <f t="shared" si="4"/>
        <v/>
      </c>
      <c r="R875" s="20"/>
      <c r="S875" s="20"/>
    </row>
    <row r="876">
      <c r="A876" s="4"/>
      <c r="B876" s="4"/>
      <c r="C876" s="37"/>
      <c r="D876" s="7" t="str">
        <f>IFERROR(__xludf.DUMMYFUNCTION("iferror(iferror(INDEX(IMPORTRANGE(""12vtnxaE_Q1s4tyr10kZQx7ZF_xG0lBFae4jQEUtgsMU"",""All!B2:B""),MATCH($C876,IMPORTRANGE(""12vtnxaE_Q1s4tyr10kZQx7ZF_xG0lBFae4jQEUtgsMU"",""All!A2:A""),0)),INDEX(IMPORTRANGE(""13KC70HngS4DDi8y9E5khtSpQEPG6owaQ9z4E-tR5mnY"","&amp;"""Non-Food!B2:B""),MATCH($C876,IMPORTRANGE(""13KC70HngS4DDi8y9E5khtSpQEPG6owaQ9z4E-tR5mnY"",""Non-Food!A2:A""),0))),"""")"),"")</f>
        <v/>
      </c>
      <c r="E876" s="15"/>
      <c r="F876" s="15"/>
      <c r="G876" s="36"/>
      <c r="H876" s="23" t="str">
        <f>IFERROR(__xludf.DUMMYFUNCTION("iferror(iferror(iferror(index(IMPORTRANGE(""1NK5L1mviMn0j3D3uo53ASkIZOFRlLnqaCTnwzOG2_Wg"",""Direct Link!B2:B""),MATCH($C876,IMPORTRANGE(""1NK5L1mviMn0j3D3uo53ASkIZOFRlLnqaCTnwzOG2_Wg"",""Direct Link!A2:A""),0)),XLOOKUP($C876,IMPORTRANGE(""1NK5L1mviMn0j3D"&amp;"3uo53ASkIZOFRlLnqaCTnwzOG2_Wg"",""Direct links Without Sizes!A2:A""),IMPORTRANGE(""1NK5L1mviMn0j3D3uo53ASkIZOFRlLnqaCTnwzOG2_Wg"",""Direct links Without Sizes!B2:B""))),XLOOKUP($C876,IMPORTRANGE(""1NK5L1mviMn0j3D3uo53ASkIZOFRlLnqaCTnwzOG2_Wg"",""Direct li"&amp;"nks Without Sizes!D2:D""),IMPORTRANGE(""1NK5L1mviMn0j3D3uo53ASkIZOFRlLnqaCTnwzOG2_Wg"",""Direct links Without Sizes!E2:E""))),"""")"),"")</f>
        <v/>
      </c>
      <c r="I876" s="4"/>
      <c r="J876" s="24" t="str">
        <f t="shared" si="1"/>
        <v/>
      </c>
      <c r="K876" s="25"/>
      <c r="L876" s="24" t="str">
        <f t="shared" si="2"/>
        <v/>
      </c>
      <c r="M876" s="4"/>
      <c r="N876" s="23"/>
      <c r="O876" s="23"/>
      <c r="P876" s="23"/>
      <c r="Q876" s="4" t="str">
        <f t="shared" si="4"/>
        <v/>
      </c>
      <c r="R876" s="20"/>
      <c r="S876" s="20"/>
    </row>
    <row r="877">
      <c r="A877" s="4"/>
      <c r="B877" s="4"/>
      <c r="C877" s="37"/>
      <c r="D877" s="7" t="str">
        <f>IFERROR(__xludf.DUMMYFUNCTION("iferror(iferror(INDEX(IMPORTRANGE(""12vtnxaE_Q1s4tyr10kZQx7ZF_xG0lBFae4jQEUtgsMU"",""All!B2:B""),MATCH($C877,IMPORTRANGE(""12vtnxaE_Q1s4tyr10kZQx7ZF_xG0lBFae4jQEUtgsMU"",""All!A2:A""),0)),INDEX(IMPORTRANGE(""13KC70HngS4DDi8y9E5khtSpQEPG6owaQ9z4E-tR5mnY"","&amp;"""Non-Food!B2:B""),MATCH($C877,IMPORTRANGE(""13KC70HngS4DDi8y9E5khtSpQEPG6owaQ9z4E-tR5mnY"",""Non-Food!A2:A""),0))),"""")"),"")</f>
        <v/>
      </c>
      <c r="E877" s="15"/>
      <c r="F877" s="15"/>
      <c r="G877" s="36"/>
      <c r="H877" s="23" t="str">
        <f>IFERROR(__xludf.DUMMYFUNCTION("iferror(iferror(iferror(index(IMPORTRANGE(""1NK5L1mviMn0j3D3uo53ASkIZOFRlLnqaCTnwzOG2_Wg"",""Direct Link!B2:B""),MATCH($C877,IMPORTRANGE(""1NK5L1mviMn0j3D3uo53ASkIZOFRlLnqaCTnwzOG2_Wg"",""Direct Link!A2:A""),0)),XLOOKUP($C877,IMPORTRANGE(""1NK5L1mviMn0j3D"&amp;"3uo53ASkIZOFRlLnqaCTnwzOG2_Wg"",""Direct links Without Sizes!A2:A""),IMPORTRANGE(""1NK5L1mviMn0j3D3uo53ASkIZOFRlLnqaCTnwzOG2_Wg"",""Direct links Without Sizes!B2:B""))),XLOOKUP($C877,IMPORTRANGE(""1NK5L1mviMn0j3D3uo53ASkIZOFRlLnqaCTnwzOG2_Wg"",""Direct li"&amp;"nks Without Sizes!D2:D""),IMPORTRANGE(""1NK5L1mviMn0j3D3uo53ASkIZOFRlLnqaCTnwzOG2_Wg"",""Direct links Without Sizes!E2:E""))),"""")"),"")</f>
        <v/>
      </c>
      <c r="I877" s="4"/>
      <c r="J877" s="24" t="str">
        <f t="shared" si="1"/>
        <v/>
      </c>
      <c r="K877" s="25"/>
      <c r="L877" s="24" t="str">
        <f t="shared" si="2"/>
        <v/>
      </c>
      <c r="M877" s="4"/>
      <c r="N877" s="23"/>
      <c r="O877" s="23"/>
      <c r="P877" s="23"/>
      <c r="Q877" s="4" t="str">
        <f t="shared" si="4"/>
        <v/>
      </c>
      <c r="R877" s="20"/>
      <c r="S877" s="20"/>
    </row>
    <row r="878">
      <c r="A878" s="4"/>
      <c r="B878" s="4"/>
      <c r="C878" s="37"/>
      <c r="D878" s="7" t="str">
        <f>IFERROR(__xludf.DUMMYFUNCTION("iferror(iferror(INDEX(IMPORTRANGE(""12vtnxaE_Q1s4tyr10kZQx7ZF_xG0lBFae4jQEUtgsMU"",""All!B2:B""),MATCH($C878,IMPORTRANGE(""12vtnxaE_Q1s4tyr10kZQx7ZF_xG0lBFae4jQEUtgsMU"",""All!A2:A""),0)),INDEX(IMPORTRANGE(""13KC70HngS4DDi8y9E5khtSpQEPG6owaQ9z4E-tR5mnY"","&amp;"""Non-Food!B2:B""),MATCH($C878,IMPORTRANGE(""13KC70HngS4DDi8y9E5khtSpQEPG6owaQ9z4E-tR5mnY"",""Non-Food!A2:A""),0))),"""")"),"")</f>
        <v/>
      </c>
      <c r="E878" s="15"/>
      <c r="F878" s="15"/>
      <c r="G878" s="36"/>
      <c r="H878" s="23" t="str">
        <f>IFERROR(__xludf.DUMMYFUNCTION("iferror(iferror(iferror(index(IMPORTRANGE(""1NK5L1mviMn0j3D3uo53ASkIZOFRlLnqaCTnwzOG2_Wg"",""Direct Link!B2:B""),MATCH($C878,IMPORTRANGE(""1NK5L1mviMn0j3D3uo53ASkIZOFRlLnqaCTnwzOG2_Wg"",""Direct Link!A2:A""),0)),XLOOKUP($C878,IMPORTRANGE(""1NK5L1mviMn0j3D"&amp;"3uo53ASkIZOFRlLnqaCTnwzOG2_Wg"",""Direct links Without Sizes!A2:A""),IMPORTRANGE(""1NK5L1mviMn0j3D3uo53ASkIZOFRlLnqaCTnwzOG2_Wg"",""Direct links Without Sizes!B2:B""))),XLOOKUP($C878,IMPORTRANGE(""1NK5L1mviMn0j3D3uo53ASkIZOFRlLnqaCTnwzOG2_Wg"",""Direct li"&amp;"nks Without Sizes!D2:D""),IMPORTRANGE(""1NK5L1mviMn0j3D3uo53ASkIZOFRlLnqaCTnwzOG2_Wg"",""Direct links Without Sizes!E2:E""))),"""")"),"")</f>
        <v/>
      </c>
      <c r="I878" s="4"/>
      <c r="J878" s="24" t="str">
        <f t="shared" si="1"/>
        <v/>
      </c>
      <c r="K878" s="25"/>
      <c r="L878" s="24" t="str">
        <f t="shared" si="2"/>
        <v/>
      </c>
      <c r="M878" s="4"/>
      <c r="N878" s="23"/>
      <c r="O878" s="23"/>
      <c r="P878" s="23"/>
      <c r="Q878" s="4" t="str">
        <f t="shared" si="4"/>
        <v/>
      </c>
      <c r="R878" s="20"/>
      <c r="S878" s="20"/>
    </row>
    <row r="879">
      <c r="A879" s="4"/>
      <c r="B879" s="4"/>
      <c r="C879" s="37"/>
      <c r="D879" s="7" t="str">
        <f>IFERROR(__xludf.DUMMYFUNCTION("iferror(iferror(INDEX(IMPORTRANGE(""12vtnxaE_Q1s4tyr10kZQx7ZF_xG0lBFae4jQEUtgsMU"",""All!B2:B""),MATCH($C879,IMPORTRANGE(""12vtnxaE_Q1s4tyr10kZQx7ZF_xG0lBFae4jQEUtgsMU"",""All!A2:A""),0)),INDEX(IMPORTRANGE(""13KC70HngS4DDi8y9E5khtSpQEPG6owaQ9z4E-tR5mnY"","&amp;"""Non-Food!B2:B""),MATCH($C879,IMPORTRANGE(""13KC70HngS4DDi8y9E5khtSpQEPG6owaQ9z4E-tR5mnY"",""Non-Food!A2:A""),0))),"""")"),"")</f>
        <v/>
      </c>
      <c r="E879" s="15"/>
      <c r="F879" s="15"/>
      <c r="G879" s="36"/>
      <c r="H879" s="23" t="str">
        <f>IFERROR(__xludf.DUMMYFUNCTION("iferror(iferror(iferror(index(IMPORTRANGE(""1NK5L1mviMn0j3D3uo53ASkIZOFRlLnqaCTnwzOG2_Wg"",""Direct Link!B2:B""),MATCH($C879,IMPORTRANGE(""1NK5L1mviMn0j3D3uo53ASkIZOFRlLnqaCTnwzOG2_Wg"",""Direct Link!A2:A""),0)),XLOOKUP($C879,IMPORTRANGE(""1NK5L1mviMn0j3D"&amp;"3uo53ASkIZOFRlLnqaCTnwzOG2_Wg"",""Direct links Without Sizes!A2:A""),IMPORTRANGE(""1NK5L1mviMn0j3D3uo53ASkIZOFRlLnqaCTnwzOG2_Wg"",""Direct links Without Sizes!B2:B""))),XLOOKUP($C879,IMPORTRANGE(""1NK5L1mviMn0j3D3uo53ASkIZOFRlLnqaCTnwzOG2_Wg"",""Direct li"&amp;"nks Without Sizes!D2:D""),IMPORTRANGE(""1NK5L1mviMn0j3D3uo53ASkIZOFRlLnqaCTnwzOG2_Wg"",""Direct links Without Sizes!E2:E""))),"""")"),"")</f>
        <v/>
      </c>
      <c r="I879" s="4"/>
      <c r="J879" s="24" t="str">
        <f t="shared" si="1"/>
        <v/>
      </c>
      <c r="K879" s="25"/>
      <c r="L879" s="24" t="str">
        <f t="shared" si="2"/>
        <v/>
      </c>
      <c r="M879" s="4"/>
      <c r="N879" s="23"/>
      <c r="O879" s="23"/>
      <c r="P879" s="23"/>
      <c r="Q879" s="4" t="str">
        <f t="shared" si="4"/>
        <v/>
      </c>
      <c r="R879" s="20"/>
      <c r="S879" s="20"/>
    </row>
    <row r="880">
      <c r="A880" s="4"/>
      <c r="B880" s="4"/>
      <c r="C880" s="37"/>
      <c r="D880" s="7" t="str">
        <f>IFERROR(__xludf.DUMMYFUNCTION("iferror(iferror(INDEX(IMPORTRANGE(""12vtnxaE_Q1s4tyr10kZQx7ZF_xG0lBFae4jQEUtgsMU"",""All!B2:B""),MATCH($C880,IMPORTRANGE(""12vtnxaE_Q1s4tyr10kZQx7ZF_xG0lBFae4jQEUtgsMU"",""All!A2:A""),0)),INDEX(IMPORTRANGE(""13KC70HngS4DDi8y9E5khtSpQEPG6owaQ9z4E-tR5mnY"","&amp;"""Non-Food!B2:B""),MATCH($C880,IMPORTRANGE(""13KC70HngS4DDi8y9E5khtSpQEPG6owaQ9z4E-tR5mnY"",""Non-Food!A2:A""),0))),"""")"),"")</f>
        <v/>
      </c>
      <c r="E880" s="15"/>
      <c r="F880" s="15"/>
      <c r="G880" s="36"/>
      <c r="H880" s="23" t="str">
        <f>IFERROR(__xludf.DUMMYFUNCTION("iferror(iferror(iferror(index(IMPORTRANGE(""1NK5L1mviMn0j3D3uo53ASkIZOFRlLnqaCTnwzOG2_Wg"",""Direct Link!B2:B""),MATCH($C880,IMPORTRANGE(""1NK5L1mviMn0j3D3uo53ASkIZOFRlLnqaCTnwzOG2_Wg"",""Direct Link!A2:A""),0)),XLOOKUP($C880,IMPORTRANGE(""1NK5L1mviMn0j3D"&amp;"3uo53ASkIZOFRlLnqaCTnwzOG2_Wg"",""Direct links Without Sizes!A2:A""),IMPORTRANGE(""1NK5L1mviMn0j3D3uo53ASkIZOFRlLnqaCTnwzOG2_Wg"",""Direct links Without Sizes!B2:B""))),XLOOKUP($C880,IMPORTRANGE(""1NK5L1mviMn0j3D3uo53ASkIZOFRlLnqaCTnwzOG2_Wg"",""Direct li"&amp;"nks Without Sizes!D2:D""),IMPORTRANGE(""1NK5L1mviMn0j3D3uo53ASkIZOFRlLnqaCTnwzOG2_Wg"",""Direct links Without Sizes!E2:E""))),"""")"),"")</f>
        <v/>
      </c>
      <c r="I880" s="4"/>
      <c r="J880" s="24" t="str">
        <f t="shared" si="1"/>
        <v/>
      </c>
      <c r="K880" s="25"/>
      <c r="L880" s="24" t="str">
        <f t="shared" si="2"/>
        <v/>
      </c>
      <c r="M880" s="4"/>
      <c r="N880" s="23"/>
      <c r="O880" s="23"/>
      <c r="P880" s="23"/>
      <c r="Q880" s="4" t="str">
        <f t="shared" si="4"/>
        <v/>
      </c>
      <c r="R880" s="20"/>
      <c r="S880" s="20"/>
    </row>
    <row r="881">
      <c r="A881" s="4"/>
      <c r="B881" s="4"/>
      <c r="C881" s="37"/>
      <c r="D881" s="7" t="str">
        <f>IFERROR(__xludf.DUMMYFUNCTION("iferror(iferror(INDEX(IMPORTRANGE(""12vtnxaE_Q1s4tyr10kZQx7ZF_xG0lBFae4jQEUtgsMU"",""All!B2:B""),MATCH($C881,IMPORTRANGE(""12vtnxaE_Q1s4tyr10kZQx7ZF_xG0lBFae4jQEUtgsMU"",""All!A2:A""),0)),INDEX(IMPORTRANGE(""13KC70HngS4DDi8y9E5khtSpQEPG6owaQ9z4E-tR5mnY"","&amp;"""Non-Food!B2:B""),MATCH($C881,IMPORTRANGE(""13KC70HngS4DDi8y9E5khtSpQEPG6owaQ9z4E-tR5mnY"",""Non-Food!A2:A""),0))),"""")"),"")</f>
        <v/>
      </c>
      <c r="E881" s="15"/>
      <c r="F881" s="15"/>
      <c r="G881" s="36"/>
      <c r="H881" s="23" t="str">
        <f>IFERROR(__xludf.DUMMYFUNCTION("iferror(iferror(iferror(index(IMPORTRANGE(""1NK5L1mviMn0j3D3uo53ASkIZOFRlLnqaCTnwzOG2_Wg"",""Direct Link!B2:B""),MATCH($C881,IMPORTRANGE(""1NK5L1mviMn0j3D3uo53ASkIZOFRlLnqaCTnwzOG2_Wg"",""Direct Link!A2:A""),0)),XLOOKUP($C881,IMPORTRANGE(""1NK5L1mviMn0j3D"&amp;"3uo53ASkIZOFRlLnqaCTnwzOG2_Wg"",""Direct links Without Sizes!A2:A""),IMPORTRANGE(""1NK5L1mviMn0j3D3uo53ASkIZOFRlLnqaCTnwzOG2_Wg"",""Direct links Without Sizes!B2:B""))),XLOOKUP($C881,IMPORTRANGE(""1NK5L1mviMn0j3D3uo53ASkIZOFRlLnqaCTnwzOG2_Wg"",""Direct li"&amp;"nks Without Sizes!D2:D""),IMPORTRANGE(""1NK5L1mviMn0j3D3uo53ASkIZOFRlLnqaCTnwzOG2_Wg"",""Direct links Without Sizes!E2:E""))),"""")"),"")</f>
        <v/>
      </c>
      <c r="I881" s="4"/>
      <c r="J881" s="24" t="str">
        <f t="shared" si="1"/>
        <v/>
      </c>
      <c r="K881" s="25"/>
      <c r="L881" s="24" t="str">
        <f t="shared" si="2"/>
        <v/>
      </c>
      <c r="M881" s="4"/>
      <c r="N881" s="23"/>
      <c r="O881" s="23"/>
      <c r="P881" s="23"/>
      <c r="Q881" s="4" t="str">
        <f t="shared" si="4"/>
        <v/>
      </c>
      <c r="R881" s="20"/>
      <c r="S881" s="20"/>
    </row>
    <row r="882">
      <c r="A882" s="4"/>
      <c r="B882" s="4"/>
      <c r="C882" s="37"/>
      <c r="D882" s="7" t="str">
        <f>IFERROR(__xludf.DUMMYFUNCTION("iferror(iferror(INDEX(IMPORTRANGE(""12vtnxaE_Q1s4tyr10kZQx7ZF_xG0lBFae4jQEUtgsMU"",""All!B2:B""),MATCH($C882,IMPORTRANGE(""12vtnxaE_Q1s4tyr10kZQx7ZF_xG0lBFae4jQEUtgsMU"",""All!A2:A""),0)),INDEX(IMPORTRANGE(""13KC70HngS4DDi8y9E5khtSpQEPG6owaQ9z4E-tR5mnY"","&amp;"""Non-Food!B2:B""),MATCH($C882,IMPORTRANGE(""13KC70HngS4DDi8y9E5khtSpQEPG6owaQ9z4E-tR5mnY"",""Non-Food!A2:A""),0))),"""")"),"")</f>
        <v/>
      </c>
      <c r="E882" s="15"/>
      <c r="F882" s="15"/>
      <c r="G882" s="36"/>
      <c r="H882" s="23" t="str">
        <f>IFERROR(__xludf.DUMMYFUNCTION("iferror(iferror(iferror(index(IMPORTRANGE(""1NK5L1mviMn0j3D3uo53ASkIZOFRlLnqaCTnwzOG2_Wg"",""Direct Link!B2:B""),MATCH($C882,IMPORTRANGE(""1NK5L1mviMn0j3D3uo53ASkIZOFRlLnqaCTnwzOG2_Wg"",""Direct Link!A2:A""),0)),XLOOKUP($C882,IMPORTRANGE(""1NK5L1mviMn0j3D"&amp;"3uo53ASkIZOFRlLnqaCTnwzOG2_Wg"",""Direct links Without Sizes!A2:A""),IMPORTRANGE(""1NK5L1mviMn0j3D3uo53ASkIZOFRlLnqaCTnwzOG2_Wg"",""Direct links Without Sizes!B2:B""))),XLOOKUP($C882,IMPORTRANGE(""1NK5L1mviMn0j3D3uo53ASkIZOFRlLnqaCTnwzOG2_Wg"",""Direct li"&amp;"nks Without Sizes!D2:D""),IMPORTRANGE(""1NK5L1mviMn0j3D3uo53ASkIZOFRlLnqaCTnwzOG2_Wg"",""Direct links Without Sizes!E2:E""))),"""")"),"")</f>
        <v/>
      </c>
      <c r="I882" s="4"/>
      <c r="J882" s="24" t="str">
        <f t="shared" si="1"/>
        <v/>
      </c>
      <c r="K882" s="25"/>
      <c r="L882" s="24" t="str">
        <f t="shared" si="2"/>
        <v/>
      </c>
      <c r="M882" s="4"/>
      <c r="N882" s="23"/>
      <c r="O882" s="23"/>
      <c r="P882" s="23"/>
      <c r="Q882" s="4" t="str">
        <f t="shared" si="4"/>
        <v/>
      </c>
      <c r="R882" s="20"/>
      <c r="S882" s="20"/>
    </row>
    <row r="883">
      <c r="A883" s="4"/>
      <c r="B883" s="4"/>
      <c r="C883" s="37"/>
      <c r="D883" s="7" t="str">
        <f>IFERROR(__xludf.DUMMYFUNCTION("iferror(iferror(INDEX(IMPORTRANGE(""12vtnxaE_Q1s4tyr10kZQx7ZF_xG0lBFae4jQEUtgsMU"",""All!B2:B""),MATCH($C883,IMPORTRANGE(""12vtnxaE_Q1s4tyr10kZQx7ZF_xG0lBFae4jQEUtgsMU"",""All!A2:A""),0)),INDEX(IMPORTRANGE(""13KC70HngS4DDi8y9E5khtSpQEPG6owaQ9z4E-tR5mnY"","&amp;"""Non-Food!B2:B""),MATCH($C883,IMPORTRANGE(""13KC70HngS4DDi8y9E5khtSpQEPG6owaQ9z4E-tR5mnY"",""Non-Food!A2:A""),0))),"""")"),"")</f>
        <v/>
      </c>
      <c r="E883" s="15"/>
      <c r="F883" s="15"/>
      <c r="G883" s="36"/>
      <c r="H883" s="23" t="str">
        <f>IFERROR(__xludf.DUMMYFUNCTION("iferror(iferror(iferror(index(IMPORTRANGE(""1NK5L1mviMn0j3D3uo53ASkIZOFRlLnqaCTnwzOG2_Wg"",""Direct Link!B2:B""),MATCH($C883,IMPORTRANGE(""1NK5L1mviMn0j3D3uo53ASkIZOFRlLnqaCTnwzOG2_Wg"",""Direct Link!A2:A""),0)),XLOOKUP($C883,IMPORTRANGE(""1NK5L1mviMn0j3D"&amp;"3uo53ASkIZOFRlLnqaCTnwzOG2_Wg"",""Direct links Without Sizes!A2:A""),IMPORTRANGE(""1NK5L1mviMn0j3D3uo53ASkIZOFRlLnqaCTnwzOG2_Wg"",""Direct links Without Sizes!B2:B""))),XLOOKUP($C883,IMPORTRANGE(""1NK5L1mviMn0j3D3uo53ASkIZOFRlLnqaCTnwzOG2_Wg"",""Direct li"&amp;"nks Without Sizes!D2:D""),IMPORTRANGE(""1NK5L1mviMn0j3D3uo53ASkIZOFRlLnqaCTnwzOG2_Wg"",""Direct links Without Sizes!E2:E""))),"""")"),"")</f>
        <v/>
      </c>
      <c r="I883" s="4"/>
      <c r="J883" s="24" t="str">
        <f t="shared" si="1"/>
        <v/>
      </c>
      <c r="K883" s="25"/>
      <c r="L883" s="24" t="str">
        <f t="shared" si="2"/>
        <v/>
      </c>
      <c r="M883" s="4"/>
      <c r="N883" s="23"/>
      <c r="O883" s="23"/>
      <c r="P883" s="23"/>
      <c r="Q883" s="4" t="str">
        <f t="shared" si="4"/>
        <v/>
      </c>
      <c r="R883" s="20"/>
      <c r="S883" s="20"/>
    </row>
    <row r="884">
      <c r="A884" s="4"/>
      <c r="B884" s="4"/>
      <c r="C884" s="37"/>
      <c r="D884" s="7" t="str">
        <f>IFERROR(__xludf.DUMMYFUNCTION("iferror(iferror(INDEX(IMPORTRANGE(""12vtnxaE_Q1s4tyr10kZQx7ZF_xG0lBFae4jQEUtgsMU"",""All!B2:B""),MATCH($C884,IMPORTRANGE(""12vtnxaE_Q1s4tyr10kZQx7ZF_xG0lBFae4jQEUtgsMU"",""All!A2:A""),0)),INDEX(IMPORTRANGE(""13KC70HngS4DDi8y9E5khtSpQEPG6owaQ9z4E-tR5mnY"","&amp;"""Non-Food!B2:B""),MATCH($C884,IMPORTRANGE(""13KC70HngS4DDi8y9E5khtSpQEPG6owaQ9z4E-tR5mnY"",""Non-Food!A2:A""),0))),"""")"),"")</f>
        <v/>
      </c>
      <c r="E884" s="15"/>
      <c r="F884" s="15"/>
      <c r="G884" s="36"/>
      <c r="H884" s="23" t="str">
        <f>IFERROR(__xludf.DUMMYFUNCTION("iferror(iferror(iferror(index(IMPORTRANGE(""1NK5L1mviMn0j3D3uo53ASkIZOFRlLnqaCTnwzOG2_Wg"",""Direct Link!B2:B""),MATCH($C884,IMPORTRANGE(""1NK5L1mviMn0j3D3uo53ASkIZOFRlLnqaCTnwzOG2_Wg"",""Direct Link!A2:A""),0)),XLOOKUP($C884,IMPORTRANGE(""1NK5L1mviMn0j3D"&amp;"3uo53ASkIZOFRlLnqaCTnwzOG2_Wg"",""Direct links Without Sizes!A2:A""),IMPORTRANGE(""1NK5L1mviMn0j3D3uo53ASkIZOFRlLnqaCTnwzOG2_Wg"",""Direct links Without Sizes!B2:B""))),XLOOKUP($C884,IMPORTRANGE(""1NK5L1mviMn0j3D3uo53ASkIZOFRlLnqaCTnwzOG2_Wg"",""Direct li"&amp;"nks Without Sizes!D2:D""),IMPORTRANGE(""1NK5L1mviMn0j3D3uo53ASkIZOFRlLnqaCTnwzOG2_Wg"",""Direct links Without Sizes!E2:E""))),"""")"),"")</f>
        <v/>
      </c>
      <c r="I884" s="4"/>
      <c r="J884" s="24" t="str">
        <f t="shared" si="1"/>
        <v/>
      </c>
      <c r="K884" s="25"/>
      <c r="L884" s="24" t="str">
        <f t="shared" si="2"/>
        <v/>
      </c>
      <c r="M884" s="4"/>
      <c r="N884" s="23"/>
      <c r="O884" s="23"/>
      <c r="P884" s="23"/>
      <c r="Q884" s="4" t="str">
        <f t="shared" si="4"/>
        <v/>
      </c>
      <c r="R884" s="20"/>
      <c r="S884" s="20"/>
    </row>
    <row r="885">
      <c r="A885" s="4"/>
      <c r="B885" s="4"/>
      <c r="C885" s="37"/>
      <c r="D885" s="7" t="str">
        <f>IFERROR(__xludf.DUMMYFUNCTION("iferror(iferror(INDEX(IMPORTRANGE(""12vtnxaE_Q1s4tyr10kZQx7ZF_xG0lBFae4jQEUtgsMU"",""All!B2:B""),MATCH($C885,IMPORTRANGE(""12vtnxaE_Q1s4tyr10kZQx7ZF_xG0lBFae4jQEUtgsMU"",""All!A2:A""),0)),INDEX(IMPORTRANGE(""13KC70HngS4DDi8y9E5khtSpQEPG6owaQ9z4E-tR5mnY"","&amp;"""Non-Food!B2:B""),MATCH($C885,IMPORTRANGE(""13KC70HngS4DDi8y9E5khtSpQEPG6owaQ9z4E-tR5mnY"",""Non-Food!A2:A""),0))),"""")"),"")</f>
        <v/>
      </c>
      <c r="E885" s="15"/>
      <c r="F885" s="15"/>
      <c r="G885" s="36"/>
      <c r="H885" s="23" t="str">
        <f>IFERROR(__xludf.DUMMYFUNCTION("iferror(iferror(iferror(index(IMPORTRANGE(""1NK5L1mviMn0j3D3uo53ASkIZOFRlLnqaCTnwzOG2_Wg"",""Direct Link!B2:B""),MATCH($C885,IMPORTRANGE(""1NK5L1mviMn0j3D3uo53ASkIZOFRlLnqaCTnwzOG2_Wg"",""Direct Link!A2:A""),0)),XLOOKUP($C885,IMPORTRANGE(""1NK5L1mviMn0j3D"&amp;"3uo53ASkIZOFRlLnqaCTnwzOG2_Wg"",""Direct links Without Sizes!A2:A""),IMPORTRANGE(""1NK5L1mviMn0j3D3uo53ASkIZOFRlLnqaCTnwzOG2_Wg"",""Direct links Without Sizes!B2:B""))),XLOOKUP($C885,IMPORTRANGE(""1NK5L1mviMn0j3D3uo53ASkIZOFRlLnqaCTnwzOG2_Wg"",""Direct li"&amp;"nks Without Sizes!D2:D""),IMPORTRANGE(""1NK5L1mviMn0j3D3uo53ASkIZOFRlLnqaCTnwzOG2_Wg"",""Direct links Without Sizes!E2:E""))),"""")"),"")</f>
        <v/>
      </c>
      <c r="I885" s="4"/>
      <c r="J885" s="24" t="str">
        <f t="shared" si="1"/>
        <v/>
      </c>
      <c r="K885" s="25"/>
      <c r="L885" s="24" t="str">
        <f t="shared" si="2"/>
        <v/>
      </c>
      <c r="M885" s="4"/>
      <c r="N885" s="23"/>
      <c r="O885" s="23"/>
      <c r="P885" s="23"/>
      <c r="Q885" s="4" t="str">
        <f t="shared" si="4"/>
        <v/>
      </c>
      <c r="R885" s="20"/>
      <c r="S885" s="20"/>
    </row>
    <row r="886">
      <c r="A886" s="4"/>
      <c r="B886" s="4"/>
      <c r="C886" s="37"/>
      <c r="D886" s="7" t="str">
        <f>IFERROR(__xludf.DUMMYFUNCTION("iferror(iferror(INDEX(IMPORTRANGE(""12vtnxaE_Q1s4tyr10kZQx7ZF_xG0lBFae4jQEUtgsMU"",""All!B2:B""),MATCH($C886,IMPORTRANGE(""12vtnxaE_Q1s4tyr10kZQx7ZF_xG0lBFae4jQEUtgsMU"",""All!A2:A""),0)),INDEX(IMPORTRANGE(""13KC70HngS4DDi8y9E5khtSpQEPG6owaQ9z4E-tR5mnY"","&amp;"""Non-Food!B2:B""),MATCH($C886,IMPORTRANGE(""13KC70HngS4DDi8y9E5khtSpQEPG6owaQ9z4E-tR5mnY"",""Non-Food!A2:A""),0))),"""")"),"")</f>
        <v/>
      </c>
      <c r="E886" s="15"/>
      <c r="F886" s="15"/>
      <c r="G886" s="36"/>
      <c r="H886" s="23" t="str">
        <f>IFERROR(__xludf.DUMMYFUNCTION("iferror(iferror(iferror(index(IMPORTRANGE(""1NK5L1mviMn0j3D3uo53ASkIZOFRlLnqaCTnwzOG2_Wg"",""Direct Link!B2:B""),MATCH($C886,IMPORTRANGE(""1NK5L1mviMn0j3D3uo53ASkIZOFRlLnqaCTnwzOG2_Wg"",""Direct Link!A2:A""),0)),XLOOKUP($C886,IMPORTRANGE(""1NK5L1mviMn0j3D"&amp;"3uo53ASkIZOFRlLnqaCTnwzOG2_Wg"",""Direct links Without Sizes!A2:A""),IMPORTRANGE(""1NK5L1mviMn0j3D3uo53ASkIZOFRlLnqaCTnwzOG2_Wg"",""Direct links Without Sizes!B2:B""))),XLOOKUP($C886,IMPORTRANGE(""1NK5L1mviMn0j3D3uo53ASkIZOFRlLnqaCTnwzOG2_Wg"",""Direct li"&amp;"nks Without Sizes!D2:D""),IMPORTRANGE(""1NK5L1mviMn0j3D3uo53ASkIZOFRlLnqaCTnwzOG2_Wg"",""Direct links Without Sizes!E2:E""))),"""")"),"")</f>
        <v/>
      </c>
      <c r="I886" s="4"/>
      <c r="J886" s="24" t="str">
        <f t="shared" si="1"/>
        <v/>
      </c>
      <c r="K886" s="25"/>
      <c r="L886" s="24" t="str">
        <f t="shared" si="2"/>
        <v/>
      </c>
      <c r="M886" s="4"/>
      <c r="N886" s="23"/>
      <c r="O886" s="23"/>
      <c r="P886" s="23"/>
      <c r="Q886" s="4" t="str">
        <f t="shared" si="4"/>
        <v/>
      </c>
      <c r="R886" s="20"/>
      <c r="S886" s="20"/>
    </row>
    <row r="887">
      <c r="A887" s="4"/>
      <c r="B887" s="4"/>
      <c r="C887" s="37"/>
      <c r="D887" s="7" t="str">
        <f>IFERROR(__xludf.DUMMYFUNCTION("iferror(iferror(INDEX(IMPORTRANGE(""12vtnxaE_Q1s4tyr10kZQx7ZF_xG0lBFae4jQEUtgsMU"",""All!B2:B""),MATCH($C887,IMPORTRANGE(""12vtnxaE_Q1s4tyr10kZQx7ZF_xG0lBFae4jQEUtgsMU"",""All!A2:A""),0)),INDEX(IMPORTRANGE(""13KC70HngS4DDi8y9E5khtSpQEPG6owaQ9z4E-tR5mnY"","&amp;"""Non-Food!B2:B""),MATCH($C887,IMPORTRANGE(""13KC70HngS4DDi8y9E5khtSpQEPG6owaQ9z4E-tR5mnY"",""Non-Food!A2:A""),0))),"""")"),"")</f>
        <v/>
      </c>
      <c r="E887" s="15"/>
      <c r="F887" s="15"/>
      <c r="G887" s="36"/>
      <c r="H887" s="23" t="str">
        <f>IFERROR(__xludf.DUMMYFUNCTION("iferror(iferror(iferror(index(IMPORTRANGE(""1NK5L1mviMn0j3D3uo53ASkIZOFRlLnqaCTnwzOG2_Wg"",""Direct Link!B2:B""),MATCH($C887,IMPORTRANGE(""1NK5L1mviMn0j3D3uo53ASkIZOFRlLnqaCTnwzOG2_Wg"",""Direct Link!A2:A""),0)),XLOOKUP($C887,IMPORTRANGE(""1NK5L1mviMn0j3D"&amp;"3uo53ASkIZOFRlLnqaCTnwzOG2_Wg"",""Direct links Without Sizes!A2:A""),IMPORTRANGE(""1NK5L1mviMn0j3D3uo53ASkIZOFRlLnqaCTnwzOG2_Wg"",""Direct links Without Sizes!B2:B""))),XLOOKUP($C887,IMPORTRANGE(""1NK5L1mviMn0j3D3uo53ASkIZOFRlLnqaCTnwzOG2_Wg"",""Direct li"&amp;"nks Without Sizes!D2:D""),IMPORTRANGE(""1NK5L1mviMn0j3D3uo53ASkIZOFRlLnqaCTnwzOG2_Wg"",""Direct links Without Sizes!E2:E""))),"""")"),"")</f>
        <v/>
      </c>
      <c r="I887" s="4"/>
      <c r="J887" s="24" t="str">
        <f t="shared" si="1"/>
        <v/>
      </c>
      <c r="K887" s="25"/>
      <c r="L887" s="24" t="str">
        <f t="shared" si="2"/>
        <v/>
      </c>
      <c r="M887" s="4"/>
      <c r="N887" s="23"/>
      <c r="O887" s="23"/>
      <c r="P887" s="23"/>
      <c r="Q887" s="4" t="str">
        <f t="shared" si="4"/>
        <v/>
      </c>
      <c r="R887" s="20"/>
      <c r="S887" s="20"/>
    </row>
    <row r="888">
      <c r="A888" s="4"/>
      <c r="B888" s="4"/>
      <c r="C888" s="37"/>
      <c r="D888" s="7" t="str">
        <f>IFERROR(__xludf.DUMMYFUNCTION("iferror(iferror(INDEX(IMPORTRANGE(""12vtnxaE_Q1s4tyr10kZQx7ZF_xG0lBFae4jQEUtgsMU"",""All!B2:B""),MATCH($C888,IMPORTRANGE(""12vtnxaE_Q1s4tyr10kZQx7ZF_xG0lBFae4jQEUtgsMU"",""All!A2:A""),0)),INDEX(IMPORTRANGE(""13KC70HngS4DDi8y9E5khtSpQEPG6owaQ9z4E-tR5mnY"","&amp;"""Non-Food!B2:B""),MATCH($C888,IMPORTRANGE(""13KC70HngS4DDi8y9E5khtSpQEPG6owaQ9z4E-tR5mnY"",""Non-Food!A2:A""),0))),"""")"),"")</f>
        <v/>
      </c>
      <c r="E888" s="15"/>
      <c r="F888" s="15"/>
      <c r="G888" s="36"/>
      <c r="H888" s="23" t="str">
        <f>IFERROR(__xludf.DUMMYFUNCTION("iferror(iferror(iferror(index(IMPORTRANGE(""1NK5L1mviMn0j3D3uo53ASkIZOFRlLnqaCTnwzOG2_Wg"",""Direct Link!B2:B""),MATCH($C888,IMPORTRANGE(""1NK5L1mviMn0j3D3uo53ASkIZOFRlLnqaCTnwzOG2_Wg"",""Direct Link!A2:A""),0)),XLOOKUP($C888,IMPORTRANGE(""1NK5L1mviMn0j3D"&amp;"3uo53ASkIZOFRlLnqaCTnwzOG2_Wg"",""Direct links Without Sizes!A2:A""),IMPORTRANGE(""1NK5L1mviMn0j3D3uo53ASkIZOFRlLnqaCTnwzOG2_Wg"",""Direct links Without Sizes!B2:B""))),XLOOKUP($C888,IMPORTRANGE(""1NK5L1mviMn0j3D3uo53ASkIZOFRlLnqaCTnwzOG2_Wg"",""Direct li"&amp;"nks Without Sizes!D2:D""),IMPORTRANGE(""1NK5L1mviMn0j3D3uo53ASkIZOFRlLnqaCTnwzOG2_Wg"",""Direct links Without Sizes!E2:E""))),"""")"),"")</f>
        <v/>
      </c>
      <c r="I888" s="4"/>
      <c r="J888" s="24" t="str">
        <f t="shared" si="1"/>
        <v/>
      </c>
      <c r="K888" s="25"/>
      <c r="L888" s="24" t="str">
        <f t="shared" si="2"/>
        <v/>
      </c>
      <c r="M888" s="4"/>
      <c r="N888" s="23"/>
      <c r="O888" s="23"/>
      <c r="P888" s="23"/>
      <c r="Q888" s="4" t="str">
        <f t="shared" si="4"/>
        <v/>
      </c>
      <c r="R888" s="20"/>
      <c r="S888" s="20"/>
    </row>
    <row r="889">
      <c r="A889" s="4"/>
      <c r="B889" s="4"/>
      <c r="C889" s="37"/>
      <c r="D889" s="7" t="str">
        <f>IFERROR(__xludf.DUMMYFUNCTION("iferror(iferror(INDEX(IMPORTRANGE(""12vtnxaE_Q1s4tyr10kZQx7ZF_xG0lBFae4jQEUtgsMU"",""All!B2:B""),MATCH($C889,IMPORTRANGE(""12vtnxaE_Q1s4tyr10kZQx7ZF_xG0lBFae4jQEUtgsMU"",""All!A2:A""),0)),INDEX(IMPORTRANGE(""13KC70HngS4DDi8y9E5khtSpQEPG6owaQ9z4E-tR5mnY"","&amp;"""Non-Food!B2:B""),MATCH($C889,IMPORTRANGE(""13KC70HngS4DDi8y9E5khtSpQEPG6owaQ9z4E-tR5mnY"",""Non-Food!A2:A""),0))),"""")"),"")</f>
        <v/>
      </c>
      <c r="E889" s="15"/>
      <c r="F889" s="15"/>
      <c r="G889" s="36"/>
      <c r="H889" s="23" t="str">
        <f>IFERROR(__xludf.DUMMYFUNCTION("iferror(iferror(iferror(index(IMPORTRANGE(""1NK5L1mviMn0j3D3uo53ASkIZOFRlLnqaCTnwzOG2_Wg"",""Direct Link!B2:B""),MATCH($C889,IMPORTRANGE(""1NK5L1mviMn0j3D3uo53ASkIZOFRlLnqaCTnwzOG2_Wg"",""Direct Link!A2:A""),0)),XLOOKUP($C889,IMPORTRANGE(""1NK5L1mviMn0j3D"&amp;"3uo53ASkIZOFRlLnqaCTnwzOG2_Wg"",""Direct links Without Sizes!A2:A""),IMPORTRANGE(""1NK5L1mviMn0j3D3uo53ASkIZOFRlLnqaCTnwzOG2_Wg"",""Direct links Without Sizes!B2:B""))),XLOOKUP($C889,IMPORTRANGE(""1NK5L1mviMn0j3D3uo53ASkIZOFRlLnqaCTnwzOG2_Wg"",""Direct li"&amp;"nks Without Sizes!D2:D""),IMPORTRANGE(""1NK5L1mviMn0j3D3uo53ASkIZOFRlLnqaCTnwzOG2_Wg"",""Direct links Without Sizes!E2:E""))),"""")"),"")</f>
        <v/>
      </c>
      <c r="I889" s="4"/>
      <c r="J889" s="24" t="str">
        <f t="shared" si="1"/>
        <v/>
      </c>
      <c r="K889" s="25"/>
      <c r="L889" s="24" t="str">
        <f t="shared" si="2"/>
        <v/>
      </c>
      <c r="M889" s="4"/>
      <c r="N889" s="23"/>
      <c r="O889" s="23"/>
      <c r="P889" s="23"/>
      <c r="Q889" s="4" t="str">
        <f t="shared" si="4"/>
        <v/>
      </c>
      <c r="R889" s="20"/>
      <c r="S889" s="20"/>
    </row>
    <row r="890">
      <c r="A890" s="4"/>
      <c r="B890" s="4"/>
      <c r="C890" s="37"/>
      <c r="D890" s="7" t="str">
        <f>IFERROR(__xludf.DUMMYFUNCTION("iferror(iferror(INDEX(IMPORTRANGE(""12vtnxaE_Q1s4tyr10kZQx7ZF_xG0lBFae4jQEUtgsMU"",""All!B2:B""),MATCH($C890,IMPORTRANGE(""12vtnxaE_Q1s4tyr10kZQx7ZF_xG0lBFae4jQEUtgsMU"",""All!A2:A""),0)),INDEX(IMPORTRANGE(""13KC70HngS4DDi8y9E5khtSpQEPG6owaQ9z4E-tR5mnY"","&amp;"""Non-Food!B2:B""),MATCH($C890,IMPORTRANGE(""13KC70HngS4DDi8y9E5khtSpQEPG6owaQ9z4E-tR5mnY"",""Non-Food!A2:A""),0))),"""")"),"")</f>
        <v/>
      </c>
      <c r="E890" s="15"/>
      <c r="F890" s="15"/>
      <c r="G890" s="36"/>
      <c r="H890" s="23" t="str">
        <f>IFERROR(__xludf.DUMMYFUNCTION("iferror(iferror(iferror(index(IMPORTRANGE(""1NK5L1mviMn0j3D3uo53ASkIZOFRlLnqaCTnwzOG2_Wg"",""Direct Link!B2:B""),MATCH($C890,IMPORTRANGE(""1NK5L1mviMn0j3D3uo53ASkIZOFRlLnqaCTnwzOG2_Wg"",""Direct Link!A2:A""),0)),XLOOKUP($C890,IMPORTRANGE(""1NK5L1mviMn0j3D"&amp;"3uo53ASkIZOFRlLnqaCTnwzOG2_Wg"",""Direct links Without Sizes!A2:A""),IMPORTRANGE(""1NK5L1mviMn0j3D3uo53ASkIZOFRlLnqaCTnwzOG2_Wg"",""Direct links Without Sizes!B2:B""))),XLOOKUP($C890,IMPORTRANGE(""1NK5L1mviMn0j3D3uo53ASkIZOFRlLnqaCTnwzOG2_Wg"",""Direct li"&amp;"nks Without Sizes!D2:D""),IMPORTRANGE(""1NK5L1mviMn0j3D3uo53ASkIZOFRlLnqaCTnwzOG2_Wg"",""Direct links Without Sizes!E2:E""))),"""")"),"")</f>
        <v/>
      </c>
      <c r="I890" s="4"/>
      <c r="J890" s="24" t="str">
        <f t="shared" si="1"/>
        <v/>
      </c>
      <c r="K890" s="25"/>
      <c r="L890" s="24" t="str">
        <f t="shared" si="2"/>
        <v/>
      </c>
      <c r="M890" s="4"/>
      <c r="N890" s="23"/>
      <c r="O890" s="23"/>
      <c r="P890" s="23"/>
      <c r="Q890" s="4" t="str">
        <f t="shared" si="4"/>
        <v/>
      </c>
      <c r="R890" s="20"/>
      <c r="S890" s="20"/>
    </row>
    <row r="891">
      <c r="A891" s="4"/>
      <c r="B891" s="4"/>
      <c r="C891" s="37"/>
      <c r="D891" s="7" t="str">
        <f>IFERROR(__xludf.DUMMYFUNCTION("iferror(iferror(INDEX(IMPORTRANGE(""12vtnxaE_Q1s4tyr10kZQx7ZF_xG0lBFae4jQEUtgsMU"",""All!B2:B""),MATCH($C891,IMPORTRANGE(""12vtnxaE_Q1s4tyr10kZQx7ZF_xG0lBFae4jQEUtgsMU"",""All!A2:A""),0)),INDEX(IMPORTRANGE(""13KC70HngS4DDi8y9E5khtSpQEPG6owaQ9z4E-tR5mnY"","&amp;"""Non-Food!B2:B""),MATCH($C891,IMPORTRANGE(""13KC70HngS4DDi8y9E5khtSpQEPG6owaQ9z4E-tR5mnY"",""Non-Food!A2:A""),0))),"""")"),"")</f>
        <v/>
      </c>
      <c r="E891" s="15"/>
      <c r="F891" s="15"/>
      <c r="G891" s="36"/>
      <c r="H891" s="23" t="str">
        <f>IFERROR(__xludf.DUMMYFUNCTION("iferror(iferror(iferror(index(IMPORTRANGE(""1NK5L1mviMn0j3D3uo53ASkIZOFRlLnqaCTnwzOG2_Wg"",""Direct Link!B2:B""),MATCH($C891,IMPORTRANGE(""1NK5L1mviMn0j3D3uo53ASkIZOFRlLnqaCTnwzOG2_Wg"",""Direct Link!A2:A""),0)),XLOOKUP($C891,IMPORTRANGE(""1NK5L1mviMn0j3D"&amp;"3uo53ASkIZOFRlLnqaCTnwzOG2_Wg"",""Direct links Without Sizes!A2:A""),IMPORTRANGE(""1NK5L1mviMn0j3D3uo53ASkIZOFRlLnqaCTnwzOG2_Wg"",""Direct links Without Sizes!B2:B""))),XLOOKUP($C891,IMPORTRANGE(""1NK5L1mviMn0j3D3uo53ASkIZOFRlLnqaCTnwzOG2_Wg"",""Direct li"&amp;"nks Without Sizes!D2:D""),IMPORTRANGE(""1NK5L1mviMn0j3D3uo53ASkIZOFRlLnqaCTnwzOG2_Wg"",""Direct links Without Sizes!E2:E""))),"""")"),"")</f>
        <v/>
      </c>
      <c r="I891" s="4"/>
      <c r="J891" s="24" t="str">
        <f t="shared" si="1"/>
        <v/>
      </c>
      <c r="K891" s="25"/>
      <c r="L891" s="24" t="str">
        <f t="shared" si="2"/>
        <v/>
      </c>
      <c r="M891" s="4"/>
      <c r="N891" s="23"/>
      <c r="O891" s="23"/>
      <c r="P891" s="23"/>
      <c r="Q891" s="4" t="str">
        <f t="shared" si="4"/>
        <v/>
      </c>
      <c r="R891" s="20"/>
      <c r="S891" s="20"/>
    </row>
    <row r="892">
      <c r="A892" s="4"/>
      <c r="B892" s="4"/>
      <c r="C892" s="37"/>
      <c r="D892" s="7" t="str">
        <f>IFERROR(__xludf.DUMMYFUNCTION("iferror(iferror(INDEX(IMPORTRANGE(""12vtnxaE_Q1s4tyr10kZQx7ZF_xG0lBFae4jQEUtgsMU"",""All!B2:B""),MATCH($C892,IMPORTRANGE(""12vtnxaE_Q1s4tyr10kZQx7ZF_xG0lBFae4jQEUtgsMU"",""All!A2:A""),0)),INDEX(IMPORTRANGE(""13KC70HngS4DDi8y9E5khtSpQEPG6owaQ9z4E-tR5mnY"","&amp;"""Non-Food!B2:B""),MATCH($C892,IMPORTRANGE(""13KC70HngS4DDi8y9E5khtSpQEPG6owaQ9z4E-tR5mnY"",""Non-Food!A2:A""),0))),"""")"),"")</f>
        <v/>
      </c>
      <c r="E892" s="15"/>
      <c r="F892" s="15"/>
      <c r="G892" s="36"/>
      <c r="H892" s="23" t="str">
        <f>IFERROR(__xludf.DUMMYFUNCTION("iferror(iferror(iferror(index(IMPORTRANGE(""1NK5L1mviMn0j3D3uo53ASkIZOFRlLnqaCTnwzOG2_Wg"",""Direct Link!B2:B""),MATCH($C892,IMPORTRANGE(""1NK5L1mviMn0j3D3uo53ASkIZOFRlLnqaCTnwzOG2_Wg"",""Direct Link!A2:A""),0)),XLOOKUP($C892,IMPORTRANGE(""1NK5L1mviMn0j3D"&amp;"3uo53ASkIZOFRlLnqaCTnwzOG2_Wg"",""Direct links Without Sizes!A2:A""),IMPORTRANGE(""1NK5L1mviMn0j3D3uo53ASkIZOFRlLnqaCTnwzOG2_Wg"",""Direct links Without Sizes!B2:B""))),XLOOKUP($C892,IMPORTRANGE(""1NK5L1mviMn0j3D3uo53ASkIZOFRlLnqaCTnwzOG2_Wg"",""Direct li"&amp;"nks Without Sizes!D2:D""),IMPORTRANGE(""1NK5L1mviMn0j3D3uo53ASkIZOFRlLnqaCTnwzOG2_Wg"",""Direct links Without Sizes!E2:E""))),"""")"),"")</f>
        <v/>
      </c>
      <c r="I892" s="4"/>
      <c r="J892" s="24" t="str">
        <f t="shared" si="1"/>
        <v/>
      </c>
      <c r="K892" s="25"/>
      <c r="L892" s="24" t="str">
        <f t="shared" si="2"/>
        <v/>
      </c>
      <c r="M892" s="4"/>
      <c r="N892" s="23"/>
      <c r="O892" s="23"/>
      <c r="P892" s="23"/>
      <c r="Q892" s="4" t="str">
        <f t="shared" si="4"/>
        <v/>
      </c>
      <c r="R892" s="20"/>
      <c r="S892" s="20"/>
    </row>
    <row r="893">
      <c r="A893" s="4"/>
      <c r="B893" s="4"/>
      <c r="C893" s="37"/>
      <c r="D893" s="7" t="str">
        <f>IFERROR(__xludf.DUMMYFUNCTION("iferror(iferror(INDEX(IMPORTRANGE(""12vtnxaE_Q1s4tyr10kZQx7ZF_xG0lBFae4jQEUtgsMU"",""All!B2:B""),MATCH($C893,IMPORTRANGE(""12vtnxaE_Q1s4tyr10kZQx7ZF_xG0lBFae4jQEUtgsMU"",""All!A2:A""),0)),INDEX(IMPORTRANGE(""13KC70HngS4DDi8y9E5khtSpQEPG6owaQ9z4E-tR5mnY"","&amp;"""Non-Food!B2:B""),MATCH($C893,IMPORTRANGE(""13KC70HngS4DDi8y9E5khtSpQEPG6owaQ9z4E-tR5mnY"",""Non-Food!A2:A""),0))),"""")"),"")</f>
        <v/>
      </c>
      <c r="E893" s="15"/>
      <c r="F893" s="15"/>
      <c r="G893" s="36"/>
      <c r="H893" s="23" t="str">
        <f>IFERROR(__xludf.DUMMYFUNCTION("iferror(iferror(iferror(index(IMPORTRANGE(""1NK5L1mviMn0j3D3uo53ASkIZOFRlLnqaCTnwzOG2_Wg"",""Direct Link!B2:B""),MATCH($C893,IMPORTRANGE(""1NK5L1mviMn0j3D3uo53ASkIZOFRlLnqaCTnwzOG2_Wg"",""Direct Link!A2:A""),0)),XLOOKUP($C893,IMPORTRANGE(""1NK5L1mviMn0j3D"&amp;"3uo53ASkIZOFRlLnqaCTnwzOG2_Wg"",""Direct links Without Sizes!A2:A""),IMPORTRANGE(""1NK5L1mviMn0j3D3uo53ASkIZOFRlLnqaCTnwzOG2_Wg"",""Direct links Without Sizes!B2:B""))),XLOOKUP($C893,IMPORTRANGE(""1NK5L1mviMn0j3D3uo53ASkIZOFRlLnqaCTnwzOG2_Wg"",""Direct li"&amp;"nks Without Sizes!D2:D""),IMPORTRANGE(""1NK5L1mviMn0j3D3uo53ASkIZOFRlLnqaCTnwzOG2_Wg"",""Direct links Without Sizes!E2:E""))),"""")"),"")</f>
        <v/>
      </c>
      <c r="I893" s="4"/>
      <c r="J893" s="24" t="str">
        <f t="shared" si="1"/>
        <v/>
      </c>
      <c r="K893" s="25"/>
      <c r="L893" s="24" t="str">
        <f t="shared" si="2"/>
        <v/>
      </c>
      <c r="M893" s="4"/>
      <c r="N893" s="23"/>
      <c r="O893" s="23"/>
      <c r="P893" s="23"/>
      <c r="Q893" s="4" t="str">
        <f t="shared" si="4"/>
        <v/>
      </c>
      <c r="R893" s="20"/>
      <c r="S893" s="20"/>
    </row>
    <row r="894">
      <c r="A894" s="4"/>
      <c r="B894" s="4"/>
      <c r="C894" s="37"/>
      <c r="D894" s="7" t="str">
        <f>IFERROR(__xludf.DUMMYFUNCTION("iferror(iferror(INDEX(IMPORTRANGE(""12vtnxaE_Q1s4tyr10kZQx7ZF_xG0lBFae4jQEUtgsMU"",""All!B2:B""),MATCH($C894,IMPORTRANGE(""12vtnxaE_Q1s4tyr10kZQx7ZF_xG0lBFae4jQEUtgsMU"",""All!A2:A""),0)),INDEX(IMPORTRANGE(""13KC70HngS4DDi8y9E5khtSpQEPG6owaQ9z4E-tR5mnY"","&amp;"""Non-Food!B2:B""),MATCH($C894,IMPORTRANGE(""13KC70HngS4DDi8y9E5khtSpQEPG6owaQ9z4E-tR5mnY"",""Non-Food!A2:A""),0))),"""")"),"")</f>
        <v/>
      </c>
      <c r="E894" s="15"/>
      <c r="F894" s="15"/>
      <c r="G894" s="36"/>
      <c r="H894" s="23" t="str">
        <f>IFERROR(__xludf.DUMMYFUNCTION("iferror(iferror(iferror(index(IMPORTRANGE(""1NK5L1mviMn0j3D3uo53ASkIZOFRlLnqaCTnwzOG2_Wg"",""Direct Link!B2:B""),MATCH($C894,IMPORTRANGE(""1NK5L1mviMn0j3D3uo53ASkIZOFRlLnqaCTnwzOG2_Wg"",""Direct Link!A2:A""),0)),XLOOKUP($C894,IMPORTRANGE(""1NK5L1mviMn0j3D"&amp;"3uo53ASkIZOFRlLnqaCTnwzOG2_Wg"",""Direct links Without Sizes!A2:A""),IMPORTRANGE(""1NK5L1mviMn0j3D3uo53ASkIZOFRlLnqaCTnwzOG2_Wg"",""Direct links Without Sizes!B2:B""))),XLOOKUP($C894,IMPORTRANGE(""1NK5L1mviMn0j3D3uo53ASkIZOFRlLnqaCTnwzOG2_Wg"",""Direct li"&amp;"nks Without Sizes!D2:D""),IMPORTRANGE(""1NK5L1mviMn0j3D3uo53ASkIZOFRlLnqaCTnwzOG2_Wg"",""Direct links Without Sizes!E2:E""))),"""")"),"")</f>
        <v/>
      </c>
      <c r="I894" s="4"/>
      <c r="J894" s="24" t="str">
        <f t="shared" si="1"/>
        <v/>
      </c>
      <c r="K894" s="25"/>
      <c r="L894" s="24" t="str">
        <f t="shared" si="2"/>
        <v/>
      </c>
      <c r="M894" s="4"/>
      <c r="N894" s="23"/>
      <c r="O894" s="23"/>
      <c r="P894" s="23"/>
      <c r="Q894" s="4" t="str">
        <f t="shared" si="4"/>
        <v/>
      </c>
      <c r="R894" s="20"/>
      <c r="S894" s="20"/>
    </row>
    <row r="895">
      <c r="A895" s="4"/>
      <c r="B895" s="4"/>
      <c r="C895" s="37"/>
      <c r="D895" s="7" t="str">
        <f>IFERROR(__xludf.DUMMYFUNCTION("iferror(iferror(INDEX(IMPORTRANGE(""12vtnxaE_Q1s4tyr10kZQx7ZF_xG0lBFae4jQEUtgsMU"",""All!B2:B""),MATCH($C895,IMPORTRANGE(""12vtnxaE_Q1s4tyr10kZQx7ZF_xG0lBFae4jQEUtgsMU"",""All!A2:A""),0)),INDEX(IMPORTRANGE(""13KC70HngS4DDi8y9E5khtSpQEPG6owaQ9z4E-tR5mnY"","&amp;"""Non-Food!B2:B""),MATCH($C895,IMPORTRANGE(""13KC70HngS4DDi8y9E5khtSpQEPG6owaQ9z4E-tR5mnY"",""Non-Food!A2:A""),0))),"""")"),"")</f>
        <v/>
      </c>
      <c r="E895" s="15"/>
      <c r="F895" s="15"/>
      <c r="G895" s="36"/>
      <c r="H895" s="23" t="str">
        <f>IFERROR(__xludf.DUMMYFUNCTION("iferror(iferror(iferror(index(IMPORTRANGE(""1NK5L1mviMn0j3D3uo53ASkIZOFRlLnqaCTnwzOG2_Wg"",""Direct Link!B2:B""),MATCH($C895,IMPORTRANGE(""1NK5L1mviMn0j3D3uo53ASkIZOFRlLnqaCTnwzOG2_Wg"",""Direct Link!A2:A""),0)),XLOOKUP($C895,IMPORTRANGE(""1NK5L1mviMn0j3D"&amp;"3uo53ASkIZOFRlLnqaCTnwzOG2_Wg"",""Direct links Without Sizes!A2:A""),IMPORTRANGE(""1NK5L1mviMn0j3D3uo53ASkIZOFRlLnqaCTnwzOG2_Wg"",""Direct links Without Sizes!B2:B""))),XLOOKUP($C895,IMPORTRANGE(""1NK5L1mviMn0j3D3uo53ASkIZOFRlLnqaCTnwzOG2_Wg"",""Direct li"&amp;"nks Without Sizes!D2:D""),IMPORTRANGE(""1NK5L1mviMn0j3D3uo53ASkIZOFRlLnqaCTnwzOG2_Wg"",""Direct links Without Sizes!E2:E""))),"""")"),"")</f>
        <v/>
      </c>
      <c r="I895" s="4"/>
      <c r="J895" s="24" t="str">
        <f t="shared" si="1"/>
        <v/>
      </c>
      <c r="K895" s="25"/>
      <c r="L895" s="24" t="str">
        <f t="shared" si="2"/>
        <v/>
      </c>
      <c r="M895" s="4"/>
      <c r="N895" s="23"/>
      <c r="O895" s="23"/>
      <c r="P895" s="23"/>
      <c r="Q895" s="4" t="str">
        <f t="shared" si="4"/>
        <v/>
      </c>
      <c r="R895" s="20"/>
      <c r="S895" s="20"/>
    </row>
    <row r="896">
      <c r="A896" s="4"/>
      <c r="B896" s="4"/>
      <c r="C896" s="37"/>
      <c r="D896" s="7" t="str">
        <f>IFERROR(__xludf.DUMMYFUNCTION("iferror(iferror(INDEX(IMPORTRANGE(""12vtnxaE_Q1s4tyr10kZQx7ZF_xG0lBFae4jQEUtgsMU"",""All!B2:B""),MATCH($C896,IMPORTRANGE(""12vtnxaE_Q1s4tyr10kZQx7ZF_xG0lBFae4jQEUtgsMU"",""All!A2:A""),0)),INDEX(IMPORTRANGE(""13KC70HngS4DDi8y9E5khtSpQEPG6owaQ9z4E-tR5mnY"","&amp;"""Non-Food!B2:B""),MATCH($C896,IMPORTRANGE(""13KC70HngS4DDi8y9E5khtSpQEPG6owaQ9z4E-tR5mnY"",""Non-Food!A2:A""),0))),"""")"),"")</f>
        <v/>
      </c>
      <c r="E896" s="15"/>
      <c r="F896" s="15"/>
      <c r="G896" s="36"/>
      <c r="H896" s="23" t="str">
        <f>IFERROR(__xludf.DUMMYFUNCTION("iferror(iferror(iferror(index(IMPORTRANGE(""1NK5L1mviMn0j3D3uo53ASkIZOFRlLnqaCTnwzOG2_Wg"",""Direct Link!B2:B""),MATCH($C896,IMPORTRANGE(""1NK5L1mviMn0j3D3uo53ASkIZOFRlLnqaCTnwzOG2_Wg"",""Direct Link!A2:A""),0)),XLOOKUP($C896,IMPORTRANGE(""1NK5L1mviMn0j3D"&amp;"3uo53ASkIZOFRlLnqaCTnwzOG2_Wg"",""Direct links Without Sizes!A2:A""),IMPORTRANGE(""1NK5L1mviMn0j3D3uo53ASkIZOFRlLnqaCTnwzOG2_Wg"",""Direct links Without Sizes!B2:B""))),XLOOKUP($C896,IMPORTRANGE(""1NK5L1mviMn0j3D3uo53ASkIZOFRlLnqaCTnwzOG2_Wg"",""Direct li"&amp;"nks Without Sizes!D2:D""),IMPORTRANGE(""1NK5L1mviMn0j3D3uo53ASkIZOFRlLnqaCTnwzOG2_Wg"",""Direct links Without Sizes!E2:E""))),"""")"),"")</f>
        <v/>
      </c>
      <c r="I896" s="4"/>
      <c r="J896" s="24" t="str">
        <f t="shared" si="1"/>
        <v/>
      </c>
      <c r="K896" s="25"/>
      <c r="L896" s="24" t="str">
        <f t="shared" si="2"/>
        <v/>
      </c>
      <c r="M896" s="4"/>
      <c r="N896" s="23"/>
      <c r="O896" s="23"/>
      <c r="P896" s="23"/>
      <c r="Q896" s="4" t="str">
        <f t="shared" si="4"/>
        <v/>
      </c>
      <c r="R896" s="20"/>
      <c r="S896" s="20"/>
    </row>
    <row r="897">
      <c r="A897" s="4"/>
      <c r="B897" s="4"/>
      <c r="C897" s="37"/>
      <c r="D897" s="7" t="str">
        <f>IFERROR(__xludf.DUMMYFUNCTION("iferror(iferror(INDEX(IMPORTRANGE(""12vtnxaE_Q1s4tyr10kZQx7ZF_xG0lBFae4jQEUtgsMU"",""All!B2:B""),MATCH($C897,IMPORTRANGE(""12vtnxaE_Q1s4tyr10kZQx7ZF_xG0lBFae4jQEUtgsMU"",""All!A2:A""),0)),INDEX(IMPORTRANGE(""13KC70HngS4DDi8y9E5khtSpQEPG6owaQ9z4E-tR5mnY"","&amp;"""Non-Food!B2:B""),MATCH($C897,IMPORTRANGE(""13KC70HngS4DDi8y9E5khtSpQEPG6owaQ9z4E-tR5mnY"",""Non-Food!A2:A""),0))),"""")"),"")</f>
        <v/>
      </c>
      <c r="E897" s="15"/>
      <c r="F897" s="15"/>
      <c r="G897" s="36"/>
      <c r="H897" s="23" t="str">
        <f>IFERROR(__xludf.DUMMYFUNCTION("iferror(iferror(iferror(index(IMPORTRANGE(""1NK5L1mviMn0j3D3uo53ASkIZOFRlLnqaCTnwzOG2_Wg"",""Direct Link!B2:B""),MATCH($C897,IMPORTRANGE(""1NK5L1mviMn0j3D3uo53ASkIZOFRlLnqaCTnwzOG2_Wg"",""Direct Link!A2:A""),0)),XLOOKUP($C897,IMPORTRANGE(""1NK5L1mviMn0j3D"&amp;"3uo53ASkIZOFRlLnqaCTnwzOG2_Wg"",""Direct links Without Sizes!A2:A""),IMPORTRANGE(""1NK5L1mviMn0j3D3uo53ASkIZOFRlLnqaCTnwzOG2_Wg"",""Direct links Without Sizes!B2:B""))),XLOOKUP($C897,IMPORTRANGE(""1NK5L1mviMn0j3D3uo53ASkIZOFRlLnqaCTnwzOG2_Wg"",""Direct li"&amp;"nks Without Sizes!D2:D""),IMPORTRANGE(""1NK5L1mviMn0j3D3uo53ASkIZOFRlLnqaCTnwzOG2_Wg"",""Direct links Without Sizes!E2:E""))),"""")"),"")</f>
        <v/>
      </c>
      <c r="I897" s="4"/>
      <c r="J897" s="24" t="str">
        <f t="shared" si="1"/>
        <v/>
      </c>
      <c r="K897" s="25"/>
      <c r="L897" s="24" t="str">
        <f t="shared" si="2"/>
        <v/>
      </c>
      <c r="M897" s="4"/>
      <c r="N897" s="23"/>
      <c r="O897" s="23"/>
      <c r="P897" s="23"/>
      <c r="Q897" s="4" t="str">
        <f t="shared" si="4"/>
        <v/>
      </c>
      <c r="R897" s="20"/>
      <c r="S897" s="20"/>
    </row>
    <row r="898">
      <c r="A898" s="4"/>
      <c r="B898" s="4"/>
      <c r="C898" s="37"/>
      <c r="D898" s="7" t="str">
        <f>IFERROR(__xludf.DUMMYFUNCTION("iferror(iferror(INDEX(IMPORTRANGE(""12vtnxaE_Q1s4tyr10kZQx7ZF_xG0lBFae4jQEUtgsMU"",""All!B2:B""),MATCH($C898,IMPORTRANGE(""12vtnxaE_Q1s4tyr10kZQx7ZF_xG0lBFae4jQEUtgsMU"",""All!A2:A""),0)),INDEX(IMPORTRANGE(""13KC70HngS4DDi8y9E5khtSpQEPG6owaQ9z4E-tR5mnY"","&amp;"""Non-Food!B2:B""),MATCH($C898,IMPORTRANGE(""13KC70HngS4DDi8y9E5khtSpQEPG6owaQ9z4E-tR5mnY"",""Non-Food!A2:A""),0))),"""")"),"")</f>
        <v/>
      </c>
      <c r="E898" s="15"/>
      <c r="F898" s="15"/>
      <c r="G898" s="36"/>
      <c r="H898" s="23" t="str">
        <f>IFERROR(__xludf.DUMMYFUNCTION("iferror(iferror(iferror(index(IMPORTRANGE(""1NK5L1mviMn0j3D3uo53ASkIZOFRlLnqaCTnwzOG2_Wg"",""Direct Link!B2:B""),MATCH($C898,IMPORTRANGE(""1NK5L1mviMn0j3D3uo53ASkIZOFRlLnqaCTnwzOG2_Wg"",""Direct Link!A2:A""),0)),XLOOKUP($C898,IMPORTRANGE(""1NK5L1mviMn0j3D"&amp;"3uo53ASkIZOFRlLnqaCTnwzOG2_Wg"",""Direct links Without Sizes!A2:A""),IMPORTRANGE(""1NK5L1mviMn0j3D3uo53ASkIZOFRlLnqaCTnwzOG2_Wg"",""Direct links Without Sizes!B2:B""))),XLOOKUP($C898,IMPORTRANGE(""1NK5L1mviMn0j3D3uo53ASkIZOFRlLnqaCTnwzOG2_Wg"",""Direct li"&amp;"nks Without Sizes!D2:D""),IMPORTRANGE(""1NK5L1mviMn0j3D3uo53ASkIZOFRlLnqaCTnwzOG2_Wg"",""Direct links Without Sizes!E2:E""))),"""")"),"")</f>
        <v/>
      </c>
      <c r="I898" s="4"/>
      <c r="J898" s="24" t="str">
        <f t="shared" si="1"/>
        <v/>
      </c>
      <c r="K898" s="25"/>
      <c r="L898" s="24" t="str">
        <f t="shared" si="2"/>
        <v/>
      </c>
      <c r="M898" s="4"/>
      <c r="N898" s="23"/>
      <c r="O898" s="23"/>
      <c r="P898" s="23"/>
      <c r="Q898" s="4" t="str">
        <f t="shared" si="4"/>
        <v/>
      </c>
      <c r="R898" s="20"/>
      <c r="S898" s="20"/>
    </row>
    <row r="899">
      <c r="A899" s="4"/>
      <c r="B899" s="4"/>
      <c r="C899" s="37"/>
      <c r="D899" s="7" t="str">
        <f>IFERROR(__xludf.DUMMYFUNCTION("iferror(iferror(INDEX(IMPORTRANGE(""12vtnxaE_Q1s4tyr10kZQx7ZF_xG0lBFae4jQEUtgsMU"",""All!B2:B""),MATCH($C899,IMPORTRANGE(""12vtnxaE_Q1s4tyr10kZQx7ZF_xG0lBFae4jQEUtgsMU"",""All!A2:A""),0)),INDEX(IMPORTRANGE(""13KC70HngS4DDi8y9E5khtSpQEPG6owaQ9z4E-tR5mnY"","&amp;"""Non-Food!B2:B""),MATCH($C899,IMPORTRANGE(""13KC70HngS4DDi8y9E5khtSpQEPG6owaQ9z4E-tR5mnY"",""Non-Food!A2:A""),0))),"""")"),"")</f>
        <v/>
      </c>
      <c r="E899" s="15"/>
      <c r="F899" s="15"/>
      <c r="G899" s="36"/>
      <c r="H899" s="23" t="str">
        <f>IFERROR(__xludf.DUMMYFUNCTION("iferror(iferror(iferror(index(IMPORTRANGE(""1NK5L1mviMn0j3D3uo53ASkIZOFRlLnqaCTnwzOG2_Wg"",""Direct Link!B2:B""),MATCH($C899,IMPORTRANGE(""1NK5L1mviMn0j3D3uo53ASkIZOFRlLnqaCTnwzOG2_Wg"",""Direct Link!A2:A""),0)),XLOOKUP($C899,IMPORTRANGE(""1NK5L1mviMn0j3D"&amp;"3uo53ASkIZOFRlLnqaCTnwzOG2_Wg"",""Direct links Without Sizes!A2:A""),IMPORTRANGE(""1NK5L1mviMn0j3D3uo53ASkIZOFRlLnqaCTnwzOG2_Wg"",""Direct links Without Sizes!B2:B""))),XLOOKUP($C899,IMPORTRANGE(""1NK5L1mviMn0j3D3uo53ASkIZOFRlLnqaCTnwzOG2_Wg"",""Direct li"&amp;"nks Without Sizes!D2:D""),IMPORTRANGE(""1NK5L1mviMn0j3D3uo53ASkIZOFRlLnqaCTnwzOG2_Wg"",""Direct links Without Sizes!E2:E""))),"""")"),"")</f>
        <v/>
      </c>
      <c r="I899" s="4"/>
      <c r="J899" s="24" t="str">
        <f t="shared" si="1"/>
        <v/>
      </c>
      <c r="K899" s="25"/>
      <c r="L899" s="24" t="str">
        <f t="shared" si="2"/>
        <v/>
      </c>
      <c r="M899" s="4"/>
      <c r="N899" s="23"/>
      <c r="O899" s="23"/>
      <c r="P899" s="23"/>
      <c r="Q899" s="4" t="str">
        <f t="shared" si="4"/>
        <v/>
      </c>
      <c r="R899" s="20"/>
      <c r="S899" s="20"/>
    </row>
    <row r="900">
      <c r="A900" s="4"/>
      <c r="B900" s="4"/>
      <c r="C900" s="37"/>
      <c r="D900" s="7" t="str">
        <f>IFERROR(__xludf.DUMMYFUNCTION("iferror(iferror(INDEX(IMPORTRANGE(""12vtnxaE_Q1s4tyr10kZQx7ZF_xG0lBFae4jQEUtgsMU"",""All!B2:B""),MATCH($C900,IMPORTRANGE(""12vtnxaE_Q1s4tyr10kZQx7ZF_xG0lBFae4jQEUtgsMU"",""All!A2:A""),0)),INDEX(IMPORTRANGE(""13KC70HngS4DDi8y9E5khtSpQEPG6owaQ9z4E-tR5mnY"","&amp;"""Non-Food!B2:B""),MATCH($C900,IMPORTRANGE(""13KC70HngS4DDi8y9E5khtSpQEPG6owaQ9z4E-tR5mnY"",""Non-Food!A2:A""),0))),"""")"),"")</f>
        <v/>
      </c>
      <c r="E900" s="15"/>
      <c r="F900" s="15"/>
      <c r="G900" s="36"/>
      <c r="H900" s="23" t="str">
        <f>IFERROR(__xludf.DUMMYFUNCTION("iferror(iferror(iferror(index(IMPORTRANGE(""1NK5L1mviMn0j3D3uo53ASkIZOFRlLnqaCTnwzOG2_Wg"",""Direct Link!B2:B""),MATCH($C900,IMPORTRANGE(""1NK5L1mviMn0j3D3uo53ASkIZOFRlLnqaCTnwzOG2_Wg"",""Direct Link!A2:A""),0)),XLOOKUP($C900,IMPORTRANGE(""1NK5L1mviMn0j3D"&amp;"3uo53ASkIZOFRlLnqaCTnwzOG2_Wg"",""Direct links Without Sizes!A2:A""),IMPORTRANGE(""1NK5L1mviMn0j3D3uo53ASkIZOFRlLnqaCTnwzOG2_Wg"",""Direct links Without Sizes!B2:B""))),XLOOKUP($C900,IMPORTRANGE(""1NK5L1mviMn0j3D3uo53ASkIZOFRlLnqaCTnwzOG2_Wg"",""Direct li"&amp;"nks Without Sizes!D2:D""),IMPORTRANGE(""1NK5L1mviMn0j3D3uo53ASkIZOFRlLnqaCTnwzOG2_Wg"",""Direct links Without Sizes!E2:E""))),"""")"),"")</f>
        <v/>
      </c>
      <c r="I900" s="4"/>
      <c r="J900" s="24" t="str">
        <f t="shared" si="1"/>
        <v/>
      </c>
      <c r="K900" s="25"/>
      <c r="L900" s="24" t="str">
        <f t="shared" si="2"/>
        <v/>
      </c>
      <c r="M900" s="4"/>
      <c r="N900" s="23"/>
      <c r="O900" s="23"/>
      <c r="P900" s="23"/>
      <c r="Q900" s="4" t="str">
        <f t="shared" si="4"/>
        <v/>
      </c>
      <c r="R900" s="20"/>
      <c r="S900" s="20"/>
    </row>
    <row r="901">
      <c r="A901" s="4"/>
      <c r="B901" s="4"/>
      <c r="C901" s="37"/>
      <c r="D901" s="7" t="str">
        <f>IFERROR(__xludf.DUMMYFUNCTION("iferror(iferror(INDEX(IMPORTRANGE(""12vtnxaE_Q1s4tyr10kZQx7ZF_xG0lBFae4jQEUtgsMU"",""All!B2:B""),MATCH($C901,IMPORTRANGE(""12vtnxaE_Q1s4tyr10kZQx7ZF_xG0lBFae4jQEUtgsMU"",""All!A2:A""),0)),INDEX(IMPORTRANGE(""13KC70HngS4DDi8y9E5khtSpQEPG6owaQ9z4E-tR5mnY"","&amp;"""Non-Food!B2:B""),MATCH($C901,IMPORTRANGE(""13KC70HngS4DDi8y9E5khtSpQEPG6owaQ9z4E-tR5mnY"",""Non-Food!A2:A""),0))),"""")"),"")</f>
        <v/>
      </c>
      <c r="E901" s="15"/>
      <c r="F901" s="15"/>
      <c r="G901" s="36"/>
      <c r="H901" s="23" t="str">
        <f>IFERROR(__xludf.DUMMYFUNCTION("iferror(iferror(iferror(index(IMPORTRANGE(""1NK5L1mviMn0j3D3uo53ASkIZOFRlLnqaCTnwzOG2_Wg"",""Direct Link!B2:B""),MATCH($C901,IMPORTRANGE(""1NK5L1mviMn0j3D3uo53ASkIZOFRlLnqaCTnwzOG2_Wg"",""Direct Link!A2:A""),0)),XLOOKUP($C901,IMPORTRANGE(""1NK5L1mviMn0j3D"&amp;"3uo53ASkIZOFRlLnqaCTnwzOG2_Wg"",""Direct links Without Sizes!A2:A""),IMPORTRANGE(""1NK5L1mviMn0j3D3uo53ASkIZOFRlLnqaCTnwzOG2_Wg"",""Direct links Without Sizes!B2:B""))),XLOOKUP($C901,IMPORTRANGE(""1NK5L1mviMn0j3D3uo53ASkIZOFRlLnqaCTnwzOG2_Wg"",""Direct li"&amp;"nks Without Sizes!D2:D""),IMPORTRANGE(""1NK5L1mviMn0j3D3uo53ASkIZOFRlLnqaCTnwzOG2_Wg"",""Direct links Without Sizes!E2:E""))),"""")"),"")</f>
        <v/>
      </c>
      <c r="I901" s="4"/>
      <c r="J901" s="24" t="str">
        <f t="shared" si="1"/>
        <v/>
      </c>
      <c r="K901" s="25"/>
      <c r="L901" s="24" t="str">
        <f t="shared" si="2"/>
        <v/>
      </c>
      <c r="M901" s="4"/>
      <c r="N901" s="23"/>
      <c r="O901" s="23"/>
      <c r="P901" s="23"/>
      <c r="Q901" s="4" t="str">
        <f t="shared" si="4"/>
        <v/>
      </c>
      <c r="R901" s="20"/>
      <c r="S901" s="20"/>
    </row>
    <row r="902">
      <c r="A902" s="4"/>
      <c r="B902" s="4"/>
      <c r="C902" s="37"/>
      <c r="D902" s="7" t="str">
        <f>IFERROR(__xludf.DUMMYFUNCTION("iferror(iferror(INDEX(IMPORTRANGE(""12vtnxaE_Q1s4tyr10kZQx7ZF_xG0lBFae4jQEUtgsMU"",""All!B2:B""),MATCH($C902,IMPORTRANGE(""12vtnxaE_Q1s4tyr10kZQx7ZF_xG0lBFae4jQEUtgsMU"",""All!A2:A""),0)),INDEX(IMPORTRANGE(""13KC70HngS4DDi8y9E5khtSpQEPG6owaQ9z4E-tR5mnY"","&amp;"""Non-Food!B2:B""),MATCH($C902,IMPORTRANGE(""13KC70HngS4DDi8y9E5khtSpQEPG6owaQ9z4E-tR5mnY"",""Non-Food!A2:A""),0))),"""")"),"")</f>
        <v/>
      </c>
      <c r="E902" s="15"/>
      <c r="F902" s="15"/>
      <c r="G902" s="36"/>
      <c r="H902" s="23" t="str">
        <f>IFERROR(__xludf.DUMMYFUNCTION("iferror(iferror(iferror(index(IMPORTRANGE(""1NK5L1mviMn0j3D3uo53ASkIZOFRlLnqaCTnwzOG2_Wg"",""Direct Link!B2:B""),MATCH($C902,IMPORTRANGE(""1NK5L1mviMn0j3D3uo53ASkIZOFRlLnqaCTnwzOG2_Wg"",""Direct Link!A2:A""),0)),XLOOKUP($C902,IMPORTRANGE(""1NK5L1mviMn0j3D"&amp;"3uo53ASkIZOFRlLnqaCTnwzOG2_Wg"",""Direct links Without Sizes!A2:A""),IMPORTRANGE(""1NK5L1mviMn0j3D3uo53ASkIZOFRlLnqaCTnwzOG2_Wg"",""Direct links Without Sizes!B2:B""))),XLOOKUP($C902,IMPORTRANGE(""1NK5L1mviMn0j3D3uo53ASkIZOFRlLnqaCTnwzOG2_Wg"",""Direct li"&amp;"nks Without Sizes!D2:D""),IMPORTRANGE(""1NK5L1mviMn0j3D3uo53ASkIZOFRlLnqaCTnwzOG2_Wg"",""Direct links Without Sizes!E2:E""))),"""")"),"")</f>
        <v/>
      </c>
      <c r="I902" s="4"/>
      <c r="J902" s="24" t="str">
        <f t="shared" si="1"/>
        <v/>
      </c>
      <c r="K902" s="25"/>
      <c r="L902" s="24" t="str">
        <f t="shared" si="2"/>
        <v/>
      </c>
      <c r="M902" s="4"/>
      <c r="N902" s="23"/>
      <c r="O902" s="23"/>
      <c r="P902" s="23"/>
      <c r="Q902" s="4" t="str">
        <f t="shared" si="4"/>
        <v/>
      </c>
      <c r="R902" s="20"/>
      <c r="S902" s="20"/>
    </row>
    <row r="903">
      <c r="A903" s="4"/>
      <c r="B903" s="4"/>
      <c r="C903" s="37"/>
      <c r="D903" s="7" t="str">
        <f>IFERROR(__xludf.DUMMYFUNCTION("iferror(iferror(INDEX(IMPORTRANGE(""12vtnxaE_Q1s4tyr10kZQx7ZF_xG0lBFae4jQEUtgsMU"",""All!B2:B""),MATCH($C903,IMPORTRANGE(""12vtnxaE_Q1s4tyr10kZQx7ZF_xG0lBFae4jQEUtgsMU"",""All!A2:A""),0)),INDEX(IMPORTRANGE(""13KC70HngS4DDi8y9E5khtSpQEPG6owaQ9z4E-tR5mnY"","&amp;"""Non-Food!B2:B""),MATCH($C903,IMPORTRANGE(""13KC70HngS4DDi8y9E5khtSpQEPG6owaQ9z4E-tR5mnY"",""Non-Food!A2:A""),0))),"""")"),"")</f>
        <v/>
      </c>
      <c r="E903" s="15"/>
      <c r="F903" s="15"/>
      <c r="G903" s="36"/>
      <c r="H903" s="23" t="str">
        <f>IFERROR(__xludf.DUMMYFUNCTION("iferror(iferror(iferror(index(IMPORTRANGE(""1NK5L1mviMn0j3D3uo53ASkIZOFRlLnqaCTnwzOG2_Wg"",""Direct Link!B2:B""),MATCH($C903,IMPORTRANGE(""1NK5L1mviMn0j3D3uo53ASkIZOFRlLnqaCTnwzOG2_Wg"",""Direct Link!A2:A""),0)),XLOOKUP($C903,IMPORTRANGE(""1NK5L1mviMn0j3D"&amp;"3uo53ASkIZOFRlLnqaCTnwzOG2_Wg"",""Direct links Without Sizes!A2:A""),IMPORTRANGE(""1NK5L1mviMn0j3D3uo53ASkIZOFRlLnqaCTnwzOG2_Wg"",""Direct links Without Sizes!B2:B""))),XLOOKUP($C903,IMPORTRANGE(""1NK5L1mviMn0j3D3uo53ASkIZOFRlLnqaCTnwzOG2_Wg"",""Direct li"&amp;"nks Without Sizes!D2:D""),IMPORTRANGE(""1NK5L1mviMn0j3D3uo53ASkIZOFRlLnqaCTnwzOG2_Wg"",""Direct links Without Sizes!E2:E""))),"""")"),"")</f>
        <v/>
      </c>
      <c r="I903" s="4"/>
      <c r="J903" s="24" t="str">
        <f t="shared" si="1"/>
        <v/>
      </c>
      <c r="K903" s="25"/>
      <c r="L903" s="24" t="str">
        <f t="shared" si="2"/>
        <v/>
      </c>
      <c r="M903" s="4"/>
      <c r="N903" s="23"/>
      <c r="O903" s="23"/>
      <c r="P903" s="23"/>
      <c r="Q903" s="4" t="str">
        <f t="shared" si="4"/>
        <v/>
      </c>
      <c r="R903" s="20"/>
      <c r="S903" s="20"/>
    </row>
    <row r="904">
      <c r="A904" s="4"/>
      <c r="B904" s="4"/>
      <c r="C904" s="37"/>
      <c r="D904" s="7" t="str">
        <f>IFERROR(__xludf.DUMMYFUNCTION("iferror(iferror(INDEX(IMPORTRANGE(""12vtnxaE_Q1s4tyr10kZQx7ZF_xG0lBFae4jQEUtgsMU"",""All!B2:B""),MATCH($C904,IMPORTRANGE(""12vtnxaE_Q1s4tyr10kZQx7ZF_xG0lBFae4jQEUtgsMU"",""All!A2:A""),0)),INDEX(IMPORTRANGE(""13KC70HngS4DDi8y9E5khtSpQEPG6owaQ9z4E-tR5mnY"","&amp;"""Non-Food!B2:B""),MATCH($C904,IMPORTRANGE(""13KC70HngS4DDi8y9E5khtSpQEPG6owaQ9z4E-tR5mnY"",""Non-Food!A2:A""),0))),"""")"),"")</f>
        <v/>
      </c>
      <c r="E904" s="15"/>
      <c r="F904" s="15"/>
      <c r="G904" s="36"/>
      <c r="H904" s="23" t="str">
        <f>IFERROR(__xludf.DUMMYFUNCTION("iferror(iferror(iferror(index(IMPORTRANGE(""1NK5L1mviMn0j3D3uo53ASkIZOFRlLnqaCTnwzOG2_Wg"",""Direct Link!B2:B""),MATCH($C904,IMPORTRANGE(""1NK5L1mviMn0j3D3uo53ASkIZOFRlLnqaCTnwzOG2_Wg"",""Direct Link!A2:A""),0)),XLOOKUP($C904,IMPORTRANGE(""1NK5L1mviMn0j3D"&amp;"3uo53ASkIZOFRlLnqaCTnwzOG2_Wg"",""Direct links Without Sizes!A2:A""),IMPORTRANGE(""1NK5L1mviMn0j3D3uo53ASkIZOFRlLnqaCTnwzOG2_Wg"",""Direct links Without Sizes!B2:B""))),XLOOKUP($C904,IMPORTRANGE(""1NK5L1mviMn0j3D3uo53ASkIZOFRlLnqaCTnwzOG2_Wg"",""Direct li"&amp;"nks Without Sizes!D2:D""),IMPORTRANGE(""1NK5L1mviMn0j3D3uo53ASkIZOFRlLnqaCTnwzOG2_Wg"",""Direct links Without Sizes!E2:E""))),"""")"),"")</f>
        <v/>
      </c>
      <c r="I904" s="4"/>
      <c r="J904" s="24" t="str">
        <f t="shared" si="1"/>
        <v/>
      </c>
      <c r="K904" s="25"/>
      <c r="L904" s="24" t="str">
        <f t="shared" si="2"/>
        <v/>
      </c>
      <c r="M904" s="4"/>
      <c r="N904" s="23"/>
      <c r="O904" s="23"/>
      <c r="P904" s="23"/>
      <c r="Q904" s="4" t="str">
        <f t="shared" si="4"/>
        <v/>
      </c>
      <c r="R904" s="20"/>
      <c r="S904" s="20"/>
    </row>
    <row r="905">
      <c r="A905" s="4"/>
      <c r="B905" s="4"/>
      <c r="C905" s="37"/>
      <c r="D905" s="7" t="str">
        <f>IFERROR(__xludf.DUMMYFUNCTION("iferror(iferror(INDEX(IMPORTRANGE(""12vtnxaE_Q1s4tyr10kZQx7ZF_xG0lBFae4jQEUtgsMU"",""All!B2:B""),MATCH($C905,IMPORTRANGE(""12vtnxaE_Q1s4tyr10kZQx7ZF_xG0lBFae4jQEUtgsMU"",""All!A2:A""),0)),INDEX(IMPORTRANGE(""13KC70HngS4DDi8y9E5khtSpQEPG6owaQ9z4E-tR5mnY"","&amp;"""Non-Food!B2:B""),MATCH($C905,IMPORTRANGE(""13KC70HngS4DDi8y9E5khtSpQEPG6owaQ9z4E-tR5mnY"",""Non-Food!A2:A""),0))),"""")"),"")</f>
        <v/>
      </c>
      <c r="E905" s="15"/>
      <c r="F905" s="15"/>
      <c r="G905" s="36"/>
      <c r="H905" s="23" t="str">
        <f>IFERROR(__xludf.DUMMYFUNCTION("iferror(iferror(iferror(index(IMPORTRANGE(""1NK5L1mviMn0j3D3uo53ASkIZOFRlLnqaCTnwzOG2_Wg"",""Direct Link!B2:B""),MATCH($C905,IMPORTRANGE(""1NK5L1mviMn0j3D3uo53ASkIZOFRlLnqaCTnwzOG2_Wg"",""Direct Link!A2:A""),0)),XLOOKUP($C905,IMPORTRANGE(""1NK5L1mviMn0j3D"&amp;"3uo53ASkIZOFRlLnqaCTnwzOG2_Wg"",""Direct links Without Sizes!A2:A""),IMPORTRANGE(""1NK5L1mviMn0j3D3uo53ASkIZOFRlLnqaCTnwzOG2_Wg"",""Direct links Without Sizes!B2:B""))),XLOOKUP($C905,IMPORTRANGE(""1NK5L1mviMn0j3D3uo53ASkIZOFRlLnqaCTnwzOG2_Wg"",""Direct li"&amp;"nks Without Sizes!D2:D""),IMPORTRANGE(""1NK5L1mviMn0j3D3uo53ASkIZOFRlLnqaCTnwzOG2_Wg"",""Direct links Without Sizes!E2:E""))),"""")"),"")</f>
        <v/>
      </c>
      <c r="I905" s="4"/>
      <c r="J905" s="24" t="str">
        <f t="shared" si="1"/>
        <v/>
      </c>
      <c r="K905" s="25"/>
      <c r="L905" s="24" t="str">
        <f t="shared" si="2"/>
        <v/>
      </c>
      <c r="M905" s="4"/>
      <c r="N905" s="23"/>
      <c r="O905" s="23"/>
      <c r="P905" s="23"/>
      <c r="Q905" s="4" t="str">
        <f t="shared" si="4"/>
        <v/>
      </c>
      <c r="R905" s="20"/>
      <c r="S905" s="20"/>
    </row>
    <row r="906">
      <c r="A906" s="4"/>
      <c r="B906" s="4"/>
      <c r="C906" s="37"/>
      <c r="D906" s="7" t="str">
        <f>IFERROR(__xludf.DUMMYFUNCTION("iferror(iferror(INDEX(IMPORTRANGE(""12vtnxaE_Q1s4tyr10kZQx7ZF_xG0lBFae4jQEUtgsMU"",""All!B2:B""),MATCH($C906,IMPORTRANGE(""12vtnxaE_Q1s4tyr10kZQx7ZF_xG0lBFae4jQEUtgsMU"",""All!A2:A""),0)),INDEX(IMPORTRANGE(""13KC70HngS4DDi8y9E5khtSpQEPG6owaQ9z4E-tR5mnY"","&amp;"""Non-Food!B2:B""),MATCH($C906,IMPORTRANGE(""13KC70HngS4DDi8y9E5khtSpQEPG6owaQ9z4E-tR5mnY"",""Non-Food!A2:A""),0))),"""")"),"")</f>
        <v/>
      </c>
      <c r="E906" s="15"/>
      <c r="F906" s="15"/>
      <c r="G906" s="36"/>
      <c r="H906" s="23" t="str">
        <f>IFERROR(__xludf.DUMMYFUNCTION("iferror(iferror(iferror(index(IMPORTRANGE(""1NK5L1mviMn0j3D3uo53ASkIZOFRlLnqaCTnwzOG2_Wg"",""Direct Link!B2:B""),MATCH($C906,IMPORTRANGE(""1NK5L1mviMn0j3D3uo53ASkIZOFRlLnqaCTnwzOG2_Wg"",""Direct Link!A2:A""),0)),XLOOKUP($C906,IMPORTRANGE(""1NK5L1mviMn0j3D"&amp;"3uo53ASkIZOFRlLnqaCTnwzOG2_Wg"",""Direct links Without Sizes!A2:A""),IMPORTRANGE(""1NK5L1mviMn0j3D3uo53ASkIZOFRlLnqaCTnwzOG2_Wg"",""Direct links Without Sizes!B2:B""))),XLOOKUP($C906,IMPORTRANGE(""1NK5L1mviMn0j3D3uo53ASkIZOFRlLnqaCTnwzOG2_Wg"",""Direct li"&amp;"nks Without Sizes!D2:D""),IMPORTRANGE(""1NK5L1mviMn0j3D3uo53ASkIZOFRlLnqaCTnwzOG2_Wg"",""Direct links Without Sizes!E2:E""))),"""")"),"")</f>
        <v/>
      </c>
      <c r="I906" s="4"/>
      <c r="J906" s="24" t="str">
        <f t="shared" si="1"/>
        <v/>
      </c>
      <c r="K906" s="25"/>
      <c r="L906" s="24" t="str">
        <f t="shared" si="2"/>
        <v/>
      </c>
      <c r="M906" s="4"/>
      <c r="N906" s="23"/>
      <c r="O906" s="23"/>
      <c r="P906" s="23"/>
      <c r="Q906" s="4" t="str">
        <f t="shared" si="4"/>
        <v/>
      </c>
      <c r="R906" s="20"/>
      <c r="S906" s="20"/>
    </row>
    <row r="907">
      <c r="A907" s="4"/>
      <c r="B907" s="4"/>
      <c r="C907" s="37"/>
      <c r="D907" s="7" t="str">
        <f>IFERROR(__xludf.DUMMYFUNCTION("iferror(iferror(INDEX(IMPORTRANGE(""12vtnxaE_Q1s4tyr10kZQx7ZF_xG0lBFae4jQEUtgsMU"",""All!B2:B""),MATCH($C907,IMPORTRANGE(""12vtnxaE_Q1s4tyr10kZQx7ZF_xG0lBFae4jQEUtgsMU"",""All!A2:A""),0)),INDEX(IMPORTRANGE(""13KC70HngS4DDi8y9E5khtSpQEPG6owaQ9z4E-tR5mnY"","&amp;"""Non-Food!B2:B""),MATCH($C907,IMPORTRANGE(""13KC70HngS4DDi8y9E5khtSpQEPG6owaQ9z4E-tR5mnY"",""Non-Food!A2:A""),0))),"""")"),"")</f>
        <v/>
      </c>
      <c r="E907" s="15"/>
      <c r="F907" s="15"/>
      <c r="G907" s="36"/>
      <c r="H907" s="23" t="str">
        <f>IFERROR(__xludf.DUMMYFUNCTION("iferror(iferror(iferror(index(IMPORTRANGE(""1NK5L1mviMn0j3D3uo53ASkIZOFRlLnqaCTnwzOG2_Wg"",""Direct Link!B2:B""),MATCH($C907,IMPORTRANGE(""1NK5L1mviMn0j3D3uo53ASkIZOFRlLnqaCTnwzOG2_Wg"",""Direct Link!A2:A""),0)),XLOOKUP($C907,IMPORTRANGE(""1NK5L1mviMn0j3D"&amp;"3uo53ASkIZOFRlLnqaCTnwzOG2_Wg"",""Direct links Without Sizes!A2:A""),IMPORTRANGE(""1NK5L1mviMn0j3D3uo53ASkIZOFRlLnqaCTnwzOG2_Wg"",""Direct links Without Sizes!B2:B""))),XLOOKUP($C907,IMPORTRANGE(""1NK5L1mviMn0j3D3uo53ASkIZOFRlLnqaCTnwzOG2_Wg"",""Direct li"&amp;"nks Without Sizes!D2:D""),IMPORTRANGE(""1NK5L1mviMn0j3D3uo53ASkIZOFRlLnqaCTnwzOG2_Wg"",""Direct links Without Sizes!E2:E""))),"""")"),"")</f>
        <v/>
      </c>
      <c r="I907" s="4"/>
      <c r="J907" s="24" t="str">
        <f t="shared" si="1"/>
        <v/>
      </c>
      <c r="K907" s="25"/>
      <c r="L907" s="24" t="str">
        <f t="shared" si="2"/>
        <v/>
      </c>
      <c r="M907" s="4"/>
      <c r="N907" s="23"/>
      <c r="O907" s="23"/>
      <c r="P907" s="23"/>
      <c r="Q907" s="4" t="str">
        <f t="shared" si="4"/>
        <v/>
      </c>
      <c r="R907" s="20"/>
      <c r="S907" s="20"/>
    </row>
    <row r="908">
      <c r="A908" s="4"/>
      <c r="B908" s="4"/>
      <c r="C908" s="37"/>
      <c r="D908" s="7" t="str">
        <f>IFERROR(__xludf.DUMMYFUNCTION("iferror(iferror(INDEX(IMPORTRANGE(""12vtnxaE_Q1s4tyr10kZQx7ZF_xG0lBFae4jQEUtgsMU"",""All!B2:B""),MATCH($C908,IMPORTRANGE(""12vtnxaE_Q1s4tyr10kZQx7ZF_xG0lBFae4jQEUtgsMU"",""All!A2:A""),0)),INDEX(IMPORTRANGE(""13KC70HngS4DDi8y9E5khtSpQEPG6owaQ9z4E-tR5mnY"","&amp;"""Non-Food!B2:B""),MATCH($C908,IMPORTRANGE(""13KC70HngS4DDi8y9E5khtSpQEPG6owaQ9z4E-tR5mnY"",""Non-Food!A2:A""),0))),"""")"),"")</f>
        <v/>
      </c>
      <c r="E908" s="15"/>
      <c r="F908" s="15"/>
      <c r="G908" s="36"/>
      <c r="H908" s="23" t="str">
        <f>IFERROR(__xludf.DUMMYFUNCTION("iferror(iferror(iferror(index(IMPORTRANGE(""1NK5L1mviMn0j3D3uo53ASkIZOFRlLnqaCTnwzOG2_Wg"",""Direct Link!B2:B""),MATCH($C908,IMPORTRANGE(""1NK5L1mviMn0j3D3uo53ASkIZOFRlLnqaCTnwzOG2_Wg"",""Direct Link!A2:A""),0)),XLOOKUP($C908,IMPORTRANGE(""1NK5L1mviMn0j3D"&amp;"3uo53ASkIZOFRlLnqaCTnwzOG2_Wg"",""Direct links Without Sizes!A2:A""),IMPORTRANGE(""1NK5L1mviMn0j3D3uo53ASkIZOFRlLnqaCTnwzOG2_Wg"",""Direct links Without Sizes!B2:B""))),XLOOKUP($C908,IMPORTRANGE(""1NK5L1mviMn0j3D3uo53ASkIZOFRlLnqaCTnwzOG2_Wg"",""Direct li"&amp;"nks Without Sizes!D2:D""),IMPORTRANGE(""1NK5L1mviMn0j3D3uo53ASkIZOFRlLnqaCTnwzOG2_Wg"",""Direct links Without Sizes!E2:E""))),"""")"),"")</f>
        <v/>
      </c>
      <c r="I908" s="4"/>
      <c r="J908" s="24" t="str">
        <f t="shared" si="1"/>
        <v/>
      </c>
      <c r="K908" s="25"/>
      <c r="L908" s="24" t="str">
        <f t="shared" si="2"/>
        <v/>
      </c>
      <c r="M908" s="4"/>
      <c r="N908" s="23"/>
      <c r="O908" s="23"/>
      <c r="P908" s="23"/>
      <c r="Q908" s="4" t="str">
        <f t="shared" si="4"/>
        <v/>
      </c>
      <c r="R908" s="20"/>
      <c r="S908" s="20"/>
    </row>
    <row r="909">
      <c r="A909" s="4"/>
      <c r="B909" s="4"/>
      <c r="C909" s="37"/>
      <c r="D909" s="7" t="str">
        <f>IFERROR(__xludf.DUMMYFUNCTION("iferror(iferror(INDEX(IMPORTRANGE(""12vtnxaE_Q1s4tyr10kZQx7ZF_xG0lBFae4jQEUtgsMU"",""All!B2:B""),MATCH($C909,IMPORTRANGE(""12vtnxaE_Q1s4tyr10kZQx7ZF_xG0lBFae4jQEUtgsMU"",""All!A2:A""),0)),INDEX(IMPORTRANGE(""13KC70HngS4DDi8y9E5khtSpQEPG6owaQ9z4E-tR5mnY"","&amp;"""Non-Food!B2:B""),MATCH($C909,IMPORTRANGE(""13KC70HngS4DDi8y9E5khtSpQEPG6owaQ9z4E-tR5mnY"",""Non-Food!A2:A""),0))),"""")"),"")</f>
        <v/>
      </c>
      <c r="E909" s="15"/>
      <c r="F909" s="15"/>
      <c r="G909" s="36"/>
      <c r="H909" s="23" t="str">
        <f>IFERROR(__xludf.DUMMYFUNCTION("iferror(iferror(iferror(index(IMPORTRANGE(""1NK5L1mviMn0j3D3uo53ASkIZOFRlLnqaCTnwzOG2_Wg"",""Direct Link!B2:B""),MATCH($C909,IMPORTRANGE(""1NK5L1mviMn0j3D3uo53ASkIZOFRlLnqaCTnwzOG2_Wg"",""Direct Link!A2:A""),0)),XLOOKUP($C909,IMPORTRANGE(""1NK5L1mviMn0j3D"&amp;"3uo53ASkIZOFRlLnqaCTnwzOG2_Wg"",""Direct links Without Sizes!A2:A""),IMPORTRANGE(""1NK5L1mviMn0j3D3uo53ASkIZOFRlLnqaCTnwzOG2_Wg"",""Direct links Without Sizes!B2:B""))),XLOOKUP($C909,IMPORTRANGE(""1NK5L1mviMn0j3D3uo53ASkIZOFRlLnqaCTnwzOG2_Wg"",""Direct li"&amp;"nks Without Sizes!D2:D""),IMPORTRANGE(""1NK5L1mviMn0j3D3uo53ASkIZOFRlLnqaCTnwzOG2_Wg"",""Direct links Without Sizes!E2:E""))),"""")"),"")</f>
        <v/>
      </c>
      <c r="I909" s="4"/>
      <c r="J909" s="24" t="str">
        <f t="shared" si="1"/>
        <v/>
      </c>
      <c r="K909" s="25"/>
      <c r="L909" s="24" t="str">
        <f t="shared" si="2"/>
        <v/>
      </c>
      <c r="M909" s="4"/>
      <c r="N909" s="23"/>
      <c r="O909" s="23"/>
      <c r="P909" s="23"/>
      <c r="Q909" s="4" t="str">
        <f t="shared" si="4"/>
        <v/>
      </c>
      <c r="R909" s="20"/>
      <c r="S909" s="20"/>
    </row>
    <row r="910">
      <c r="A910" s="4"/>
      <c r="B910" s="4"/>
      <c r="C910" s="37"/>
      <c r="D910" s="7" t="str">
        <f>IFERROR(__xludf.DUMMYFUNCTION("iferror(iferror(INDEX(IMPORTRANGE(""12vtnxaE_Q1s4tyr10kZQx7ZF_xG0lBFae4jQEUtgsMU"",""All!B2:B""),MATCH($C910,IMPORTRANGE(""12vtnxaE_Q1s4tyr10kZQx7ZF_xG0lBFae4jQEUtgsMU"",""All!A2:A""),0)),INDEX(IMPORTRANGE(""13KC70HngS4DDi8y9E5khtSpQEPG6owaQ9z4E-tR5mnY"","&amp;"""Non-Food!B2:B""),MATCH($C910,IMPORTRANGE(""13KC70HngS4DDi8y9E5khtSpQEPG6owaQ9z4E-tR5mnY"",""Non-Food!A2:A""),0))),"""")"),"")</f>
        <v/>
      </c>
      <c r="E910" s="15"/>
      <c r="F910" s="15"/>
      <c r="G910" s="36"/>
      <c r="H910" s="23" t="str">
        <f>IFERROR(__xludf.DUMMYFUNCTION("iferror(iferror(iferror(index(IMPORTRANGE(""1NK5L1mviMn0j3D3uo53ASkIZOFRlLnqaCTnwzOG2_Wg"",""Direct Link!B2:B""),MATCH($C910,IMPORTRANGE(""1NK5L1mviMn0j3D3uo53ASkIZOFRlLnqaCTnwzOG2_Wg"",""Direct Link!A2:A""),0)),XLOOKUP($C910,IMPORTRANGE(""1NK5L1mviMn0j3D"&amp;"3uo53ASkIZOFRlLnqaCTnwzOG2_Wg"",""Direct links Without Sizes!A2:A""),IMPORTRANGE(""1NK5L1mviMn0j3D3uo53ASkIZOFRlLnqaCTnwzOG2_Wg"",""Direct links Without Sizes!B2:B""))),XLOOKUP($C910,IMPORTRANGE(""1NK5L1mviMn0j3D3uo53ASkIZOFRlLnqaCTnwzOG2_Wg"",""Direct li"&amp;"nks Without Sizes!D2:D""),IMPORTRANGE(""1NK5L1mviMn0j3D3uo53ASkIZOFRlLnqaCTnwzOG2_Wg"",""Direct links Without Sizes!E2:E""))),"""")"),"")</f>
        <v/>
      </c>
      <c r="I910" s="4"/>
      <c r="J910" s="24" t="str">
        <f t="shared" si="1"/>
        <v/>
      </c>
      <c r="K910" s="25"/>
      <c r="L910" s="24" t="str">
        <f t="shared" si="2"/>
        <v/>
      </c>
      <c r="M910" s="4"/>
      <c r="N910" s="23"/>
      <c r="O910" s="23"/>
      <c r="P910" s="23"/>
      <c r="Q910" s="4" t="str">
        <f t="shared" si="4"/>
        <v/>
      </c>
      <c r="R910" s="20"/>
      <c r="S910" s="20"/>
    </row>
    <row r="911">
      <c r="A911" s="4"/>
      <c r="B911" s="4"/>
      <c r="C911" s="37"/>
      <c r="D911" s="7" t="str">
        <f>IFERROR(__xludf.DUMMYFUNCTION("iferror(iferror(INDEX(IMPORTRANGE(""12vtnxaE_Q1s4tyr10kZQx7ZF_xG0lBFae4jQEUtgsMU"",""All!B2:B""),MATCH($C911,IMPORTRANGE(""12vtnxaE_Q1s4tyr10kZQx7ZF_xG0lBFae4jQEUtgsMU"",""All!A2:A""),0)),INDEX(IMPORTRANGE(""13KC70HngS4DDi8y9E5khtSpQEPG6owaQ9z4E-tR5mnY"","&amp;"""Non-Food!B2:B""),MATCH($C911,IMPORTRANGE(""13KC70HngS4DDi8y9E5khtSpQEPG6owaQ9z4E-tR5mnY"",""Non-Food!A2:A""),0))),"""")"),"")</f>
        <v/>
      </c>
      <c r="E911" s="15"/>
      <c r="F911" s="15"/>
      <c r="G911" s="36"/>
      <c r="H911" s="23" t="str">
        <f>IFERROR(__xludf.DUMMYFUNCTION("iferror(iferror(iferror(index(IMPORTRANGE(""1NK5L1mviMn0j3D3uo53ASkIZOFRlLnqaCTnwzOG2_Wg"",""Direct Link!B2:B""),MATCH($C911,IMPORTRANGE(""1NK5L1mviMn0j3D3uo53ASkIZOFRlLnqaCTnwzOG2_Wg"",""Direct Link!A2:A""),0)),XLOOKUP($C911,IMPORTRANGE(""1NK5L1mviMn0j3D"&amp;"3uo53ASkIZOFRlLnqaCTnwzOG2_Wg"",""Direct links Without Sizes!A2:A""),IMPORTRANGE(""1NK5L1mviMn0j3D3uo53ASkIZOFRlLnqaCTnwzOG2_Wg"",""Direct links Without Sizes!B2:B""))),XLOOKUP($C911,IMPORTRANGE(""1NK5L1mviMn0j3D3uo53ASkIZOFRlLnqaCTnwzOG2_Wg"",""Direct li"&amp;"nks Without Sizes!D2:D""),IMPORTRANGE(""1NK5L1mviMn0j3D3uo53ASkIZOFRlLnqaCTnwzOG2_Wg"",""Direct links Without Sizes!E2:E""))),"""")"),"")</f>
        <v/>
      </c>
      <c r="I911" s="4"/>
      <c r="J911" s="24" t="str">
        <f t="shared" si="1"/>
        <v/>
      </c>
      <c r="K911" s="25"/>
      <c r="L911" s="24" t="str">
        <f t="shared" si="2"/>
        <v/>
      </c>
      <c r="M911" s="4"/>
      <c r="N911" s="23"/>
      <c r="O911" s="23"/>
      <c r="P911" s="23"/>
      <c r="Q911" s="4" t="str">
        <f t="shared" si="4"/>
        <v/>
      </c>
      <c r="R911" s="20"/>
      <c r="S911" s="20"/>
    </row>
    <row r="912">
      <c r="A912" s="4"/>
      <c r="B912" s="4"/>
      <c r="C912" s="37"/>
      <c r="D912" s="7" t="str">
        <f>IFERROR(__xludf.DUMMYFUNCTION("iferror(iferror(INDEX(IMPORTRANGE(""12vtnxaE_Q1s4tyr10kZQx7ZF_xG0lBFae4jQEUtgsMU"",""All!B2:B""),MATCH($C912,IMPORTRANGE(""12vtnxaE_Q1s4tyr10kZQx7ZF_xG0lBFae4jQEUtgsMU"",""All!A2:A""),0)),INDEX(IMPORTRANGE(""13KC70HngS4DDi8y9E5khtSpQEPG6owaQ9z4E-tR5mnY"","&amp;"""Non-Food!B2:B""),MATCH($C912,IMPORTRANGE(""13KC70HngS4DDi8y9E5khtSpQEPG6owaQ9z4E-tR5mnY"",""Non-Food!A2:A""),0))),"""")"),"")</f>
        <v/>
      </c>
      <c r="E912" s="15"/>
      <c r="F912" s="15"/>
      <c r="G912" s="36"/>
      <c r="H912" s="23" t="str">
        <f>IFERROR(__xludf.DUMMYFUNCTION("iferror(iferror(iferror(index(IMPORTRANGE(""1NK5L1mviMn0j3D3uo53ASkIZOFRlLnqaCTnwzOG2_Wg"",""Direct Link!B2:B""),MATCH($C912,IMPORTRANGE(""1NK5L1mviMn0j3D3uo53ASkIZOFRlLnqaCTnwzOG2_Wg"",""Direct Link!A2:A""),0)),XLOOKUP($C912,IMPORTRANGE(""1NK5L1mviMn0j3D"&amp;"3uo53ASkIZOFRlLnqaCTnwzOG2_Wg"",""Direct links Without Sizes!A2:A""),IMPORTRANGE(""1NK5L1mviMn0j3D3uo53ASkIZOFRlLnqaCTnwzOG2_Wg"",""Direct links Without Sizes!B2:B""))),XLOOKUP($C912,IMPORTRANGE(""1NK5L1mviMn0j3D3uo53ASkIZOFRlLnqaCTnwzOG2_Wg"",""Direct li"&amp;"nks Without Sizes!D2:D""),IMPORTRANGE(""1NK5L1mviMn0j3D3uo53ASkIZOFRlLnqaCTnwzOG2_Wg"",""Direct links Without Sizes!E2:E""))),"""")"),"")</f>
        <v/>
      </c>
      <c r="I912" s="4"/>
      <c r="J912" s="24" t="str">
        <f t="shared" si="1"/>
        <v/>
      </c>
      <c r="K912" s="25"/>
      <c r="L912" s="24" t="str">
        <f t="shared" si="2"/>
        <v/>
      </c>
      <c r="M912" s="4"/>
      <c r="N912" s="23"/>
      <c r="O912" s="23"/>
      <c r="P912" s="23"/>
      <c r="Q912" s="4" t="str">
        <f t="shared" si="4"/>
        <v/>
      </c>
      <c r="R912" s="20"/>
      <c r="S912" s="20"/>
    </row>
    <row r="913">
      <c r="A913" s="4"/>
      <c r="B913" s="4"/>
      <c r="C913" s="37"/>
      <c r="D913" s="7" t="str">
        <f>IFERROR(__xludf.DUMMYFUNCTION("iferror(iferror(INDEX(IMPORTRANGE(""12vtnxaE_Q1s4tyr10kZQx7ZF_xG0lBFae4jQEUtgsMU"",""All!B2:B""),MATCH($C913,IMPORTRANGE(""12vtnxaE_Q1s4tyr10kZQx7ZF_xG0lBFae4jQEUtgsMU"",""All!A2:A""),0)),INDEX(IMPORTRANGE(""13KC70HngS4DDi8y9E5khtSpQEPG6owaQ9z4E-tR5mnY"","&amp;"""Non-Food!B2:B""),MATCH($C913,IMPORTRANGE(""13KC70HngS4DDi8y9E5khtSpQEPG6owaQ9z4E-tR5mnY"",""Non-Food!A2:A""),0))),"""")"),"")</f>
        <v/>
      </c>
      <c r="E913" s="15"/>
      <c r="F913" s="15"/>
      <c r="G913" s="36"/>
      <c r="H913" s="23" t="str">
        <f>IFERROR(__xludf.DUMMYFUNCTION("iferror(iferror(iferror(index(IMPORTRANGE(""1NK5L1mviMn0j3D3uo53ASkIZOFRlLnqaCTnwzOG2_Wg"",""Direct Link!B2:B""),MATCH($C913,IMPORTRANGE(""1NK5L1mviMn0j3D3uo53ASkIZOFRlLnqaCTnwzOG2_Wg"",""Direct Link!A2:A""),0)),XLOOKUP($C913,IMPORTRANGE(""1NK5L1mviMn0j3D"&amp;"3uo53ASkIZOFRlLnqaCTnwzOG2_Wg"",""Direct links Without Sizes!A2:A""),IMPORTRANGE(""1NK5L1mviMn0j3D3uo53ASkIZOFRlLnqaCTnwzOG2_Wg"",""Direct links Without Sizes!B2:B""))),XLOOKUP($C913,IMPORTRANGE(""1NK5L1mviMn0j3D3uo53ASkIZOFRlLnqaCTnwzOG2_Wg"",""Direct li"&amp;"nks Without Sizes!D2:D""),IMPORTRANGE(""1NK5L1mviMn0j3D3uo53ASkIZOFRlLnqaCTnwzOG2_Wg"",""Direct links Without Sizes!E2:E""))),"""")"),"")</f>
        <v/>
      </c>
      <c r="I913" s="4"/>
      <c r="J913" s="24" t="str">
        <f t="shared" si="1"/>
        <v/>
      </c>
      <c r="K913" s="25"/>
      <c r="L913" s="24" t="str">
        <f t="shared" si="2"/>
        <v/>
      </c>
      <c r="M913" s="4"/>
      <c r="N913" s="23"/>
      <c r="O913" s="23"/>
      <c r="P913" s="23"/>
      <c r="Q913" s="4" t="str">
        <f t="shared" si="4"/>
        <v/>
      </c>
      <c r="R913" s="20"/>
      <c r="S913" s="20"/>
    </row>
    <row r="914">
      <c r="A914" s="4"/>
      <c r="B914" s="4"/>
      <c r="C914" s="37"/>
      <c r="D914" s="7" t="str">
        <f>IFERROR(__xludf.DUMMYFUNCTION("iferror(iferror(INDEX(IMPORTRANGE(""12vtnxaE_Q1s4tyr10kZQx7ZF_xG0lBFae4jQEUtgsMU"",""All!B2:B""),MATCH($C914,IMPORTRANGE(""12vtnxaE_Q1s4tyr10kZQx7ZF_xG0lBFae4jQEUtgsMU"",""All!A2:A""),0)),INDEX(IMPORTRANGE(""13KC70HngS4DDi8y9E5khtSpQEPG6owaQ9z4E-tR5mnY"","&amp;"""Non-Food!B2:B""),MATCH($C914,IMPORTRANGE(""13KC70HngS4DDi8y9E5khtSpQEPG6owaQ9z4E-tR5mnY"",""Non-Food!A2:A""),0))),"""")"),"")</f>
        <v/>
      </c>
      <c r="E914" s="15"/>
      <c r="F914" s="15"/>
      <c r="G914" s="36"/>
      <c r="H914" s="23" t="str">
        <f>IFERROR(__xludf.DUMMYFUNCTION("iferror(iferror(iferror(index(IMPORTRANGE(""1NK5L1mviMn0j3D3uo53ASkIZOFRlLnqaCTnwzOG2_Wg"",""Direct Link!B2:B""),MATCH($C914,IMPORTRANGE(""1NK5L1mviMn0j3D3uo53ASkIZOFRlLnqaCTnwzOG2_Wg"",""Direct Link!A2:A""),0)),XLOOKUP($C914,IMPORTRANGE(""1NK5L1mviMn0j3D"&amp;"3uo53ASkIZOFRlLnqaCTnwzOG2_Wg"",""Direct links Without Sizes!A2:A""),IMPORTRANGE(""1NK5L1mviMn0j3D3uo53ASkIZOFRlLnqaCTnwzOG2_Wg"",""Direct links Without Sizes!B2:B""))),XLOOKUP($C914,IMPORTRANGE(""1NK5L1mviMn0j3D3uo53ASkIZOFRlLnqaCTnwzOG2_Wg"",""Direct li"&amp;"nks Without Sizes!D2:D""),IMPORTRANGE(""1NK5L1mviMn0j3D3uo53ASkIZOFRlLnqaCTnwzOG2_Wg"",""Direct links Without Sizes!E2:E""))),"""")"),"")</f>
        <v/>
      </c>
      <c r="I914" s="4"/>
      <c r="J914" s="24" t="str">
        <f t="shared" si="1"/>
        <v/>
      </c>
      <c r="K914" s="25"/>
      <c r="L914" s="24" t="str">
        <f t="shared" si="2"/>
        <v/>
      </c>
      <c r="M914" s="4"/>
      <c r="N914" s="23"/>
      <c r="O914" s="23"/>
      <c r="P914" s="23"/>
      <c r="Q914" s="4" t="str">
        <f t="shared" si="4"/>
        <v/>
      </c>
      <c r="R914" s="20"/>
      <c r="S914" s="20"/>
    </row>
    <row r="915">
      <c r="A915" s="4"/>
      <c r="B915" s="4"/>
      <c r="C915" s="37"/>
      <c r="D915" s="7" t="str">
        <f>IFERROR(__xludf.DUMMYFUNCTION("iferror(iferror(INDEX(IMPORTRANGE(""12vtnxaE_Q1s4tyr10kZQx7ZF_xG0lBFae4jQEUtgsMU"",""All!B2:B""),MATCH($C915,IMPORTRANGE(""12vtnxaE_Q1s4tyr10kZQx7ZF_xG0lBFae4jQEUtgsMU"",""All!A2:A""),0)),INDEX(IMPORTRANGE(""13KC70HngS4DDi8y9E5khtSpQEPG6owaQ9z4E-tR5mnY"","&amp;"""Non-Food!B2:B""),MATCH($C915,IMPORTRANGE(""13KC70HngS4DDi8y9E5khtSpQEPG6owaQ9z4E-tR5mnY"",""Non-Food!A2:A""),0))),"""")"),"")</f>
        <v/>
      </c>
      <c r="E915" s="15"/>
      <c r="F915" s="15"/>
      <c r="G915" s="36"/>
      <c r="H915" s="23" t="str">
        <f>IFERROR(__xludf.DUMMYFUNCTION("iferror(iferror(iferror(index(IMPORTRANGE(""1NK5L1mviMn0j3D3uo53ASkIZOFRlLnqaCTnwzOG2_Wg"",""Direct Link!B2:B""),MATCH($C915,IMPORTRANGE(""1NK5L1mviMn0j3D3uo53ASkIZOFRlLnqaCTnwzOG2_Wg"",""Direct Link!A2:A""),0)),XLOOKUP($C915,IMPORTRANGE(""1NK5L1mviMn0j3D"&amp;"3uo53ASkIZOFRlLnqaCTnwzOG2_Wg"",""Direct links Without Sizes!A2:A""),IMPORTRANGE(""1NK5L1mviMn0j3D3uo53ASkIZOFRlLnqaCTnwzOG2_Wg"",""Direct links Without Sizes!B2:B""))),XLOOKUP($C915,IMPORTRANGE(""1NK5L1mviMn0j3D3uo53ASkIZOFRlLnqaCTnwzOG2_Wg"",""Direct li"&amp;"nks Without Sizes!D2:D""),IMPORTRANGE(""1NK5L1mviMn0j3D3uo53ASkIZOFRlLnqaCTnwzOG2_Wg"",""Direct links Without Sizes!E2:E""))),"""")"),"")</f>
        <v/>
      </c>
      <c r="I915" s="4"/>
      <c r="J915" s="24" t="str">
        <f t="shared" si="1"/>
        <v/>
      </c>
      <c r="K915" s="25"/>
      <c r="L915" s="24" t="str">
        <f t="shared" si="2"/>
        <v/>
      </c>
      <c r="M915" s="4"/>
      <c r="N915" s="23"/>
      <c r="O915" s="23"/>
      <c r="P915" s="23"/>
      <c r="Q915" s="4" t="str">
        <f t="shared" si="4"/>
        <v/>
      </c>
      <c r="R915" s="20"/>
      <c r="S915" s="20"/>
    </row>
    <row r="916">
      <c r="A916" s="4"/>
      <c r="B916" s="4"/>
      <c r="C916" s="37"/>
      <c r="D916" s="7" t="str">
        <f>IFERROR(__xludf.DUMMYFUNCTION("iferror(iferror(INDEX(IMPORTRANGE(""12vtnxaE_Q1s4tyr10kZQx7ZF_xG0lBFae4jQEUtgsMU"",""All!B2:B""),MATCH($C916,IMPORTRANGE(""12vtnxaE_Q1s4tyr10kZQx7ZF_xG0lBFae4jQEUtgsMU"",""All!A2:A""),0)),INDEX(IMPORTRANGE(""13KC70HngS4DDi8y9E5khtSpQEPG6owaQ9z4E-tR5mnY"","&amp;"""Non-Food!B2:B""),MATCH($C916,IMPORTRANGE(""13KC70HngS4DDi8y9E5khtSpQEPG6owaQ9z4E-tR5mnY"",""Non-Food!A2:A""),0))),"""")"),"")</f>
        <v/>
      </c>
      <c r="E916" s="15"/>
      <c r="F916" s="15"/>
      <c r="G916" s="36"/>
      <c r="H916" s="23" t="str">
        <f>IFERROR(__xludf.DUMMYFUNCTION("iferror(iferror(iferror(index(IMPORTRANGE(""1NK5L1mviMn0j3D3uo53ASkIZOFRlLnqaCTnwzOG2_Wg"",""Direct Link!B2:B""),MATCH($C916,IMPORTRANGE(""1NK5L1mviMn0j3D3uo53ASkIZOFRlLnqaCTnwzOG2_Wg"",""Direct Link!A2:A""),0)),XLOOKUP($C916,IMPORTRANGE(""1NK5L1mviMn0j3D"&amp;"3uo53ASkIZOFRlLnqaCTnwzOG2_Wg"",""Direct links Without Sizes!A2:A""),IMPORTRANGE(""1NK5L1mviMn0j3D3uo53ASkIZOFRlLnqaCTnwzOG2_Wg"",""Direct links Without Sizes!B2:B""))),XLOOKUP($C916,IMPORTRANGE(""1NK5L1mviMn0j3D3uo53ASkIZOFRlLnqaCTnwzOG2_Wg"",""Direct li"&amp;"nks Without Sizes!D2:D""),IMPORTRANGE(""1NK5L1mviMn0j3D3uo53ASkIZOFRlLnqaCTnwzOG2_Wg"",""Direct links Without Sizes!E2:E""))),"""")"),"")</f>
        <v/>
      </c>
      <c r="I916" s="4"/>
      <c r="J916" s="24" t="str">
        <f t="shared" si="1"/>
        <v/>
      </c>
      <c r="K916" s="25"/>
      <c r="L916" s="24" t="str">
        <f t="shared" si="2"/>
        <v/>
      </c>
      <c r="M916" s="4"/>
      <c r="N916" s="23"/>
      <c r="O916" s="23"/>
      <c r="P916" s="23"/>
      <c r="Q916" s="4" t="str">
        <f t="shared" si="4"/>
        <v/>
      </c>
      <c r="R916" s="20"/>
      <c r="S916" s="20"/>
    </row>
    <row r="917">
      <c r="A917" s="4"/>
      <c r="B917" s="4"/>
      <c r="C917" s="37"/>
      <c r="D917" s="7" t="str">
        <f>IFERROR(__xludf.DUMMYFUNCTION("iferror(iferror(INDEX(IMPORTRANGE(""12vtnxaE_Q1s4tyr10kZQx7ZF_xG0lBFae4jQEUtgsMU"",""All!B2:B""),MATCH($C917,IMPORTRANGE(""12vtnxaE_Q1s4tyr10kZQx7ZF_xG0lBFae4jQEUtgsMU"",""All!A2:A""),0)),INDEX(IMPORTRANGE(""13KC70HngS4DDi8y9E5khtSpQEPG6owaQ9z4E-tR5mnY"","&amp;"""Non-Food!B2:B""),MATCH($C917,IMPORTRANGE(""13KC70HngS4DDi8y9E5khtSpQEPG6owaQ9z4E-tR5mnY"",""Non-Food!A2:A""),0))),"""")"),"")</f>
        <v/>
      </c>
      <c r="E917" s="15"/>
      <c r="F917" s="15"/>
      <c r="G917" s="36"/>
      <c r="H917" s="23" t="str">
        <f>IFERROR(__xludf.DUMMYFUNCTION("iferror(iferror(iferror(index(IMPORTRANGE(""1NK5L1mviMn0j3D3uo53ASkIZOFRlLnqaCTnwzOG2_Wg"",""Direct Link!B2:B""),MATCH($C917,IMPORTRANGE(""1NK5L1mviMn0j3D3uo53ASkIZOFRlLnqaCTnwzOG2_Wg"",""Direct Link!A2:A""),0)),XLOOKUP($C917,IMPORTRANGE(""1NK5L1mviMn0j3D"&amp;"3uo53ASkIZOFRlLnqaCTnwzOG2_Wg"",""Direct links Without Sizes!A2:A""),IMPORTRANGE(""1NK5L1mviMn0j3D3uo53ASkIZOFRlLnqaCTnwzOG2_Wg"",""Direct links Without Sizes!B2:B""))),XLOOKUP($C917,IMPORTRANGE(""1NK5L1mviMn0j3D3uo53ASkIZOFRlLnqaCTnwzOG2_Wg"",""Direct li"&amp;"nks Without Sizes!D2:D""),IMPORTRANGE(""1NK5L1mviMn0j3D3uo53ASkIZOFRlLnqaCTnwzOG2_Wg"",""Direct links Without Sizes!E2:E""))),"""")"),"")</f>
        <v/>
      </c>
      <c r="I917" s="4"/>
      <c r="J917" s="24" t="str">
        <f t="shared" si="1"/>
        <v/>
      </c>
      <c r="K917" s="25"/>
      <c r="L917" s="24" t="str">
        <f t="shared" si="2"/>
        <v/>
      </c>
      <c r="M917" s="4"/>
      <c r="N917" s="23"/>
      <c r="O917" s="23"/>
      <c r="P917" s="23"/>
      <c r="Q917" s="4" t="str">
        <f t="shared" si="4"/>
        <v/>
      </c>
      <c r="R917" s="20"/>
      <c r="S917" s="20"/>
    </row>
    <row r="918">
      <c r="A918" s="4"/>
      <c r="B918" s="4"/>
      <c r="C918" s="37"/>
      <c r="D918" s="7" t="str">
        <f>IFERROR(__xludf.DUMMYFUNCTION("iferror(iferror(INDEX(IMPORTRANGE(""12vtnxaE_Q1s4tyr10kZQx7ZF_xG0lBFae4jQEUtgsMU"",""All!B2:B""),MATCH($C918,IMPORTRANGE(""12vtnxaE_Q1s4tyr10kZQx7ZF_xG0lBFae4jQEUtgsMU"",""All!A2:A""),0)),INDEX(IMPORTRANGE(""13KC70HngS4DDi8y9E5khtSpQEPG6owaQ9z4E-tR5mnY"","&amp;"""Non-Food!B2:B""),MATCH($C918,IMPORTRANGE(""13KC70HngS4DDi8y9E5khtSpQEPG6owaQ9z4E-tR5mnY"",""Non-Food!A2:A""),0))),"""")"),"")</f>
        <v/>
      </c>
      <c r="E918" s="15"/>
      <c r="F918" s="15"/>
      <c r="G918" s="36"/>
      <c r="H918" s="23" t="str">
        <f>IFERROR(__xludf.DUMMYFUNCTION("iferror(iferror(iferror(index(IMPORTRANGE(""1NK5L1mviMn0j3D3uo53ASkIZOFRlLnqaCTnwzOG2_Wg"",""Direct Link!B2:B""),MATCH($C918,IMPORTRANGE(""1NK5L1mviMn0j3D3uo53ASkIZOFRlLnqaCTnwzOG2_Wg"",""Direct Link!A2:A""),0)),XLOOKUP($C918,IMPORTRANGE(""1NK5L1mviMn0j3D"&amp;"3uo53ASkIZOFRlLnqaCTnwzOG2_Wg"",""Direct links Without Sizes!A2:A""),IMPORTRANGE(""1NK5L1mviMn0j3D3uo53ASkIZOFRlLnqaCTnwzOG2_Wg"",""Direct links Without Sizes!B2:B""))),XLOOKUP($C918,IMPORTRANGE(""1NK5L1mviMn0j3D3uo53ASkIZOFRlLnqaCTnwzOG2_Wg"",""Direct li"&amp;"nks Without Sizes!D2:D""),IMPORTRANGE(""1NK5L1mviMn0j3D3uo53ASkIZOFRlLnqaCTnwzOG2_Wg"",""Direct links Without Sizes!E2:E""))),"""")"),"")</f>
        <v/>
      </c>
      <c r="I918" s="4"/>
      <c r="J918" s="24" t="str">
        <f t="shared" si="1"/>
        <v/>
      </c>
      <c r="K918" s="25"/>
      <c r="L918" s="24" t="str">
        <f t="shared" si="2"/>
        <v/>
      </c>
      <c r="M918" s="4"/>
      <c r="N918" s="23"/>
      <c r="O918" s="23"/>
      <c r="P918" s="23"/>
      <c r="Q918" s="4" t="str">
        <f t="shared" si="4"/>
        <v/>
      </c>
      <c r="R918" s="20"/>
      <c r="S918" s="20"/>
    </row>
    <row r="919">
      <c r="A919" s="4"/>
      <c r="B919" s="4"/>
      <c r="C919" s="37"/>
      <c r="D919" s="7" t="str">
        <f>IFERROR(__xludf.DUMMYFUNCTION("iferror(iferror(INDEX(IMPORTRANGE(""12vtnxaE_Q1s4tyr10kZQx7ZF_xG0lBFae4jQEUtgsMU"",""All!B2:B""),MATCH($C919,IMPORTRANGE(""12vtnxaE_Q1s4tyr10kZQx7ZF_xG0lBFae4jQEUtgsMU"",""All!A2:A""),0)),INDEX(IMPORTRANGE(""13KC70HngS4DDi8y9E5khtSpQEPG6owaQ9z4E-tR5mnY"","&amp;"""Non-Food!B2:B""),MATCH($C919,IMPORTRANGE(""13KC70HngS4DDi8y9E5khtSpQEPG6owaQ9z4E-tR5mnY"",""Non-Food!A2:A""),0))),"""")"),"")</f>
        <v/>
      </c>
      <c r="E919" s="15"/>
      <c r="F919" s="15"/>
      <c r="G919" s="36"/>
      <c r="H919" s="23" t="str">
        <f>IFERROR(__xludf.DUMMYFUNCTION("iferror(iferror(iferror(index(IMPORTRANGE(""1NK5L1mviMn0j3D3uo53ASkIZOFRlLnqaCTnwzOG2_Wg"",""Direct Link!B2:B""),MATCH($C919,IMPORTRANGE(""1NK5L1mviMn0j3D3uo53ASkIZOFRlLnqaCTnwzOG2_Wg"",""Direct Link!A2:A""),0)),XLOOKUP($C919,IMPORTRANGE(""1NK5L1mviMn0j3D"&amp;"3uo53ASkIZOFRlLnqaCTnwzOG2_Wg"",""Direct links Without Sizes!A2:A""),IMPORTRANGE(""1NK5L1mviMn0j3D3uo53ASkIZOFRlLnqaCTnwzOG2_Wg"",""Direct links Without Sizes!B2:B""))),XLOOKUP($C919,IMPORTRANGE(""1NK5L1mviMn0j3D3uo53ASkIZOFRlLnqaCTnwzOG2_Wg"",""Direct li"&amp;"nks Without Sizes!D2:D""),IMPORTRANGE(""1NK5L1mviMn0j3D3uo53ASkIZOFRlLnqaCTnwzOG2_Wg"",""Direct links Without Sizes!E2:E""))),"""")"),"")</f>
        <v/>
      </c>
      <c r="I919" s="4"/>
      <c r="J919" s="24" t="str">
        <f t="shared" si="1"/>
        <v/>
      </c>
      <c r="K919" s="25"/>
      <c r="L919" s="24" t="str">
        <f t="shared" si="2"/>
        <v/>
      </c>
      <c r="M919" s="4"/>
      <c r="N919" s="23"/>
      <c r="O919" s="23"/>
      <c r="P919" s="23"/>
      <c r="Q919" s="4" t="str">
        <f t="shared" si="4"/>
        <v/>
      </c>
      <c r="R919" s="20"/>
      <c r="S919" s="20"/>
    </row>
    <row r="920">
      <c r="A920" s="4"/>
      <c r="B920" s="4"/>
      <c r="C920" s="37"/>
      <c r="D920" s="7" t="str">
        <f>IFERROR(__xludf.DUMMYFUNCTION("iferror(iferror(INDEX(IMPORTRANGE(""12vtnxaE_Q1s4tyr10kZQx7ZF_xG0lBFae4jQEUtgsMU"",""All!B2:B""),MATCH($C920,IMPORTRANGE(""12vtnxaE_Q1s4tyr10kZQx7ZF_xG0lBFae4jQEUtgsMU"",""All!A2:A""),0)),INDEX(IMPORTRANGE(""13KC70HngS4DDi8y9E5khtSpQEPG6owaQ9z4E-tR5mnY"","&amp;"""Non-Food!B2:B""),MATCH($C920,IMPORTRANGE(""13KC70HngS4DDi8y9E5khtSpQEPG6owaQ9z4E-tR5mnY"",""Non-Food!A2:A""),0))),"""")"),"")</f>
        <v/>
      </c>
      <c r="E920" s="15"/>
      <c r="F920" s="15"/>
      <c r="G920" s="36"/>
      <c r="H920" s="23" t="str">
        <f>IFERROR(__xludf.DUMMYFUNCTION("iferror(iferror(iferror(index(IMPORTRANGE(""1NK5L1mviMn0j3D3uo53ASkIZOFRlLnqaCTnwzOG2_Wg"",""Direct Link!B2:B""),MATCH($C920,IMPORTRANGE(""1NK5L1mviMn0j3D3uo53ASkIZOFRlLnqaCTnwzOG2_Wg"",""Direct Link!A2:A""),0)),XLOOKUP($C920,IMPORTRANGE(""1NK5L1mviMn0j3D"&amp;"3uo53ASkIZOFRlLnqaCTnwzOG2_Wg"",""Direct links Without Sizes!A2:A""),IMPORTRANGE(""1NK5L1mviMn0j3D3uo53ASkIZOFRlLnqaCTnwzOG2_Wg"",""Direct links Without Sizes!B2:B""))),XLOOKUP($C920,IMPORTRANGE(""1NK5L1mviMn0j3D3uo53ASkIZOFRlLnqaCTnwzOG2_Wg"",""Direct li"&amp;"nks Without Sizes!D2:D""),IMPORTRANGE(""1NK5L1mviMn0j3D3uo53ASkIZOFRlLnqaCTnwzOG2_Wg"",""Direct links Without Sizes!E2:E""))),"""")"),"")</f>
        <v/>
      </c>
      <c r="I920" s="4"/>
      <c r="J920" s="24" t="str">
        <f t="shared" si="1"/>
        <v/>
      </c>
      <c r="K920" s="25"/>
      <c r="L920" s="24" t="str">
        <f t="shared" si="2"/>
        <v/>
      </c>
      <c r="M920" s="4"/>
      <c r="N920" s="23"/>
      <c r="O920" s="23"/>
      <c r="P920" s="23"/>
      <c r="Q920" s="4" t="str">
        <f t="shared" si="4"/>
        <v/>
      </c>
      <c r="R920" s="20"/>
      <c r="S920" s="20"/>
    </row>
    <row r="921">
      <c r="A921" s="4"/>
      <c r="B921" s="4"/>
      <c r="C921" s="37"/>
      <c r="D921" s="7" t="str">
        <f>IFERROR(__xludf.DUMMYFUNCTION("iferror(iferror(INDEX(IMPORTRANGE(""12vtnxaE_Q1s4tyr10kZQx7ZF_xG0lBFae4jQEUtgsMU"",""All!B2:B""),MATCH($C921,IMPORTRANGE(""12vtnxaE_Q1s4tyr10kZQx7ZF_xG0lBFae4jQEUtgsMU"",""All!A2:A""),0)),INDEX(IMPORTRANGE(""13KC70HngS4DDi8y9E5khtSpQEPG6owaQ9z4E-tR5mnY"","&amp;"""Non-Food!B2:B""),MATCH($C921,IMPORTRANGE(""13KC70HngS4DDi8y9E5khtSpQEPG6owaQ9z4E-tR5mnY"",""Non-Food!A2:A""),0))),"""")"),"")</f>
        <v/>
      </c>
      <c r="E921" s="15"/>
      <c r="F921" s="15"/>
      <c r="G921" s="36"/>
      <c r="H921" s="23" t="str">
        <f>IFERROR(__xludf.DUMMYFUNCTION("iferror(iferror(iferror(index(IMPORTRANGE(""1NK5L1mviMn0j3D3uo53ASkIZOFRlLnqaCTnwzOG2_Wg"",""Direct Link!B2:B""),MATCH($C921,IMPORTRANGE(""1NK5L1mviMn0j3D3uo53ASkIZOFRlLnqaCTnwzOG2_Wg"",""Direct Link!A2:A""),0)),XLOOKUP($C921,IMPORTRANGE(""1NK5L1mviMn0j3D"&amp;"3uo53ASkIZOFRlLnqaCTnwzOG2_Wg"",""Direct links Without Sizes!A2:A""),IMPORTRANGE(""1NK5L1mviMn0j3D3uo53ASkIZOFRlLnqaCTnwzOG2_Wg"",""Direct links Without Sizes!B2:B""))),XLOOKUP($C921,IMPORTRANGE(""1NK5L1mviMn0j3D3uo53ASkIZOFRlLnqaCTnwzOG2_Wg"",""Direct li"&amp;"nks Without Sizes!D2:D""),IMPORTRANGE(""1NK5L1mviMn0j3D3uo53ASkIZOFRlLnqaCTnwzOG2_Wg"",""Direct links Without Sizes!E2:E""))),"""")"),"")</f>
        <v/>
      </c>
      <c r="I921" s="4"/>
      <c r="J921" s="24" t="str">
        <f t="shared" si="1"/>
        <v/>
      </c>
      <c r="K921" s="25"/>
      <c r="L921" s="24" t="str">
        <f t="shared" si="2"/>
        <v/>
      </c>
      <c r="M921" s="4"/>
      <c r="N921" s="23"/>
      <c r="O921" s="23"/>
      <c r="P921" s="23"/>
      <c r="Q921" s="4" t="str">
        <f t="shared" si="4"/>
        <v/>
      </c>
      <c r="R921" s="20"/>
      <c r="S921" s="20"/>
    </row>
    <row r="922">
      <c r="A922" s="4"/>
      <c r="B922" s="4"/>
      <c r="C922" s="37"/>
      <c r="D922" s="7" t="str">
        <f>IFERROR(__xludf.DUMMYFUNCTION("iferror(iferror(INDEX(IMPORTRANGE(""12vtnxaE_Q1s4tyr10kZQx7ZF_xG0lBFae4jQEUtgsMU"",""All!B2:B""),MATCH($C922,IMPORTRANGE(""12vtnxaE_Q1s4tyr10kZQx7ZF_xG0lBFae4jQEUtgsMU"",""All!A2:A""),0)),INDEX(IMPORTRANGE(""13KC70HngS4DDi8y9E5khtSpQEPG6owaQ9z4E-tR5mnY"","&amp;"""Non-Food!B2:B""),MATCH($C922,IMPORTRANGE(""13KC70HngS4DDi8y9E5khtSpQEPG6owaQ9z4E-tR5mnY"",""Non-Food!A2:A""),0))),"""")"),"")</f>
        <v/>
      </c>
      <c r="E922" s="15"/>
      <c r="F922" s="15"/>
      <c r="G922" s="36"/>
      <c r="H922" s="23" t="str">
        <f>IFERROR(__xludf.DUMMYFUNCTION("iferror(iferror(iferror(index(IMPORTRANGE(""1NK5L1mviMn0j3D3uo53ASkIZOFRlLnqaCTnwzOG2_Wg"",""Direct Link!B2:B""),MATCH($C922,IMPORTRANGE(""1NK5L1mviMn0j3D3uo53ASkIZOFRlLnqaCTnwzOG2_Wg"",""Direct Link!A2:A""),0)),XLOOKUP($C922,IMPORTRANGE(""1NK5L1mviMn0j3D"&amp;"3uo53ASkIZOFRlLnqaCTnwzOG2_Wg"",""Direct links Without Sizes!A2:A""),IMPORTRANGE(""1NK5L1mviMn0j3D3uo53ASkIZOFRlLnqaCTnwzOG2_Wg"",""Direct links Without Sizes!B2:B""))),XLOOKUP($C922,IMPORTRANGE(""1NK5L1mviMn0j3D3uo53ASkIZOFRlLnqaCTnwzOG2_Wg"",""Direct li"&amp;"nks Without Sizes!D2:D""),IMPORTRANGE(""1NK5L1mviMn0j3D3uo53ASkIZOFRlLnqaCTnwzOG2_Wg"",""Direct links Without Sizes!E2:E""))),"""")"),"")</f>
        <v/>
      </c>
      <c r="I922" s="4"/>
      <c r="J922" s="24" t="str">
        <f t="shared" si="1"/>
        <v/>
      </c>
      <c r="K922" s="25"/>
      <c r="L922" s="24" t="str">
        <f t="shared" si="2"/>
        <v/>
      </c>
      <c r="M922" s="4"/>
      <c r="N922" s="23"/>
      <c r="O922" s="23"/>
      <c r="P922" s="23"/>
      <c r="Q922" s="4" t="str">
        <f t="shared" si="4"/>
        <v/>
      </c>
      <c r="R922" s="20"/>
      <c r="S922" s="20"/>
    </row>
    <row r="923">
      <c r="A923" s="4"/>
      <c r="B923" s="4"/>
      <c r="C923" s="37"/>
      <c r="D923" s="7" t="str">
        <f>IFERROR(__xludf.DUMMYFUNCTION("iferror(iferror(INDEX(IMPORTRANGE(""12vtnxaE_Q1s4tyr10kZQx7ZF_xG0lBFae4jQEUtgsMU"",""All!B2:B""),MATCH($C923,IMPORTRANGE(""12vtnxaE_Q1s4tyr10kZQx7ZF_xG0lBFae4jQEUtgsMU"",""All!A2:A""),0)),INDEX(IMPORTRANGE(""13KC70HngS4DDi8y9E5khtSpQEPG6owaQ9z4E-tR5mnY"","&amp;"""Non-Food!B2:B""),MATCH($C923,IMPORTRANGE(""13KC70HngS4DDi8y9E5khtSpQEPG6owaQ9z4E-tR5mnY"",""Non-Food!A2:A""),0))),"""")"),"")</f>
        <v/>
      </c>
      <c r="E923" s="15"/>
      <c r="F923" s="15"/>
      <c r="G923" s="36"/>
      <c r="H923" s="23" t="str">
        <f>IFERROR(__xludf.DUMMYFUNCTION("iferror(iferror(iferror(index(IMPORTRANGE(""1NK5L1mviMn0j3D3uo53ASkIZOFRlLnqaCTnwzOG2_Wg"",""Direct Link!B2:B""),MATCH($C923,IMPORTRANGE(""1NK5L1mviMn0j3D3uo53ASkIZOFRlLnqaCTnwzOG2_Wg"",""Direct Link!A2:A""),0)),XLOOKUP($C923,IMPORTRANGE(""1NK5L1mviMn0j3D"&amp;"3uo53ASkIZOFRlLnqaCTnwzOG2_Wg"",""Direct links Without Sizes!A2:A""),IMPORTRANGE(""1NK5L1mviMn0j3D3uo53ASkIZOFRlLnqaCTnwzOG2_Wg"",""Direct links Without Sizes!B2:B""))),XLOOKUP($C923,IMPORTRANGE(""1NK5L1mviMn0j3D3uo53ASkIZOFRlLnqaCTnwzOG2_Wg"",""Direct li"&amp;"nks Without Sizes!D2:D""),IMPORTRANGE(""1NK5L1mviMn0j3D3uo53ASkIZOFRlLnqaCTnwzOG2_Wg"",""Direct links Without Sizes!E2:E""))),"""")"),"")</f>
        <v/>
      </c>
      <c r="I923" s="4"/>
      <c r="J923" s="24" t="str">
        <f t="shared" si="1"/>
        <v/>
      </c>
      <c r="K923" s="25"/>
      <c r="L923" s="24" t="str">
        <f t="shared" si="2"/>
        <v/>
      </c>
      <c r="M923" s="4"/>
      <c r="N923" s="23"/>
      <c r="O923" s="23"/>
      <c r="P923" s="23"/>
      <c r="Q923" s="4" t="str">
        <f t="shared" si="4"/>
        <v/>
      </c>
      <c r="R923" s="20"/>
      <c r="S923" s="20"/>
    </row>
    <row r="924">
      <c r="A924" s="4"/>
      <c r="B924" s="4"/>
      <c r="C924" s="37"/>
      <c r="D924" s="7" t="str">
        <f>IFERROR(__xludf.DUMMYFUNCTION("iferror(iferror(INDEX(IMPORTRANGE(""12vtnxaE_Q1s4tyr10kZQx7ZF_xG0lBFae4jQEUtgsMU"",""All!B2:B""),MATCH($C924,IMPORTRANGE(""12vtnxaE_Q1s4tyr10kZQx7ZF_xG0lBFae4jQEUtgsMU"",""All!A2:A""),0)),INDEX(IMPORTRANGE(""13KC70HngS4DDi8y9E5khtSpQEPG6owaQ9z4E-tR5mnY"","&amp;"""Non-Food!B2:B""),MATCH($C924,IMPORTRANGE(""13KC70HngS4DDi8y9E5khtSpQEPG6owaQ9z4E-tR5mnY"",""Non-Food!A2:A""),0))),"""")"),"")</f>
        <v/>
      </c>
      <c r="E924" s="15"/>
      <c r="F924" s="15"/>
      <c r="G924" s="36"/>
      <c r="H924" s="23" t="str">
        <f>IFERROR(__xludf.DUMMYFUNCTION("iferror(iferror(iferror(index(IMPORTRANGE(""1NK5L1mviMn0j3D3uo53ASkIZOFRlLnqaCTnwzOG2_Wg"",""Direct Link!B2:B""),MATCH($C924,IMPORTRANGE(""1NK5L1mviMn0j3D3uo53ASkIZOFRlLnqaCTnwzOG2_Wg"",""Direct Link!A2:A""),0)),XLOOKUP($C924,IMPORTRANGE(""1NK5L1mviMn0j3D"&amp;"3uo53ASkIZOFRlLnqaCTnwzOG2_Wg"",""Direct links Without Sizes!A2:A""),IMPORTRANGE(""1NK5L1mviMn0j3D3uo53ASkIZOFRlLnqaCTnwzOG2_Wg"",""Direct links Without Sizes!B2:B""))),XLOOKUP($C924,IMPORTRANGE(""1NK5L1mviMn0j3D3uo53ASkIZOFRlLnqaCTnwzOG2_Wg"",""Direct li"&amp;"nks Without Sizes!D2:D""),IMPORTRANGE(""1NK5L1mviMn0j3D3uo53ASkIZOFRlLnqaCTnwzOG2_Wg"",""Direct links Without Sizes!E2:E""))),"""")"),"")</f>
        <v/>
      </c>
      <c r="I924" s="4"/>
      <c r="J924" s="24" t="str">
        <f t="shared" si="1"/>
        <v/>
      </c>
      <c r="K924" s="25"/>
      <c r="L924" s="24" t="str">
        <f t="shared" si="2"/>
        <v/>
      </c>
      <c r="M924" s="4"/>
      <c r="N924" s="23"/>
      <c r="O924" s="23"/>
      <c r="P924" s="23"/>
      <c r="Q924" s="4" t="str">
        <f t="shared" si="4"/>
        <v/>
      </c>
      <c r="R924" s="20"/>
      <c r="S924" s="20"/>
    </row>
    <row r="925">
      <c r="A925" s="4"/>
      <c r="B925" s="4"/>
      <c r="C925" s="37"/>
      <c r="D925" s="7" t="str">
        <f>IFERROR(__xludf.DUMMYFUNCTION("iferror(iferror(INDEX(IMPORTRANGE(""12vtnxaE_Q1s4tyr10kZQx7ZF_xG0lBFae4jQEUtgsMU"",""All!B2:B""),MATCH($C925,IMPORTRANGE(""12vtnxaE_Q1s4tyr10kZQx7ZF_xG0lBFae4jQEUtgsMU"",""All!A2:A""),0)),INDEX(IMPORTRANGE(""13KC70HngS4DDi8y9E5khtSpQEPG6owaQ9z4E-tR5mnY"","&amp;"""Non-Food!B2:B""),MATCH($C925,IMPORTRANGE(""13KC70HngS4DDi8y9E5khtSpQEPG6owaQ9z4E-tR5mnY"",""Non-Food!A2:A""),0))),"""")"),"")</f>
        <v/>
      </c>
      <c r="E925" s="15"/>
      <c r="F925" s="15"/>
      <c r="G925" s="36"/>
      <c r="H925" s="23" t="str">
        <f>IFERROR(__xludf.DUMMYFUNCTION("iferror(iferror(iferror(index(IMPORTRANGE(""1NK5L1mviMn0j3D3uo53ASkIZOFRlLnqaCTnwzOG2_Wg"",""Direct Link!B2:B""),MATCH($C925,IMPORTRANGE(""1NK5L1mviMn0j3D3uo53ASkIZOFRlLnqaCTnwzOG2_Wg"",""Direct Link!A2:A""),0)),XLOOKUP($C925,IMPORTRANGE(""1NK5L1mviMn0j3D"&amp;"3uo53ASkIZOFRlLnqaCTnwzOG2_Wg"",""Direct links Without Sizes!A2:A""),IMPORTRANGE(""1NK5L1mviMn0j3D3uo53ASkIZOFRlLnqaCTnwzOG2_Wg"",""Direct links Without Sizes!B2:B""))),XLOOKUP($C925,IMPORTRANGE(""1NK5L1mviMn0j3D3uo53ASkIZOFRlLnqaCTnwzOG2_Wg"",""Direct li"&amp;"nks Without Sizes!D2:D""),IMPORTRANGE(""1NK5L1mviMn0j3D3uo53ASkIZOFRlLnqaCTnwzOG2_Wg"",""Direct links Without Sizes!E2:E""))),"""")"),"")</f>
        <v/>
      </c>
      <c r="I925" s="4"/>
      <c r="J925" s="24" t="str">
        <f t="shared" si="1"/>
        <v/>
      </c>
      <c r="K925" s="25"/>
      <c r="L925" s="24" t="str">
        <f t="shared" si="2"/>
        <v/>
      </c>
      <c r="M925" s="4"/>
      <c r="N925" s="23"/>
      <c r="O925" s="23"/>
      <c r="P925" s="23"/>
      <c r="Q925" s="4" t="str">
        <f t="shared" si="4"/>
        <v/>
      </c>
      <c r="R925" s="20"/>
      <c r="S925" s="20"/>
    </row>
    <row r="926">
      <c r="A926" s="4"/>
      <c r="B926" s="4"/>
      <c r="C926" s="37"/>
      <c r="D926" s="7" t="str">
        <f>IFERROR(__xludf.DUMMYFUNCTION("iferror(iferror(INDEX(IMPORTRANGE(""12vtnxaE_Q1s4tyr10kZQx7ZF_xG0lBFae4jQEUtgsMU"",""All!B2:B""),MATCH($C926,IMPORTRANGE(""12vtnxaE_Q1s4tyr10kZQx7ZF_xG0lBFae4jQEUtgsMU"",""All!A2:A""),0)),INDEX(IMPORTRANGE(""13KC70HngS4DDi8y9E5khtSpQEPG6owaQ9z4E-tR5mnY"","&amp;"""Non-Food!B2:B""),MATCH($C926,IMPORTRANGE(""13KC70HngS4DDi8y9E5khtSpQEPG6owaQ9z4E-tR5mnY"",""Non-Food!A2:A""),0))),"""")"),"")</f>
        <v/>
      </c>
      <c r="E926" s="15"/>
      <c r="F926" s="15"/>
      <c r="G926" s="36"/>
      <c r="H926" s="23" t="str">
        <f>IFERROR(__xludf.DUMMYFUNCTION("iferror(iferror(iferror(index(IMPORTRANGE(""1NK5L1mviMn0j3D3uo53ASkIZOFRlLnqaCTnwzOG2_Wg"",""Direct Link!B2:B""),MATCH($C926,IMPORTRANGE(""1NK5L1mviMn0j3D3uo53ASkIZOFRlLnqaCTnwzOG2_Wg"",""Direct Link!A2:A""),0)),XLOOKUP($C926,IMPORTRANGE(""1NK5L1mviMn0j3D"&amp;"3uo53ASkIZOFRlLnqaCTnwzOG2_Wg"",""Direct links Without Sizes!A2:A""),IMPORTRANGE(""1NK5L1mviMn0j3D3uo53ASkIZOFRlLnqaCTnwzOG2_Wg"",""Direct links Without Sizes!B2:B""))),XLOOKUP($C926,IMPORTRANGE(""1NK5L1mviMn0j3D3uo53ASkIZOFRlLnqaCTnwzOG2_Wg"",""Direct li"&amp;"nks Without Sizes!D2:D""),IMPORTRANGE(""1NK5L1mviMn0j3D3uo53ASkIZOFRlLnqaCTnwzOG2_Wg"",""Direct links Without Sizes!E2:E""))),"""")"),"")</f>
        <v/>
      </c>
      <c r="I926" s="4"/>
      <c r="J926" s="24" t="str">
        <f t="shared" si="1"/>
        <v/>
      </c>
      <c r="K926" s="25"/>
      <c r="L926" s="24" t="str">
        <f t="shared" si="2"/>
        <v/>
      </c>
      <c r="M926" s="4"/>
      <c r="N926" s="23"/>
      <c r="O926" s="23"/>
      <c r="P926" s="23"/>
      <c r="Q926" s="4" t="str">
        <f t="shared" si="4"/>
        <v/>
      </c>
      <c r="R926" s="20"/>
      <c r="S926" s="20"/>
    </row>
    <row r="927">
      <c r="A927" s="4"/>
      <c r="B927" s="4"/>
      <c r="C927" s="37"/>
      <c r="D927" s="7" t="str">
        <f>IFERROR(__xludf.DUMMYFUNCTION("iferror(iferror(INDEX(IMPORTRANGE(""12vtnxaE_Q1s4tyr10kZQx7ZF_xG0lBFae4jQEUtgsMU"",""All!B2:B""),MATCH($C927,IMPORTRANGE(""12vtnxaE_Q1s4tyr10kZQx7ZF_xG0lBFae4jQEUtgsMU"",""All!A2:A""),0)),INDEX(IMPORTRANGE(""13KC70HngS4DDi8y9E5khtSpQEPG6owaQ9z4E-tR5mnY"","&amp;"""Non-Food!B2:B""),MATCH($C927,IMPORTRANGE(""13KC70HngS4DDi8y9E5khtSpQEPG6owaQ9z4E-tR5mnY"",""Non-Food!A2:A""),0))),"""")"),"")</f>
        <v/>
      </c>
      <c r="E927" s="15"/>
      <c r="F927" s="15"/>
      <c r="G927" s="36"/>
      <c r="H927" s="23" t="str">
        <f>IFERROR(__xludf.DUMMYFUNCTION("iferror(iferror(iferror(index(IMPORTRANGE(""1NK5L1mviMn0j3D3uo53ASkIZOFRlLnqaCTnwzOG2_Wg"",""Direct Link!B2:B""),MATCH($C927,IMPORTRANGE(""1NK5L1mviMn0j3D3uo53ASkIZOFRlLnqaCTnwzOG2_Wg"",""Direct Link!A2:A""),0)),XLOOKUP($C927,IMPORTRANGE(""1NK5L1mviMn0j3D"&amp;"3uo53ASkIZOFRlLnqaCTnwzOG2_Wg"",""Direct links Without Sizes!A2:A""),IMPORTRANGE(""1NK5L1mviMn0j3D3uo53ASkIZOFRlLnqaCTnwzOG2_Wg"",""Direct links Without Sizes!B2:B""))),XLOOKUP($C927,IMPORTRANGE(""1NK5L1mviMn0j3D3uo53ASkIZOFRlLnqaCTnwzOG2_Wg"",""Direct li"&amp;"nks Without Sizes!D2:D""),IMPORTRANGE(""1NK5L1mviMn0j3D3uo53ASkIZOFRlLnqaCTnwzOG2_Wg"",""Direct links Without Sizes!E2:E""))),"""")"),"")</f>
        <v/>
      </c>
      <c r="I927" s="4"/>
      <c r="J927" s="24" t="str">
        <f t="shared" si="1"/>
        <v/>
      </c>
      <c r="K927" s="25"/>
      <c r="L927" s="24" t="str">
        <f t="shared" si="2"/>
        <v/>
      </c>
      <c r="M927" s="4"/>
      <c r="N927" s="23"/>
      <c r="O927" s="23"/>
      <c r="P927" s="23"/>
      <c r="Q927" s="4" t="str">
        <f t="shared" si="4"/>
        <v/>
      </c>
      <c r="R927" s="20"/>
      <c r="S927" s="20"/>
    </row>
    <row r="928">
      <c r="A928" s="4"/>
      <c r="B928" s="4"/>
      <c r="C928" s="37"/>
      <c r="D928" s="7" t="str">
        <f>IFERROR(__xludf.DUMMYFUNCTION("iferror(iferror(INDEX(IMPORTRANGE(""12vtnxaE_Q1s4tyr10kZQx7ZF_xG0lBFae4jQEUtgsMU"",""All!B2:B""),MATCH($C928,IMPORTRANGE(""12vtnxaE_Q1s4tyr10kZQx7ZF_xG0lBFae4jQEUtgsMU"",""All!A2:A""),0)),INDEX(IMPORTRANGE(""13KC70HngS4DDi8y9E5khtSpQEPG6owaQ9z4E-tR5mnY"","&amp;"""Non-Food!B2:B""),MATCH($C928,IMPORTRANGE(""13KC70HngS4DDi8y9E5khtSpQEPG6owaQ9z4E-tR5mnY"",""Non-Food!A2:A""),0))),"""")"),"")</f>
        <v/>
      </c>
      <c r="E928" s="15"/>
      <c r="F928" s="15"/>
      <c r="G928" s="36"/>
      <c r="H928" s="23" t="str">
        <f>IFERROR(__xludf.DUMMYFUNCTION("iferror(iferror(iferror(index(IMPORTRANGE(""1NK5L1mviMn0j3D3uo53ASkIZOFRlLnqaCTnwzOG2_Wg"",""Direct Link!B2:B""),MATCH($C928,IMPORTRANGE(""1NK5L1mviMn0j3D3uo53ASkIZOFRlLnqaCTnwzOG2_Wg"",""Direct Link!A2:A""),0)),XLOOKUP($C928,IMPORTRANGE(""1NK5L1mviMn0j3D"&amp;"3uo53ASkIZOFRlLnqaCTnwzOG2_Wg"",""Direct links Without Sizes!A2:A""),IMPORTRANGE(""1NK5L1mviMn0j3D3uo53ASkIZOFRlLnqaCTnwzOG2_Wg"",""Direct links Without Sizes!B2:B""))),XLOOKUP($C928,IMPORTRANGE(""1NK5L1mviMn0j3D3uo53ASkIZOFRlLnqaCTnwzOG2_Wg"",""Direct li"&amp;"nks Without Sizes!D2:D""),IMPORTRANGE(""1NK5L1mviMn0j3D3uo53ASkIZOFRlLnqaCTnwzOG2_Wg"",""Direct links Without Sizes!E2:E""))),"""")"),"")</f>
        <v/>
      </c>
      <c r="I928" s="4"/>
      <c r="J928" s="24" t="str">
        <f t="shared" si="1"/>
        <v/>
      </c>
      <c r="K928" s="25"/>
      <c r="L928" s="24" t="str">
        <f t="shared" si="2"/>
        <v/>
      </c>
      <c r="M928" s="4"/>
      <c r="N928" s="23"/>
      <c r="O928" s="23"/>
      <c r="P928" s="23"/>
      <c r="Q928" s="4" t="str">
        <f t="shared" si="4"/>
        <v/>
      </c>
      <c r="R928" s="20"/>
      <c r="S928" s="20"/>
    </row>
    <row r="929">
      <c r="A929" s="4"/>
      <c r="B929" s="4"/>
      <c r="C929" s="37"/>
      <c r="D929" s="7" t="str">
        <f>IFERROR(__xludf.DUMMYFUNCTION("iferror(iferror(INDEX(IMPORTRANGE(""12vtnxaE_Q1s4tyr10kZQx7ZF_xG0lBFae4jQEUtgsMU"",""All!B2:B""),MATCH($C929,IMPORTRANGE(""12vtnxaE_Q1s4tyr10kZQx7ZF_xG0lBFae4jQEUtgsMU"",""All!A2:A""),0)),INDEX(IMPORTRANGE(""13KC70HngS4DDi8y9E5khtSpQEPG6owaQ9z4E-tR5mnY"","&amp;"""Non-Food!B2:B""),MATCH($C929,IMPORTRANGE(""13KC70HngS4DDi8y9E5khtSpQEPG6owaQ9z4E-tR5mnY"",""Non-Food!A2:A""),0))),"""")"),"")</f>
        <v/>
      </c>
      <c r="E929" s="15"/>
      <c r="F929" s="15"/>
      <c r="G929" s="36"/>
      <c r="H929" s="23" t="str">
        <f>IFERROR(__xludf.DUMMYFUNCTION("iferror(iferror(iferror(index(IMPORTRANGE(""1NK5L1mviMn0j3D3uo53ASkIZOFRlLnqaCTnwzOG2_Wg"",""Direct Link!B2:B""),MATCH($C929,IMPORTRANGE(""1NK5L1mviMn0j3D3uo53ASkIZOFRlLnqaCTnwzOG2_Wg"",""Direct Link!A2:A""),0)),XLOOKUP($C929,IMPORTRANGE(""1NK5L1mviMn0j3D"&amp;"3uo53ASkIZOFRlLnqaCTnwzOG2_Wg"",""Direct links Without Sizes!A2:A""),IMPORTRANGE(""1NK5L1mviMn0j3D3uo53ASkIZOFRlLnqaCTnwzOG2_Wg"",""Direct links Without Sizes!B2:B""))),XLOOKUP($C929,IMPORTRANGE(""1NK5L1mviMn0j3D3uo53ASkIZOFRlLnqaCTnwzOG2_Wg"",""Direct li"&amp;"nks Without Sizes!D2:D""),IMPORTRANGE(""1NK5L1mviMn0j3D3uo53ASkIZOFRlLnqaCTnwzOG2_Wg"",""Direct links Without Sizes!E2:E""))),"""")"),"")</f>
        <v/>
      </c>
      <c r="I929" s="4"/>
      <c r="J929" s="24" t="str">
        <f t="shared" si="1"/>
        <v/>
      </c>
      <c r="K929" s="25"/>
      <c r="L929" s="24" t="str">
        <f t="shared" si="2"/>
        <v/>
      </c>
      <c r="M929" s="4"/>
      <c r="N929" s="23"/>
      <c r="O929" s="23"/>
      <c r="P929" s="23"/>
      <c r="Q929" s="4" t="str">
        <f t="shared" si="4"/>
        <v/>
      </c>
      <c r="R929" s="20"/>
      <c r="S929" s="20"/>
    </row>
    <row r="930">
      <c r="A930" s="4"/>
      <c r="B930" s="4"/>
      <c r="C930" s="37"/>
      <c r="D930" s="7" t="str">
        <f>IFERROR(__xludf.DUMMYFUNCTION("iferror(iferror(INDEX(IMPORTRANGE(""12vtnxaE_Q1s4tyr10kZQx7ZF_xG0lBFae4jQEUtgsMU"",""All!B2:B""),MATCH($C930,IMPORTRANGE(""12vtnxaE_Q1s4tyr10kZQx7ZF_xG0lBFae4jQEUtgsMU"",""All!A2:A""),0)),INDEX(IMPORTRANGE(""13KC70HngS4DDi8y9E5khtSpQEPG6owaQ9z4E-tR5mnY"","&amp;"""Non-Food!B2:B""),MATCH($C930,IMPORTRANGE(""13KC70HngS4DDi8y9E5khtSpQEPG6owaQ9z4E-tR5mnY"",""Non-Food!A2:A""),0))),"""")"),"")</f>
        <v/>
      </c>
      <c r="E930" s="15"/>
      <c r="F930" s="15"/>
      <c r="G930" s="36"/>
      <c r="H930" s="23" t="str">
        <f>IFERROR(__xludf.DUMMYFUNCTION("iferror(iferror(iferror(index(IMPORTRANGE(""1NK5L1mviMn0j3D3uo53ASkIZOFRlLnqaCTnwzOG2_Wg"",""Direct Link!B2:B""),MATCH($C930,IMPORTRANGE(""1NK5L1mviMn0j3D3uo53ASkIZOFRlLnqaCTnwzOG2_Wg"",""Direct Link!A2:A""),0)),XLOOKUP($C930,IMPORTRANGE(""1NK5L1mviMn0j3D"&amp;"3uo53ASkIZOFRlLnqaCTnwzOG2_Wg"",""Direct links Without Sizes!A2:A""),IMPORTRANGE(""1NK5L1mviMn0j3D3uo53ASkIZOFRlLnqaCTnwzOG2_Wg"",""Direct links Without Sizes!B2:B""))),XLOOKUP($C930,IMPORTRANGE(""1NK5L1mviMn0j3D3uo53ASkIZOFRlLnqaCTnwzOG2_Wg"",""Direct li"&amp;"nks Without Sizes!D2:D""),IMPORTRANGE(""1NK5L1mviMn0j3D3uo53ASkIZOFRlLnqaCTnwzOG2_Wg"",""Direct links Without Sizes!E2:E""))),"""")"),"")</f>
        <v/>
      </c>
      <c r="I930" s="4"/>
      <c r="J930" s="24" t="str">
        <f t="shared" si="1"/>
        <v/>
      </c>
      <c r="K930" s="25"/>
      <c r="L930" s="24" t="str">
        <f t="shared" si="2"/>
        <v/>
      </c>
      <c r="M930" s="4"/>
      <c r="N930" s="23"/>
      <c r="O930" s="23"/>
      <c r="P930" s="23"/>
      <c r="Q930" s="4" t="str">
        <f t="shared" si="4"/>
        <v/>
      </c>
      <c r="R930" s="20"/>
      <c r="S930" s="20"/>
    </row>
    <row r="931">
      <c r="A931" s="4"/>
      <c r="B931" s="4"/>
      <c r="C931" s="37"/>
      <c r="D931" s="7" t="str">
        <f>IFERROR(__xludf.DUMMYFUNCTION("iferror(iferror(INDEX(IMPORTRANGE(""12vtnxaE_Q1s4tyr10kZQx7ZF_xG0lBFae4jQEUtgsMU"",""All!B2:B""),MATCH($C931,IMPORTRANGE(""12vtnxaE_Q1s4tyr10kZQx7ZF_xG0lBFae4jQEUtgsMU"",""All!A2:A""),0)),INDEX(IMPORTRANGE(""13KC70HngS4DDi8y9E5khtSpQEPG6owaQ9z4E-tR5mnY"","&amp;"""Non-Food!B2:B""),MATCH($C931,IMPORTRANGE(""13KC70HngS4DDi8y9E5khtSpQEPG6owaQ9z4E-tR5mnY"",""Non-Food!A2:A""),0))),"""")"),"")</f>
        <v/>
      </c>
      <c r="E931" s="15"/>
      <c r="F931" s="15"/>
      <c r="G931" s="36"/>
      <c r="H931" s="23" t="str">
        <f>IFERROR(__xludf.DUMMYFUNCTION("iferror(iferror(iferror(index(IMPORTRANGE(""1NK5L1mviMn0j3D3uo53ASkIZOFRlLnqaCTnwzOG2_Wg"",""Direct Link!B2:B""),MATCH($C931,IMPORTRANGE(""1NK5L1mviMn0j3D3uo53ASkIZOFRlLnqaCTnwzOG2_Wg"",""Direct Link!A2:A""),0)),XLOOKUP($C931,IMPORTRANGE(""1NK5L1mviMn0j3D"&amp;"3uo53ASkIZOFRlLnqaCTnwzOG2_Wg"",""Direct links Without Sizes!A2:A""),IMPORTRANGE(""1NK5L1mviMn0j3D3uo53ASkIZOFRlLnqaCTnwzOG2_Wg"",""Direct links Without Sizes!B2:B""))),XLOOKUP($C931,IMPORTRANGE(""1NK5L1mviMn0j3D3uo53ASkIZOFRlLnqaCTnwzOG2_Wg"",""Direct li"&amp;"nks Without Sizes!D2:D""),IMPORTRANGE(""1NK5L1mviMn0j3D3uo53ASkIZOFRlLnqaCTnwzOG2_Wg"",""Direct links Without Sizes!E2:E""))),"""")"),"")</f>
        <v/>
      </c>
      <c r="I931" s="4"/>
      <c r="J931" s="24" t="str">
        <f t="shared" si="1"/>
        <v/>
      </c>
      <c r="K931" s="25"/>
      <c r="L931" s="24" t="str">
        <f t="shared" si="2"/>
        <v/>
      </c>
      <c r="M931" s="4"/>
      <c r="N931" s="23"/>
      <c r="O931" s="23"/>
      <c r="P931" s="23"/>
      <c r="Q931" s="4" t="str">
        <f t="shared" si="4"/>
        <v/>
      </c>
      <c r="R931" s="20"/>
      <c r="S931" s="20"/>
    </row>
    <row r="932">
      <c r="A932" s="4"/>
      <c r="B932" s="4"/>
      <c r="C932" s="37"/>
      <c r="D932" s="7" t="str">
        <f>IFERROR(__xludf.DUMMYFUNCTION("iferror(iferror(INDEX(IMPORTRANGE(""12vtnxaE_Q1s4tyr10kZQx7ZF_xG0lBFae4jQEUtgsMU"",""All!B2:B""),MATCH($C932,IMPORTRANGE(""12vtnxaE_Q1s4tyr10kZQx7ZF_xG0lBFae4jQEUtgsMU"",""All!A2:A""),0)),INDEX(IMPORTRANGE(""13KC70HngS4DDi8y9E5khtSpQEPG6owaQ9z4E-tR5mnY"","&amp;"""Non-Food!B2:B""),MATCH($C932,IMPORTRANGE(""13KC70HngS4DDi8y9E5khtSpQEPG6owaQ9z4E-tR5mnY"",""Non-Food!A2:A""),0))),"""")"),"")</f>
        <v/>
      </c>
      <c r="E932" s="15"/>
      <c r="F932" s="15"/>
      <c r="G932" s="36"/>
      <c r="H932" s="23" t="str">
        <f>IFERROR(__xludf.DUMMYFUNCTION("iferror(iferror(iferror(index(IMPORTRANGE(""1NK5L1mviMn0j3D3uo53ASkIZOFRlLnqaCTnwzOG2_Wg"",""Direct Link!B2:B""),MATCH($C932,IMPORTRANGE(""1NK5L1mviMn0j3D3uo53ASkIZOFRlLnqaCTnwzOG2_Wg"",""Direct Link!A2:A""),0)),XLOOKUP($C932,IMPORTRANGE(""1NK5L1mviMn0j3D"&amp;"3uo53ASkIZOFRlLnqaCTnwzOG2_Wg"",""Direct links Without Sizes!A2:A""),IMPORTRANGE(""1NK5L1mviMn0j3D3uo53ASkIZOFRlLnqaCTnwzOG2_Wg"",""Direct links Without Sizes!B2:B""))),XLOOKUP($C932,IMPORTRANGE(""1NK5L1mviMn0j3D3uo53ASkIZOFRlLnqaCTnwzOG2_Wg"",""Direct li"&amp;"nks Without Sizes!D2:D""),IMPORTRANGE(""1NK5L1mviMn0j3D3uo53ASkIZOFRlLnqaCTnwzOG2_Wg"",""Direct links Without Sizes!E2:E""))),"""")"),"")</f>
        <v/>
      </c>
      <c r="I932" s="4"/>
      <c r="J932" s="24" t="str">
        <f t="shared" si="1"/>
        <v/>
      </c>
      <c r="K932" s="25"/>
      <c r="L932" s="24" t="str">
        <f t="shared" si="2"/>
        <v/>
      </c>
      <c r="M932" s="4"/>
      <c r="N932" s="23"/>
      <c r="O932" s="23"/>
      <c r="P932" s="23"/>
      <c r="Q932" s="4" t="str">
        <f t="shared" si="4"/>
        <v/>
      </c>
      <c r="R932" s="20"/>
      <c r="S932" s="20"/>
    </row>
    <row r="933">
      <c r="A933" s="4"/>
      <c r="B933" s="4"/>
      <c r="C933" s="37"/>
      <c r="D933" s="7" t="str">
        <f>IFERROR(__xludf.DUMMYFUNCTION("iferror(iferror(INDEX(IMPORTRANGE(""12vtnxaE_Q1s4tyr10kZQx7ZF_xG0lBFae4jQEUtgsMU"",""All!B2:B""),MATCH($C933,IMPORTRANGE(""12vtnxaE_Q1s4tyr10kZQx7ZF_xG0lBFae4jQEUtgsMU"",""All!A2:A""),0)),INDEX(IMPORTRANGE(""13KC70HngS4DDi8y9E5khtSpQEPG6owaQ9z4E-tR5mnY"","&amp;"""Non-Food!B2:B""),MATCH($C933,IMPORTRANGE(""13KC70HngS4DDi8y9E5khtSpQEPG6owaQ9z4E-tR5mnY"",""Non-Food!A2:A""),0))),"""")"),"")</f>
        <v/>
      </c>
      <c r="E933" s="15"/>
      <c r="F933" s="15"/>
      <c r="G933" s="36"/>
      <c r="H933" s="23" t="str">
        <f>IFERROR(__xludf.DUMMYFUNCTION("iferror(iferror(iferror(index(IMPORTRANGE(""1NK5L1mviMn0j3D3uo53ASkIZOFRlLnqaCTnwzOG2_Wg"",""Direct Link!B2:B""),MATCH($C933,IMPORTRANGE(""1NK5L1mviMn0j3D3uo53ASkIZOFRlLnqaCTnwzOG2_Wg"",""Direct Link!A2:A""),0)),XLOOKUP($C933,IMPORTRANGE(""1NK5L1mviMn0j3D"&amp;"3uo53ASkIZOFRlLnqaCTnwzOG2_Wg"",""Direct links Without Sizes!A2:A""),IMPORTRANGE(""1NK5L1mviMn0j3D3uo53ASkIZOFRlLnqaCTnwzOG2_Wg"",""Direct links Without Sizes!B2:B""))),XLOOKUP($C933,IMPORTRANGE(""1NK5L1mviMn0j3D3uo53ASkIZOFRlLnqaCTnwzOG2_Wg"",""Direct li"&amp;"nks Without Sizes!D2:D""),IMPORTRANGE(""1NK5L1mviMn0j3D3uo53ASkIZOFRlLnqaCTnwzOG2_Wg"",""Direct links Without Sizes!E2:E""))),"""")"),"")</f>
        <v/>
      </c>
      <c r="I933" s="4"/>
      <c r="J933" s="24" t="str">
        <f t="shared" si="1"/>
        <v/>
      </c>
      <c r="K933" s="25"/>
      <c r="L933" s="24" t="str">
        <f t="shared" si="2"/>
        <v/>
      </c>
      <c r="M933" s="4"/>
      <c r="N933" s="23"/>
      <c r="O933" s="23"/>
      <c r="P933" s="23"/>
      <c r="Q933" s="4" t="str">
        <f t="shared" si="4"/>
        <v/>
      </c>
      <c r="R933" s="20"/>
      <c r="S933" s="20"/>
    </row>
    <row r="934">
      <c r="A934" s="4"/>
      <c r="B934" s="4"/>
      <c r="C934" s="37"/>
      <c r="D934" s="7" t="str">
        <f>IFERROR(__xludf.DUMMYFUNCTION("iferror(iferror(INDEX(IMPORTRANGE(""12vtnxaE_Q1s4tyr10kZQx7ZF_xG0lBFae4jQEUtgsMU"",""All!B2:B""),MATCH($C934,IMPORTRANGE(""12vtnxaE_Q1s4tyr10kZQx7ZF_xG0lBFae4jQEUtgsMU"",""All!A2:A""),0)),INDEX(IMPORTRANGE(""13KC70HngS4DDi8y9E5khtSpQEPG6owaQ9z4E-tR5mnY"","&amp;"""Non-Food!B2:B""),MATCH($C934,IMPORTRANGE(""13KC70HngS4DDi8y9E5khtSpQEPG6owaQ9z4E-tR5mnY"",""Non-Food!A2:A""),0))),"""")"),"")</f>
        <v/>
      </c>
      <c r="E934" s="15"/>
      <c r="F934" s="15"/>
      <c r="G934" s="36"/>
      <c r="H934" s="23" t="str">
        <f>IFERROR(__xludf.DUMMYFUNCTION("iferror(iferror(iferror(index(IMPORTRANGE(""1NK5L1mviMn0j3D3uo53ASkIZOFRlLnqaCTnwzOG2_Wg"",""Direct Link!B2:B""),MATCH($C934,IMPORTRANGE(""1NK5L1mviMn0j3D3uo53ASkIZOFRlLnqaCTnwzOG2_Wg"",""Direct Link!A2:A""),0)),XLOOKUP($C934,IMPORTRANGE(""1NK5L1mviMn0j3D"&amp;"3uo53ASkIZOFRlLnqaCTnwzOG2_Wg"",""Direct links Without Sizes!A2:A""),IMPORTRANGE(""1NK5L1mviMn0j3D3uo53ASkIZOFRlLnqaCTnwzOG2_Wg"",""Direct links Without Sizes!B2:B""))),XLOOKUP($C934,IMPORTRANGE(""1NK5L1mviMn0j3D3uo53ASkIZOFRlLnqaCTnwzOG2_Wg"",""Direct li"&amp;"nks Without Sizes!D2:D""),IMPORTRANGE(""1NK5L1mviMn0j3D3uo53ASkIZOFRlLnqaCTnwzOG2_Wg"",""Direct links Without Sizes!E2:E""))),"""")"),"")</f>
        <v/>
      </c>
      <c r="I934" s="4"/>
      <c r="J934" s="24" t="str">
        <f t="shared" si="1"/>
        <v/>
      </c>
      <c r="K934" s="25"/>
      <c r="L934" s="24" t="str">
        <f t="shared" si="2"/>
        <v/>
      </c>
      <c r="M934" s="4"/>
      <c r="N934" s="23"/>
      <c r="O934" s="23"/>
      <c r="P934" s="23"/>
      <c r="Q934" s="4" t="str">
        <f t="shared" si="4"/>
        <v/>
      </c>
      <c r="R934" s="20"/>
      <c r="S934" s="20"/>
    </row>
    <row r="935">
      <c r="A935" s="4"/>
      <c r="B935" s="4"/>
      <c r="C935" s="37"/>
      <c r="D935" s="7" t="str">
        <f>IFERROR(__xludf.DUMMYFUNCTION("iferror(iferror(INDEX(IMPORTRANGE(""12vtnxaE_Q1s4tyr10kZQx7ZF_xG0lBFae4jQEUtgsMU"",""All!B2:B""),MATCH($C935,IMPORTRANGE(""12vtnxaE_Q1s4tyr10kZQx7ZF_xG0lBFae4jQEUtgsMU"",""All!A2:A""),0)),INDEX(IMPORTRANGE(""13KC70HngS4DDi8y9E5khtSpQEPG6owaQ9z4E-tR5mnY"","&amp;"""Non-Food!B2:B""),MATCH($C935,IMPORTRANGE(""13KC70HngS4DDi8y9E5khtSpQEPG6owaQ9z4E-tR5mnY"",""Non-Food!A2:A""),0))),"""")"),"")</f>
        <v/>
      </c>
      <c r="E935" s="15"/>
      <c r="F935" s="15"/>
      <c r="G935" s="36"/>
      <c r="H935" s="23" t="str">
        <f>IFERROR(__xludf.DUMMYFUNCTION("iferror(iferror(iferror(index(IMPORTRANGE(""1NK5L1mviMn0j3D3uo53ASkIZOFRlLnqaCTnwzOG2_Wg"",""Direct Link!B2:B""),MATCH($C935,IMPORTRANGE(""1NK5L1mviMn0j3D3uo53ASkIZOFRlLnqaCTnwzOG2_Wg"",""Direct Link!A2:A""),0)),XLOOKUP($C935,IMPORTRANGE(""1NK5L1mviMn0j3D"&amp;"3uo53ASkIZOFRlLnqaCTnwzOG2_Wg"",""Direct links Without Sizes!A2:A""),IMPORTRANGE(""1NK5L1mviMn0j3D3uo53ASkIZOFRlLnqaCTnwzOG2_Wg"",""Direct links Without Sizes!B2:B""))),XLOOKUP($C935,IMPORTRANGE(""1NK5L1mviMn0j3D3uo53ASkIZOFRlLnqaCTnwzOG2_Wg"",""Direct li"&amp;"nks Without Sizes!D2:D""),IMPORTRANGE(""1NK5L1mviMn0j3D3uo53ASkIZOFRlLnqaCTnwzOG2_Wg"",""Direct links Without Sizes!E2:E""))),"""")"),"")</f>
        <v/>
      </c>
      <c r="I935" s="4"/>
      <c r="J935" s="24" t="str">
        <f t="shared" si="1"/>
        <v/>
      </c>
      <c r="K935" s="25"/>
      <c r="L935" s="24" t="str">
        <f t="shared" si="2"/>
        <v/>
      </c>
      <c r="M935" s="4"/>
      <c r="N935" s="23"/>
      <c r="O935" s="23"/>
      <c r="P935" s="23"/>
      <c r="Q935" s="4" t="str">
        <f t="shared" si="4"/>
        <v/>
      </c>
      <c r="R935" s="20"/>
      <c r="S935" s="20"/>
    </row>
    <row r="936">
      <c r="A936" s="4"/>
      <c r="B936" s="4"/>
      <c r="C936" s="37"/>
      <c r="D936" s="7" t="str">
        <f>IFERROR(__xludf.DUMMYFUNCTION("iferror(iferror(INDEX(IMPORTRANGE(""12vtnxaE_Q1s4tyr10kZQx7ZF_xG0lBFae4jQEUtgsMU"",""All!B2:B""),MATCH($C936,IMPORTRANGE(""12vtnxaE_Q1s4tyr10kZQx7ZF_xG0lBFae4jQEUtgsMU"",""All!A2:A""),0)),INDEX(IMPORTRANGE(""13KC70HngS4DDi8y9E5khtSpQEPG6owaQ9z4E-tR5mnY"","&amp;"""Non-Food!B2:B""),MATCH($C936,IMPORTRANGE(""13KC70HngS4DDi8y9E5khtSpQEPG6owaQ9z4E-tR5mnY"",""Non-Food!A2:A""),0))),"""")"),"")</f>
        <v/>
      </c>
      <c r="E936" s="15"/>
      <c r="F936" s="15"/>
      <c r="G936" s="36"/>
      <c r="H936" s="23" t="str">
        <f>IFERROR(__xludf.DUMMYFUNCTION("iferror(iferror(iferror(index(IMPORTRANGE(""1NK5L1mviMn0j3D3uo53ASkIZOFRlLnqaCTnwzOG2_Wg"",""Direct Link!B2:B""),MATCH($C936,IMPORTRANGE(""1NK5L1mviMn0j3D3uo53ASkIZOFRlLnqaCTnwzOG2_Wg"",""Direct Link!A2:A""),0)),XLOOKUP($C936,IMPORTRANGE(""1NK5L1mviMn0j3D"&amp;"3uo53ASkIZOFRlLnqaCTnwzOG2_Wg"",""Direct links Without Sizes!A2:A""),IMPORTRANGE(""1NK5L1mviMn0j3D3uo53ASkIZOFRlLnqaCTnwzOG2_Wg"",""Direct links Without Sizes!B2:B""))),XLOOKUP($C936,IMPORTRANGE(""1NK5L1mviMn0j3D3uo53ASkIZOFRlLnqaCTnwzOG2_Wg"",""Direct li"&amp;"nks Without Sizes!D2:D""),IMPORTRANGE(""1NK5L1mviMn0j3D3uo53ASkIZOFRlLnqaCTnwzOG2_Wg"",""Direct links Without Sizes!E2:E""))),"""")"),"")</f>
        <v/>
      </c>
      <c r="I936" s="4"/>
      <c r="J936" s="24" t="str">
        <f t="shared" si="1"/>
        <v/>
      </c>
      <c r="K936" s="25"/>
      <c r="L936" s="24" t="str">
        <f t="shared" si="2"/>
        <v/>
      </c>
      <c r="M936" s="4"/>
      <c r="N936" s="23"/>
      <c r="O936" s="23"/>
      <c r="P936" s="23"/>
      <c r="Q936" s="4" t="str">
        <f t="shared" si="4"/>
        <v/>
      </c>
      <c r="R936" s="20"/>
      <c r="S936" s="20"/>
    </row>
    <row r="937">
      <c r="A937" s="4"/>
      <c r="B937" s="4"/>
      <c r="C937" s="37"/>
      <c r="D937" s="7" t="str">
        <f>IFERROR(__xludf.DUMMYFUNCTION("iferror(iferror(INDEX(IMPORTRANGE(""12vtnxaE_Q1s4tyr10kZQx7ZF_xG0lBFae4jQEUtgsMU"",""All!B2:B""),MATCH($C937,IMPORTRANGE(""12vtnxaE_Q1s4tyr10kZQx7ZF_xG0lBFae4jQEUtgsMU"",""All!A2:A""),0)),INDEX(IMPORTRANGE(""13KC70HngS4DDi8y9E5khtSpQEPG6owaQ9z4E-tR5mnY"","&amp;"""Non-Food!B2:B""),MATCH($C937,IMPORTRANGE(""13KC70HngS4DDi8y9E5khtSpQEPG6owaQ9z4E-tR5mnY"",""Non-Food!A2:A""),0))),"""")"),"")</f>
        <v/>
      </c>
      <c r="E937" s="15"/>
      <c r="F937" s="15"/>
      <c r="G937" s="36"/>
      <c r="H937" s="23" t="str">
        <f>IFERROR(__xludf.DUMMYFUNCTION("iferror(iferror(iferror(index(IMPORTRANGE(""1NK5L1mviMn0j3D3uo53ASkIZOFRlLnqaCTnwzOG2_Wg"",""Direct Link!B2:B""),MATCH($C937,IMPORTRANGE(""1NK5L1mviMn0j3D3uo53ASkIZOFRlLnqaCTnwzOG2_Wg"",""Direct Link!A2:A""),0)),XLOOKUP($C937,IMPORTRANGE(""1NK5L1mviMn0j3D"&amp;"3uo53ASkIZOFRlLnqaCTnwzOG2_Wg"",""Direct links Without Sizes!A2:A""),IMPORTRANGE(""1NK5L1mviMn0j3D3uo53ASkIZOFRlLnqaCTnwzOG2_Wg"",""Direct links Without Sizes!B2:B""))),XLOOKUP($C937,IMPORTRANGE(""1NK5L1mviMn0j3D3uo53ASkIZOFRlLnqaCTnwzOG2_Wg"",""Direct li"&amp;"nks Without Sizes!D2:D""),IMPORTRANGE(""1NK5L1mviMn0j3D3uo53ASkIZOFRlLnqaCTnwzOG2_Wg"",""Direct links Without Sizes!E2:E""))),"""")"),"")</f>
        <v/>
      </c>
      <c r="I937" s="4"/>
      <c r="J937" s="24" t="str">
        <f t="shared" si="1"/>
        <v/>
      </c>
      <c r="K937" s="25"/>
      <c r="L937" s="24" t="str">
        <f t="shared" si="2"/>
        <v/>
      </c>
      <c r="M937" s="4"/>
      <c r="N937" s="23"/>
      <c r="O937" s="23"/>
      <c r="P937" s="23"/>
      <c r="Q937" s="4" t="str">
        <f t="shared" si="4"/>
        <v/>
      </c>
      <c r="R937" s="20"/>
      <c r="S937" s="20"/>
    </row>
    <row r="938">
      <c r="A938" s="4"/>
      <c r="B938" s="4"/>
      <c r="C938" s="37"/>
      <c r="D938" s="7" t="str">
        <f>IFERROR(__xludf.DUMMYFUNCTION("iferror(iferror(INDEX(IMPORTRANGE(""12vtnxaE_Q1s4tyr10kZQx7ZF_xG0lBFae4jQEUtgsMU"",""All!B2:B""),MATCH($C938,IMPORTRANGE(""12vtnxaE_Q1s4tyr10kZQx7ZF_xG0lBFae4jQEUtgsMU"",""All!A2:A""),0)),INDEX(IMPORTRANGE(""13KC70HngS4DDi8y9E5khtSpQEPG6owaQ9z4E-tR5mnY"","&amp;"""Non-Food!B2:B""),MATCH($C938,IMPORTRANGE(""13KC70HngS4DDi8y9E5khtSpQEPG6owaQ9z4E-tR5mnY"",""Non-Food!A2:A""),0))),"""")"),"")</f>
        <v/>
      </c>
      <c r="E938" s="15"/>
      <c r="F938" s="15"/>
      <c r="G938" s="36"/>
      <c r="H938" s="23" t="str">
        <f>IFERROR(__xludf.DUMMYFUNCTION("iferror(iferror(iferror(index(IMPORTRANGE(""1NK5L1mviMn0j3D3uo53ASkIZOFRlLnqaCTnwzOG2_Wg"",""Direct Link!B2:B""),MATCH($C938,IMPORTRANGE(""1NK5L1mviMn0j3D3uo53ASkIZOFRlLnqaCTnwzOG2_Wg"",""Direct Link!A2:A""),0)),XLOOKUP($C938,IMPORTRANGE(""1NK5L1mviMn0j3D"&amp;"3uo53ASkIZOFRlLnqaCTnwzOG2_Wg"",""Direct links Without Sizes!A2:A""),IMPORTRANGE(""1NK5L1mviMn0j3D3uo53ASkIZOFRlLnqaCTnwzOG2_Wg"",""Direct links Without Sizes!B2:B""))),XLOOKUP($C938,IMPORTRANGE(""1NK5L1mviMn0j3D3uo53ASkIZOFRlLnqaCTnwzOG2_Wg"",""Direct li"&amp;"nks Without Sizes!D2:D""),IMPORTRANGE(""1NK5L1mviMn0j3D3uo53ASkIZOFRlLnqaCTnwzOG2_Wg"",""Direct links Without Sizes!E2:E""))),"""")"),"")</f>
        <v/>
      </c>
      <c r="I938" s="4"/>
      <c r="J938" s="24" t="str">
        <f t="shared" si="1"/>
        <v/>
      </c>
      <c r="K938" s="25"/>
      <c r="L938" s="24" t="str">
        <f t="shared" si="2"/>
        <v/>
      </c>
      <c r="M938" s="4"/>
      <c r="N938" s="23"/>
      <c r="O938" s="23"/>
      <c r="P938" s="23"/>
      <c r="Q938" s="4" t="str">
        <f t="shared" si="4"/>
        <v/>
      </c>
      <c r="R938" s="20"/>
      <c r="S938" s="20"/>
    </row>
    <row r="939">
      <c r="A939" s="4"/>
      <c r="B939" s="4"/>
      <c r="C939" s="37"/>
      <c r="D939" s="7" t="str">
        <f>IFERROR(__xludf.DUMMYFUNCTION("iferror(iferror(INDEX(IMPORTRANGE(""12vtnxaE_Q1s4tyr10kZQx7ZF_xG0lBFae4jQEUtgsMU"",""All!B2:B""),MATCH($C939,IMPORTRANGE(""12vtnxaE_Q1s4tyr10kZQx7ZF_xG0lBFae4jQEUtgsMU"",""All!A2:A""),0)),INDEX(IMPORTRANGE(""13KC70HngS4DDi8y9E5khtSpQEPG6owaQ9z4E-tR5mnY"","&amp;"""Non-Food!B2:B""),MATCH($C939,IMPORTRANGE(""13KC70HngS4DDi8y9E5khtSpQEPG6owaQ9z4E-tR5mnY"",""Non-Food!A2:A""),0))),"""")"),"")</f>
        <v/>
      </c>
      <c r="E939" s="15"/>
      <c r="F939" s="15"/>
      <c r="G939" s="36"/>
      <c r="H939" s="23" t="str">
        <f>IFERROR(__xludf.DUMMYFUNCTION("iferror(iferror(iferror(index(IMPORTRANGE(""1NK5L1mviMn0j3D3uo53ASkIZOFRlLnqaCTnwzOG2_Wg"",""Direct Link!B2:B""),MATCH($C939,IMPORTRANGE(""1NK5L1mviMn0j3D3uo53ASkIZOFRlLnqaCTnwzOG2_Wg"",""Direct Link!A2:A""),0)),XLOOKUP($C939,IMPORTRANGE(""1NK5L1mviMn0j3D"&amp;"3uo53ASkIZOFRlLnqaCTnwzOG2_Wg"",""Direct links Without Sizes!A2:A""),IMPORTRANGE(""1NK5L1mviMn0j3D3uo53ASkIZOFRlLnqaCTnwzOG2_Wg"",""Direct links Without Sizes!B2:B""))),XLOOKUP($C939,IMPORTRANGE(""1NK5L1mviMn0j3D3uo53ASkIZOFRlLnqaCTnwzOG2_Wg"",""Direct li"&amp;"nks Without Sizes!D2:D""),IMPORTRANGE(""1NK5L1mviMn0j3D3uo53ASkIZOFRlLnqaCTnwzOG2_Wg"",""Direct links Without Sizes!E2:E""))),"""")"),"")</f>
        <v/>
      </c>
      <c r="I939" s="4"/>
      <c r="J939" s="24" t="str">
        <f t="shared" si="1"/>
        <v/>
      </c>
      <c r="K939" s="25"/>
      <c r="L939" s="24" t="str">
        <f t="shared" si="2"/>
        <v/>
      </c>
      <c r="M939" s="4"/>
      <c r="N939" s="23"/>
      <c r="O939" s="23"/>
      <c r="P939" s="23"/>
      <c r="Q939" s="4" t="str">
        <f t="shared" si="4"/>
        <v/>
      </c>
      <c r="R939" s="20"/>
      <c r="S939" s="20"/>
    </row>
    <row r="940">
      <c r="A940" s="4"/>
      <c r="B940" s="4"/>
      <c r="C940" s="37"/>
      <c r="D940" s="7" t="str">
        <f>IFERROR(__xludf.DUMMYFUNCTION("iferror(iferror(INDEX(IMPORTRANGE(""12vtnxaE_Q1s4tyr10kZQx7ZF_xG0lBFae4jQEUtgsMU"",""All!B2:B""),MATCH($C940,IMPORTRANGE(""12vtnxaE_Q1s4tyr10kZQx7ZF_xG0lBFae4jQEUtgsMU"",""All!A2:A""),0)),INDEX(IMPORTRANGE(""13KC70HngS4DDi8y9E5khtSpQEPG6owaQ9z4E-tR5mnY"","&amp;"""Non-Food!B2:B""),MATCH($C940,IMPORTRANGE(""13KC70HngS4DDi8y9E5khtSpQEPG6owaQ9z4E-tR5mnY"",""Non-Food!A2:A""),0))),"""")"),"")</f>
        <v/>
      </c>
      <c r="E940" s="15"/>
      <c r="F940" s="15"/>
      <c r="G940" s="36"/>
      <c r="H940" s="23" t="str">
        <f>IFERROR(__xludf.DUMMYFUNCTION("iferror(iferror(iferror(index(IMPORTRANGE(""1NK5L1mviMn0j3D3uo53ASkIZOFRlLnqaCTnwzOG2_Wg"",""Direct Link!B2:B""),MATCH($C940,IMPORTRANGE(""1NK5L1mviMn0j3D3uo53ASkIZOFRlLnqaCTnwzOG2_Wg"",""Direct Link!A2:A""),0)),XLOOKUP($C940,IMPORTRANGE(""1NK5L1mviMn0j3D"&amp;"3uo53ASkIZOFRlLnqaCTnwzOG2_Wg"",""Direct links Without Sizes!A2:A""),IMPORTRANGE(""1NK5L1mviMn0j3D3uo53ASkIZOFRlLnqaCTnwzOG2_Wg"",""Direct links Without Sizes!B2:B""))),XLOOKUP($C940,IMPORTRANGE(""1NK5L1mviMn0j3D3uo53ASkIZOFRlLnqaCTnwzOG2_Wg"",""Direct li"&amp;"nks Without Sizes!D2:D""),IMPORTRANGE(""1NK5L1mviMn0j3D3uo53ASkIZOFRlLnqaCTnwzOG2_Wg"",""Direct links Without Sizes!E2:E""))),"""")"),"")</f>
        <v/>
      </c>
      <c r="I940" s="4"/>
      <c r="J940" s="24" t="str">
        <f t="shared" si="1"/>
        <v/>
      </c>
      <c r="K940" s="25"/>
      <c r="L940" s="24" t="str">
        <f t="shared" si="2"/>
        <v/>
      </c>
      <c r="M940" s="4"/>
      <c r="N940" s="23"/>
      <c r="O940" s="23"/>
      <c r="P940" s="23"/>
      <c r="Q940" s="4" t="str">
        <f t="shared" si="4"/>
        <v/>
      </c>
      <c r="R940" s="20"/>
      <c r="S940" s="20"/>
    </row>
    <row r="941">
      <c r="A941" s="4"/>
      <c r="B941" s="4"/>
      <c r="C941" s="37"/>
      <c r="D941" s="7" t="str">
        <f>IFERROR(__xludf.DUMMYFUNCTION("iferror(iferror(INDEX(IMPORTRANGE(""12vtnxaE_Q1s4tyr10kZQx7ZF_xG0lBFae4jQEUtgsMU"",""All!B2:B""),MATCH($C941,IMPORTRANGE(""12vtnxaE_Q1s4tyr10kZQx7ZF_xG0lBFae4jQEUtgsMU"",""All!A2:A""),0)),INDEX(IMPORTRANGE(""13KC70HngS4DDi8y9E5khtSpQEPG6owaQ9z4E-tR5mnY"","&amp;"""Non-Food!B2:B""),MATCH($C941,IMPORTRANGE(""13KC70HngS4DDi8y9E5khtSpQEPG6owaQ9z4E-tR5mnY"",""Non-Food!A2:A""),0))),"""")"),"")</f>
        <v/>
      </c>
      <c r="E941" s="15"/>
      <c r="F941" s="15"/>
      <c r="G941" s="36"/>
      <c r="H941" s="23" t="str">
        <f>IFERROR(__xludf.DUMMYFUNCTION("iferror(iferror(iferror(index(IMPORTRANGE(""1NK5L1mviMn0j3D3uo53ASkIZOFRlLnqaCTnwzOG2_Wg"",""Direct Link!B2:B""),MATCH($C941,IMPORTRANGE(""1NK5L1mviMn0j3D3uo53ASkIZOFRlLnqaCTnwzOG2_Wg"",""Direct Link!A2:A""),0)),XLOOKUP($C941,IMPORTRANGE(""1NK5L1mviMn0j3D"&amp;"3uo53ASkIZOFRlLnqaCTnwzOG2_Wg"",""Direct links Without Sizes!A2:A""),IMPORTRANGE(""1NK5L1mviMn0j3D3uo53ASkIZOFRlLnqaCTnwzOG2_Wg"",""Direct links Without Sizes!B2:B""))),XLOOKUP($C941,IMPORTRANGE(""1NK5L1mviMn0j3D3uo53ASkIZOFRlLnqaCTnwzOG2_Wg"",""Direct li"&amp;"nks Without Sizes!D2:D""),IMPORTRANGE(""1NK5L1mviMn0j3D3uo53ASkIZOFRlLnqaCTnwzOG2_Wg"",""Direct links Without Sizes!E2:E""))),"""")"),"")</f>
        <v/>
      </c>
      <c r="I941" s="4"/>
      <c r="J941" s="24" t="str">
        <f t="shared" si="1"/>
        <v/>
      </c>
      <c r="K941" s="25"/>
      <c r="L941" s="24" t="str">
        <f t="shared" si="2"/>
        <v/>
      </c>
      <c r="M941" s="4"/>
      <c r="N941" s="23"/>
      <c r="O941" s="23"/>
      <c r="P941" s="23"/>
      <c r="Q941" s="4" t="str">
        <f t="shared" si="4"/>
        <v/>
      </c>
      <c r="R941" s="20"/>
      <c r="S941" s="20"/>
    </row>
    <row r="942">
      <c r="A942" s="4"/>
      <c r="B942" s="4"/>
      <c r="C942" s="37"/>
      <c r="D942" s="7" t="str">
        <f>IFERROR(__xludf.DUMMYFUNCTION("iferror(iferror(INDEX(IMPORTRANGE(""12vtnxaE_Q1s4tyr10kZQx7ZF_xG0lBFae4jQEUtgsMU"",""All!B2:B""),MATCH($C942,IMPORTRANGE(""12vtnxaE_Q1s4tyr10kZQx7ZF_xG0lBFae4jQEUtgsMU"",""All!A2:A""),0)),INDEX(IMPORTRANGE(""13KC70HngS4DDi8y9E5khtSpQEPG6owaQ9z4E-tR5mnY"","&amp;"""Non-Food!B2:B""),MATCH($C942,IMPORTRANGE(""13KC70HngS4DDi8y9E5khtSpQEPG6owaQ9z4E-tR5mnY"",""Non-Food!A2:A""),0))),"""")"),"")</f>
        <v/>
      </c>
      <c r="E942" s="15"/>
      <c r="F942" s="15"/>
      <c r="G942" s="36"/>
      <c r="H942" s="23" t="str">
        <f>IFERROR(__xludf.DUMMYFUNCTION("iferror(iferror(iferror(index(IMPORTRANGE(""1NK5L1mviMn0j3D3uo53ASkIZOFRlLnqaCTnwzOG2_Wg"",""Direct Link!B2:B""),MATCH($C942,IMPORTRANGE(""1NK5L1mviMn0j3D3uo53ASkIZOFRlLnqaCTnwzOG2_Wg"",""Direct Link!A2:A""),0)),XLOOKUP($C942,IMPORTRANGE(""1NK5L1mviMn0j3D"&amp;"3uo53ASkIZOFRlLnqaCTnwzOG2_Wg"",""Direct links Without Sizes!A2:A""),IMPORTRANGE(""1NK5L1mviMn0j3D3uo53ASkIZOFRlLnqaCTnwzOG2_Wg"",""Direct links Without Sizes!B2:B""))),XLOOKUP($C942,IMPORTRANGE(""1NK5L1mviMn0j3D3uo53ASkIZOFRlLnqaCTnwzOG2_Wg"",""Direct li"&amp;"nks Without Sizes!D2:D""),IMPORTRANGE(""1NK5L1mviMn0j3D3uo53ASkIZOFRlLnqaCTnwzOG2_Wg"",""Direct links Without Sizes!E2:E""))),"""")"),"")</f>
        <v/>
      </c>
      <c r="I942" s="4"/>
      <c r="J942" s="24" t="str">
        <f t="shared" si="1"/>
        <v/>
      </c>
      <c r="K942" s="25"/>
      <c r="L942" s="24" t="str">
        <f t="shared" si="2"/>
        <v/>
      </c>
      <c r="M942" s="4"/>
      <c r="N942" s="23"/>
      <c r="O942" s="23"/>
      <c r="P942" s="23"/>
      <c r="Q942" s="4" t="str">
        <f t="shared" si="4"/>
        <v/>
      </c>
      <c r="R942" s="20"/>
      <c r="S942" s="20"/>
    </row>
    <row r="943">
      <c r="A943" s="4"/>
      <c r="B943" s="4"/>
      <c r="C943" s="37"/>
      <c r="D943" s="7" t="str">
        <f>IFERROR(__xludf.DUMMYFUNCTION("iferror(iferror(INDEX(IMPORTRANGE(""12vtnxaE_Q1s4tyr10kZQx7ZF_xG0lBFae4jQEUtgsMU"",""All!B2:B""),MATCH($C943,IMPORTRANGE(""12vtnxaE_Q1s4tyr10kZQx7ZF_xG0lBFae4jQEUtgsMU"",""All!A2:A""),0)),INDEX(IMPORTRANGE(""13KC70HngS4DDi8y9E5khtSpQEPG6owaQ9z4E-tR5mnY"","&amp;"""Non-Food!B2:B""),MATCH($C943,IMPORTRANGE(""13KC70HngS4DDi8y9E5khtSpQEPG6owaQ9z4E-tR5mnY"",""Non-Food!A2:A""),0))),"""")"),"")</f>
        <v/>
      </c>
      <c r="E943" s="15"/>
      <c r="F943" s="15"/>
      <c r="G943" s="36"/>
      <c r="H943" s="23" t="str">
        <f>IFERROR(__xludf.DUMMYFUNCTION("iferror(iferror(iferror(index(IMPORTRANGE(""1NK5L1mviMn0j3D3uo53ASkIZOFRlLnqaCTnwzOG2_Wg"",""Direct Link!B2:B""),MATCH($C943,IMPORTRANGE(""1NK5L1mviMn0j3D3uo53ASkIZOFRlLnqaCTnwzOG2_Wg"",""Direct Link!A2:A""),0)),XLOOKUP($C943,IMPORTRANGE(""1NK5L1mviMn0j3D"&amp;"3uo53ASkIZOFRlLnqaCTnwzOG2_Wg"",""Direct links Without Sizes!A2:A""),IMPORTRANGE(""1NK5L1mviMn0j3D3uo53ASkIZOFRlLnqaCTnwzOG2_Wg"",""Direct links Without Sizes!B2:B""))),XLOOKUP($C943,IMPORTRANGE(""1NK5L1mviMn0j3D3uo53ASkIZOFRlLnqaCTnwzOG2_Wg"",""Direct li"&amp;"nks Without Sizes!D2:D""),IMPORTRANGE(""1NK5L1mviMn0j3D3uo53ASkIZOFRlLnqaCTnwzOG2_Wg"",""Direct links Without Sizes!E2:E""))),"""")"),"")</f>
        <v/>
      </c>
      <c r="I943" s="4"/>
      <c r="J943" s="24" t="str">
        <f t="shared" si="1"/>
        <v/>
      </c>
      <c r="K943" s="25"/>
      <c r="L943" s="24" t="str">
        <f t="shared" si="2"/>
        <v/>
      </c>
      <c r="M943" s="4"/>
      <c r="N943" s="23"/>
      <c r="O943" s="23"/>
      <c r="P943" s="23"/>
      <c r="Q943" s="4" t="str">
        <f t="shared" si="4"/>
        <v/>
      </c>
      <c r="R943" s="20"/>
      <c r="S943" s="20"/>
    </row>
    <row r="944">
      <c r="A944" s="4"/>
      <c r="B944" s="4"/>
      <c r="C944" s="37"/>
      <c r="D944" s="7" t="str">
        <f>IFERROR(__xludf.DUMMYFUNCTION("iferror(iferror(INDEX(IMPORTRANGE(""12vtnxaE_Q1s4tyr10kZQx7ZF_xG0lBFae4jQEUtgsMU"",""All!B2:B""),MATCH($C944,IMPORTRANGE(""12vtnxaE_Q1s4tyr10kZQx7ZF_xG0lBFae4jQEUtgsMU"",""All!A2:A""),0)),INDEX(IMPORTRANGE(""13KC70HngS4DDi8y9E5khtSpQEPG6owaQ9z4E-tR5mnY"","&amp;"""Non-Food!B2:B""),MATCH($C944,IMPORTRANGE(""13KC70HngS4DDi8y9E5khtSpQEPG6owaQ9z4E-tR5mnY"",""Non-Food!A2:A""),0))),"""")"),"")</f>
        <v/>
      </c>
      <c r="E944" s="15"/>
      <c r="F944" s="15"/>
      <c r="G944" s="36"/>
      <c r="H944" s="23" t="str">
        <f>IFERROR(__xludf.DUMMYFUNCTION("iferror(iferror(iferror(index(IMPORTRANGE(""1NK5L1mviMn0j3D3uo53ASkIZOFRlLnqaCTnwzOG2_Wg"",""Direct Link!B2:B""),MATCH($C944,IMPORTRANGE(""1NK5L1mviMn0j3D3uo53ASkIZOFRlLnqaCTnwzOG2_Wg"",""Direct Link!A2:A""),0)),XLOOKUP($C944,IMPORTRANGE(""1NK5L1mviMn0j3D"&amp;"3uo53ASkIZOFRlLnqaCTnwzOG2_Wg"",""Direct links Without Sizes!A2:A""),IMPORTRANGE(""1NK5L1mviMn0j3D3uo53ASkIZOFRlLnqaCTnwzOG2_Wg"",""Direct links Without Sizes!B2:B""))),XLOOKUP($C944,IMPORTRANGE(""1NK5L1mviMn0j3D3uo53ASkIZOFRlLnqaCTnwzOG2_Wg"",""Direct li"&amp;"nks Without Sizes!D2:D""),IMPORTRANGE(""1NK5L1mviMn0j3D3uo53ASkIZOFRlLnqaCTnwzOG2_Wg"",""Direct links Without Sizes!E2:E""))),"""")"),"")</f>
        <v/>
      </c>
      <c r="I944" s="4"/>
      <c r="J944" s="24" t="str">
        <f t="shared" si="1"/>
        <v/>
      </c>
      <c r="K944" s="25"/>
      <c r="L944" s="24" t="str">
        <f t="shared" si="2"/>
        <v/>
      </c>
      <c r="M944" s="4"/>
      <c r="N944" s="23"/>
      <c r="O944" s="23"/>
      <c r="P944" s="23"/>
      <c r="Q944" s="4" t="str">
        <f t="shared" si="4"/>
        <v/>
      </c>
      <c r="R944" s="20"/>
      <c r="S944" s="20"/>
    </row>
    <row r="945">
      <c r="A945" s="4"/>
      <c r="B945" s="4"/>
      <c r="C945" s="37"/>
      <c r="D945" s="7" t="str">
        <f>IFERROR(__xludf.DUMMYFUNCTION("iferror(iferror(INDEX(IMPORTRANGE(""12vtnxaE_Q1s4tyr10kZQx7ZF_xG0lBFae4jQEUtgsMU"",""All!B2:B""),MATCH($C945,IMPORTRANGE(""12vtnxaE_Q1s4tyr10kZQx7ZF_xG0lBFae4jQEUtgsMU"",""All!A2:A""),0)),INDEX(IMPORTRANGE(""13KC70HngS4DDi8y9E5khtSpQEPG6owaQ9z4E-tR5mnY"","&amp;"""Non-Food!B2:B""),MATCH($C945,IMPORTRANGE(""13KC70HngS4DDi8y9E5khtSpQEPG6owaQ9z4E-tR5mnY"",""Non-Food!A2:A""),0))),"""")"),"")</f>
        <v/>
      </c>
      <c r="E945" s="15"/>
      <c r="F945" s="15"/>
      <c r="G945" s="36"/>
      <c r="H945" s="23" t="str">
        <f>IFERROR(__xludf.DUMMYFUNCTION("iferror(iferror(iferror(index(IMPORTRANGE(""1NK5L1mviMn0j3D3uo53ASkIZOFRlLnqaCTnwzOG2_Wg"",""Direct Link!B2:B""),MATCH($C945,IMPORTRANGE(""1NK5L1mviMn0j3D3uo53ASkIZOFRlLnqaCTnwzOG2_Wg"",""Direct Link!A2:A""),0)),XLOOKUP($C945,IMPORTRANGE(""1NK5L1mviMn0j3D"&amp;"3uo53ASkIZOFRlLnqaCTnwzOG2_Wg"",""Direct links Without Sizes!A2:A""),IMPORTRANGE(""1NK5L1mviMn0j3D3uo53ASkIZOFRlLnqaCTnwzOG2_Wg"",""Direct links Without Sizes!B2:B""))),XLOOKUP($C945,IMPORTRANGE(""1NK5L1mviMn0j3D3uo53ASkIZOFRlLnqaCTnwzOG2_Wg"",""Direct li"&amp;"nks Without Sizes!D2:D""),IMPORTRANGE(""1NK5L1mviMn0j3D3uo53ASkIZOFRlLnqaCTnwzOG2_Wg"",""Direct links Without Sizes!E2:E""))),"""")"),"")</f>
        <v/>
      </c>
      <c r="I945" s="4"/>
      <c r="J945" s="24" t="str">
        <f t="shared" si="1"/>
        <v/>
      </c>
      <c r="K945" s="25"/>
      <c r="L945" s="24" t="str">
        <f t="shared" si="2"/>
        <v/>
      </c>
      <c r="M945" s="4"/>
      <c r="N945" s="23"/>
      <c r="O945" s="23"/>
      <c r="P945" s="23"/>
      <c r="Q945" s="4" t="str">
        <f t="shared" si="4"/>
        <v/>
      </c>
      <c r="R945" s="20"/>
      <c r="S945" s="20"/>
    </row>
    <row r="946">
      <c r="A946" s="4"/>
      <c r="B946" s="4"/>
      <c r="C946" s="37"/>
      <c r="D946" s="7" t="str">
        <f>IFERROR(__xludf.DUMMYFUNCTION("iferror(iferror(INDEX(IMPORTRANGE(""12vtnxaE_Q1s4tyr10kZQx7ZF_xG0lBFae4jQEUtgsMU"",""All!B2:B""),MATCH($C946,IMPORTRANGE(""12vtnxaE_Q1s4tyr10kZQx7ZF_xG0lBFae4jQEUtgsMU"",""All!A2:A""),0)),INDEX(IMPORTRANGE(""13KC70HngS4DDi8y9E5khtSpQEPG6owaQ9z4E-tR5mnY"","&amp;"""Non-Food!B2:B""),MATCH($C946,IMPORTRANGE(""13KC70HngS4DDi8y9E5khtSpQEPG6owaQ9z4E-tR5mnY"",""Non-Food!A2:A""),0))),"""")"),"")</f>
        <v/>
      </c>
      <c r="E946" s="15"/>
      <c r="F946" s="15"/>
      <c r="G946" s="36"/>
      <c r="H946" s="23" t="str">
        <f>IFERROR(__xludf.DUMMYFUNCTION("iferror(iferror(iferror(index(IMPORTRANGE(""1NK5L1mviMn0j3D3uo53ASkIZOFRlLnqaCTnwzOG2_Wg"",""Direct Link!B2:B""),MATCH($C946,IMPORTRANGE(""1NK5L1mviMn0j3D3uo53ASkIZOFRlLnqaCTnwzOG2_Wg"",""Direct Link!A2:A""),0)),XLOOKUP($C946,IMPORTRANGE(""1NK5L1mviMn0j3D"&amp;"3uo53ASkIZOFRlLnqaCTnwzOG2_Wg"",""Direct links Without Sizes!A2:A""),IMPORTRANGE(""1NK5L1mviMn0j3D3uo53ASkIZOFRlLnqaCTnwzOG2_Wg"",""Direct links Without Sizes!B2:B""))),XLOOKUP($C946,IMPORTRANGE(""1NK5L1mviMn0j3D3uo53ASkIZOFRlLnqaCTnwzOG2_Wg"",""Direct li"&amp;"nks Without Sizes!D2:D""),IMPORTRANGE(""1NK5L1mviMn0j3D3uo53ASkIZOFRlLnqaCTnwzOG2_Wg"",""Direct links Without Sizes!E2:E""))),"""")"),"")</f>
        <v/>
      </c>
      <c r="I946" s="4"/>
      <c r="J946" s="24" t="str">
        <f t="shared" si="1"/>
        <v/>
      </c>
      <c r="K946" s="25"/>
      <c r="L946" s="24" t="str">
        <f t="shared" si="2"/>
        <v/>
      </c>
      <c r="M946" s="4"/>
      <c r="N946" s="23"/>
      <c r="O946" s="23"/>
      <c r="P946" s="23"/>
      <c r="Q946" s="4" t="str">
        <f t="shared" si="4"/>
        <v/>
      </c>
      <c r="R946" s="20"/>
      <c r="S946" s="20"/>
    </row>
    <row r="947">
      <c r="A947" s="4"/>
      <c r="B947" s="4"/>
      <c r="C947" s="37"/>
      <c r="D947" s="7" t="str">
        <f>IFERROR(__xludf.DUMMYFUNCTION("iferror(iferror(INDEX(IMPORTRANGE(""12vtnxaE_Q1s4tyr10kZQx7ZF_xG0lBFae4jQEUtgsMU"",""All!B2:B""),MATCH($C947,IMPORTRANGE(""12vtnxaE_Q1s4tyr10kZQx7ZF_xG0lBFae4jQEUtgsMU"",""All!A2:A""),0)),INDEX(IMPORTRANGE(""13KC70HngS4DDi8y9E5khtSpQEPG6owaQ9z4E-tR5mnY"","&amp;"""Non-Food!B2:B""),MATCH($C947,IMPORTRANGE(""13KC70HngS4DDi8y9E5khtSpQEPG6owaQ9z4E-tR5mnY"",""Non-Food!A2:A""),0))),"""")"),"")</f>
        <v/>
      </c>
      <c r="E947" s="15"/>
      <c r="F947" s="15"/>
      <c r="G947" s="36"/>
      <c r="H947" s="23" t="str">
        <f>IFERROR(__xludf.DUMMYFUNCTION("iferror(iferror(iferror(index(IMPORTRANGE(""1NK5L1mviMn0j3D3uo53ASkIZOFRlLnqaCTnwzOG2_Wg"",""Direct Link!B2:B""),MATCH($C947,IMPORTRANGE(""1NK5L1mviMn0j3D3uo53ASkIZOFRlLnqaCTnwzOG2_Wg"",""Direct Link!A2:A""),0)),XLOOKUP($C947,IMPORTRANGE(""1NK5L1mviMn0j3D"&amp;"3uo53ASkIZOFRlLnqaCTnwzOG2_Wg"",""Direct links Without Sizes!A2:A""),IMPORTRANGE(""1NK5L1mviMn0j3D3uo53ASkIZOFRlLnqaCTnwzOG2_Wg"",""Direct links Without Sizes!B2:B""))),XLOOKUP($C947,IMPORTRANGE(""1NK5L1mviMn0j3D3uo53ASkIZOFRlLnqaCTnwzOG2_Wg"",""Direct li"&amp;"nks Without Sizes!D2:D""),IMPORTRANGE(""1NK5L1mviMn0j3D3uo53ASkIZOFRlLnqaCTnwzOG2_Wg"",""Direct links Without Sizes!E2:E""))),"""")"),"")</f>
        <v/>
      </c>
      <c r="I947" s="4"/>
      <c r="J947" s="24" t="str">
        <f t="shared" si="1"/>
        <v/>
      </c>
      <c r="K947" s="25"/>
      <c r="L947" s="24" t="str">
        <f t="shared" si="2"/>
        <v/>
      </c>
      <c r="M947" s="4"/>
      <c r="N947" s="23"/>
      <c r="O947" s="23"/>
      <c r="P947" s="23"/>
      <c r="Q947" s="4" t="str">
        <f t="shared" si="4"/>
        <v/>
      </c>
      <c r="R947" s="20"/>
      <c r="S947" s="20"/>
    </row>
    <row r="948">
      <c r="A948" s="4"/>
      <c r="B948" s="4"/>
      <c r="C948" s="37"/>
      <c r="D948" s="7" t="str">
        <f>IFERROR(__xludf.DUMMYFUNCTION("iferror(iferror(INDEX(IMPORTRANGE(""12vtnxaE_Q1s4tyr10kZQx7ZF_xG0lBFae4jQEUtgsMU"",""All!B2:B""),MATCH($C948,IMPORTRANGE(""12vtnxaE_Q1s4tyr10kZQx7ZF_xG0lBFae4jQEUtgsMU"",""All!A2:A""),0)),INDEX(IMPORTRANGE(""13KC70HngS4DDi8y9E5khtSpQEPG6owaQ9z4E-tR5mnY"","&amp;"""Non-Food!B2:B""),MATCH($C948,IMPORTRANGE(""13KC70HngS4DDi8y9E5khtSpQEPG6owaQ9z4E-tR5mnY"",""Non-Food!A2:A""),0))),"""")"),"")</f>
        <v/>
      </c>
      <c r="E948" s="15"/>
      <c r="F948" s="15"/>
      <c r="G948" s="36"/>
      <c r="H948" s="23" t="str">
        <f>IFERROR(__xludf.DUMMYFUNCTION("iferror(iferror(iferror(index(IMPORTRANGE(""1NK5L1mviMn0j3D3uo53ASkIZOFRlLnqaCTnwzOG2_Wg"",""Direct Link!B2:B""),MATCH($C948,IMPORTRANGE(""1NK5L1mviMn0j3D3uo53ASkIZOFRlLnqaCTnwzOG2_Wg"",""Direct Link!A2:A""),0)),XLOOKUP($C948,IMPORTRANGE(""1NK5L1mviMn0j3D"&amp;"3uo53ASkIZOFRlLnqaCTnwzOG2_Wg"",""Direct links Without Sizes!A2:A""),IMPORTRANGE(""1NK5L1mviMn0j3D3uo53ASkIZOFRlLnqaCTnwzOG2_Wg"",""Direct links Without Sizes!B2:B""))),XLOOKUP($C948,IMPORTRANGE(""1NK5L1mviMn0j3D3uo53ASkIZOFRlLnqaCTnwzOG2_Wg"",""Direct li"&amp;"nks Without Sizes!D2:D""),IMPORTRANGE(""1NK5L1mviMn0j3D3uo53ASkIZOFRlLnqaCTnwzOG2_Wg"",""Direct links Without Sizes!E2:E""))),"""")"),"")</f>
        <v/>
      </c>
      <c r="I948" s="4"/>
      <c r="J948" s="24" t="str">
        <f t="shared" si="1"/>
        <v/>
      </c>
      <c r="K948" s="25"/>
      <c r="L948" s="24" t="str">
        <f t="shared" si="2"/>
        <v/>
      </c>
      <c r="M948" s="4"/>
      <c r="N948" s="23"/>
      <c r="O948" s="23"/>
      <c r="P948" s="23"/>
      <c r="Q948" s="4" t="str">
        <f t="shared" si="4"/>
        <v/>
      </c>
      <c r="R948" s="20"/>
      <c r="S948" s="20"/>
    </row>
    <row r="949">
      <c r="A949" s="4"/>
      <c r="B949" s="4"/>
      <c r="C949" s="37"/>
      <c r="D949" s="7" t="str">
        <f>IFERROR(__xludf.DUMMYFUNCTION("iferror(iferror(INDEX(IMPORTRANGE(""12vtnxaE_Q1s4tyr10kZQx7ZF_xG0lBFae4jQEUtgsMU"",""All!B2:B""),MATCH($C949,IMPORTRANGE(""12vtnxaE_Q1s4tyr10kZQx7ZF_xG0lBFae4jQEUtgsMU"",""All!A2:A""),0)),INDEX(IMPORTRANGE(""13KC70HngS4DDi8y9E5khtSpQEPG6owaQ9z4E-tR5mnY"","&amp;"""Non-Food!B2:B""),MATCH($C949,IMPORTRANGE(""13KC70HngS4DDi8y9E5khtSpQEPG6owaQ9z4E-tR5mnY"",""Non-Food!A2:A""),0))),"""")"),"")</f>
        <v/>
      </c>
      <c r="E949" s="15"/>
      <c r="F949" s="15"/>
      <c r="G949" s="36"/>
      <c r="H949" s="23" t="str">
        <f>IFERROR(__xludf.DUMMYFUNCTION("iferror(iferror(iferror(index(IMPORTRANGE(""1NK5L1mviMn0j3D3uo53ASkIZOFRlLnqaCTnwzOG2_Wg"",""Direct Link!B2:B""),MATCH($C949,IMPORTRANGE(""1NK5L1mviMn0j3D3uo53ASkIZOFRlLnqaCTnwzOG2_Wg"",""Direct Link!A2:A""),0)),XLOOKUP($C949,IMPORTRANGE(""1NK5L1mviMn0j3D"&amp;"3uo53ASkIZOFRlLnqaCTnwzOG2_Wg"",""Direct links Without Sizes!A2:A""),IMPORTRANGE(""1NK5L1mviMn0j3D3uo53ASkIZOFRlLnqaCTnwzOG2_Wg"",""Direct links Without Sizes!B2:B""))),XLOOKUP($C949,IMPORTRANGE(""1NK5L1mviMn0j3D3uo53ASkIZOFRlLnqaCTnwzOG2_Wg"",""Direct li"&amp;"nks Without Sizes!D2:D""),IMPORTRANGE(""1NK5L1mviMn0j3D3uo53ASkIZOFRlLnqaCTnwzOG2_Wg"",""Direct links Without Sizes!E2:E""))),"""")"),"")</f>
        <v/>
      </c>
      <c r="I949" s="4"/>
      <c r="J949" s="24" t="str">
        <f t="shared" si="1"/>
        <v/>
      </c>
      <c r="K949" s="25"/>
      <c r="L949" s="24" t="str">
        <f t="shared" si="2"/>
        <v/>
      </c>
      <c r="M949" s="4"/>
      <c r="N949" s="23"/>
      <c r="O949" s="23"/>
      <c r="P949" s="23"/>
      <c r="Q949" s="4" t="str">
        <f t="shared" si="4"/>
        <v/>
      </c>
      <c r="R949" s="20"/>
      <c r="S949" s="20"/>
    </row>
    <row r="950">
      <c r="A950" s="4"/>
      <c r="B950" s="4"/>
      <c r="C950" s="37"/>
      <c r="D950" s="7" t="str">
        <f>IFERROR(__xludf.DUMMYFUNCTION("iferror(iferror(INDEX(IMPORTRANGE(""12vtnxaE_Q1s4tyr10kZQx7ZF_xG0lBFae4jQEUtgsMU"",""All!B2:B""),MATCH($C950,IMPORTRANGE(""12vtnxaE_Q1s4tyr10kZQx7ZF_xG0lBFae4jQEUtgsMU"",""All!A2:A""),0)),INDEX(IMPORTRANGE(""13KC70HngS4DDi8y9E5khtSpQEPG6owaQ9z4E-tR5mnY"","&amp;"""Non-Food!B2:B""),MATCH($C950,IMPORTRANGE(""13KC70HngS4DDi8y9E5khtSpQEPG6owaQ9z4E-tR5mnY"",""Non-Food!A2:A""),0))),"""")"),"")</f>
        <v/>
      </c>
      <c r="E950" s="15"/>
      <c r="F950" s="15"/>
      <c r="G950" s="36"/>
      <c r="H950" s="23" t="str">
        <f>IFERROR(__xludf.DUMMYFUNCTION("iferror(iferror(iferror(index(IMPORTRANGE(""1NK5L1mviMn0j3D3uo53ASkIZOFRlLnqaCTnwzOG2_Wg"",""Direct Link!B2:B""),MATCH($C950,IMPORTRANGE(""1NK5L1mviMn0j3D3uo53ASkIZOFRlLnqaCTnwzOG2_Wg"",""Direct Link!A2:A""),0)),XLOOKUP($C950,IMPORTRANGE(""1NK5L1mviMn0j3D"&amp;"3uo53ASkIZOFRlLnqaCTnwzOG2_Wg"",""Direct links Without Sizes!A2:A""),IMPORTRANGE(""1NK5L1mviMn0j3D3uo53ASkIZOFRlLnqaCTnwzOG2_Wg"",""Direct links Without Sizes!B2:B""))),XLOOKUP($C950,IMPORTRANGE(""1NK5L1mviMn0j3D3uo53ASkIZOFRlLnqaCTnwzOG2_Wg"",""Direct li"&amp;"nks Without Sizes!D2:D""),IMPORTRANGE(""1NK5L1mviMn0j3D3uo53ASkIZOFRlLnqaCTnwzOG2_Wg"",""Direct links Without Sizes!E2:E""))),"""")"),"")</f>
        <v/>
      </c>
      <c r="I950" s="4"/>
      <c r="J950" s="24" t="str">
        <f t="shared" si="1"/>
        <v/>
      </c>
      <c r="K950" s="25"/>
      <c r="L950" s="24" t="str">
        <f t="shared" si="2"/>
        <v/>
      </c>
      <c r="M950" s="4"/>
      <c r="N950" s="23"/>
      <c r="O950" s="23"/>
      <c r="P950" s="23"/>
      <c r="Q950" s="4" t="str">
        <f t="shared" si="4"/>
        <v/>
      </c>
      <c r="R950" s="20"/>
      <c r="S950" s="20"/>
    </row>
    <row r="951">
      <c r="A951" s="4"/>
      <c r="B951" s="4"/>
      <c r="C951" s="37"/>
      <c r="D951" s="7" t="str">
        <f>IFERROR(__xludf.DUMMYFUNCTION("iferror(iferror(INDEX(IMPORTRANGE(""12vtnxaE_Q1s4tyr10kZQx7ZF_xG0lBFae4jQEUtgsMU"",""All!B2:B""),MATCH($C951,IMPORTRANGE(""12vtnxaE_Q1s4tyr10kZQx7ZF_xG0lBFae4jQEUtgsMU"",""All!A2:A""),0)),INDEX(IMPORTRANGE(""13KC70HngS4DDi8y9E5khtSpQEPG6owaQ9z4E-tR5mnY"","&amp;"""Non-Food!B2:B""),MATCH($C951,IMPORTRANGE(""13KC70HngS4DDi8y9E5khtSpQEPG6owaQ9z4E-tR5mnY"",""Non-Food!A2:A""),0))),"""")"),"")</f>
        <v/>
      </c>
      <c r="E951" s="15"/>
      <c r="F951" s="15"/>
      <c r="G951" s="36"/>
      <c r="H951" s="23" t="str">
        <f>IFERROR(__xludf.DUMMYFUNCTION("iferror(iferror(iferror(index(IMPORTRANGE(""1NK5L1mviMn0j3D3uo53ASkIZOFRlLnqaCTnwzOG2_Wg"",""Direct Link!B2:B""),MATCH($C951,IMPORTRANGE(""1NK5L1mviMn0j3D3uo53ASkIZOFRlLnqaCTnwzOG2_Wg"",""Direct Link!A2:A""),0)),XLOOKUP($C951,IMPORTRANGE(""1NK5L1mviMn0j3D"&amp;"3uo53ASkIZOFRlLnqaCTnwzOG2_Wg"",""Direct links Without Sizes!A2:A""),IMPORTRANGE(""1NK5L1mviMn0j3D3uo53ASkIZOFRlLnqaCTnwzOG2_Wg"",""Direct links Without Sizes!B2:B""))),XLOOKUP($C951,IMPORTRANGE(""1NK5L1mviMn0j3D3uo53ASkIZOFRlLnqaCTnwzOG2_Wg"",""Direct li"&amp;"nks Without Sizes!D2:D""),IMPORTRANGE(""1NK5L1mviMn0j3D3uo53ASkIZOFRlLnqaCTnwzOG2_Wg"",""Direct links Without Sizes!E2:E""))),"""")"),"")</f>
        <v/>
      </c>
      <c r="I951" s="4"/>
      <c r="J951" s="24" t="str">
        <f t="shared" si="1"/>
        <v/>
      </c>
      <c r="K951" s="25"/>
      <c r="L951" s="24" t="str">
        <f t="shared" si="2"/>
        <v/>
      </c>
      <c r="M951" s="4"/>
      <c r="N951" s="23"/>
      <c r="O951" s="23"/>
      <c r="P951" s="23"/>
      <c r="Q951" s="4" t="str">
        <f t="shared" si="4"/>
        <v/>
      </c>
      <c r="R951" s="20"/>
      <c r="S951" s="20"/>
    </row>
    <row r="952">
      <c r="A952" s="4"/>
      <c r="B952" s="4"/>
      <c r="C952" s="37"/>
      <c r="D952" s="7" t="str">
        <f>IFERROR(__xludf.DUMMYFUNCTION("iferror(iferror(INDEX(IMPORTRANGE(""12vtnxaE_Q1s4tyr10kZQx7ZF_xG0lBFae4jQEUtgsMU"",""All!B2:B""),MATCH($C952,IMPORTRANGE(""12vtnxaE_Q1s4tyr10kZQx7ZF_xG0lBFae4jQEUtgsMU"",""All!A2:A""),0)),INDEX(IMPORTRANGE(""13KC70HngS4DDi8y9E5khtSpQEPG6owaQ9z4E-tR5mnY"","&amp;"""Non-Food!B2:B""),MATCH($C952,IMPORTRANGE(""13KC70HngS4DDi8y9E5khtSpQEPG6owaQ9z4E-tR5mnY"",""Non-Food!A2:A""),0))),"""")"),"")</f>
        <v/>
      </c>
      <c r="E952" s="15"/>
      <c r="F952" s="15"/>
      <c r="G952" s="36"/>
      <c r="H952" s="23" t="str">
        <f>IFERROR(__xludf.DUMMYFUNCTION("iferror(iferror(iferror(index(IMPORTRANGE(""1NK5L1mviMn0j3D3uo53ASkIZOFRlLnqaCTnwzOG2_Wg"",""Direct Link!B2:B""),MATCH($C952,IMPORTRANGE(""1NK5L1mviMn0j3D3uo53ASkIZOFRlLnqaCTnwzOG2_Wg"",""Direct Link!A2:A""),0)),XLOOKUP($C952,IMPORTRANGE(""1NK5L1mviMn0j3D"&amp;"3uo53ASkIZOFRlLnqaCTnwzOG2_Wg"",""Direct links Without Sizes!A2:A""),IMPORTRANGE(""1NK5L1mviMn0j3D3uo53ASkIZOFRlLnqaCTnwzOG2_Wg"",""Direct links Without Sizes!B2:B""))),XLOOKUP($C952,IMPORTRANGE(""1NK5L1mviMn0j3D3uo53ASkIZOFRlLnqaCTnwzOG2_Wg"",""Direct li"&amp;"nks Without Sizes!D2:D""),IMPORTRANGE(""1NK5L1mviMn0j3D3uo53ASkIZOFRlLnqaCTnwzOG2_Wg"",""Direct links Without Sizes!E2:E""))),"""")"),"")</f>
        <v/>
      </c>
      <c r="I952" s="4"/>
      <c r="J952" s="24" t="str">
        <f t="shared" si="1"/>
        <v/>
      </c>
      <c r="K952" s="25"/>
      <c r="L952" s="24" t="str">
        <f t="shared" si="2"/>
        <v/>
      </c>
      <c r="M952" s="4"/>
      <c r="N952" s="23"/>
      <c r="O952" s="23"/>
      <c r="P952" s="23"/>
      <c r="Q952" s="4" t="str">
        <f t="shared" si="4"/>
        <v/>
      </c>
      <c r="R952" s="20"/>
      <c r="S952" s="20"/>
    </row>
    <row r="953">
      <c r="A953" s="4"/>
      <c r="B953" s="4"/>
      <c r="C953" s="37"/>
      <c r="D953" s="7" t="str">
        <f>IFERROR(__xludf.DUMMYFUNCTION("iferror(iferror(INDEX(IMPORTRANGE(""12vtnxaE_Q1s4tyr10kZQx7ZF_xG0lBFae4jQEUtgsMU"",""All!B2:B""),MATCH($C953,IMPORTRANGE(""12vtnxaE_Q1s4tyr10kZQx7ZF_xG0lBFae4jQEUtgsMU"",""All!A2:A""),0)),INDEX(IMPORTRANGE(""13KC70HngS4DDi8y9E5khtSpQEPG6owaQ9z4E-tR5mnY"","&amp;"""Non-Food!B2:B""),MATCH($C953,IMPORTRANGE(""13KC70HngS4DDi8y9E5khtSpQEPG6owaQ9z4E-tR5mnY"",""Non-Food!A2:A""),0))),"""")"),"")</f>
        <v/>
      </c>
      <c r="E953" s="15"/>
      <c r="F953" s="15"/>
      <c r="G953" s="36"/>
      <c r="H953" s="23" t="str">
        <f>IFERROR(__xludf.DUMMYFUNCTION("iferror(iferror(iferror(index(IMPORTRANGE(""1NK5L1mviMn0j3D3uo53ASkIZOFRlLnqaCTnwzOG2_Wg"",""Direct Link!B2:B""),MATCH($C953,IMPORTRANGE(""1NK5L1mviMn0j3D3uo53ASkIZOFRlLnqaCTnwzOG2_Wg"",""Direct Link!A2:A""),0)),XLOOKUP($C953,IMPORTRANGE(""1NK5L1mviMn0j3D"&amp;"3uo53ASkIZOFRlLnqaCTnwzOG2_Wg"",""Direct links Without Sizes!A2:A""),IMPORTRANGE(""1NK5L1mviMn0j3D3uo53ASkIZOFRlLnqaCTnwzOG2_Wg"",""Direct links Without Sizes!B2:B""))),XLOOKUP($C953,IMPORTRANGE(""1NK5L1mviMn0j3D3uo53ASkIZOFRlLnqaCTnwzOG2_Wg"",""Direct li"&amp;"nks Without Sizes!D2:D""),IMPORTRANGE(""1NK5L1mviMn0j3D3uo53ASkIZOFRlLnqaCTnwzOG2_Wg"",""Direct links Without Sizes!E2:E""))),"""")"),"")</f>
        <v/>
      </c>
      <c r="I953" s="4"/>
      <c r="J953" s="24" t="str">
        <f t="shared" si="1"/>
        <v/>
      </c>
      <c r="K953" s="25"/>
      <c r="L953" s="24" t="str">
        <f t="shared" si="2"/>
        <v/>
      </c>
      <c r="M953" s="4"/>
      <c r="N953" s="23"/>
      <c r="O953" s="23"/>
      <c r="P953" s="23"/>
      <c r="Q953" s="4" t="str">
        <f t="shared" si="4"/>
        <v/>
      </c>
      <c r="R953" s="20"/>
      <c r="S953" s="20"/>
    </row>
    <row r="954">
      <c r="A954" s="4"/>
      <c r="B954" s="4"/>
      <c r="C954" s="37"/>
      <c r="D954" s="7" t="str">
        <f>IFERROR(__xludf.DUMMYFUNCTION("iferror(iferror(INDEX(IMPORTRANGE(""12vtnxaE_Q1s4tyr10kZQx7ZF_xG0lBFae4jQEUtgsMU"",""All!B2:B""),MATCH($C954,IMPORTRANGE(""12vtnxaE_Q1s4tyr10kZQx7ZF_xG0lBFae4jQEUtgsMU"",""All!A2:A""),0)),INDEX(IMPORTRANGE(""13KC70HngS4DDi8y9E5khtSpQEPG6owaQ9z4E-tR5mnY"","&amp;"""Non-Food!B2:B""),MATCH($C954,IMPORTRANGE(""13KC70HngS4DDi8y9E5khtSpQEPG6owaQ9z4E-tR5mnY"",""Non-Food!A2:A""),0))),"""")"),"")</f>
        <v/>
      </c>
      <c r="E954" s="15"/>
      <c r="F954" s="15"/>
      <c r="G954" s="36"/>
      <c r="H954" s="23" t="str">
        <f>IFERROR(__xludf.DUMMYFUNCTION("iferror(iferror(iferror(index(IMPORTRANGE(""1NK5L1mviMn0j3D3uo53ASkIZOFRlLnqaCTnwzOG2_Wg"",""Direct Link!B2:B""),MATCH($C954,IMPORTRANGE(""1NK5L1mviMn0j3D3uo53ASkIZOFRlLnqaCTnwzOG2_Wg"",""Direct Link!A2:A""),0)),XLOOKUP($C954,IMPORTRANGE(""1NK5L1mviMn0j3D"&amp;"3uo53ASkIZOFRlLnqaCTnwzOG2_Wg"",""Direct links Without Sizes!A2:A""),IMPORTRANGE(""1NK5L1mviMn0j3D3uo53ASkIZOFRlLnqaCTnwzOG2_Wg"",""Direct links Without Sizes!B2:B""))),XLOOKUP($C954,IMPORTRANGE(""1NK5L1mviMn0j3D3uo53ASkIZOFRlLnqaCTnwzOG2_Wg"",""Direct li"&amp;"nks Without Sizes!D2:D""),IMPORTRANGE(""1NK5L1mviMn0j3D3uo53ASkIZOFRlLnqaCTnwzOG2_Wg"",""Direct links Without Sizes!E2:E""))),"""")"),"")</f>
        <v/>
      </c>
      <c r="I954" s="4"/>
      <c r="J954" s="24" t="str">
        <f t="shared" si="1"/>
        <v/>
      </c>
      <c r="K954" s="25"/>
      <c r="L954" s="24" t="str">
        <f t="shared" si="2"/>
        <v/>
      </c>
      <c r="M954" s="4"/>
      <c r="N954" s="23"/>
      <c r="O954" s="23"/>
      <c r="P954" s="23"/>
      <c r="Q954" s="4" t="str">
        <f t="shared" si="4"/>
        <v/>
      </c>
      <c r="R954" s="20"/>
      <c r="S954" s="20"/>
    </row>
    <row r="955">
      <c r="A955" s="4"/>
      <c r="B955" s="4"/>
      <c r="C955" s="37"/>
      <c r="D955" s="7" t="str">
        <f>IFERROR(__xludf.DUMMYFUNCTION("iferror(iferror(INDEX(IMPORTRANGE(""12vtnxaE_Q1s4tyr10kZQx7ZF_xG0lBFae4jQEUtgsMU"",""All!B2:B""),MATCH($C955,IMPORTRANGE(""12vtnxaE_Q1s4tyr10kZQx7ZF_xG0lBFae4jQEUtgsMU"",""All!A2:A""),0)),INDEX(IMPORTRANGE(""13KC70HngS4DDi8y9E5khtSpQEPG6owaQ9z4E-tR5mnY"","&amp;"""Non-Food!B2:B""),MATCH($C955,IMPORTRANGE(""13KC70HngS4DDi8y9E5khtSpQEPG6owaQ9z4E-tR5mnY"",""Non-Food!A2:A""),0))),"""")"),"")</f>
        <v/>
      </c>
      <c r="E955" s="15"/>
      <c r="F955" s="15"/>
      <c r="G955" s="36"/>
      <c r="H955" s="23" t="str">
        <f>IFERROR(__xludf.DUMMYFUNCTION("iferror(iferror(iferror(index(IMPORTRANGE(""1NK5L1mviMn0j3D3uo53ASkIZOFRlLnqaCTnwzOG2_Wg"",""Direct Link!B2:B""),MATCH($C955,IMPORTRANGE(""1NK5L1mviMn0j3D3uo53ASkIZOFRlLnqaCTnwzOG2_Wg"",""Direct Link!A2:A""),0)),XLOOKUP($C955,IMPORTRANGE(""1NK5L1mviMn0j3D"&amp;"3uo53ASkIZOFRlLnqaCTnwzOG2_Wg"",""Direct links Without Sizes!A2:A""),IMPORTRANGE(""1NK5L1mviMn0j3D3uo53ASkIZOFRlLnqaCTnwzOG2_Wg"",""Direct links Without Sizes!B2:B""))),XLOOKUP($C955,IMPORTRANGE(""1NK5L1mviMn0j3D3uo53ASkIZOFRlLnqaCTnwzOG2_Wg"",""Direct li"&amp;"nks Without Sizes!D2:D""),IMPORTRANGE(""1NK5L1mviMn0j3D3uo53ASkIZOFRlLnqaCTnwzOG2_Wg"",""Direct links Without Sizes!E2:E""))),"""")"),"")</f>
        <v/>
      </c>
      <c r="I955" s="4"/>
      <c r="J955" s="24" t="str">
        <f t="shared" si="1"/>
        <v/>
      </c>
      <c r="K955" s="25"/>
      <c r="L955" s="24" t="str">
        <f t="shared" si="2"/>
        <v/>
      </c>
      <c r="M955" s="4"/>
      <c r="N955" s="23"/>
      <c r="O955" s="23"/>
      <c r="P955" s="23"/>
      <c r="Q955" s="4" t="str">
        <f t="shared" si="4"/>
        <v/>
      </c>
      <c r="R955" s="20"/>
      <c r="S955" s="20"/>
    </row>
    <row r="956">
      <c r="A956" s="4"/>
      <c r="B956" s="4"/>
      <c r="C956" s="37"/>
      <c r="D956" s="7" t="str">
        <f>IFERROR(__xludf.DUMMYFUNCTION("iferror(iferror(INDEX(IMPORTRANGE(""12vtnxaE_Q1s4tyr10kZQx7ZF_xG0lBFae4jQEUtgsMU"",""All!B2:B""),MATCH($C956,IMPORTRANGE(""12vtnxaE_Q1s4tyr10kZQx7ZF_xG0lBFae4jQEUtgsMU"",""All!A2:A""),0)),INDEX(IMPORTRANGE(""13KC70HngS4DDi8y9E5khtSpQEPG6owaQ9z4E-tR5mnY"","&amp;"""Non-Food!B2:B""),MATCH($C956,IMPORTRANGE(""13KC70HngS4DDi8y9E5khtSpQEPG6owaQ9z4E-tR5mnY"",""Non-Food!A2:A""),0))),"""")"),"")</f>
        <v/>
      </c>
      <c r="E956" s="15"/>
      <c r="F956" s="15"/>
      <c r="G956" s="36"/>
      <c r="H956" s="23" t="str">
        <f>IFERROR(__xludf.DUMMYFUNCTION("iferror(iferror(iferror(index(IMPORTRANGE(""1NK5L1mviMn0j3D3uo53ASkIZOFRlLnqaCTnwzOG2_Wg"",""Direct Link!B2:B""),MATCH($C956,IMPORTRANGE(""1NK5L1mviMn0j3D3uo53ASkIZOFRlLnqaCTnwzOG2_Wg"",""Direct Link!A2:A""),0)),XLOOKUP($C956,IMPORTRANGE(""1NK5L1mviMn0j3D"&amp;"3uo53ASkIZOFRlLnqaCTnwzOG2_Wg"",""Direct links Without Sizes!A2:A""),IMPORTRANGE(""1NK5L1mviMn0j3D3uo53ASkIZOFRlLnqaCTnwzOG2_Wg"",""Direct links Without Sizes!B2:B""))),XLOOKUP($C956,IMPORTRANGE(""1NK5L1mviMn0j3D3uo53ASkIZOFRlLnqaCTnwzOG2_Wg"",""Direct li"&amp;"nks Without Sizes!D2:D""),IMPORTRANGE(""1NK5L1mviMn0j3D3uo53ASkIZOFRlLnqaCTnwzOG2_Wg"",""Direct links Without Sizes!E2:E""))),"""")"),"")</f>
        <v/>
      </c>
      <c r="I956" s="4"/>
      <c r="J956" s="24" t="str">
        <f t="shared" si="1"/>
        <v/>
      </c>
      <c r="K956" s="25"/>
      <c r="L956" s="24" t="str">
        <f t="shared" si="2"/>
        <v/>
      </c>
      <c r="M956" s="4"/>
      <c r="N956" s="23"/>
      <c r="O956" s="23"/>
      <c r="P956" s="23"/>
      <c r="Q956" s="4" t="str">
        <f t="shared" si="4"/>
        <v/>
      </c>
      <c r="R956" s="20"/>
      <c r="S956" s="20"/>
    </row>
    <row r="957">
      <c r="A957" s="4"/>
      <c r="B957" s="4"/>
      <c r="C957" s="37"/>
      <c r="D957" s="7" t="str">
        <f>IFERROR(__xludf.DUMMYFUNCTION("iferror(iferror(INDEX(IMPORTRANGE(""12vtnxaE_Q1s4tyr10kZQx7ZF_xG0lBFae4jQEUtgsMU"",""All!B2:B""),MATCH($C957,IMPORTRANGE(""12vtnxaE_Q1s4tyr10kZQx7ZF_xG0lBFae4jQEUtgsMU"",""All!A2:A""),0)),INDEX(IMPORTRANGE(""13KC70HngS4DDi8y9E5khtSpQEPG6owaQ9z4E-tR5mnY"","&amp;"""Non-Food!B2:B""),MATCH($C957,IMPORTRANGE(""13KC70HngS4DDi8y9E5khtSpQEPG6owaQ9z4E-tR5mnY"",""Non-Food!A2:A""),0))),"""")"),"")</f>
        <v/>
      </c>
      <c r="E957" s="15"/>
      <c r="F957" s="15"/>
      <c r="G957" s="36"/>
      <c r="H957" s="23" t="str">
        <f>IFERROR(__xludf.DUMMYFUNCTION("iferror(iferror(iferror(index(IMPORTRANGE(""1NK5L1mviMn0j3D3uo53ASkIZOFRlLnqaCTnwzOG2_Wg"",""Direct Link!B2:B""),MATCH($C957,IMPORTRANGE(""1NK5L1mviMn0j3D3uo53ASkIZOFRlLnqaCTnwzOG2_Wg"",""Direct Link!A2:A""),0)),XLOOKUP($C957,IMPORTRANGE(""1NK5L1mviMn0j3D"&amp;"3uo53ASkIZOFRlLnqaCTnwzOG2_Wg"",""Direct links Without Sizes!A2:A""),IMPORTRANGE(""1NK5L1mviMn0j3D3uo53ASkIZOFRlLnqaCTnwzOG2_Wg"",""Direct links Without Sizes!B2:B""))),XLOOKUP($C957,IMPORTRANGE(""1NK5L1mviMn0j3D3uo53ASkIZOFRlLnqaCTnwzOG2_Wg"",""Direct li"&amp;"nks Without Sizes!D2:D""),IMPORTRANGE(""1NK5L1mviMn0j3D3uo53ASkIZOFRlLnqaCTnwzOG2_Wg"",""Direct links Without Sizes!E2:E""))),"""")"),"")</f>
        <v/>
      </c>
      <c r="I957" s="4"/>
      <c r="J957" s="24" t="str">
        <f t="shared" si="1"/>
        <v/>
      </c>
      <c r="K957" s="25"/>
      <c r="L957" s="24" t="str">
        <f t="shared" si="2"/>
        <v/>
      </c>
      <c r="M957" s="4"/>
      <c r="N957" s="23"/>
      <c r="O957" s="23"/>
      <c r="P957" s="23"/>
      <c r="Q957" s="4" t="str">
        <f t="shared" si="4"/>
        <v/>
      </c>
      <c r="R957" s="20"/>
      <c r="S957" s="20"/>
    </row>
    <row r="958">
      <c r="A958" s="4"/>
      <c r="B958" s="4"/>
      <c r="C958" s="37"/>
      <c r="D958" s="7" t="str">
        <f>IFERROR(__xludf.DUMMYFUNCTION("iferror(iferror(INDEX(IMPORTRANGE(""12vtnxaE_Q1s4tyr10kZQx7ZF_xG0lBFae4jQEUtgsMU"",""All!B2:B""),MATCH($C958,IMPORTRANGE(""12vtnxaE_Q1s4tyr10kZQx7ZF_xG0lBFae4jQEUtgsMU"",""All!A2:A""),0)),INDEX(IMPORTRANGE(""13KC70HngS4DDi8y9E5khtSpQEPG6owaQ9z4E-tR5mnY"","&amp;"""Non-Food!B2:B""),MATCH($C958,IMPORTRANGE(""13KC70HngS4DDi8y9E5khtSpQEPG6owaQ9z4E-tR5mnY"",""Non-Food!A2:A""),0))),"""")"),"")</f>
        <v/>
      </c>
      <c r="E958" s="15"/>
      <c r="F958" s="15"/>
      <c r="G958" s="36"/>
      <c r="H958" s="23" t="str">
        <f>IFERROR(__xludf.DUMMYFUNCTION("iferror(iferror(iferror(index(IMPORTRANGE(""1NK5L1mviMn0j3D3uo53ASkIZOFRlLnqaCTnwzOG2_Wg"",""Direct Link!B2:B""),MATCH($C958,IMPORTRANGE(""1NK5L1mviMn0j3D3uo53ASkIZOFRlLnqaCTnwzOG2_Wg"",""Direct Link!A2:A""),0)),XLOOKUP($C958,IMPORTRANGE(""1NK5L1mviMn0j3D"&amp;"3uo53ASkIZOFRlLnqaCTnwzOG2_Wg"",""Direct links Without Sizes!A2:A""),IMPORTRANGE(""1NK5L1mviMn0j3D3uo53ASkIZOFRlLnqaCTnwzOG2_Wg"",""Direct links Without Sizes!B2:B""))),XLOOKUP($C958,IMPORTRANGE(""1NK5L1mviMn0j3D3uo53ASkIZOFRlLnqaCTnwzOG2_Wg"",""Direct li"&amp;"nks Without Sizes!D2:D""),IMPORTRANGE(""1NK5L1mviMn0j3D3uo53ASkIZOFRlLnqaCTnwzOG2_Wg"",""Direct links Without Sizes!E2:E""))),"""")"),"")</f>
        <v/>
      </c>
      <c r="I958" s="4"/>
      <c r="J958" s="24" t="str">
        <f t="shared" si="1"/>
        <v/>
      </c>
      <c r="K958" s="25"/>
      <c r="L958" s="24" t="str">
        <f t="shared" si="2"/>
        <v/>
      </c>
      <c r="M958" s="4"/>
      <c r="N958" s="23"/>
      <c r="O958" s="23"/>
      <c r="P958" s="23"/>
      <c r="Q958" s="4" t="str">
        <f t="shared" si="4"/>
        <v/>
      </c>
      <c r="R958" s="20"/>
      <c r="S958" s="20"/>
    </row>
    <row r="959">
      <c r="A959" s="4"/>
      <c r="B959" s="4"/>
      <c r="C959" s="37"/>
      <c r="D959" s="7" t="str">
        <f>IFERROR(__xludf.DUMMYFUNCTION("iferror(iferror(INDEX(IMPORTRANGE(""12vtnxaE_Q1s4tyr10kZQx7ZF_xG0lBFae4jQEUtgsMU"",""All!B2:B""),MATCH($C959,IMPORTRANGE(""12vtnxaE_Q1s4tyr10kZQx7ZF_xG0lBFae4jQEUtgsMU"",""All!A2:A""),0)),INDEX(IMPORTRANGE(""13KC70HngS4DDi8y9E5khtSpQEPG6owaQ9z4E-tR5mnY"","&amp;"""Non-Food!B2:B""),MATCH($C959,IMPORTRANGE(""13KC70HngS4DDi8y9E5khtSpQEPG6owaQ9z4E-tR5mnY"",""Non-Food!A2:A""),0))),"""")"),"")</f>
        <v/>
      </c>
      <c r="E959" s="15"/>
      <c r="F959" s="15"/>
      <c r="G959" s="36"/>
      <c r="H959" s="23" t="str">
        <f>IFERROR(__xludf.DUMMYFUNCTION("iferror(iferror(iferror(index(IMPORTRANGE(""1NK5L1mviMn0j3D3uo53ASkIZOFRlLnqaCTnwzOG2_Wg"",""Direct Link!B2:B""),MATCH($C959,IMPORTRANGE(""1NK5L1mviMn0j3D3uo53ASkIZOFRlLnqaCTnwzOG2_Wg"",""Direct Link!A2:A""),0)),XLOOKUP($C959,IMPORTRANGE(""1NK5L1mviMn0j3D"&amp;"3uo53ASkIZOFRlLnqaCTnwzOG2_Wg"",""Direct links Without Sizes!A2:A""),IMPORTRANGE(""1NK5L1mviMn0j3D3uo53ASkIZOFRlLnqaCTnwzOG2_Wg"",""Direct links Without Sizes!B2:B""))),XLOOKUP($C959,IMPORTRANGE(""1NK5L1mviMn0j3D3uo53ASkIZOFRlLnqaCTnwzOG2_Wg"",""Direct li"&amp;"nks Without Sizes!D2:D""),IMPORTRANGE(""1NK5L1mviMn0j3D3uo53ASkIZOFRlLnqaCTnwzOG2_Wg"",""Direct links Without Sizes!E2:E""))),"""")"),"")</f>
        <v/>
      </c>
      <c r="I959" s="4"/>
      <c r="J959" s="24" t="str">
        <f t="shared" si="1"/>
        <v/>
      </c>
      <c r="K959" s="25"/>
      <c r="L959" s="24" t="str">
        <f t="shared" si="2"/>
        <v/>
      </c>
      <c r="M959" s="4"/>
      <c r="N959" s="23"/>
      <c r="O959" s="23"/>
      <c r="P959" s="23"/>
      <c r="Q959" s="4" t="str">
        <f t="shared" si="4"/>
        <v/>
      </c>
      <c r="R959" s="20"/>
      <c r="S959" s="20"/>
    </row>
    <row r="960">
      <c r="A960" s="4"/>
      <c r="B960" s="4"/>
      <c r="C960" s="37"/>
      <c r="D960" s="7" t="str">
        <f>IFERROR(__xludf.DUMMYFUNCTION("iferror(iferror(INDEX(IMPORTRANGE(""12vtnxaE_Q1s4tyr10kZQx7ZF_xG0lBFae4jQEUtgsMU"",""All!B2:B""),MATCH($C960,IMPORTRANGE(""12vtnxaE_Q1s4tyr10kZQx7ZF_xG0lBFae4jQEUtgsMU"",""All!A2:A""),0)),INDEX(IMPORTRANGE(""13KC70HngS4DDi8y9E5khtSpQEPG6owaQ9z4E-tR5mnY"","&amp;"""Non-Food!B2:B""),MATCH($C960,IMPORTRANGE(""13KC70HngS4DDi8y9E5khtSpQEPG6owaQ9z4E-tR5mnY"",""Non-Food!A2:A""),0))),"""")"),"")</f>
        <v/>
      </c>
      <c r="E960" s="15"/>
      <c r="F960" s="15"/>
      <c r="G960" s="36"/>
      <c r="H960" s="23" t="str">
        <f>IFERROR(__xludf.DUMMYFUNCTION("iferror(iferror(iferror(index(IMPORTRANGE(""1NK5L1mviMn0j3D3uo53ASkIZOFRlLnqaCTnwzOG2_Wg"",""Direct Link!B2:B""),MATCH($C960,IMPORTRANGE(""1NK5L1mviMn0j3D3uo53ASkIZOFRlLnqaCTnwzOG2_Wg"",""Direct Link!A2:A""),0)),XLOOKUP($C960,IMPORTRANGE(""1NK5L1mviMn0j3D"&amp;"3uo53ASkIZOFRlLnqaCTnwzOG2_Wg"",""Direct links Without Sizes!A2:A""),IMPORTRANGE(""1NK5L1mviMn0j3D3uo53ASkIZOFRlLnqaCTnwzOG2_Wg"",""Direct links Without Sizes!B2:B""))),XLOOKUP($C960,IMPORTRANGE(""1NK5L1mviMn0j3D3uo53ASkIZOFRlLnqaCTnwzOG2_Wg"",""Direct li"&amp;"nks Without Sizes!D2:D""),IMPORTRANGE(""1NK5L1mviMn0j3D3uo53ASkIZOFRlLnqaCTnwzOG2_Wg"",""Direct links Without Sizes!E2:E""))),"""")"),"")</f>
        <v/>
      </c>
      <c r="I960" s="4"/>
      <c r="J960" s="24" t="str">
        <f t="shared" si="1"/>
        <v/>
      </c>
      <c r="K960" s="25"/>
      <c r="L960" s="24" t="str">
        <f t="shared" si="2"/>
        <v/>
      </c>
      <c r="M960" s="4"/>
      <c r="N960" s="23"/>
      <c r="O960" s="23"/>
      <c r="P960" s="23"/>
      <c r="Q960" s="4" t="str">
        <f t="shared" si="4"/>
        <v/>
      </c>
      <c r="R960" s="20"/>
      <c r="S960" s="20"/>
    </row>
    <row r="961">
      <c r="A961" s="4"/>
      <c r="B961" s="4"/>
      <c r="C961" s="37"/>
      <c r="D961" s="7" t="str">
        <f>IFERROR(__xludf.DUMMYFUNCTION("iferror(iferror(INDEX(IMPORTRANGE(""12vtnxaE_Q1s4tyr10kZQx7ZF_xG0lBFae4jQEUtgsMU"",""All!B2:B""),MATCH($C961,IMPORTRANGE(""12vtnxaE_Q1s4tyr10kZQx7ZF_xG0lBFae4jQEUtgsMU"",""All!A2:A""),0)),INDEX(IMPORTRANGE(""13KC70HngS4DDi8y9E5khtSpQEPG6owaQ9z4E-tR5mnY"","&amp;"""Non-Food!B2:B""),MATCH($C961,IMPORTRANGE(""13KC70HngS4DDi8y9E5khtSpQEPG6owaQ9z4E-tR5mnY"",""Non-Food!A2:A""),0))),"""")"),"")</f>
        <v/>
      </c>
      <c r="E961" s="15"/>
      <c r="F961" s="15"/>
      <c r="G961" s="36"/>
      <c r="H961" s="23" t="str">
        <f>IFERROR(__xludf.DUMMYFUNCTION("iferror(iferror(iferror(index(IMPORTRANGE(""1NK5L1mviMn0j3D3uo53ASkIZOFRlLnqaCTnwzOG2_Wg"",""Direct Link!B2:B""),MATCH($C961,IMPORTRANGE(""1NK5L1mviMn0j3D3uo53ASkIZOFRlLnqaCTnwzOG2_Wg"",""Direct Link!A2:A""),0)),XLOOKUP($C961,IMPORTRANGE(""1NK5L1mviMn0j3D"&amp;"3uo53ASkIZOFRlLnqaCTnwzOG2_Wg"",""Direct links Without Sizes!A2:A""),IMPORTRANGE(""1NK5L1mviMn0j3D3uo53ASkIZOFRlLnqaCTnwzOG2_Wg"",""Direct links Without Sizes!B2:B""))),XLOOKUP($C961,IMPORTRANGE(""1NK5L1mviMn0j3D3uo53ASkIZOFRlLnqaCTnwzOG2_Wg"",""Direct li"&amp;"nks Without Sizes!D2:D""),IMPORTRANGE(""1NK5L1mviMn0j3D3uo53ASkIZOFRlLnqaCTnwzOG2_Wg"",""Direct links Without Sizes!E2:E""))),"""")"),"")</f>
        <v/>
      </c>
      <c r="I961" s="4"/>
      <c r="J961" s="24" t="str">
        <f t="shared" si="1"/>
        <v/>
      </c>
      <c r="K961" s="25"/>
      <c r="L961" s="24" t="str">
        <f t="shared" si="2"/>
        <v/>
      </c>
      <c r="M961" s="4"/>
      <c r="N961" s="23"/>
      <c r="O961" s="23"/>
      <c r="P961" s="23"/>
      <c r="Q961" s="4" t="str">
        <f t="shared" si="4"/>
        <v/>
      </c>
      <c r="R961" s="20"/>
      <c r="S961" s="20"/>
    </row>
    <row r="962">
      <c r="A962" s="4"/>
      <c r="B962" s="4"/>
      <c r="C962" s="37"/>
      <c r="D962" s="7" t="str">
        <f>IFERROR(__xludf.DUMMYFUNCTION("iferror(iferror(INDEX(IMPORTRANGE(""12vtnxaE_Q1s4tyr10kZQx7ZF_xG0lBFae4jQEUtgsMU"",""All!B2:B""),MATCH($C962,IMPORTRANGE(""12vtnxaE_Q1s4tyr10kZQx7ZF_xG0lBFae4jQEUtgsMU"",""All!A2:A""),0)),INDEX(IMPORTRANGE(""13KC70HngS4DDi8y9E5khtSpQEPG6owaQ9z4E-tR5mnY"","&amp;"""Non-Food!B2:B""),MATCH($C962,IMPORTRANGE(""13KC70HngS4DDi8y9E5khtSpQEPG6owaQ9z4E-tR5mnY"",""Non-Food!A2:A""),0))),"""")"),"")</f>
        <v/>
      </c>
      <c r="E962" s="15"/>
      <c r="F962" s="15"/>
      <c r="G962" s="36"/>
      <c r="H962" s="23" t="str">
        <f>IFERROR(__xludf.DUMMYFUNCTION("iferror(iferror(iferror(index(IMPORTRANGE(""1NK5L1mviMn0j3D3uo53ASkIZOFRlLnqaCTnwzOG2_Wg"",""Direct Link!B2:B""),MATCH($C962,IMPORTRANGE(""1NK5L1mviMn0j3D3uo53ASkIZOFRlLnqaCTnwzOG2_Wg"",""Direct Link!A2:A""),0)),XLOOKUP($C962,IMPORTRANGE(""1NK5L1mviMn0j3D"&amp;"3uo53ASkIZOFRlLnqaCTnwzOG2_Wg"",""Direct links Without Sizes!A2:A""),IMPORTRANGE(""1NK5L1mviMn0j3D3uo53ASkIZOFRlLnqaCTnwzOG2_Wg"",""Direct links Without Sizes!B2:B""))),XLOOKUP($C962,IMPORTRANGE(""1NK5L1mviMn0j3D3uo53ASkIZOFRlLnqaCTnwzOG2_Wg"",""Direct li"&amp;"nks Without Sizes!D2:D""),IMPORTRANGE(""1NK5L1mviMn0j3D3uo53ASkIZOFRlLnqaCTnwzOG2_Wg"",""Direct links Without Sizes!E2:E""))),"""")"),"")</f>
        <v/>
      </c>
      <c r="I962" s="4"/>
      <c r="J962" s="24" t="str">
        <f t="shared" si="1"/>
        <v/>
      </c>
      <c r="K962" s="25"/>
      <c r="L962" s="24" t="str">
        <f t="shared" si="2"/>
        <v/>
      </c>
      <c r="M962" s="4"/>
      <c r="N962" s="23"/>
      <c r="O962" s="23"/>
      <c r="P962" s="23"/>
      <c r="Q962" s="4" t="str">
        <f t="shared" si="4"/>
        <v/>
      </c>
      <c r="R962" s="20"/>
      <c r="S962" s="20"/>
    </row>
    <row r="963">
      <c r="A963" s="4"/>
      <c r="B963" s="4"/>
      <c r="C963" s="37"/>
      <c r="D963" s="7" t="str">
        <f>IFERROR(__xludf.DUMMYFUNCTION("iferror(iferror(INDEX(IMPORTRANGE(""12vtnxaE_Q1s4tyr10kZQx7ZF_xG0lBFae4jQEUtgsMU"",""All!B2:B""),MATCH($C963,IMPORTRANGE(""12vtnxaE_Q1s4tyr10kZQx7ZF_xG0lBFae4jQEUtgsMU"",""All!A2:A""),0)),INDEX(IMPORTRANGE(""13KC70HngS4DDi8y9E5khtSpQEPG6owaQ9z4E-tR5mnY"","&amp;"""Non-Food!B2:B""),MATCH($C963,IMPORTRANGE(""13KC70HngS4DDi8y9E5khtSpQEPG6owaQ9z4E-tR5mnY"",""Non-Food!A2:A""),0))),"""")"),"")</f>
        <v/>
      </c>
      <c r="E963" s="15"/>
      <c r="F963" s="15"/>
      <c r="G963" s="36"/>
      <c r="H963" s="23" t="str">
        <f>IFERROR(__xludf.DUMMYFUNCTION("iferror(iferror(iferror(index(IMPORTRANGE(""1NK5L1mviMn0j3D3uo53ASkIZOFRlLnqaCTnwzOG2_Wg"",""Direct Link!B2:B""),MATCH($C963,IMPORTRANGE(""1NK5L1mviMn0j3D3uo53ASkIZOFRlLnqaCTnwzOG2_Wg"",""Direct Link!A2:A""),0)),XLOOKUP($C963,IMPORTRANGE(""1NK5L1mviMn0j3D"&amp;"3uo53ASkIZOFRlLnqaCTnwzOG2_Wg"",""Direct links Without Sizes!A2:A""),IMPORTRANGE(""1NK5L1mviMn0j3D3uo53ASkIZOFRlLnqaCTnwzOG2_Wg"",""Direct links Without Sizes!B2:B""))),XLOOKUP($C963,IMPORTRANGE(""1NK5L1mviMn0j3D3uo53ASkIZOFRlLnqaCTnwzOG2_Wg"",""Direct li"&amp;"nks Without Sizes!D2:D""),IMPORTRANGE(""1NK5L1mviMn0j3D3uo53ASkIZOFRlLnqaCTnwzOG2_Wg"",""Direct links Without Sizes!E2:E""))),"""")"),"")</f>
        <v/>
      </c>
      <c r="I963" s="4"/>
      <c r="J963" s="24" t="str">
        <f t="shared" si="1"/>
        <v/>
      </c>
      <c r="K963" s="25"/>
      <c r="L963" s="24" t="str">
        <f t="shared" si="2"/>
        <v/>
      </c>
      <c r="M963" s="4"/>
      <c r="N963" s="23"/>
      <c r="O963" s="23"/>
      <c r="P963" s="23"/>
      <c r="Q963" s="4" t="str">
        <f t="shared" si="4"/>
        <v/>
      </c>
      <c r="R963" s="20"/>
      <c r="S963" s="20"/>
    </row>
    <row r="964">
      <c r="A964" s="4"/>
      <c r="B964" s="4"/>
      <c r="C964" s="37"/>
      <c r="D964" s="7" t="str">
        <f>IFERROR(__xludf.DUMMYFUNCTION("iferror(iferror(INDEX(IMPORTRANGE(""12vtnxaE_Q1s4tyr10kZQx7ZF_xG0lBFae4jQEUtgsMU"",""All!B2:B""),MATCH($C964,IMPORTRANGE(""12vtnxaE_Q1s4tyr10kZQx7ZF_xG0lBFae4jQEUtgsMU"",""All!A2:A""),0)),INDEX(IMPORTRANGE(""13KC70HngS4DDi8y9E5khtSpQEPG6owaQ9z4E-tR5mnY"","&amp;"""Non-Food!B2:B""),MATCH($C964,IMPORTRANGE(""13KC70HngS4DDi8y9E5khtSpQEPG6owaQ9z4E-tR5mnY"",""Non-Food!A2:A""),0))),"""")"),"")</f>
        <v/>
      </c>
      <c r="E964" s="15"/>
      <c r="F964" s="15"/>
      <c r="G964" s="36"/>
      <c r="H964" s="23" t="str">
        <f>IFERROR(__xludf.DUMMYFUNCTION("iferror(iferror(iferror(index(IMPORTRANGE(""1NK5L1mviMn0j3D3uo53ASkIZOFRlLnqaCTnwzOG2_Wg"",""Direct Link!B2:B""),MATCH($C964,IMPORTRANGE(""1NK5L1mviMn0j3D3uo53ASkIZOFRlLnqaCTnwzOG2_Wg"",""Direct Link!A2:A""),0)),XLOOKUP($C964,IMPORTRANGE(""1NK5L1mviMn0j3D"&amp;"3uo53ASkIZOFRlLnqaCTnwzOG2_Wg"",""Direct links Without Sizes!A2:A""),IMPORTRANGE(""1NK5L1mviMn0j3D3uo53ASkIZOFRlLnqaCTnwzOG2_Wg"",""Direct links Without Sizes!B2:B""))),XLOOKUP($C964,IMPORTRANGE(""1NK5L1mviMn0j3D3uo53ASkIZOFRlLnqaCTnwzOG2_Wg"",""Direct li"&amp;"nks Without Sizes!D2:D""),IMPORTRANGE(""1NK5L1mviMn0j3D3uo53ASkIZOFRlLnqaCTnwzOG2_Wg"",""Direct links Without Sizes!E2:E""))),"""")"),"")</f>
        <v/>
      </c>
      <c r="I964" s="4"/>
      <c r="J964" s="24" t="str">
        <f t="shared" si="1"/>
        <v/>
      </c>
      <c r="K964" s="25"/>
      <c r="L964" s="24" t="str">
        <f t="shared" si="2"/>
        <v/>
      </c>
      <c r="M964" s="4"/>
      <c r="N964" s="23"/>
      <c r="O964" s="23"/>
      <c r="P964" s="23"/>
      <c r="Q964" s="4" t="str">
        <f t="shared" si="4"/>
        <v/>
      </c>
      <c r="R964" s="20"/>
      <c r="S964" s="20"/>
    </row>
    <row r="965">
      <c r="A965" s="4"/>
      <c r="B965" s="4"/>
      <c r="C965" s="37"/>
      <c r="D965" s="7" t="str">
        <f>IFERROR(__xludf.DUMMYFUNCTION("iferror(iferror(INDEX(IMPORTRANGE(""12vtnxaE_Q1s4tyr10kZQx7ZF_xG0lBFae4jQEUtgsMU"",""All!B2:B""),MATCH($C965,IMPORTRANGE(""12vtnxaE_Q1s4tyr10kZQx7ZF_xG0lBFae4jQEUtgsMU"",""All!A2:A""),0)),INDEX(IMPORTRANGE(""13KC70HngS4DDi8y9E5khtSpQEPG6owaQ9z4E-tR5mnY"","&amp;"""Non-Food!B2:B""),MATCH($C965,IMPORTRANGE(""13KC70HngS4DDi8y9E5khtSpQEPG6owaQ9z4E-tR5mnY"",""Non-Food!A2:A""),0))),"""")"),"")</f>
        <v/>
      </c>
      <c r="E965" s="15"/>
      <c r="F965" s="15"/>
      <c r="G965" s="36"/>
      <c r="H965" s="23" t="str">
        <f>IFERROR(__xludf.DUMMYFUNCTION("iferror(iferror(iferror(index(IMPORTRANGE(""1NK5L1mviMn0j3D3uo53ASkIZOFRlLnqaCTnwzOG2_Wg"",""Direct Link!B2:B""),MATCH($C965,IMPORTRANGE(""1NK5L1mviMn0j3D3uo53ASkIZOFRlLnqaCTnwzOG2_Wg"",""Direct Link!A2:A""),0)),XLOOKUP($C965,IMPORTRANGE(""1NK5L1mviMn0j3D"&amp;"3uo53ASkIZOFRlLnqaCTnwzOG2_Wg"",""Direct links Without Sizes!A2:A""),IMPORTRANGE(""1NK5L1mviMn0j3D3uo53ASkIZOFRlLnqaCTnwzOG2_Wg"",""Direct links Without Sizes!B2:B""))),XLOOKUP($C965,IMPORTRANGE(""1NK5L1mviMn0j3D3uo53ASkIZOFRlLnqaCTnwzOG2_Wg"",""Direct li"&amp;"nks Without Sizes!D2:D""),IMPORTRANGE(""1NK5L1mviMn0j3D3uo53ASkIZOFRlLnqaCTnwzOG2_Wg"",""Direct links Without Sizes!E2:E""))),"""")"),"")</f>
        <v/>
      </c>
      <c r="I965" s="4"/>
      <c r="J965" s="24" t="str">
        <f t="shared" si="1"/>
        <v/>
      </c>
      <c r="K965" s="25"/>
      <c r="L965" s="24" t="str">
        <f t="shared" si="2"/>
        <v/>
      </c>
      <c r="M965" s="4"/>
      <c r="N965" s="23"/>
      <c r="O965" s="23"/>
      <c r="P965" s="23"/>
      <c r="Q965" s="4" t="str">
        <f t="shared" si="4"/>
        <v/>
      </c>
      <c r="R965" s="20"/>
      <c r="S965" s="20"/>
    </row>
    <row r="966">
      <c r="A966" s="4"/>
      <c r="B966" s="4"/>
      <c r="C966" s="37"/>
      <c r="D966" s="7" t="str">
        <f>IFERROR(__xludf.DUMMYFUNCTION("iferror(iferror(INDEX(IMPORTRANGE(""12vtnxaE_Q1s4tyr10kZQx7ZF_xG0lBFae4jQEUtgsMU"",""All!B2:B""),MATCH($C966,IMPORTRANGE(""12vtnxaE_Q1s4tyr10kZQx7ZF_xG0lBFae4jQEUtgsMU"",""All!A2:A""),0)),INDEX(IMPORTRANGE(""13KC70HngS4DDi8y9E5khtSpQEPG6owaQ9z4E-tR5mnY"","&amp;"""Non-Food!B2:B""),MATCH($C966,IMPORTRANGE(""13KC70HngS4DDi8y9E5khtSpQEPG6owaQ9z4E-tR5mnY"",""Non-Food!A2:A""),0))),"""")"),"")</f>
        <v/>
      </c>
      <c r="E966" s="15"/>
      <c r="F966" s="15"/>
      <c r="G966" s="36"/>
      <c r="H966" s="23" t="str">
        <f>IFERROR(__xludf.DUMMYFUNCTION("iferror(iferror(iferror(index(IMPORTRANGE(""1NK5L1mviMn0j3D3uo53ASkIZOFRlLnqaCTnwzOG2_Wg"",""Direct Link!B2:B""),MATCH($C966,IMPORTRANGE(""1NK5L1mviMn0j3D3uo53ASkIZOFRlLnqaCTnwzOG2_Wg"",""Direct Link!A2:A""),0)),XLOOKUP($C966,IMPORTRANGE(""1NK5L1mviMn0j3D"&amp;"3uo53ASkIZOFRlLnqaCTnwzOG2_Wg"",""Direct links Without Sizes!A2:A""),IMPORTRANGE(""1NK5L1mviMn0j3D3uo53ASkIZOFRlLnqaCTnwzOG2_Wg"",""Direct links Without Sizes!B2:B""))),XLOOKUP($C966,IMPORTRANGE(""1NK5L1mviMn0j3D3uo53ASkIZOFRlLnqaCTnwzOG2_Wg"",""Direct li"&amp;"nks Without Sizes!D2:D""),IMPORTRANGE(""1NK5L1mviMn0j3D3uo53ASkIZOFRlLnqaCTnwzOG2_Wg"",""Direct links Without Sizes!E2:E""))),"""")"),"")</f>
        <v/>
      </c>
      <c r="I966" s="4"/>
      <c r="J966" s="24" t="str">
        <f t="shared" si="1"/>
        <v/>
      </c>
      <c r="K966" s="25"/>
      <c r="L966" s="24" t="str">
        <f t="shared" si="2"/>
        <v/>
      </c>
      <c r="M966" s="4"/>
      <c r="N966" s="23"/>
      <c r="O966" s="23"/>
      <c r="P966" s="23"/>
      <c r="Q966" s="4" t="str">
        <f t="shared" si="4"/>
        <v/>
      </c>
      <c r="R966" s="20"/>
      <c r="S966" s="20"/>
    </row>
    <row r="967">
      <c r="A967" s="4"/>
      <c r="B967" s="4"/>
      <c r="C967" s="37"/>
      <c r="D967" s="7" t="str">
        <f>IFERROR(__xludf.DUMMYFUNCTION("iferror(iferror(INDEX(IMPORTRANGE(""12vtnxaE_Q1s4tyr10kZQx7ZF_xG0lBFae4jQEUtgsMU"",""All!B2:B""),MATCH($C967,IMPORTRANGE(""12vtnxaE_Q1s4tyr10kZQx7ZF_xG0lBFae4jQEUtgsMU"",""All!A2:A""),0)),INDEX(IMPORTRANGE(""13KC70HngS4DDi8y9E5khtSpQEPG6owaQ9z4E-tR5mnY"","&amp;"""Non-Food!B2:B""),MATCH($C967,IMPORTRANGE(""13KC70HngS4DDi8y9E5khtSpQEPG6owaQ9z4E-tR5mnY"",""Non-Food!A2:A""),0))),"""")"),"")</f>
        <v/>
      </c>
      <c r="E967" s="15"/>
      <c r="F967" s="15"/>
      <c r="G967" s="36"/>
      <c r="H967" s="23" t="str">
        <f>IFERROR(__xludf.DUMMYFUNCTION("iferror(iferror(iferror(index(IMPORTRANGE(""1NK5L1mviMn0j3D3uo53ASkIZOFRlLnqaCTnwzOG2_Wg"",""Direct Link!B2:B""),MATCH($C967,IMPORTRANGE(""1NK5L1mviMn0j3D3uo53ASkIZOFRlLnqaCTnwzOG2_Wg"",""Direct Link!A2:A""),0)),XLOOKUP($C967,IMPORTRANGE(""1NK5L1mviMn0j3D"&amp;"3uo53ASkIZOFRlLnqaCTnwzOG2_Wg"",""Direct links Without Sizes!A2:A""),IMPORTRANGE(""1NK5L1mviMn0j3D3uo53ASkIZOFRlLnqaCTnwzOG2_Wg"",""Direct links Without Sizes!B2:B""))),XLOOKUP($C967,IMPORTRANGE(""1NK5L1mviMn0j3D3uo53ASkIZOFRlLnqaCTnwzOG2_Wg"",""Direct li"&amp;"nks Without Sizes!D2:D""),IMPORTRANGE(""1NK5L1mviMn0j3D3uo53ASkIZOFRlLnqaCTnwzOG2_Wg"",""Direct links Without Sizes!E2:E""))),"""")"),"")</f>
        <v/>
      </c>
      <c r="I967" s="4"/>
      <c r="J967" s="24" t="str">
        <f t="shared" si="1"/>
        <v/>
      </c>
      <c r="K967" s="25"/>
      <c r="L967" s="24" t="str">
        <f t="shared" si="2"/>
        <v/>
      </c>
      <c r="M967" s="4"/>
      <c r="N967" s="23"/>
      <c r="O967" s="23"/>
      <c r="P967" s="23"/>
      <c r="Q967" s="4" t="str">
        <f t="shared" si="4"/>
        <v/>
      </c>
      <c r="R967" s="20"/>
      <c r="S967" s="20"/>
    </row>
    <row r="968">
      <c r="A968" s="4"/>
      <c r="B968" s="4"/>
      <c r="C968" s="37"/>
      <c r="D968" s="7" t="str">
        <f>IFERROR(__xludf.DUMMYFUNCTION("iferror(iferror(INDEX(IMPORTRANGE(""12vtnxaE_Q1s4tyr10kZQx7ZF_xG0lBFae4jQEUtgsMU"",""All!B2:B""),MATCH($C968,IMPORTRANGE(""12vtnxaE_Q1s4tyr10kZQx7ZF_xG0lBFae4jQEUtgsMU"",""All!A2:A""),0)),INDEX(IMPORTRANGE(""13KC70HngS4DDi8y9E5khtSpQEPG6owaQ9z4E-tR5mnY"","&amp;"""Non-Food!B2:B""),MATCH($C968,IMPORTRANGE(""13KC70HngS4DDi8y9E5khtSpQEPG6owaQ9z4E-tR5mnY"",""Non-Food!A2:A""),0))),"""")"),"")</f>
        <v/>
      </c>
      <c r="E968" s="15"/>
      <c r="F968" s="15"/>
      <c r="G968" s="36"/>
      <c r="H968" s="23" t="str">
        <f>IFERROR(__xludf.DUMMYFUNCTION("iferror(iferror(iferror(index(IMPORTRANGE(""1NK5L1mviMn0j3D3uo53ASkIZOFRlLnqaCTnwzOG2_Wg"",""Direct Link!B2:B""),MATCH($C968,IMPORTRANGE(""1NK5L1mviMn0j3D3uo53ASkIZOFRlLnqaCTnwzOG2_Wg"",""Direct Link!A2:A""),0)),XLOOKUP($C968,IMPORTRANGE(""1NK5L1mviMn0j3D"&amp;"3uo53ASkIZOFRlLnqaCTnwzOG2_Wg"",""Direct links Without Sizes!A2:A""),IMPORTRANGE(""1NK5L1mviMn0j3D3uo53ASkIZOFRlLnqaCTnwzOG2_Wg"",""Direct links Without Sizes!B2:B""))),XLOOKUP($C968,IMPORTRANGE(""1NK5L1mviMn0j3D3uo53ASkIZOFRlLnqaCTnwzOG2_Wg"",""Direct li"&amp;"nks Without Sizes!D2:D""),IMPORTRANGE(""1NK5L1mviMn0j3D3uo53ASkIZOFRlLnqaCTnwzOG2_Wg"",""Direct links Without Sizes!E2:E""))),"""")"),"")</f>
        <v/>
      </c>
      <c r="I968" s="4"/>
      <c r="J968" s="24" t="str">
        <f t="shared" si="1"/>
        <v/>
      </c>
      <c r="K968" s="25"/>
      <c r="L968" s="24" t="str">
        <f t="shared" si="2"/>
        <v/>
      </c>
      <c r="M968" s="4"/>
      <c r="N968" s="23"/>
      <c r="O968" s="23"/>
      <c r="P968" s="23"/>
      <c r="Q968" s="4" t="str">
        <f t="shared" si="4"/>
        <v/>
      </c>
      <c r="R968" s="20"/>
      <c r="S968" s="20"/>
    </row>
    <row r="969">
      <c r="A969" s="4"/>
      <c r="B969" s="4"/>
      <c r="C969" s="37"/>
      <c r="D969" s="7" t="str">
        <f>IFERROR(__xludf.DUMMYFUNCTION("iferror(iferror(INDEX(IMPORTRANGE(""12vtnxaE_Q1s4tyr10kZQx7ZF_xG0lBFae4jQEUtgsMU"",""All!B2:B""),MATCH($C969,IMPORTRANGE(""12vtnxaE_Q1s4tyr10kZQx7ZF_xG0lBFae4jQEUtgsMU"",""All!A2:A""),0)),INDEX(IMPORTRANGE(""13KC70HngS4DDi8y9E5khtSpQEPG6owaQ9z4E-tR5mnY"","&amp;"""Non-Food!B2:B""),MATCH($C969,IMPORTRANGE(""13KC70HngS4DDi8y9E5khtSpQEPG6owaQ9z4E-tR5mnY"",""Non-Food!A2:A""),0))),"""")"),"")</f>
        <v/>
      </c>
      <c r="E969" s="15"/>
      <c r="F969" s="15"/>
      <c r="G969" s="36"/>
      <c r="H969" s="23" t="str">
        <f>IFERROR(__xludf.DUMMYFUNCTION("iferror(iferror(iferror(index(IMPORTRANGE(""1NK5L1mviMn0j3D3uo53ASkIZOFRlLnqaCTnwzOG2_Wg"",""Direct Link!B2:B""),MATCH($C969,IMPORTRANGE(""1NK5L1mviMn0j3D3uo53ASkIZOFRlLnqaCTnwzOG2_Wg"",""Direct Link!A2:A""),0)),XLOOKUP($C969,IMPORTRANGE(""1NK5L1mviMn0j3D"&amp;"3uo53ASkIZOFRlLnqaCTnwzOG2_Wg"",""Direct links Without Sizes!A2:A""),IMPORTRANGE(""1NK5L1mviMn0j3D3uo53ASkIZOFRlLnqaCTnwzOG2_Wg"",""Direct links Without Sizes!B2:B""))),XLOOKUP($C969,IMPORTRANGE(""1NK5L1mviMn0j3D3uo53ASkIZOFRlLnqaCTnwzOG2_Wg"",""Direct li"&amp;"nks Without Sizes!D2:D""),IMPORTRANGE(""1NK5L1mviMn0j3D3uo53ASkIZOFRlLnqaCTnwzOG2_Wg"",""Direct links Without Sizes!E2:E""))),"""")"),"")</f>
        <v/>
      </c>
      <c r="I969" s="4"/>
      <c r="J969" s="24" t="str">
        <f t="shared" si="1"/>
        <v/>
      </c>
      <c r="K969" s="25"/>
      <c r="L969" s="24" t="str">
        <f t="shared" si="2"/>
        <v/>
      </c>
      <c r="M969" s="4"/>
      <c r="N969" s="23"/>
      <c r="O969" s="23"/>
      <c r="P969" s="23"/>
      <c r="Q969" s="4" t="str">
        <f t="shared" si="4"/>
        <v/>
      </c>
      <c r="R969" s="20"/>
      <c r="S969" s="20"/>
    </row>
    <row r="970">
      <c r="A970" s="4"/>
      <c r="B970" s="4"/>
      <c r="C970" s="37"/>
      <c r="D970" s="7" t="str">
        <f>IFERROR(__xludf.DUMMYFUNCTION("iferror(iferror(INDEX(IMPORTRANGE(""12vtnxaE_Q1s4tyr10kZQx7ZF_xG0lBFae4jQEUtgsMU"",""All!B2:B""),MATCH($C970,IMPORTRANGE(""12vtnxaE_Q1s4tyr10kZQx7ZF_xG0lBFae4jQEUtgsMU"",""All!A2:A""),0)),INDEX(IMPORTRANGE(""13KC70HngS4DDi8y9E5khtSpQEPG6owaQ9z4E-tR5mnY"","&amp;"""Non-Food!B2:B""),MATCH($C970,IMPORTRANGE(""13KC70HngS4DDi8y9E5khtSpQEPG6owaQ9z4E-tR5mnY"",""Non-Food!A2:A""),0))),"""")"),"")</f>
        <v/>
      </c>
      <c r="E970" s="15"/>
      <c r="F970" s="15"/>
      <c r="G970" s="36"/>
      <c r="H970" s="23" t="str">
        <f>IFERROR(__xludf.DUMMYFUNCTION("iferror(iferror(iferror(index(IMPORTRANGE(""1NK5L1mviMn0j3D3uo53ASkIZOFRlLnqaCTnwzOG2_Wg"",""Direct Link!B2:B""),MATCH($C970,IMPORTRANGE(""1NK5L1mviMn0j3D3uo53ASkIZOFRlLnqaCTnwzOG2_Wg"",""Direct Link!A2:A""),0)),XLOOKUP($C970,IMPORTRANGE(""1NK5L1mviMn0j3D"&amp;"3uo53ASkIZOFRlLnqaCTnwzOG2_Wg"",""Direct links Without Sizes!A2:A""),IMPORTRANGE(""1NK5L1mviMn0j3D3uo53ASkIZOFRlLnqaCTnwzOG2_Wg"",""Direct links Without Sizes!B2:B""))),XLOOKUP($C970,IMPORTRANGE(""1NK5L1mviMn0j3D3uo53ASkIZOFRlLnqaCTnwzOG2_Wg"",""Direct li"&amp;"nks Without Sizes!D2:D""),IMPORTRANGE(""1NK5L1mviMn0j3D3uo53ASkIZOFRlLnqaCTnwzOG2_Wg"",""Direct links Without Sizes!E2:E""))),"""")"),"")</f>
        <v/>
      </c>
      <c r="I970" s="4"/>
      <c r="J970" s="24" t="str">
        <f t="shared" si="1"/>
        <v/>
      </c>
      <c r="K970" s="25"/>
      <c r="L970" s="24" t="str">
        <f t="shared" si="2"/>
        <v/>
      </c>
      <c r="M970" s="4"/>
      <c r="N970" s="23"/>
      <c r="O970" s="23"/>
      <c r="P970" s="23"/>
      <c r="Q970" s="4" t="str">
        <f t="shared" si="4"/>
        <v/>
      </c>
      <c r="R970" s="20"/>
      <c r="S970" s="20"/>
    </row>
    <row r="971">
      <c r="A971" s="4"/>
      <c r="B971" s="4"/>
      <c r="C971" s="37"/>
      <c r="D971" s="7" t="str">
        <f>IFERROR(__xludf.DUMMYFUNCTION("iferror(iferror(INDEX(IMPORTRANGE(""12vtnxaE_Q1s4tyr10kZQx7ZF_xG0lBFae4jQEUtgsMU"",""All!B2:B""),MATCH($C971,IMPORTRANGE(""12vtnxaE_Q1s4tyr10kZQx7ZF_xG0lBFae4jQEUtgsMU"",""All!A2:A""),0)),INDEX(IMPORTRANGE(""13KC70HngS4DDi8y9E5khtSpQEPG6owaQ9z4E-tR5mnY"","&amp;"""Non-Food!B2:B""),MATCH($C971,IMPORTRANGE(""13KC70HngS4DDi8y9E5khtSpQEPG6owaQ9z4E-tR5mnY"",""Non-Food!A2:A""),0))),"""")"),"")</f>
        <v/>
      </c>
      <c r="E971" s="15"/>
      <c r="F971" s="15"/>
      <c r="G971" s="36"/>
      <c r="H971" s="23" t="str">
        <f>IFERROR(__xludf.DUMMYFUNCTION("iferror(iferror(iferror(index(IMPORTRANGE(""1NK5L1mviMn0j3D3uo53ASkIZOFRlLnqaCTnwzOG2_Wg"",""Direct Link!B2:B""),MATCH($C971,IMPORTRANGE(""1NK5L1mviMn0j3D3uo53ASkIZOFRlLnqaCTnwzOG2_Wg"",""Direct Link!A2:A""),0)),XLOOKUP($C971,IMPORTRANGE(""1NK5L1mviMn0j3D"&amp;"3uo53ASkIZOFRlLnqaCTnwzOG2_Wg"",""Direct links Without Sizes!A2:A""),IMPORTRANGE(""1NK5L1mviMn0j3D3uo53ASkIZOFRlLnqaCTnwzOG2_Wg"",""Direct links Without Sizes!B2:B""))),XLOOKUP($C971,IMPORTRANGE(""1NK5L1mviMn0j3D3uo53ASkIZOFRlLnqaCTnwzOG2_Wg"",""Direct li"&amp;"nks Without Sizes!D2:D""),IMPORTRANGE(""1NK5L1mviMn0j3D3uo53ASkIZOFRlLnqaCTnwzOG2_Wg"",""Direct links Without Sizes!E2:E""))),"""")"),"")</f>
        <v/>
      </c>
      <c r="I971" s="4"/>
      <c r="J971" s="24" t="str">
        <f t="shared" si="1"/>
        <v/>
      </c>
      <c r="K971" s="25"/>
      <c r="L971" s="24" t="str">
        <f t="shared" si="2"/>
        <v/>
      </c>
      <c r="M971" s="4"/>
      <c r="N971" s="23"/>
      <c r="O971" s="23"/>
      <c r="P971" s="23"/>
      <c r="Q971" s="4" t="str">
        <f t="shared" si="4"/>
        <v/>
      </c>
      <c r="R971" s="20"/>
      <c r="S971" s="20"/>
    </row>
    <row r="972">
      <c r="A972" s="4"/>
      <c r="B972" s="4"/>
      <c r="C972" s="37"/>
      <c r="D972" s="7" t="str">
        <f>IFERROR(__xludf.DUMMYFUNCTION("iferror(iferror(INDEX(IMPORTRANGE(""12vtnxaE_Q1s4tyr10kZQx7ZF_xG0lBFae4jQEUtgsMU"",""All!B2:B""),MATCH($C972,IMPORTRANGE(""12vtnxaE_Q1s4tyr10kZQx7ZF_xG0lBFae4jQEUtgsMU"",""All!A2:A""),0)),INDEX(IMPORTRANGE(""13KC70HngS4DDi8y9E5khtSpQEPG6owaQ9z4E-tR5mnY"","&amp;"""Non-Food!B2:B""),MATCH($C972,IMPORTRANGE(""13KC70HngS4DDi8y9E5khtSpQEPG6owaQ9z4E-tR5mnY"",""Non-Food!A2:A""),0))),"""")"),"")</f>
        <v/>
      </c>
      <c r="E972" s="15"/>
      <c r="F972" s="15"/>
      <c r="G972" s="36"/>
      <c r="H972" s="23" t="str">
        <f>IFERROR(__xludf.DUMMYFUNCTION("iferror(iferror(iferror(index(IMPORTRANGE(""1NK5L1mviMn0j3D3uo53ASkIZOFRlLnqaCTnwzOG2_Wg"",""Direct Link!B2:B""),MATCH($C972,IMPORTRANGE(""1NK5L1mviMn0j3D3uo53ASkIZOFRlLnqaCTnwzOG2_Wg"",""Direct Link!A2:A""),0)),XLOOKUP($C972,IMPORTRANGE(""1NK5L1mviMn0j3D"&amp;"3uo53ASkIZOFRlLnqaCTnwzOG2_Wg"",""Direct links Without Sizes!A2:A""),IMPORTRANGE(""1NK5L1mviMn0j3D3uo53ASkIZOFRlLnqaCTnwzOG2_Wg"",""Direct links Without Sizes!B2:B""))),XLOOKUP($C972,IMPORTRANGE(""1NK5L1mviMn0j3D3uo53ASkIZOFRlLnqaCTnwzOG2_Wg"",""Direct li"&amp;"nks Without Sizes!D2:D""),IMPORTRANGE(""1NK5L1mviMn0j3D3uo53ASkIZOFRlLnqaCTnwzOG2_Wg"",""Direct links Without Sizes!E2:E""))),"""")"),"")</f>
        <v/>
      </c>
      <c r="I972" s="4"/>
      <c r="J972" s="24" t="str">
        <f t="shared" si="1"/>
        <v/>
      </c>
      <c r="K972" s="25"/>
      <c r="L972" s="24" t="str">
        <f t="shared" si="2"/>
        <v/>
      </c>
      <c r="M972" s="4"/>
      <c r="N972" s="23"/>
      <c r="O972" s="23"/>
      <c r="P972" s="23"/>
      <c r="Q972" s="4" t="str">
        <f t="shared" si="4"/>
        <v/>
      </c>
      <c r="R972" s="20"/>
      <c r="S972" s="20"/>
    </row>
    <row r="973">
      <c r="A973" s="4"/>
      <c r="B973" s="4"/>
      <c r="C973" s="37"/>
      <c r="D973" s="7" t="str">
        <f>IFERROR(__xludf.DUMMYFUNCTION("iferror(iferror(INDEX(IMPORTRANGE(""12vtnxaE_Q1s4tyr10kZQx7ZF_xG0lBFae4jQEUtgsMU"",""All!B2:B""),MATCH($C973,IMPORTRANGE(""12vtnxaE_Q1s4tyr10kZQx7ZF_xG0lBFae4jQEUtgsMU"",""All!A2:A""),0)),INDEX(IMPORTRANGE(""13KC70HngS4DDi8y9E5khtSpQEPG6owaQ9z4E-tR5mnY"","&amp;"""Non-Food!B2:B""),MATCH($C973,IMPORTRANGE(""13KC70HngS4DDi8y9E5khtSpQEPG6owaQ9z4E-tR5mnY"",""Non-Food!A2:A""),0))),"""")"),"")</f>
        <v/>
      </c>
      <c r="E973" s="15"/>
      <c r="F973" s="15"/>
      <c r="G973" s="36"/>
      <c r="H973" s="23" t="str">
        <f>IFERROR(__xludf.DUMMYFUNCTION("iferror(iferror(iferror(index(IMPORTRANGE(""1NK5L1mviMn0j3D3uo53ASkIZOFRlLnqaCTnwzOG2_Wg"",""Direct Link!B2:B""),MATCH($C973,IMPORTRANGE(""1NK5L1mviMn0j3D3uo53ASkIZOFRlLnqaCTnwzOG2_Wg"",""Direct Link!A2:A""),0)),XLOOKUP($C973,IMPORTRANGE(""1NK5L1mviMn0j3D"&amp;"3uo53ASkIZOFRlLnqaCTnwzOG2_Wg"",""Direct links Without Sizes!A2:A""),IMPORTRANGE(""1NK5L1mviMn0j3D3uo53ASkIZOFRlLnqaCTnwzOG2_Wg"",""Direct links Without Sizes!B2:B""))),XLOOKUP($C973,IMPORTRANGE(""1NK5L1mviMn0j3D3uo53ASkIZOFRlLnqaCTnwzOG2_Wg"",""Direct li"&amp;"nks Without Sizes!D2:D""),IMPORTRANGE(""1NK5L1mviMn0j3D3uo53ASkIZOFRlLnqaCTnwzOG2_Wg"",""Direct links Without Sizes!E2:E""))),"""")"),"")</f>
        <v/>
      </c>
      <c r="I973" s="4"/>
      <c r="J973" s="24" t="str">
        <f t="shared" si="1"/>
        <v/>
      </c>
      <c r="K973" s="25"/>
      <c r="L973" s="24" t="str">
        <f t="shared" si="2"/>
        <v/>
      </c>
      <c r="M973" s="4"/>
      <c r="N973" s="23"/>
      <c r="O973" s="23"/>
      <c r="P973" s="23"/>
      <c r="Q973" s="4" t="str">
        <f t="shared" si="4"/>
        <v/>
      </c>
      <c r="R973" s="20"/>
      <c r="S973" s="20"/>
    </row>
    <row r="974">
      <c r="A974" s="4"/>
      <c r="B974" s="4"/>
      <c r="C974" s="37"/>
      <c r="D974" s="7" t="str">
        <f>IFERROR(__xludf.DUMMYFUNCTION("iferror(iferror(INDEX(IMPORTRANGE(""12vtnxaE_Q1s4tyr10kZQx7ZF_xG0lBFae4jQEUtgsMU"",""All!B2:B""),MATCH($C974,IMPORTRANGE(""12vtnxaE_Q1s4tyr10kZQx7ZF_xG0lBFae4jQEUtgsMU"",""All!A2:A""),0)),INDEX(IMPORTRANGE(""13KC70HngS4DDi8y9E5khtSpQEPG6owaQ9z4E-tR5mnY"","&amp;"""Non-Food!B2:B""),MATCH($C974,IMPORTRANGE(""13KC70HngS4DDi8y9E5khtSpQEPG6owaQ9z4E-tR5mnY"",""Non-Food!A2:A""),0))),"""")"),"")</f>
        <v/>
      </c>
      <c r="E974" s="15"/>
      <c r="F974" s="15"/>
      <c r="G974" s="36"/>
      <c r="H974" s="23" t="str">
        <f>IFERROR(__xludf.DUMMYFUNCTION("iferror(iferror(iferror(index(IMPORTRANGE(""1NK5L1mviMn0j3D3uo53ASkIZOFRlLnqaCTnwzOG2_Wg"",""Direct Link!B2:B""),MATCH($C974,IMPORTRANGE(""1NK5L1mviMn0j3D3uo53ASkIZOFRlLnqaCTnwzOG2_Wg"",""Direct Link!A2:A""),0)),XLOOKUP($C974,IMPORTRANGE(""1NK5L1mviMn0j3D"&amp;"3uo53ASkIZOFRlLnqaCTnwzOG2_Wg"",""Direct links Without Sizes!A2:A""),IMPORTRANGE(""1NK5L1mviMn0j3D3uo53ASkIZOFRlLnqaCTnwzOG2_Wg"",""Direct links Without Sizes!B2:B""))),XLOOKUP($C974,IMPORTRANGE(""1NK5L1mviMn0j3D3uo53ASkIZOFRlLnqaCTnwzOG2_Wg"",""Direct li"&amp;"nks Without Sizes!D2:D""),IMPORTRANGE(""1NK5L1mviMn0j3D3uo53ASkIZOFRlLnqaCTnwzOG2_Wg"",""Direct links Without Sizes!E2:E""))),"""")"),"")</f>
        <v/>
      </c>
      <c r="I974" s="4"/>
      <c r="J974" s="24" t="str">
        <f t="shared" si="1"/>
        <v/>
      </c>
      <c r="K974" s="25"/>
      <c r="L974" s="24" t="str">
        <f t="shared" si="2"/>
        <v/>
      </c>
      <c r="M974" s="4"/>
      <c r="N974" s="23"/>
      <c r="O974" s="23"/>
      <c r="P974" s="23"/>
      <c r="Q974" s="4" t="str">
        <f t="shared" si="4"/>
        <v/>
      </c>
      <c r="R974" s="20"/>
      <c r="S974" s="20"/>
    </row>
    <row r="975">
      <c r="A975" s="4"/>
      <c r="B975" s="4"/>
      <c r="C975" s="37"/>
      <c r="D975" s="7" t="str">
        <f>IFERROR(__xludf.DUMMYFUNCTION("iferror(iferror(INDEX(IMPORTRANGE(""12vtnxaE_Q1s4tyr10kZQx7ZF_xG0lBFae4jQEUtgsMU"",""All!B2:B""),MATCH($C975,IMPORTRANGE(""12vtnxaE_Q1s4tyr10kZQx7ZF_xG0lBFae4jQEUtgsMU"",""All!A2:A""),0)),INDEX(IMPORTRANGE(""13KC70HngS4DDi8y9E5khtSpQEPG6owaQ9z4E-tR5mnY"","&amp;"""Non-Food!B2:B""),MATCH($C975,IMPORTRANGE(""13KC70HngS4DDi8y9E5khtSpQEPG6owaQ9z4E-tR5mnY"",""Non-Food!A2:A""),0))),"""")"),"")</f>
        <v/>
      </c>
      <c r="E975" s="15"/>
      <c r="F975" s="15"/>
      <c r="G975" s="36"/>
      <c r="H975" s="23" t="str">
        <f>IFERROR(__xludf.DUMMYFUNCTION("iferror(iferror(iferror(index(IMPORTRANGE(""1NK5L1mviMn0j3D3uo53ASkIZOFRlLnqaCTnwzOG2_Wg"",""Direct Link!B2:B""),MATCH($C975,IMPORTRANGE(""1NK5L1mviMn0j3D3uo53ASkIZOFRlLnqaCTnwzOG2_Wg"",""Direct Link!A2:A""),0)),XLOOKUP($C975,IMPORTRANGE(""1NK5L1mviMn0j3D"&amp;"3uo53ASkIZOFRlLnqaCTnwzOG2_Wg"",""Direct links Without Sizes!A2:A""),IMPORTRANGE(""1NK5L1mviMn0j3D3uo53ASkIZOFRlLnqaCTnwzOG2_Wg"",""Direct links Without Sizes!B2:B""))),XLOOKUP($C975,IMPORTRANGE(""1NK5L1mviMn0j3D3uo53ASkIZOFRlLnqaCTnwzOG2_Wg"",""Direct li"&amp;"nks Without Sizes!D2:D""),IMPORTRANGE(""1NK5L1mviMn0j3D3uo53ASkIZOFRlLnqaCTnwzOG2_Wg"",""Direct links Without Sizes!E2:E""))),"""")"),"")</f>
        <v/>
      </c>
      <c r="I975" s="4"/>
      <c r="J975" s="24" t="str">
        <f t="shared" si="1"/>
        <v/>
      </c>
      <c r="K975" s="25"/>
      <c r="L975" s="24" t="str">
        <f t="shared" si="2"/>
        <v/>
      </c>
      <c r="M975" s="4"/>
      <c r="N975" s="23"/>
      <c r="O975" s="23"/>
      <c r="P975" s="23"/>
      <c r="Q975" s="4" t="str">
        <f t="shared" si="4"/>
        <v/>
      </c>
      <c r="R975" s="20"/>
      <c r="S975" s="20"/>
    </row>
    <row r="976">
      <c r="A976" s="4"/>
      <c r="B976" s="4"/>
      <c r="C976" s="37"/>
      <c r="D976" s="7" t="str">
        <f>IFERROR(__xludf.DUMMYFUNCTION("iferror(iferror(INDEX(IMPORTRANGE(""12vtnxaE_Q1s4tyr10kZQx7ZF_xG0lBFae4jQEUtgsMU"",""All!B2:B""),MATCH($C976,IMPORTRANGE(""12vtnxaE_Q1s4tyr10kZQx7ZF_xG0lBFae4jQEUtgsMU"",""All!A2:A""),0)),INDEX(IMPORTRANGE(""13KC70HngS4DDi8y9E5khtSpQEPG6owaQ9z4E-tR5mnY"","&amp;"""Non-Food!B2:B""),MATCH($C976,IMPORTRANGE(""13KC70HngS4DDi8y9E5khtSpQEPG6owaQ9z4E-tR5mnY"",""Non-Food!A2:A""),0))),"""")"),"")</f>
        <v/>
      </c>
      <c r="E976" s="15"/>
      <c r="F976" s="15"/>
      <c r="G976" s="36"/>
      <c r="H976" s="23" t="str">
        <f>IFERROR(__xludf.DUMMYFUNCTION("iferror(iferror(iferror(index(IMPORTRANGE(""1NK5L1mviMn0j3D3uo53ASkIZOFRlLnqaCTnwzOG2_Wg"",""Direct Link!B2:B""),MATCH($C976,IMPORTRANGE(""1NK5L1mviMn0j3D3uo53ASkIZOFRlLnqaCTnwzOG2_Wg"",""Direct Link!A2:A""),0)),XLOOKUP($C976,IMPORTRANGE(""1NK5L1mviMn0j3D"&amp;"3uo53ASkIZOFRlLnqaCTnwzOG2_Wg"",""Direct links Without Sizes!A2:A""),IMPORTRANGE(""1NK5L1mviMn0j3D3uo53ASkIZOFRlLnqaCTnwzOG2_Wg"",""Direct links Without Sizes!B2:B""))),XLOOKUP($C976,IMPORTRANGE(""1NK5L1mviMn0j3D3uo53ASkIZOFRlLnqaCTnwzOG2_Wg"",""Direct li"&amp;"nks Without Sizes!D2:D""),IMPORTRANGE(""1NK5L1mviMn0j3D3uo53ASkIZOFRlLnqaCTnwzOG2_Wg"",""Direct links Without Sizes!E2:E""))),"""")"),"")</f>
        <v/>
      </c>
      <c r="I976" s="4"/>
      <c r="J976" s="24" t="str">
        <f t="shared" si="1"/>
        <v/>
      </c>
      <c r="K976" s="25"/>
      <c r="L976" s="24" t="str">
        <f t="shared" si="2"/>
        <v/>
      </c>
      <c r="M976" s="4"/>
      <c r="N976" s="23"/>
      <c r="O976" s="23"/>
      <c r="P976" s="23"/>
      <c r="Q976" s="4" t="str">
        <f t="shared" si="4"/>
        <v/>
      </c>
      <c r="R976" s="20"/>
      <c r="S976" s="20"/>
    </row>
    <row r="977">
      <c r="A977" s="4"/>
      <c r="B977" s="4"/>
      <c r="C977" s="37"/>
      <c r="D977" s="7" t="str">
        <f>IFERROR(__xludf.DUMMYFUNCTION("iferror(iferror(INDEX(IMPORTRANGE(""12vtnxaE_Q1s4tyr10kZQx7ZF_xG0lBFae4jQEUtgsMU"",""All!B2:B""),MATCH($C977,IMPORTRANGE(""12vtnxaE_Q1s4tyr10kZQx7ZF_xG0lBFae4jQEUtgsMU"",""All!A2:A""),0)),INDEX(IMPORTRANGE(""13KC70HngS4DDi8y9E5khtSpQEPG6owaQ9z4E-tR5mnY"","&amp;"""Non-Food!B2:B""),MATCH($C977,IMPORTRANGE(""13KC70HngS4DDi8y9E5khtSpQEPG6owaQ9z4E-tR5mnY"",""Non-Food!A2:A""),0))),"""")"),"")</f>
        <v/>
      </c>
      <c r="E977" s="15"/>
      <c r="F977" s="15"/>
      <c r="G977" s="36"/>
      <c r="H977" s="23" t="str">
        <f>IFERROR(__xludf.DUMMYFUNCTION("iferror(iferror(iferror(index(IMPORTRANGE(""1NK5L1mviMn0j3D3uo53ASkIZOFRlLnqaCTnwzOG2_Wg"",""Direct Link!B2:B""),MATCH($C977,IMPORTRANGE(""1NK5L1mviMn0j3D3uo53ASkIZOFRlLnqaCTnwzOG2_Wg"",""Direct Link!A2:A""),0)),XLOOKUP($C977,IMPORTRANGE(""1NK5L1mviMn0j3D"&amp;"3uo53ASkIZOFRlLnqaCTnwzOG2_Wg"",""Direct links Without Sizes!A2:A""),IMPORTRANGE(""1NK5L1mviMn0j3D3uo53ASkIZOFRlLnqaCTnwzOG2_Wg"",""Direct links Without Sizes!B2:B""))),XLOOKUP($C977,IMPORTRANGE(""1NK5L1mviMn0j3D3uo53ASkIZOFRlLnqaCTnwzOG2_Wg"",""Direct li"&amp;"nks Without Sizes!D2:D""),IMPORTRANGE(""1NK5L1mviMn0j3D3uo53ASkIZOFRlLnqaCTnwzOG2_Wg"",""Direct links Without Sizes!E2:E""))),"""")"),"")</f>
        <v/>
      </c>
      <c r="I977" s="4"/>
      <c r="J977" s="24" t="str">
        <f t="shared" si="1"/>
        <v/>
      </c>
      <c r="K977" s="25"/>
      <c r="L977" s="24" t="str">
        <f t="shared" si="2"/>
        <v/>
      </c>
      <c r="M977" s="4"/>
      <c r="N977" s="23"/>
      <c r="O977" s="23"/>
      <c r="P977" s="23"/>
      <c r="Q977" s="4" t="str">
        <f t="shared" si="4"/>
        <v/>
      </c>
      <c r="R977" s="20"/>
      <c r="S977" s="20"/>
    </row>
    <row r="978">
      <c r="A978" s="4"/>
      <c r="B978" s="4"/>
      <c r="C978" s="37"/>
      <c r="D978" s="7" t="str">
        <f>IFERROR(__xludf.DUMMYFUNCTION("iferror(iferror(INDEX(IMPORTRANGE(""12vtnxaE_Q1s4tyr10kZQx7ZF_xG0lBFae4jQEUtgsMU"",""All!B2:B""),MATCH($C978,IMPORTRANGE(""12vtnxaE_Q1s4tyr10kZQx7ZF_xG0lBFae4jQEUtgsMU"",""All!A2:A""),0)),INDEX(IMPORTRANGE(""13KC70HngS4DDi8y9E5khtSpQEPG6owaQ9z4E-tR5mnY"","&amp;"""Non-Food!B2:B""),MATCH($C978,IMPORTRANGE(""13KC70HngS4DDi8y9E5khtSpQEPG6owaQ9z4E-tR5mnY"",""Non-Food!A2:A""),0))),"""")"),"")</f>
        <v/>
      </c>
      <c r="E978" s="15"/>
      <c r="F978" s="15"/>
      <c r="G978" s="36"/>
      <c r="H978" s="23" t="str">
        <f>IFERROR(__xludf.DUMMYFUNCTION("iferror(iferror(iferror(index(IMPORTRANGE(""1NK5L1mviMn0j3D3uo53ASkIZOFRlLnqaCTnwzOG2_Wg"",""Direct Link!B2:B""),MATCH($C978,IMPORTRANGE(""1NK5L1mviMn0j3D3uo53ASkIZOFRlLnqaCTnwzOG2_Wg"",""Direct Link!A2:A""),0)),XLOOKUP($C978,IMPORTRANGE(""1NK5L1mviMn0j3D"&amp;"3uo53ASkIZOFRlLnqaCTnwzOG2_Wg"",""Direct links Without Sizes!A2:A""),IMPORTRANGE(""1NK5L1mviMn0j3D3uo53ASkIZOFRlLnqaCTnwzOG2_Wg"",""Direct links Without Sizes!B2:B""))),XLOOKUP($C978,IMPORTRANGE(""1NK5L1mviMn0j3D3uo53ASkIZOFRlLnqaCTnwzOG2_Wg"",""Direct li"&amp;"nks Without Sizes!D2:D""),IMPORTRANGE(""1NK5L1mviMn0j3D3uo53ASkIZOFRlLnqaCTnwzOG2_Wg"",""Direct links Without Sizes!E2:E""))),"""")"),"")</f>
        <v/>
      </c>
      <c r="I978" s="4"/>
      <c r="J978" s="24" t="str">
        <f t="shared" si="1"/>
        <v/>
      </c>
      <c r="K978" s="25"/>
      <c r="L978" s="24" t="str">
        <f t="shared" si="2"/>
        <v/>
      </c>
      <c r="M978" s="4"/>
      <c r="N978" s="23"/>
      <c r="O978" s="23"/>
      <c r="P978" s="23"/>
      <c r="Q978" s="4" t="str">
        <f t="shared" si="4"/>
        <v/>
      </c>
      <c r="R978" s="20"/>
      <c r="S978" s="20"/>
    </row>
    <row r="979">
      <c r="A979" s="4"/>
      <c r="B979" s="4"/>
      <c r="C979" s="37"/>
      <c r="D979" s="7" t="str">
        <f>IFERROR(__xludf.DUMMYFUNCTION("iferror(iferror(INDEX(IMPORTRANGE(""12vtnxaE_Q1s4tyr10kZQx7ZF_xG0lBFae4jQEUtgsMU"",""All!B2:B""),MATCH($C979,IMPORTRANGE(""12vtnxaE_Q1s4tyr10kZQx7ZF_xG0lBFae4jQEUtgsMU"",""All!A2:A""),0)),INDEX(IMPORTRANGE(""13KC70HngS4DDi8y9E5khtSpQEPG6owaQ9z4E-tR5mnY"","&amp;"""Non-Food!B2:B""),MATCH($C979,IMPORTRANGE(""13KC70HngS4DDi8y9E5khtSpQEPG6owaQ9z4E-tR5mnY"",""Non-Food!A2:A""),0))),"""")"),"")</f>
        <v/>
      </c>
      <c r="E979" s="15"/>
      <c r="F979" s="15"/>
      <c r="G979" s="36"/>
      <c r="H979" s="23" t="str">
        <f>IFERROR(__xludf.DUMMYFUNCTION("iferror(iferror(iferror(index(IMPORTRANGE(""1NK5L1mviMn0j3D3uo53ASkIZOFRlLnqaCTnwzOG2_Wg"",""Direct Link!B2:B""),MATCH($C979,IMPORTRANGE(""1NK5L1mviMn0j3D3uo53ASkIZOFRlLnqaCTnwzOG2_Wg"",""Direct Link!A2:A""),0)),XLOOKUP($C979,IMPORTRANGE(""1NK5L1mviMn0j3D"&amp;"3uo53ASkIZOFRlLnqaCTnwzOG2_Wg"",""Direct links Without Sizes!A2:A""),IMPORTRANGE(""1NK5L1mviMn0j3D3uo53ASkIZOFRlLnqaCTnwzOG2_Wg"",""Direct links Without Sizes!B2:B""))),XLOOKUP($C979,IMPORTRANGE(""1NK5L1mviMn0j3D3uo53ASkIZOFRlLnqaCTnwzOG2_Wg"",""Direct li"&amp;"nks Without Sizes!D2:D""),IMPORTRANGE(""1NK5L1mviMn0j3D3uo53ASkIZOFRlLnqaCTnwzOG2_Wg"",""Direct links Without Sizes!E2:E""))),"""")"),"")</f>
        <v/>
      </c>
      <c r="I979" s="4"/>
      <c r="J979" s="24" t="str">
        <f t="shared" si="1"/>
        <v/>
      </c>
      <c r="K979" s="25"/>
      <c r="L979" s="24" t="str">
        <f t="shared" si="2"/>
        <v/>
      </c>
      <c r="M979" s="4"/>
      <c r="N979" s="23"/>
      <c r="O979" s="23"/>
      <c r="P979" s="23"/>
      <c r="Q979" s="4" t="str">
        <f t="shared" si="4"/>
        <v/>
      </c>
      <c r="R979" s="20"/>
      <c r="S979" s="20"/>
    </row>
    <row r="980">
      <c r="A980" s="4"/>
      <c r="B980" s="4"/>
      <c r="C980" s="37"/>
      <c r="D980" s="7" t="str">
        <f>IFERROR(__xludf.DUMMYFUNCTION("iferror(iferror(INDEX(IMPORTRANGE(""12vtnxaE_Q1s4tyr10kZQx7ZF_xG0lBFae4jQEUtgsMU"",""All!B2:B""),MATCH($C980,IMPORTRANGE(""12vtnxaE_Q1s4tyr10kZQx7ZF_xG0lBFae4jQEUtgsMU"",""All!A2:A""),0)),INDEX(IMPORTRANGE(""13KC70HngS4DDi8y9E5khtSpQEPG6owaQ9z4E-tR5mnY"","&amp;"""Non-Food!B2:B""),MATCH($C980,IMPORTRANGE(""13KC70HngS4DDi8y9E5khtSpQEPG6owaQ9z4E-tR5mnY"",""Non-Food!A2:A""),0))),"""")"),"")</f>
        <v/>
      </c>
      <c r="E980" s="15"/>
      <c r="F980" s="15"/>
      <c r="G980" s="36"/>
      <c r="H980" s="23" t="str">
        <f>IFERROR(__xludf.DUMMYFUNCTION("iferror(iferror(iferror(index(IMPORTRANGE(""1NK5L1mviMn0j3D3uo53ASkIZOFRlLnqaCTnwzOG2_Wg"",""Direct Link!B2:B""),MATCH($C980,IMPORTRANGE(""1NK5L1mviMn0j3D3uo53ASkIZOFRlLnqaCTnwzOG2_Wg"",""Direct Link!A2:A""),0)),XLOOKUP($C980,IMPORTRANGE(""1NK5L1mviMn0j3D"&amp;"3uo53ASkIZOFRlLnqaCTnwzOG2_Wg"",""Direct links Without Sizes!A2:A""),IMPORTRANGE(""1NK5L1mviMn0j3D3uo53ASkIZOFRlLnqaCTnwzOG2_Wg"",""Direct links Without Sizes!B2:B""))),XLOOKUP($C980,IMPORTRANGE(""1NK5L1mviMn0j3D3uo53ASkIZOFRlLnqaCTnwzOG2_Wg"",""Direct li"&amp;"nks Without Sizes!D2:D""),IMPORTRANGE(""1NK5L1mviMn0j3D3uo53ASkIZOFRlLnqaCTnwzOG2_Wg"",""Direct links Without Sizes!E2:E""))),"""")"),"")</f>
        <v/>
      </c>
      <c r="I980" s="4"/>
      <c r="J980" s="24" t="str">
        <f t="shared" si="1"/>
        <v/>
      </c>
      <c r="K980" s="25"/>
      <c r="L980" s="24" t="str">
        <f t="shared" si="2"/>
        <v/>
      </c>
      <c r="M980" s="4"/>
      <c r="N980" s="23"/>
      <c r="O980" s="23"/>
      <c r="P980" s="23"/>
      <c r="Q980" s="4" t="str">
        <f t="shared" si="4"/>
        <v/>
      </c>
      <c r="R980" s="20"/>
      <c r="S980" s="20"/>
    </row>
    <row r="981">
      <c r="A981" s="4"/>
      <c r="B981" s="4"/>
      <c r="C981" s="37"/>
      <c r="D981" s="7" t="str">
        <f>IFERROR(__xludf.DUMMYFUNCTION("iferror(iferror(INDEX(IMPORTRANGE(""12vtnxaE_Q1s4tyr10kZQx7ZF_xG0lBFae4jQEUtgsMU"",""All!B2:B""),MATCH($C981,IMPORTRANGE(""12vtnxaE_Q1s4tyr10kZQx7ZF_xG0lBFae4jQEUtgsMU"",""All!A2:A""),0)),INDEX(IMPORTRANGE(""13KC70HngS4DDi8y9E5khtSpQEPG6owaQ9z4E-tR5mnY"","&amp;"""Non-Food!B2:B""),MATCH($C981,IMPORTRANGE(""13KC70HngS4DDi8y9E5khtSpQEPG6owaQ9z4E-tR5mnY"",""Non-Food!A2:A""),0))),"""")"),"")</f>
        <v/>
      </c>
      <c r="E981" s="15"/>
      <c r="F981" s="15"/>
      <c r="G981" s="36"/>
      <c r="H981" s="23" t="str">
        <f>IFERROR(__xludf.DUMMYFUNCTION("iferror(iferror(iferror(index(IMPORTRANGE(""1NK5L1mviMn0j3D3uo53ASkIZOFRlLnqaCTnwzOG2_Wg"",""Direct Link!B2:B""),MATCH($C981,IMPORTRANGE(""1NK5L1mviMn0j3D3uo53ASkIZOFRlLnqaCTnwzOG2_Wg"",""Direct Link!A2:A""),0)),XLOOKUP($C981,IMPORTRANGE(""1NK5L1mviMn0j3D"&amp;"3uo53ASkIZOFRlLnqaCTnwzOG2_Wg"",""Direct links Without Sizes!A2:A""),IMPORTRANGE(""1NK5L1mviMn0j3D3uo53ASkIZOFRlLnqaCTnwzOG2_Wg"",""Direct links Without Sizes!B2:B""))),XLOOKUP($C981,IMPORTRANGE(""1NK5L1mviMn0j3D3uo53ASkIZOFRlLnqaCTnwzOG2_Wg"",""Direct li"&amp;"nks Without Sizes!D2:D""),IMPORTRANGE(""1NK5L1mviMn0j3D3uo53ASkIZOFRlLnqaCTnwzOG2_Wg"",""Direct links Without Sizes!E2:E""))),"""")"),"")</f>
        <v/>
      </c>
      <c r="I981" s="4"/>
      <c r="J981" s="24" t="str">
        <f t="shared" si="1"/>
        <v/>
      </c>
      <c r="K981" s="25"/>
      <c r="L981" s="24" t="str">
        <f t="shared" si="2"/>
        <v/>
      </c>
      <c r="M981" s="4"/>
      <c r="N981" s="23"/>
      <c r="O981" s="23"/>
      <c r="P981" s="23"/>
      <c r="Q981" s="4" t="str">
        <f t="shared" si="4"/>
        <v/>
      </c>
      <c r="R981" s="20"/>
      <c r="S981" s="20"/>
    </row>
    <row r="982">
      <c r="A982" s="4"/>
      <c r="B982" s="4"/>
      <c r="C982" s="37"/>
      <c r="D982" s="7" t="str">
        <f>IFERROR(__xludf.DUMMYFUNCTION("iferror(iferror(INDEX(IMPORTRANGE(""12vtnxaE_Q1s4tyr10kZQx7ZF_xG0lBFae4jQEUtgsMU"",""All!B2:B""),MATCH($C982,IMPORTRANGE(""12vtnxaE_Q1s4tyr10kZQx7ZF_xG0lBFae4jQEUtgsMU"",""All!A2:A""),0)),INDEX(IMPORTRANGE(""13KC70HngS4DDi8y9E5khtSpQEPG6owaQ9z4E-tR5mnY"","&amp;"""Non-Food!B2:B""),MATCH($C982,IMPORTRANGE(""13KC70HngS4DDi8y9E5khtSpQEPG6owaQ9z4E-tR5mnY"",""Non-Food!A2:A""),0))),"""")"),"")</f>
        <v/>
      </c>
      <c r="E982" s="15"/>
      <c r="F982" s="15"/>
      <c r="G982" s="36"/>
      <c r="H982" s="23" t="str">
        <f>IFERROR(__xludf.DUMMYFUNCTION("iferror(iferror(iferror(index(IMPORTRANGE(""1NK5L1mviMn0j3D3uo53ASkIZOFRlLnqaCTnwzOG2_Wg"",""Direct Link!B2:B""),MATCH($C982,IMPORTRANGE(""1NK5L1mviMn0j3D3uo53ASkIZOFRlLnqaCTnwzOG2_Wg"",""Direct Link!A2:A""),0)),XLOOKUP($C982,IMPORTRANGE(""1NK5L1mviMn0j3D"&amp;"3uo53ASkIZOFRlLnqaCTnwzOG2_Wg"",""Direct links Without Sizes!A2:A""),IMPORTRANGE(""1NK5L1mviMn0j3D3uo53ASkIZOFRlLnqaCTnwzOG2_Wg"",""Direct links Without Sizes!B2:B""))),XLOOKUP($C982,IMPORTRANGE(""1NK5L1mviMn0j3D3uo53ASkIZOFRlLnqaCTnwzOG2_Wg"",""Direct li"&amp;"nks Without Sizes!D2:D""),IMPORTRANGE(""1NK5L1mviMn0j3D3uo53ASkIZOFRlLnqaCTnwzOG2_Wg"",""Direct links Without Sizes!E2:E""))),"""")"),"")</f>
        <v/>
      </c>
      <c r="I982" s="4"/>
      <c r="J982" s="24" t="str">
        <f t="shared" si="1"/>
        <v/>
      </c>
      <c r="K982" s="25"/>
      <c r="L982" s="24" t="str">
        <f t="shared" si="2"/>
        <v/>
      </c>
      <c r="M982" s="4"/>
      <c r="N982" s="23"/>
      <c r="O982" s="23"/>
      <c r="P982" s="23"/>
      <c r="Q982" s="4" t="str">
        <f t="shared" si="4"/>
        <v/>
      </c>
      <c r="R982" s="20"/>
      <c r="S982" s="20"/>
    </row>
    <row r="983">
      <c r="A983" s="4"/>
      <c r="B983" s="4"/>
      <c r="C983" s="37"/>
      <c r="D983" s="7" t="str">
        <f>IFERROR(__xludf.DUMMYFUNCTION("iferror(iferror(INDEX(IMPORTRANGE(""12vtnxaE_Q1s4tyr10kZQx7ZF_xG0lBFae4jQEUtgsMU"",""All!B2:B""),MATCH($C983,IMPORTRANGE(""12vtnxaE_Q1s4tyr10kZQx7ZF_xG0lBFae4jQEUtgsMU"",""All!A2:A""),0)),INDEX(IMPORTRANGE(""13KC70HngS4DDi8y9E5khtSpQEPG6owaQ9z4E-tR5mnY"","&amp;"""Non-Food!B2:B""),MATCH($C983,IMPORTRANGE(""13KC70HngS4DDi8y9E5khtSpQEPG6owaQ9z4E-tR5mnY"",""Non-Food!A2:A""),0))),"""")"),"")</f>
        <v/>
      </c>
      <c r="E983" s="15"/>
      <c r="F983" s="15"/>
      <c r="G983" s="36"/>
      <c r="H983" s="23" t="str">
        <f>IFERROR(__xludf.DUMMYFUNCTION("iferror(iferror(iferror(index(IMPORTRANGE(""1NK5L1mviMn0j3D3uo53ASkIZOFRlLnqaCTnwzOG2_Wg"",""Direct Link!B2:B""),MATCH($C983,IMPORTRANGE(""1NK5L1mviMn0j3D3uo53ASkIZOFRlLnqaCTnwzOG2_Wg"",""Direct Link!A2:A""),0)),XLOOKUP($C983,IMPORTRANGE(""1NK5L1mviMn0j3D"&amp;"3uo53ASkIZOFRlLnqaCTnwzOG2_Wg"",""Direct links Without Sizes!A2:A""),IMPORTRANGE(""1NK5L1mviMn0j3D3uo53ASkIZOFRlLnqaCTnwzOG2_Wg"",""Direct links Without Sizes!B2:B""))),XLOOKUP($C983,IMPORTRANGE(""1NK5L1mviMn0j3D3uo53ASkIZOFRlLnqaCTnwzOG2_Wg"",""Direct li"&amp;"nks Without Sizes!D2:D""),IMPORTRANGE(""1NK5L1mviMn0j3D3uo53ASkIZOFRlLnqaCTnwzOG2_Wg"",""Direct links Without Sizes!E2:E""))),"""")"),"")</f>
        <v/>
      </c>
      <c r="I983" s="4"/>
      <c r="J983" s="24" t="str">
        <f t="shared" si="1"/>
        <v/>
      </c>
      <c r="K983" s="25"/>
      <c r="L983" s="24" t="str">
        <f t="shared" si="2"/>
        <v/>
      </c>
      <c r="M983" s="4"/>
      <c r="N983" s="23"/>
      <c r="O983" s="23"/>
      <c r="P983" s="23"/>
      <c r="Q983" s="4" t="str">
        <f t="shared" si="4"/>
        <v/>
      </c>
      <c r="R983" s="20"/>
      <c r="S983" s="20"/>
    </row>
    <row r="984">
      <c r="A984" s="4"/>
      <c r="B984" s="4"/>
      <c r="C984" s="37"/>
      <c r="D984" s="7" t="str">
        <f>IFERROR(__xludf.DUMMYFUNCTION("iferror(iferror(INDEX(IMPORTRANGE(""12vtnxaE_Q1s4tyr10kZQx7ZF_xG0lBFae4jQEUtgsMU"",""All!B2:B""),MATCH($C984,IMPORTRANGE(""12vtnxaE_Q1s4tyr10kZQx7ZF_xG0lBFae4jQEUtgsMU"",""All!A2:A""),0)),INDEX(IMPORTRANGE(""13KC70HngS4DDi8y9E5khtSpQEPG6owaQ9z4E-tR5mnY"","&amp;"""Non-Food!B2:B""),MATCH($C984,IMPORTRANGE(""13KC70HngS4DDi8y9E5khtSpQEPG6owaQ9z4E-tR5mnY"",""Non-Food!A2:A""),0))),"""")"),"")</f>
        <v/>
      </c>
      <c r="E984" s="15"/>
      <c r="F984" s="15"/>
      <c r="G984" s="36"/>
      <c r="H984" s="23" t="str">
        <f>IFERROR(__xludf.DUMMYFUNCTION("iferror(iferror(iferror(index(IMPORTRANGE(""1NK5L1mviMn0j3D3uo53ASkIZOFRlLnqaCTnwzOG2_Wg"",""Direct Link!B2:B""),MATCH($C984,IMPORTRANGE(""1NK5L1mviMn0j3D3uo53ASkIZOFRlLnqaCTnwzOG2_Wg"",""Direct Link!A2:A""),0)),XLOOKUP($C984,IMPORTRANGE(""1NK5L1mviMn0j3D"&amp;"3uo53ASkIZOFRlLnqaCTnwzOG2_Wg"",""Direct links Without Sizes!A2:A""),IMPORTRANGE(""1NK5L1mviMn0j3D3uo53ASkIZOFRlLnqaCTnwzOG2_Wg"",""Direct links Without Sizes!B2:B""))),XLOOKUP($C984,IMPORTRANGE(""1NK5L1mviMn0j3D3uo53ASkIZOFRlLnqaCTnwzOG2_Wg"",""Direct li"&amp;"nks Without Sizes!D2:D""),IMPORTRANGE(""1NK5L1mviMn0j3D3uo53ASkIZOFRlLnqaCTnwzOG2_Wg"",""Direct links Without Sizes!E2:E""))),"""")"),"")</f>
        <v/>
      </c>
      <c r="I984" s="4"/>
      <c r="J984" s="24" t="str">
        <f t="shared" si="1"/>
        <v/>
      </c>
      <c r="K984" s="25"/>
      <c r="L984" s="24" t="str">
        <f t="shared" si="2"/>
        <v/>
      </c>
      <c r="M984" s="4"/>
      <c r="N984" s="23"/>
      <c r="O984" s="23"/>
      <c r="P984" s="23"/>
      <c r="Q984" s="4" t="str">
        <f t="shared" si="4"/>
        <v/>
      </c>
      <c r="R984" s="20"/>
      <c r="S984" s="20"/>
    </row>
    <row r="985">
      <c r="A985" s="4"/>
      <c r="B985" s="4"/>
      <c r="C985" s="37"/>
      <c r="D985" s="7" t="str">
        <f>IFERROR(__xludf.DUMMYFUNCTION("iferror(iferror(INDEX(IMPORTRANGE(""12vtnxaE_Q1s4tyr10kZQx7ZF_xG0lBFae4jQEUtgsMU"",""All!B2:B""),MATCH($C985,IMPORTRANGE(""12vtnxaE_Q1s4tyr10kZQx7ZF_xG0lBFae4jQEUtgsMU"",""All!A2:A""),0)),INDEX(IMPORTRANGE(""13KC70HngS4DDi8y9E5khtSpQEPG6owaQ9z4E-tR5mnY"","&amp;"""Non-Food!B2:B""),MATCH($C985,IMPORTRANGE(""13KC70HngS4DDi8y9E5khtSpQEPG6owaQ9z4E-tR5mnY"",""Non-Food!A2:A""),0))),"""")"),"")</f>
        <v/>
      </c>
      <c r="E985" s="15"/>
      <c r="F985" s="15"/>
      <c r="G985" s="36"/>
      <c r="H985" s="23" t="str">
        <f>IFERROR(__xludf.DUMMYFUNCTION("iferror(iferror(iferror(index(IMPORTRANGE(""1NK5L1mviMn0j3D3uo53ASkIZOFRlLnqaCTnwzOG2_Wg"",""Direct Link!B2:B""),MATCH($C985,IMPORTRANGE(""1NK5L1mviMn0j3D3uo53ASkIZOFRlLnqaCTnwzOG2_Wg"",""Direct Link!A2:A""),0)),XLOOKUP($C985,IMPORTRANGE(""1NK5L1mviMn0j3D"&amp;"3uo53ASkIZOFRlLnqaCTnwzOG2_Wg"",""Direct links Without Sizes!A2:A""),IMPORTRANGE(""1NK5L1mviMn0j3D3uo53ASkIZOFRlLnqaCTnwzOG2_Wg"",""Direct links Without Sizes!B2:B""))),XLOOKUP($C985,IMPORTRANGE(""1NK5L1mviMn0j3D3uo53ASkIZOFRlLnqaCTnwzOG2_Wg"",""Direct li"&amp;"nks Without Sizes!D2:D""),IMPORTRANGE(""1NK5L1mviMn0j3D3uo53ASkIZOFRlLnqaCTnwzOG2_Wg"",""Direct links Without Sizes!E2:E""))),"""")"),"")</f>
        <v/>
      </c>
      <c r="I985" s="4"/>
      <c r="J985" s="24" t="str">
        <f t="shared" si="1"/>
        <v/>
      </c>
      <c r="K985" s="25"/>
      <c r="L985" s="24" t="str">
        <f t="shared" si="2"/>
        <v/>
      </c>
      <c r="M985" s="4"/>
      <c r="N985" s="23"/>
      <c r="O985" s="23"/>
      <c r="P985" s="23"/>
      <c r="Q985" s="4" t="str">
        <f t="shared" si="4"/>
        <v/>
      </c>
      <c r="R985" s="20"/>
      <c r="S985" s="20"/>
    </row>
    <row r="986">
      <c r="A986" s="4"/>
      <c r="B986" s="4"/>
      <c r="C986" s="37"/>
      <c r="D986" s="7" t="str">
        <f>IFERROR(__xludf.DUMMYFUNCTION("iferror(iferror(INDEX(IMPORTRANGE(""12vtnxaE_Q1s4tyr10kZQx7ZF_xG0lBFae4jQEUtgsMU"",""All!B2:B""),MATCH($C986,IMPORTRANGE(""12vtnxaE_Q1s4tyr10kZQx7ZF_xG0lBFae4jQEUtgsMU"",""All!A2:A""),0)),INDEX(IMPORTRANGE(""13KC70HngS4DDi8y9E5khtSpQEPG6owaQ9z4E-tR5mnY"","&amp;"""Non-Food!B2:B""),MATCH($C986,IMPORTRANGE(""13KC70HngS4DDi8y9E5khtSpQEPG6owaQ9z4E-tR5mnY"",""Non-Food!A2:A""),0))),"""")"),"")</f>
        <v/>
      </c>
      <c r="E986" s="15"/>
      <c r="F986" s="15"/>
      <c r="G986" s="36"/>
      <c r="H986" s="23" t="str">
        <f>IFERROR(__xludf.DUMMYFUNCTION("iferror(iferror(iferror(index(IMPORTRANGE(""1NK5L1mviMn0j3D3uo53ASkIZOFRlLnqaCTnwzOG2_Wg"",""Direct Link!B2:B""),MATCH($C986,IMPORTRANGE(""1NK5L1mviMn0j3D3uo53ASkIZOFRlLnqaCTnwzOG2_Wg"",""Direct Link!A2:A""),0)),XLOOKUP($C986,IMPORTRANGE(""1NK5L1mviMn0j3D"&amp;"3uo53ASkIZOFRlLnqaCTnwzOG2_Wg"",""Direct links Without Sizes!A2:A""),IMPORTRANGE(""1NK5L1mviMn0j3D3uo53ASkIZOFRlLnqaCTnwzOG2_Wg"",""Direct links Without Sizes!B2:B""))),XLOOKUP($C986,IMPORTRANGE(""1NK5L1mviMn0j3D3uo53ASkIZOFRlLnqaCTnwzOG2_Wg"",""Direct li"&amp;"nks Without Sizes!D2:D""),IMPORTRANGE(""1NK5L1mviMn0j3D3uo53ASkIZOFRlLnqaCTnwzOG2_Wg"",""Direct links Without Sizes!E2:E""))),"""")"),"")</f>
        <v/>
      </c>
      <c r="I986" s="4"/>
      <c r="J986" s="24" t="str">
        <f t="shared" si="1"/>
        <v/>
      </c>
      <c r="K986" s="25"/>
      <c r="L986" s="24" t="str">
        <f t="shared" si="2"/>
        <v/>
      </c>
      <c r="M986" s="4"/>
      <c r="N986" s="23"/>
      <c r="O986" s="23"/>
      <c r="P986" s="23"/>
      <c r="Q986" s="4" t="str">
        <f t="shared" si="4"/>
        <v/>
      </c>
      <c r="R986" s="20"/>
      <c r="S986" s="20"/>
    </row>
    <row r="987">
      <c r="A987" s="4"/>
      <c r="B987" s="4"/>
      <c r="C987" s="37"/>
      <c r="D987" s="7" t="str">
        <f>IFERROR(__xludf.DUMMYFUNCTION("iferror(iferror(INDEX(IMPORTRANGE(""12vtnxaE_Q1s4tyr10kZQx7ZF_xG0lBFae4jQEUtgsMU"",""All!B2:B""),MATCH($C987,IMPORTRANGE(""12vtnxaE_Q1s4tyr10kZQx7ZF_xG0lBFae4jQEUtgsMU"",""All!A2:A""),0)),INDEX(IMPORTRANGE(""13KC70HngS4DDi8y9E5khtSpQEPG6owaQ9z4E-tR5mnY"","&amp;"""Non-Food!B2:B""),MATCH($C987,IMPORTRANGE(""13KC70HngS4DDi8y9E5khtSpQEPG6owaQ9z4E-tR5mnY"",""Non-Food!A2:A""),0))),"""")"),"")</f>
        <v/>
      </c>
      <c r="E987" s="15"/>
      <c r="F987" s="15"/>
      <c r="G987" s="36"/>
      <c r="H987" s="23" t="str">
        <f>IFERROR(__xludf.DUMMYFUNCTION("iferror(iferror(iferror(index(IMPORTRANGE(""1NK5L1mviMn0j3D3uo53ASkIZOFRlLnqaCTnwzOG2_Wg"",""Direct Link!B2:B""),MATCH($C987,IMPORTRANGE(""1NK5L1mviMn0j3D3uo53ASkIZOFRlLnqaCTnwzOG2_Wg"",""Direct Link!A2:A""),0)),XLOOKUP($C987,IMPORTRANGE(""1NK5L1mviMn0j3D"&amp;"3uo53ASkIZOFRlLnqaCTnwzOG2_Wg"",""Direct links Without Sizes!A2:A""),IMPORTRANGE(""1NK5L1mviMn0j3D3uo53ASkIZOFRlLnqaCTnwzOG2_Wg"",""Direct links Without Sizes!B2:B""))),XLOOKUP($C987,IMPORTRANGE(""1NK5L1mviMn0j3D3uo53ASkIZOFRlLnqaCTnwzOG2_Wg"",""Direct li"&amp;"nks Without Sizes!D2:D""),IMPORTRANGE(""1NK5L1mviMn0j3D3uo53ASkIZOFRlLnqaCTnwzOG2_Wg"",""Direct links Without Sizes!E2:E""))),"""")"),"")</f>
        <v/>
      </c>
      <c r="I987" s="4"/>
      <c r="J987" s="24" t="str">
        <f t="shared" si="1"/>
        <v/>
      </c>
      <c r="K987" s="25"/>
      <c r="L987" s="24" t="str">
        <f t="shared" si="2"/>
        <v/>
      </c>
      <c r="M987" s="4"/>
      <c r="N987" s="23"/>
      <c r="O987" s="23"/>
      <c r="P987" s="23"/>
      <c r="Q987" s="4" t="str">
        <f t="shared" si="4"/>
        <v/>
      </c>
      <c r="R987" s="20"/>
      <c r="S987" s="20"/>
    </row>
    <row r="988">
      <c r="A988" s="4"/>
      <c r="B988" s="4"/>
      <c r="C988" s="37"/>
      <c r="D988" s="7" t="str">
        <f>IFERROR(__xludf.DUMMYFUNCTION("iferror(iferror(INDEX(IMPORTRANGE(""12vtnxaE_Q1s4tyr10kZQx7ZF_xG0lBFae4jQEUtgsMU"",""All!B2:B""),MATCH($C988,IMPORTRANGE(""12vtnxaE_Q1s4tyr10kZQx7ZF_xG0lBFae4jQEUtgsMU"",""All!A2:A""),0)),INDEX(IMPORTRANGE(""13KC70HngS4DDi8y9E5khtSpQEPG6owaQ9z4E-tR5mnY"","&amp;"""Non-Food!B2:B""),MATCH($C988,IMPORTRANGE(""13KC70HngS4DDi8y9E5khtSpQEPG6owaQ9z4E-tR5mnY"",""Non-Food!A2:A""),0))),"""")"),"")</f>
        <v/>
      </c>
      <c r="E988" s="15"/>
      <c r="F988" s="15"/>
      <c r="G988" s="36"/>
      <c r="H988" s="23" t="str">
        <f>IFERROR(__xludf.DUMMYFUNCTION("iferror(iferror(iferror(index(IMPORTRANGE(""1NK5L1mviMn0j3D3uo53ASkIZOFRlLnqaCTnwzOG2_Wg"",""Direct Link!B2:B""),MATCH($C988,IMPORTRANGE(""1NK5L1mviMn0j3D3uo53ASkIZOFRlLnqaCTnwzOG2_Wg"",""Direct Link!A2:A""),0)),XLOOKUP($C988,IMPORTRANGE(""1NK5L1mviMn0j3D"&amp;"3uo53ASkIZOFRlLnqaCTnwzOG2_Wg"",""Direct links Without Sizes!A2:A""),IMPORTRANGE(""1NK5L1mviMn0j3D3uo53ASkIZOFRlLnqaCTnwzOG2_Wg"",""Direct links Without Sizes!B2:B""))),XLOOKUP($C988,IMPORTRANGE(""1NK5L1mviMn0j3D3uo53ASkIZOFRlLnqaCTnwzOG2_Wg"",""Direct li"&amp;"nks Without Sizes!D2:D""),IMPORTRANGE(""1NK5L1mviMn0j3D3uo53ASkIZOFRlLnqaCTnwzOG2_Wg"",""Direct links Without Sizes!E2:E""))),"""")"),"")</f>
        <v/>
      </c>
      <c r="I988" s="4"/>
      <c r="J988" s="24" t="str">
        <f t="shared" si="1"/>
        <v/>
      </c>
      <c r="K988" s="25"/>
      <c r="L988" s="24" t="str">
        <f t="shared" si="2"/>
        <v/>
      </c>
      <c r="M988" s="4"/>
      <c r="N988" s="23"/>
      <c r="O988" s="23"/>
      <c r="P988" s="23"/>
      <c r="Q988" s="4" t="str">
        <f t="shared" si="4"/>
        <v/>
      </c>
      <c r="R988" s="20"/>
      <c r="S988" s="20"/>
    </row>
    <row r="989">
      <c r="A989" s="4"/>
      <c r="B989" s="4"/>
      <c r="C989" s="37"/>
      <c r="D989" s="7" t="str">
        <f>IFERROR(__xludf.DUMMYFUNCTION("iferror(iferror(INDEX(IMPORTRANGE(""12vtnxaE_Q1s4tyr10kZQx7ZF_xG0lBFae4jQEUtgsMU"",""All!B2:B""),MATCH($C989,IMPORTRANGE(""12vtnxaE_Q1s4tyr10kZQx7ZF_xG0lBFae4jQEUtgsMU"",""All!A2:A""),0)),INDEX(IMPORTRANGE(""13KC70HngS4DDi8y9E5khtSpQEPG6owaQ9z4E-tR5mnY"","&amp;"""Non-Food!B2:B""),MATCH($C989,IMPORTRANGE(""13KC70HngS4DDi8y9E5khtSpQEPG6owaQ9z4E-tR5mnY"",""Non-Food!A2:A""),0))),"""")"),"")</f>
        <v/>
      </c>
      <c r="E989" s="15"/>
      <c r="F989" s="15"/>
      <c r="G989" s="36"/>
      <c r="H989" s="23" t="str">
        <f>IFERROR(__xludf.DUMMYFUNCTION("iferror(iferror(iferror(index(IMPORTRANGE(""1NK5L1mviMn0j3D3uo53ASkIZOFRlLnqaCTnwzOG2_Wg"",""Direct Link!B2:B""),MATCH($C989,IMPORTRANGE(""1NK5L1mviMn0j3D3uo53ASkIZOFRlLnqaCTnwzOG2_Wg"",""Direct Link!A2:A""),0)),XLOOKUP($C989,IMPORTRANGE(""1NK5L1mviMn0j3D"&amp;"3uo53ASkIZOFRlLnqaCTnwzOG2_Wg"",""Direct links Without Sizes!A2:A""),IMPORTRANGE(""1NK5L1mviMn0j3D3uo53ASkIZOFRlLnqaCTnwzOG2_Wg"",""Direct links Without Sizes!B2:B""))),XLOOKUP($C989,IMPORTRANGE(""1NK5L1mviMn0j3D3uo53ASkIZOFRlLnqaCTnwzOG2_Wg"",""Direct li"&amp;"nks Without Sizes!D2:D""),IMPORTRANGE(""1NK5L1mviMn0j3D3uo53ASkIZOFRlLnqaCTnwzOG2_Wg"",""Direct links Without Sizes!E2:E""))),"""")"),"")</f>
        <v/>
      </c>
      <c r="I989" s="4"/>
      <c r="J989" s="24" t="str">
        <f t="shared" si="1"/>
        <v/>
      </c>
      <c r="K989" s="25"/>
      <c r="L989" s="24" t="str">
        <f t="shared" si="2"/>
        <v/>
      </c>
      <c r="M989" s="4"/>
      <c r="N989" s="23"/>
      <c r="O989" s="23"/>
      <c r="P989" s="23"/>
      <c r="Q989" s="4" t="str">
        <f t="shared" si="4"/>
        <v/>
      </c>
      <c r="R989" s="20"/>
      <c r="S989" s="20"/>
    </row>
    <row r="990">
      <c r="A990" s="4"/>
      <c r="B990" s="4"/>
      <c r="C990" s="37"/>
      <c r="D990" s="7" t="str">
        <f>IFERROR(__xludf.DUMMYFUNCTION("iferror(iferror(INDEX(IMPORTRANGE(""12vtnxaE_Q1s4tyr10kZQx7ZF_xG0lBFae4jQEUtgsMU"",""All!B2:B""),MATCH($C990,IMPORTRANGE(""12vtnxaE_Q1s4tyr10kZQx7ZF_xG0lBFae4jQEUtgsMU"",""All!A2:A""),0)),INDEX(IMPORTRANGE(""13KC70HngS4DDi8y9E5khtSpQEPG6owaQ9z4E-tR5mnY"","&amp;"""Non-Food!B2:B""),MATCH($C990,IMPORTRANGE(""13KC70HngS4DDi8y9E5khtSpQEPG6owaQ9z4E-tR5mnY"",""Non-Food!A2:A""),0))),"""")"),"")</f>
        <v/>
      </c>
      <c r="E990" s="15"/>
      <c r="F990" s="15"/>
      <c r="G990" s="36"/>
      <c r="H990" s="23" t="str">
        <f>IFERROR(__xludf.DUMMYFUNCTION("iferror(iferror(iferror(index(IMPORTRANGE(""1NK5L1mviMn0j3D3uo53ASkIZOFRlLnqaCTnwzOG2_Wg"",""Direct Link!B2:B""),MATCH($C990,IMPORTRANGE(""1NK5L1mviMn0j3D3uo53ASkIZOFRlLnqaCTnwzOG2_Wg"",""Direct Link!A2:A""),0)),XLOOKUP($C990,IMPORTRANGE(""1NK5L1mviMn0j3D"&amp;"3uo53ASkIZOFRlLnqaCTnwzOG2_Wg"",""Direct links Without Sizes!A2:A""),IMPORTRANGE(""1NK5L1mviMn0j3D3uo53ASkIZOFRlLnqaCTnwzOG2_Wg"",""Direct links Without Sizes!B2:B""))),XLOOKUP($C990,IMPORTRANGE(""1NK5L1mviMn0j3D3uo53ASkIZOFRlLnqaCTnwzOG2_Wg"",""Direct li"&amp;"nks Without Sizes!D2:D""),IMPORTRANGE(""1NK5L1mviMn0j3D3uo53ASkIZOFRlLnqaCTnwzOG2_Wg"",""Direct links Without Sizes!E2:E""))),"""")"),"")</f>
        <v/>
      </c>
      <c r="I990" s="4"/>
      <c r="J990" s="24" t="str">
        <f t="shared" si="1"/>
        <v/>
      </c>
      <c r="K990" s="25"/>
      <c r="L990" s="24" t="str">
        <f t="shared" si="2"/>
        <v/>
      </c>
      <c r="M990" s="4"/>
      <c r="N990" s="23"/>
      <c r="O990" s="23"/>
      <c r="P990" s="23"/>
      <c r="Q990" s="4" t="str">
        <f t="shared" si="4"/>
        <v/>
      </c>
      <c r="R990" s="20"/>
      <c r="S990" s="20"/>
    </row>
    <row r="991">
      <c r="A991" s="4"/>
      <c r="B991" s="4"/>
      <c r="C991" s="37"/>
      <c r="D991" s="7" t="str">
        <f>IFERROR(__xludf.DUMMYFUNCTION("iferror(iferror(INDEX(IMPORTRANGE(""12vtnxaE_Q1s4tyr10kZQx7ZF_xG0lBFae4jQEUtgsMU"",""All!B2:B""),MATCH($C991,IMPORTRANGE(""12vtnxaE_Q1s4tyr10kZQx7ZF_xG0lBFae4jQEUtgsMU"",""All!A2:A""),0)),INDEX(IMPORTRANGE(""13KC70HngS4DDi8y9E5khtSpQEPG6owaQ9z4E-tR5mnY"","&amp;"""Non-Food!B2:B""),MATCH($C991,IMPORTRANGE(""13KC70HngS4DDi8y9E5khtSpQEPG6owaQ9z4E-tR5mnY"",""Non-Food!A2:A""),0))),"""")"),"")</f>
        <v/>
      </c>
      <c r="E991" s="15"/>
      <c r="F991" s="15"/>
      <c r="G991" s="36"/>
      <c r="H991" s="23" t="str">
        <f>IFERROR(__xludf.DUMMYFUNCTION("iferror(iferror(iferror(index(IMPORTRANGE(""1NK5L1mviMn0j3D3uo53ASkIZOFRlLnqaCTnwzOG2_Wg"",""Direct Link!B2:B""),MATCH($C991,IMPORTRANGE(""1NK5L1mviMn0j3D3uo53ASkIZOFRlLnqaCTnwzOG2_Wg"",""Direct Link!A2:A""),0)),XLOOKUP($C991,IMPORTRANGE(""1NK5L1mviMn0j3D"&amp;"3uo53ASkIZOFRlLnqaCTnwzOG2_Wg"",""Direct links Without Sizes!A2:A""),IMPORTRANGE(""1NK5L1mviMn0j3D3uo53ASkIZOFRlLnqaCTnwzOG2_Wg"",""Direct links Without Sizes!B2:B""))),XLOOKUP($C991,IMPORTRANGE(""1NK5L1mviMn0j3D3uo53ASkIZOFRlLnqaCTnwzOG2_Wg"",""Direct li"&amp;"nks Without Sizes!D2:D""),IMPORTRANGE(""1NK5L1mviMn0j3D3uo53ASkIZOFRlLnqaCTnwzOG2_Wg"",""Direct links Without Sizes!E2:E""))),"""")"),"")</f>
        <v/>
      </c>
      <c r="I991" s="4"/>
      <c r="J991" s="24" t="str">
        <f t="shared" si="1"/>
        <v/>
      </c>
      <c r="K991" s="25"/>
      <c r="L991" s="24" t="str">
        <f t="shared" si="2"/>
        <v/>
      </c>
      <c r="M991" s="4"/>
      <c r="N991" s="23"/>
      <c r="O991" s="23"/>
      <c r="P991" s="23"/>
      <c r="Q991" s="4" t="str">
        <f t="shared" si="4"/>
        <v/>
      </c>
      <c r="R991" s="20"/>
      <c r="S991" s="20"/>
    </row>
    <row r="992">
      <c r="A992" s="4"/>
      <c r="B992" s="4"/>
      <c r="C992" s="37"/>
      <c r="D992" s="7" t="str">
        <f>IFERROR(__xludf.DUMMYFUNCTION("iferror(iferror(INDEX(IMPORTRANGE(""12vtnxaE_Q1s4tyr10kZQx7ZF_xG0lBFae4jQEUtgsMU"",""All!B2:B""),MATCH($C992,IMPORTRANGE(""12vtnxaE_Q1s4tyr10kZQx7ZF_xG0lBFae4jQEUtgsMU"",""All!A2:A""),0)),INDEX(IMPORTRANGE(""13KC70HngS4DDi8y9E5khtSpQEPG6owaQ9z4E-tR5mnY"","&amp;"""Non-Food!B2:B""),MATCH($C992,IMPORTRANGE(""13KC70HngS4DDi8y9E5khtSpQEPG6owaQ9z4E-tR5mnY"",""Non-Food!A2:A""),0))),"""")"),"")</f>
        <v/>
      </c>
      <c r="E992" s="15"/>
      <c r="F992" s="15"/>
      <c r="G992" s="36"/>
      <c r="H992" s="23" t="str">
        <f>IFERROR(__xludf.DUMMYFUNCTION("iferror(iferror(iferror(index(IMPORTRANGE(""1NK5L1mviMn0j3D3uo53ASkIZOFRlLnqaCTnwzOG2_Wg"",""Direct Link!B2:B""),MATCH($C992,IMPORTRANGE(""1NK5L1mviMn0j3D3uo53ASkIZOFRlLnqaCTnwzOG2_Wg"",""Direct Link!A2:A""),0)),XLOOKUP($C992,IMPORTRANGE(""1NK5L1mviMn0j3D"&amp;"3uo53ASkIZOFRlLnqaCTnwzOG2_Wg"",""Direct links Without Sizes!A2:A""),IMPORTRANGE(""1NK5L1mviMn0j3D3uo53ASkIZOFRlLnqaCTnwzOG2_Wg"",""Direct links Without Sizes!B2:B""))),XLOOKUP($C992,IMPORTRANGE(""1NK5L1mviMn0j3D3uo53ASkIZOFRlLnqaCTnwzOG2_Wg"",""Direct li"&amp;"nks Without Sizes!D2:D""),IMPORTRANGE(""1NK5L1mviMn0j3D3uo53ASkIZOFRlLnqaCTnwzOG2_Wg"",""Direct links Without Sizes!E2:E""))),"""")"),"")</f>
        <v/>
      </c>
      <c r="I992" s="4"/>
      <c r="J992" s="24" t="str">
        <f t="shared" si="1"/>
        <v/>
      </c>
      <c r="K992" s="25"/>
      <c r="L992" s="24" t="str">
        <f t="shared" si="2"/>
        <v/>
      </c>
      <c r="M992" s="4"/>
      <c r="N992" s="23"/>
      <c r="O992" s="23"/>
      <c r="P992" s="23"/>
      <c r="Q992" s="4" t="str">
        <f t="shared" si="4"/>
        <v/>
      </c>
      <c r="R992" s="20"/>
      <c r="S992" s="20"/>
    </row>
    <row r="993">
      <c r="A993" s="4"/>
      <c r="B993" s="4"/>
      <c r="C993" s="37"/>
      <c r="D993" s="7" t="str">
        <f>IFERROR(__xludf.DUMMYFUNCTION("iferror(iferror(INDEX(IMPORTRANGE(""12vtnxaE_Q1s4tyr10kZQx7ZF_xG0lBFae4jQEUtgsMU"",""All!B2:B""),MATCH($C993,IMPORTRANGE(""12vtnxaE_Q1s4tyr10kZQx7ZF_xG0lBFae4jQEUtgsMU"",""All!A2:A""),0)),INDEX(IMPORTRANGE(""13KC70HngS4DDi8y9E5khtSpQEPG6owaQ9z4E-tR5mnY"","&amp;"""Non-Food!B2:B""),MATCH($C993,IMPORTRANGE(""13KC70HngS4DDi8y9E5khtSpQEPG6owaQ9z4E-tR5mnY"",""Non-Food!A2:A""),0))),"""")"),"")</f>
        <v/>
      </c>
      <c r="E993" s="15"/>
      <c r="F993" s="15"/>
      <c r="G993" s="36"/>
      <c r="H993" s="23" t="str">
        <f>IFERROR(__xludf.DUMMYFUNCTION("iferror(iferror(iferror(index(IMPORTRANGE(""1NK5L1mviMn0j3D3uo53ASkIZOFRlLnqaCTnwzOG2_Wg"",""Direct Link!B2:B""),MATCH($C993,IMPORTRANGE(""1NK5L1mviMn0j3D3uo53ASkIZOFRlLnqaCTnwzOG2_Wg"",""Direct Link!A2:A""),0)),XLOOKUP($C993,IMPORTRANGE(""1NK5L1mviMn0j3D"&amp;"3uo53ASkIZOFRlLnqaCTnwzOG2_Wg"",""Direct links Without Sizes!A2:A""),IMPORTRANGE(""1NK5L1mviMn0j3D3uo53ASkIZOFRlLnqaCTnwzOG2_Wg"",""Direct links Without Sizes!B2:B""))),XLOOKUP($C993,IMPORTRANGE(""1NK5L1mviMn0j3D3uo53ASkIZOFRlLnqaCTnwzOG2_Wg"",""Direct li"&amp;"nks Without Sizes!D2:D""),IMPORTRANGE(""1NK5L1mviMn0j3D3uo53ASkIZOFRlLnqaCTnwzOG2_Wg"",""Direct links Without Sizes!E2:E""))),"""")"),"")</f>
        <v/>
      </c>
      <c r="I993" s="4"/>
      <c r="J993" s="24" t="str">
        <f t="shared" si="1"/>
        <v/>
      </c>
      <c r="K993" s="25"/>
      <c r="L993" s="24" t="str">
        <f t="shared" si="2"/>
        <v/>
      </c>
      <c r="M993" s="4"/>
      <c r="N993" s="23"/>
      <c r="O993" s="23"/>
      <c r="P993" s="23"/>
      <c r="Q993" s="4" t="str">
        <f t="shared" si="4"/>
        <v/>
      </c>
      <c r="R993" s="20"/>
      <c r="S993" s="20"/>
    </row>
    <row r="994">
      <c r="A994" s="4"/>
      <c r="B994" s="4"/>
      <c r="C994" s="37"/>
      <c r="D994" s="7" t="str">
        <f>IFERROR(__xludf.DUMMYFUNCTION("iferror(iferror(INDEX(IMPORTRANGE(""12vtnxaE_Q1s4tyr10kZQx7ZF_xG0lBFae4jQEUtgsMU"",""All!B2:B""),MATCH($C994,IMPORTRANGE(""12vtnxaE_Q1s4tyr10kZQx7ZF_xG0lBFae4jQEUtgsMU"",""All!A2:A""),0)),INDEX(IMPORTRANGE(""13KC70HngS4DDi8y9E5khtSpQEPG6owaQ9z4E-tR5mnY"","&amp;"""Non-Food!B2:B""),MATCH($C994,IMPORTRANGE(""13KC70HngS4DDi8y9E5khtSpQEPG6owaQ9z4E-tR5mnY"",""Non-Food!A2:A""),0))),"""")"),"")</f>
        <v/>
      </c>
      <c r="E994" s="15"/>
      <c r="F994" s="15"/>
      <c r="G994" s="36"/>
      <c r="H994" s="23" t="str">
        <f>IFERROR(__xludf.DUMMYFUNCTION("iferror(iferror(iferror(index(IMPORTRANGE(""1NK5L1mviMn0j3D3uo53ASkIZOFRlLnqaCTnwzOG2_Wg"",""Direct Link!B2:B""),MATCH($C994,IMPORTRANGE(""1NK5L1mviMn0j3D3uo53ASkIZOFRlLnqaCTnwzOG2_Wg"",""Direct Link!A2:A""),0)),XLOOKUP($C994,IMPORTRANGE(""1NK5L1mviMn0j3D"&amp;"3uo53ASkIZOFRlLnqaCTnwzOG2_Wg"",""Direct links Without Sizes!A2:A""),IMPORTRANGE(""1NK5L1mviMn0j3D3uo53ASkIZOFRlLnqaCTnwzOG2_Wg"",""Direct links Without Sizes!B2:B""))),XLOOKUP($C994,IMPORTRANGE(""1NK5L1mviMn0j3D3uo53ASkIZOFRlLnqaCTnwzOG2_Wg"",""Direct li"&amp;"nks Without Sizes!D2:D""),IMPORTRANGE(""1NK5L1mviMn0j3D3uo53ASkIZOFRlLnqaCTnwzOG2_Wg"",""Direct links Without Sizes!E2:E""))),"""")"),"")</f>
        <v/>
      </c>
      <c r="I994" s="4"/>
      <c r="J994" s="24" t="str">
        <f t="shared" si="1"/>
        <v/>
      </c>
      <c r="K994" s="25"/>
      <c r="L994" s="24" t="str">
        <f t="shared" si="2"/>
        <v/>
      </c>
      <c r="M994" s="4"/>
      <c r="N994" s="23"/>
      <c r="O994" s="23"/>
      <c r="P994" s="23"/>
      <c r="Q994" s="4" t="str">
        <f t="shared" si="4"/>
        <v/>
      </c>
      <c r="R994" s="20"/>
      <c r="S994" s="20"/>
    </row>
    <row r="995">
      <c r="A995" s="4"/>
      <c r="B995" s="4"/>
      <c r="C995" s="37"/>
      <c r="D995" s="7" t="str">
        <f>IFERROR(__xludf.DUMMYFUNCTION("iferror(iferror(INDEX(IMPORTRANGE(""12vtnxaE_Q1s4tyr10kZQx7ZF_xG0lBFae4jQEUtgsMU"",""All!B2:B""),MATCH($C995,IMPORTRANGE(""12vtnxaE_Q1s4tyr10kZQx7ZF_xG0lBFae4jQEUtgsMU"",""All!A2:A""),0)),INDEX(IMPORTRANGE(""13KC70HngS4DDi8y9E5khtSpQEPG6owaQ9z4E-tR5mnY"","&amp;"""Non-Food!B2:B""),MATCH($C995,IMPORTRANGE(""13KC70HngS4DDi8y9E5khtSpQEPG6owaQ9z4E-tR5mnY"",""Non-Food!A2:A""),0))),"""")"),"")</f>
        <v/>
      </c>
      <c r="E995" s="15"/>
      <c r="F995" s="15"/>
      <c r="G995" s="36"/>
      <c r="H995" s="23" t="str">
        <f>IFERROR(__xludf.DUMMYFUNCTION("iferror(iferror(iferror(index(IMPORTRANGE(""1NK5L1mviMn0j3D3uo53ASkIZOFRlLnqaCTnwzOG2_Wg"",""Direct Link!B2:B""),MATCH($C995,IMPORTRANGE(""1NK5L1mviMn0j3D3uo53ASkIZOFRlLnqaCTnwzOG2_Wg"",""Direct Link!A2:A""),0)),XLOOKUP($C995,IMPORTRANGE(""1NK5L1mviMn0j3D"&amp;"3uo53ASkIZOFRlLnqaCTnwzOG2_Wg"",""Direct links Without Sizes!A2:A""),IMPORTRANGE(""1NK5L1mviMn0j3D3uo53ASkIZOFRlLnqaCTnwzOG2_Wg"",""Direct links Without Sizes!B2:B""))),XLOOKUP($C995,IMPORTRANGE(""1NK5L1mviMn0j3D3uo53ASkIZOFRlLnqaCTnwzOG2_Wg"",""Direct li"&amp;"nks Without Sizes!D2:D""),IMPORTRANGE(""1NK5L1mviMn0j3D3uo53ASkIZOFRlLnqaCTnwzOG2_Wg"",""Direct links Without Sizes!E2:E""))),"""")"),"")</f>
        <v/>
      </c>
      <c r="I995" s="4"/>
      <c r="J995" s="24" t="str">
        <f t="shared" si="1"/>
        <v/>
      </c>
      <c r="K995" s="25"/>
      <c r="L995" s="24" t="str">
        <f t="shared" si="2"/>
        <v/>
      </c>
      <c r="M995" s="4"/>
      <c r="N995" s="23"/>
      <c r="O995" s="23"/>
      <c r="P995" s="23"/>
      <c r="Q995" s="4" t="str">
        <f t="shared" si="4"/>
        <v/>
      </c>
      <c r="R995" s="20"/>
      <c r="S995" s="20"/>
    </row>
    <row r="996">
      <c r="A996" s="4"/>
      <c r="B996" s="4"/>
      <c r="C996" s="37"/>
      <c r="D996" s="7" t="str">
        <f>IFERROR(__xludf.DUMMYFUNCTION("iferror(iferror(INDEX(IMPORTRANGE(""12vtnxaE_Q1s4tyr10kZQx7ZF_xG0lBFae4jQEUtgsMU"",""All!B2:B""),MATCH($C996,IMPORTRANGE(""12vtnxaE_Q1s4tyr10kZQx7ZF_xG0lBFae4jQEUtgsMU"",""All!A2:A""),0)),INDEX(IMPORTRANGE(""13KC70HngS4DDi8y9E5khtSpQEPG6owaQ9z4E-tR5mnY"","&amp;"""Non-Food!B2:B""),MATCH($C996,IMPORTRANGE(""13KC70HngS4DDi8y9E5khtSpQEPG6owaQ9z4E-tR5mnY"",""Non-Food!A2:A""),0))),"""")"),"")</f>
        <v/>
      </c>
      <c r="E996" s="15"/>
      <c r="F996" s="15"/>
      <c r="G996" s="36"/>
      <c r="H996" s="23" t="str">
        <f>IFERROR(__xludf.DUMMYFUNCTION("iferror(iferror(iferror(index(IMPORTRANGE(""1NK5L1mviMn0j3D3uo53ASkIZOFRlLnqaCTnwzOG2_Wg"",""Direct Link!B2:B""),MATCH($C996,IMPORTRANGE(""1NK5L1mviMn0j3D3uo53ASkIZOFRlLnqaCTnwzOG2_Wg"",""Direct Link!A2:A""),0)),XLOOKUP($C996,IMPORTRANGE(""1NK5L1mviMn0j3D"&amp;"3uo53ASkIZOFRlLnqaCTnwzOG2_Wg"",""Direct links Without Sizes!A2:A""),IMPORTRANGE(""1NK5L1mviMn0j3D3uo53ASkIZOFRlLnqaCTnwzOG2_Wg"",""Direct links Without Sizes!B2:B""))),XLOOKUP($C996,IMPORTRANGE(""1NK5L1mviMn0j3D3uo53ASkIZOFRlLnqaCTnwzOG2_Wg"",""Direct li"&amp;"nks Without Sizes!D2:D""),IMPORTRANGE(""1NK5L1mviMn0j3D3uo53ASkIZOFRlLnqaCTnwzOG2_Wg"",""Direct links Without Sizes!E2:E""))),"""")"),"")</f>
        <v/>
      </c>
      <c r="I996" s="4"/>
      <c r="J996" s="24" t="str">
        <f t="shared" si="1"/>
        <v/>
      </c>
      <c r="K996" s="25"/>
      <c r="L996" s="24" t="str">
        <f t="shared" si="2"/>
        <v/>
      </c>
      <c r="M996" s="4"/>
      <c r="N996" s="23"/>
      <c r="O996" s="23"/>
      <c r="P996" s="23"/>
      <c r="Q996" s="4" t="str">
        <f t="shared" si="4"/>
        <v/>
      </c>
      <c r="R996" s="20"/>
      <c r="S996" s="20"/>
    </row>
    <row r="997">
      <c r="A997" s="4"/>
      <c r="B997" s="4"/>
      <c r="C997" s="37"/>
      <c r="D997" s="7" t="str">
        <f>IFERROR(__xludf.DUMMYFUNCTION("iferror(iferror(INDEX(IMPORTRANGE(""12vtnxaE_Q1s4tyr10kZQx7ZF_xG0lBFae4jQEUtgsMU"",""All!B2:B""),MATCH($C997,IMPORTRANGE(""12vtnxaE_Q1s4tyr10kZQx7ZF_xG0lBFae4jQEUtgsMU"",""All!A2:A""),0)),INDEX(IMPORTRANGE(""13KC70HngS4DDi8y9E5khtSpQEPG6owaQ9z4E-tR5mnY"","&amp;"""Non-Food!B2:B""),MATCH($C997,IMPORTRANGE(""13KC70HngS4DDi8y9E5khtSpQEPG6owaQ9z4E-tR5mnY"",""Non-Food!A2:A""),0))),"""")"),"")</f>
        <v/>
      </c>
      <c r="E997" s="15"/>
      <c r="F997" s="15"/>
      <c r="G997" s="36"/>
      <c r="H997" s="23" t="str">
        <f>IFERROR(__xludf.DUMMYFUNCTION("iferror(iferror(iferror(index(IMPORTRANGE(""1NK5L1mviMn0j3D3uo53ASkIZOFRlLnqaCTnwzOG2_Wg"",""Direct Link!B2:B""),MATCH($C997,IMPORTRANGE(""1NK5L1mviMn0j3D3uo53ASkIZOFRlLnqaCTnwzOG2_Wg"",""Direct Link!A2:A""),0)),XLOOKUP($C997,IMPORTRANGE(""1NK5L1mviMn0j3D"&amp;"3uo53ASkIZOFRlLnqaCTnwzOG2_Wg"",""Direct links Without Sizes!A2:A""),IMPORTRANGE(""1NK5L1mviMn0j3D3uo53ASkIZOFRlLnqaCTnwzOG2_Wg"",""Direct links Without Sizes!B2:B""))),XLOOKUP($C997,IMPORTRANGE(""1NK5L1mviMn0j3D3uo53ASkIZOFRlLnqaCTnwzOG2_Wg"",""Direct li"&amp;"nks Without Sizes!D2:D""),IMPORTRANGE(""1NK5L1mviMn0j3D3uo53ASkIZOFRlLnqaCTnwzOG2_Wg"",""Direct links Without Sizes!E2:E""))),"""")"),"")</f>
        <v/>
      </c>
      <c r="I997" s="4"/>
      <c r="J997" s="24" t="str">
        <f t="shared" si="1"/>
        <v/>
      </c>
      <c r="K997" s="25"/>
      <c r="L997" s="24" t="str">
        <f t="shared" si="2"/>
        <v/>
      </c>
      <c r="M997" s="4"/>
      <c r="N997" s="23"/>
      <c r="O997" s="23"/>
      <c r="P997" s="23"/>
      <c r="Q997" s="4" t="str">
        <f t="shared" si="4"/>
        <v/>
      </c>
      <c r="R997" s="20"/>
      <c r="S997" s="20"/>
    </row>
    <row r="998">
      <c r="A998" s="4"/>
      <c r="B998" s="4"/>
      <c r="C998" s="37"/>
      <c r="D998" s="7" t="str">
        <f>IFERROR(__xludf.DUMMYFUNCTION("iferror(iferror(INDEX(IMPORTRANGE(""12vtnxaE_Q1s4tyr10kZQx7ZF_xG0lBFae4jQEUtgsMU"",""All!B2:B""),MATCH($C998,IMPORTRANGE(""12vtnxaE_Q1s4tyr10kZQx7ZF_xG0lBFae4jQEUtgsMU"",""All!A2:A""),0)),INDEX(IMPORTRANGE(""13KC70HngS4DDi8y9E5khtSpQEPG6owaQ9z4E-tR5mnY"","&amp;"""Non-Food!B2:B""),MATCH($C998,IMPORTRANGE(""13KC70HngS4DDi8y9E5khtSpQEPG6owaQ9z4E-tR5mnY"",""Non-Food!A2:A""),0))),"""")"),"")</f>
        <v/>
      </c>
      <c r="E998" s="15"/>
      <c r="F998" s="15"/>
      <c r="G998" s="36"/>
      <c r="H998" s="23" t="str">
        <f>IFERROR(__xludf.DUMMYFUNCTION("iferror(iferror(iferror(index(IMPORTRANGE(""1NK5L1mviMn0j3D3uo53ASkIZOFRlLnqaCTnwzOG2_Wg"",""Direct Link!B2:B""),MATCH($C998,IMPORTRANGE(""1NK5L1mviMn0j3D3uo53ASkIZOFRlLnqaCTnwzOG2_Wg"",""Direct Link!A2:A""),0)),XLOOKUP($C998,IMPORTRANGE(""1NK5L1mviMn0j3D"&amp;"3uo53ASkIZOFRlLnqaCTnwzOG2_Wg"",""Direct links Without Sizes!A2:A""),IMPORTRANGE(""1NK5L1mviMn0j3D3uo53ASkIZOFRlLnqaCTnwzOG2_Wg"",""Direct links Without Sizes!B2:B""))),XLOOKUP($C998,IMPORTRANGE(""1NK5L1mviMn0j3D3uo53ASkIZOFRlLnqaCTnwzOG2_Wg"",""Direct li"&amp;"nks Without Sizes!D2:D""),IMPORTRANGE(""1NK5L1mviMn0j3D3uo53ASkIZOFRlLnqaCTnwzOG2_Wg"",""Direct links Without Sizes!E2:E""))),"""")"),"")</f>
        <v/>
      </c>
      <c r="I998" s="4"/>
      <c r="J998" s="24" t="str">
        <f t="shared" si="1"/>
        <v/>
      </c>
      <c r="K998" s="25"/>
      <c r="L998" s="24" t="str">
        <f t="shared" si="2"/>
        <v/>
      </c>
      <c r="M998" s="4"/>
      <c r="N998" s="23"/>
      <c r="O998" s="23"/>
      <c r="P998" s="23"/>
      <c r="Q998" s="4" t="str">
        <f t="shared" si="4"/>
        <v/>
      </c>
      <c r="R998" s="20"/>
      <c r="S998" s="20"/>
    </row>
    <row r="999">
      <c r="A999" s="4"/>
      <c r="B999" s="4"/>
      <c r="C999" s="37"/>
      <c r="D999" s="7" t="str">
        <f>IFERROR(__xludf.DUMMYFUNCTION("iferror(iferror(INDEX(IMPORTRANGE(""12vtnxaE_Q1s4tyr10kZQx7ZF_xG0lBFae4jQEUtgsMU"",""All!B2:B""),MATCH($C999,IMPORTRANGE(""12vtnxaE_Q1s4tyr10kZQx7ZF_xG0lBFae4jQEUtgsMU"",""All!A2:A""),0)),INDEX(IMPORTRANGE(""13KC70HngS4DDi8y9E5khtSpQEPG6owaQ9z4E-tR5mnY"","&amp;"""Non-Food!B2:B""),MATCH($C999,IMPORTRANGE(""13KC70HngS4DDi8y9E5khtSpQEPG6owaQ9z4E-tR5mnY"",""Non-Food!A2:A""),0))),"""")"),"")</f>
        <v/>
      </c>
      <c r="E999" s="15"/>
      <c r="F999" s="15"/>
      <c r="G999" s="36"/>
      <c r="H999" s="23" t="str">
        <f>IFERROR(__xludf.DUMMYFUNCTION("iferror(iferror(iferror(index(IMPORTRANGE(""1NK5L1mviMn0j3D3uo53ASkIZOFRlLnqaCTnwzOG2_Wg"",""Direct Link!B2:B""),MATCH($C999,IMPORTRANGE(""1NK5L1mviMn0j3D3uo53ASkIZOFRlLnqaCTnwzOG2_Wg"",""Direct Link!A2:A""),0)),XLOOKUP($C999,IMPORTRANGE(""1NK5L1mviMn0j3D"&amp;"3uo53ASkIZOFRlLnqaCTnwzOG2_Wg"",""Direct links Without Sizes!A2:A""),IMPORTRANGE(""1NK5L1mviMn0j3D3uo53ASkIZOFRlLnqaCTnwzOG2_Wg"",""Direct links Without Sizes!B2:B""))),XLOOKUP($C999,IMPORTRANGE(""1NK5L1mviMn0j3D3uo53ASkIZOFRlLnqaCTnwzOG2_Wg"",""Direct li"&amp;"nks Without Sizes!D2:D""),IMPORTRANGE(""1NK5L1mviMn0j3D3uo53ASkIZOFRlLnqaCTnwzOG2_Wg"",""Direct links Without Sizes!E2:E""))),"""")"),"")</f>
        <v/>
      </c>
      <c r="I999" s="4"/>
      <c r="J999" s="24" t="str">
        <f t="shared" si="1"/>
        <v/>
      </c>
      <c r="K999" s="25"/>
      <c r="L999" s="24" t="str">
        <f t="shared" si="2"/>
        <v/>
      </c>
      <c r="M999" s="4"/>
      <c r="N999" s="23"/>
      <c r="O999" s="23"/>
      <c r="P999" s="23"/>
      <c r="Q999" s="4" t="str">
        <f t="shared" si="4"/>
        <v/>
      </c>
      <c r="R999" s="20"/>
      <c r="S999" s="20"/>
    </row>
    <row r="1000">
      <c r="A1000" s="4"/>
      <c r="B1000" s="4"/>
      <c r="C1000" s="37"/>
      <c r="D1000" s="7" t="str">
        <f>IFERROR(__xludf.DUMMYFUNCTION("iferror(iferror(INDEX(IMPORTRANGE(""12vtnxaE_Q1s4tyr10kZQx7ZF_xG0lBFae4jQEUtgsMU"",""All!B2:B""),MATCH($C1000,IMPORTRANGE(""12vtnxaE_Q1s4tyr10kZQx7ZF_xG0lBFae4jQEUtgsMU"",""All!A2:A""),0)),INDEX(IMPORTRANGE(""13KC70HngS4DDi8y9E5khtSpQEPG6owaQ9z4E-tR5mnY"""&amp;",""Non-Food!B2:B""),MATCH($C1000,IMPORTRANGE(""13KC70HngS4DDi8y9E5khtSpQEPG6owaQ9z4E-tR5mnY"",""Non-Food!A2:A""),0))),"""")"),"")</f>
        <v/>
      </c>
      <c r="E1000" s="15"/>
      <c r="F1000" s="15"/>
      <c r="G1000" s="36"/>
      <c r="H1000" s="23" t="str">
        <f>IFERROR(__xludf.DUMMYFUNCTION("iferror(iferror(iferror(index(IMPORTRANGE(""1NK5L1mviMn0j3D3uo53ASkIZOFRlLnqaCTnwzOG2_Wg"",""Direct Link!B2:B""),MATCH($C1000,IMPORTRANGE(""1NK5L1mviMn0j3D3uo53ASkIZOFRlLnqaCTnwzOG2_Wg"",""Direct Link!A2:A""),0)),XLOOKUP($C1000,IMPORTRANGE(""1NK5L1mviMn0j"&amp;"3D3uo53ASkIZOFRlLnqaCTnwzOG2_Wg"",""Direct links Without Sizes!A2:A""),IMPORTRANGE(""1NK5L1mviMn0j3D3uo53ASkIZOFRlLnqaCTnwzOG2_Wg"",""Direct links Without Sizes!B2:B""))),XLOOKUP($C1000,IMPORTRANGE(""1NK5L1mviMn0j3D3uo53ASkIZOFRlLnqaCTnwzOG2_Wg"",""Direct"&amp;" links Without Sizes!D2:D""),IMPORTRANGE(""1NK5L1mviMn0j3D3uo53ASkIZOFRlLnqaCTnwzOG2_Wg"",""Direct links Without Sizes!E2:E""))),"""")"),"")</f>
        <v/>
      </c>
      <c r="I1000" s="4"/>
      <c r="J1000" s="24" t="str">
        <f t="shared" si="1"/>
        <v/>
      </c>
      <c r="K1000" s="25"/>
      <c r="L1000" s="24" t="str">
        <f t="shared" si="2"/>
        <v/>
      </c>
      <c r="M1000" s="4"/>
      <c r="N1000" s="23"/>
      <c r="O1000" s="23"/>
      <c r="P1000" s="23"/>
      <c r="Q1000" s="4" t="str">
        <f t="shared" si="4"/>
        <v/>
      </c>
      <c r="R1000" s="20"/>
      <c r="S1000" s="20"/>
    </row>
    <row r="1001">
      <c r="A1001" s="4"/>
      <c r="B1001" s="4"/>
      <c r="C1001" s="37"/>
      <c r="D1001" s="7" t="str">
        <f>IFERROR(__xludf.DUMMYFUNCTION("iferror(iferror(INDEX(IMPORTRANGE(""12vtnxaE_Q1s4tyr10kZQx7ZF_xG0lBFae4jQEUtgsMU"",""All!B2:B""),MATCH($C1001,IMPORTRANGE(""12vtnxaE_Q1s4tyr10kZQx7ZF_xG0lBFae4jQEUtgsMU"",""All!A2:A""),0)),INDEX(IMPORTRANGE(""13KC70HngS4DDi8y9E5khtSpQEPG6owaQ9z4E-tR5mnY"""&amp;",""Non-Food!B2:B""),MATCH($C1001,IMPORTRANGE(""13KC70HngS4DDi8y9E5khtSpQEPG6owaQ9z4E-tR5mnY"",""Non-Food!A2:A""),0))),"""")"),"")</f>
        <v/>
      </c>
      <c r="E1001" s="15"/>
      <c r="F1001" s="15"/>
      <c r="G1001" s="36"/>
      <c r="H1001" s="23" t="str">
        <f>IFERROR(__xludf.DUMMYFUNCTION("iferror(iferror(iferror(index(IMPORTRANGE(""1NK5L1mviMn0j3D3uo53ASkIZOFRlLnqaCTnwzOG2_Wg"",""Direct Link!B2:B""),MATCH($C1001,IMPORTRANGE(""1NK5L1mviMn0j3D3uo53ASkIZOFRlLnqaCTnwzOG2_Wg"",""Direct Link!A2:A""),0)),XLOOKUP($C1001,IMPORTRANGE(""1NK5L1mviMn0j"&amp;"3D3uo53ASkIZOFRlLnqaCTnwzOG2_Wg"",""Direct links Without Sizes!A2:A""),IMPORTRANGE(""1NK5L1mviMn0j3D3uo53ASkIZOFRlLnqaCTnwzOG2_Wg"",""Direct links Without Sizes!B2:B""))),XLOOKUP($C1001,IMPORTRANGE(""1NK5L1mviMn0j3D3uo53ASkIZOFRlLnqaCTnwzOG2_Wg"",""Direct"&amp;" links Without Sizes!D2:D""),IMPORTRANGE(""1NK5L1mviMn0j3D3uo53ASkIZOFRlLnqaCTnwzOG2_Wg"",""Direct links Without Sizes!E2:E""))),"""")"),"")</f>
        <v/>
      </c>
      <c r="I1001" s="4"/>
      <c r="J1001" s="24" t="str">
        <f t="shared" si="1"/>
        <v/>
      </c>
      <c r="K1001" s="25"/>
      <c r="L1001" s="24" t="str">
        <f t="shared" si="2"/>
        <v/>
      </c>
      <c r="M1001" s="4"/>
      <c r="N1001" s="23"/>
      <c r="O1001" s="23"/>
      <c r="P1001" s="23"/>
      <c r="Q1001" s="4" t="str">
        <f t="shared" si="4"/>
        <v/>
      </c>
      <c r="R1001" s="20"/>
      <c r="S1001" s="20"/>
    </row>
    <row r="1002">
      <c r="A1002" s="4"/>
      <c r="B1002" s="4"/>
      <c r="C1002" s="37"/>
      <c r="D1002" s="7" t="str">
        <f>IFERROR(__xludf.DUMMYFUNCTION("iferror(iferror(INDEX(IMPORTRANGE(""12vtnxaE_Q1s4tyr10kZQx7ZF_xG0lBFae4jQEUtgsMU"",""All!B2:B""),MATCH($C1002,IMPORTRANGE(""12vtnxaE_Q1s4tyr10kZQx7ZF_xG0lBFae4jQEUtgsMU"",""All!A2:A""),0)),INDEX(IMPORTRANGE(""13KC70HngS4DDi8y9E5khtSpQEPG6owaQ9z4E-tR5mnY"""&amp;",""Non-Food!B2:B""),MATCH($C1002,IMPORTRANGE(""13KC70HngS4DDi8y9E5khtSpQEPG6owaQ9z4E-tR5mnY"",""Non-Food!A2:A""),0))),"""")"),"")</f>
        <v/>
      </c>
      <c r="E1002" s="15"/>
      <c r="F1002" s="15"/>
      <c r="G1002" s="36"/>
      <c r="H1002" s="23" t="str">
        <f>IFERROR(__xludf.DUMMYFUNCTION("iferror(iferror(iferror(index(IMPORTRANGE(""1NK5L1mviMn0j3D3uo53ASkIZOFRlLnqaCTnwzOG2_Wg"",""Direct Link!B2:B""),MATCH($C1002,IMPORTRANGE(""1NK5L1mviMn0j3D3uo53ASkIZOFRlLnqaCTnwzOG2_Wg"",""Direct Link!A2:A""),0)),XLOOKUP($C1002,IMPORTRANGE(""1NK5L1mviMn0j"&amp;"3D3uo53ASkIZOFRlLnqaCTnwzOG2_Wg"",""Direct links Without Sizes!A2:A""),IMPORTRANGE(""1NK5L1mviMn0j3D3uo53ASkIZOFRlLnqaCTnwzOG2_Wg"",""Direct links Without Sizes!B2:B""))),XLOOKUP($C1002,IMPORTRANGE(""1NK5L1mviMn0j3D3uo53ASkIZOFRlLnqaCTnwzOG2_Wg"",""Direct"&amp;" links Without Sizes!D2:D""),IMPORTRANGE(""1NK5L1mviMn0j3D3uo53ASkIZOFRlLnqaCTnwzOG2_Wg"",""Direct links Without Sizes!E2:E""))),"""")"),"")</f>
        <v/>
      </c>
      <c r="I1002" s="4"/>
      <c r="J1002" s="24" t="str">
        <f t="shared" si="1"/>
        <v/>
      </c>
      <c r="K1002" s="25"/>
      <c r="L1002" s="24" t="str">
        <f t="shared" si="2"/>
        <v/>
      </c>
      <c r="M1002" s="4"/>
      <c r="N1002" s="23"/>
      <c r="O1002" s="23"/>
      <c r="P1002" s="23"/>
      <c r="Q1002" s="4" t="str">
        <f t="shared" si="4"/>
        <v/>
      </c>
      <c r="R1002" s="20"/>
      <c r="S1002" s="20"/>
    </row>
    <row r="1003">
      <c r="A1003" s="4"/>
      <c r="B1003" s="4"/>
      <c r="C1003" s="37"/>
      <c r="D1003" s="7" t="str">
        <f>IFERROR(__xludf.DUMMYFUNCTION("iferror(iferror(INDEX(IMPORTRANGE(""12vtnxaE_Q1s4tyr10kZQx7ZF_xG0lBFae4jQEUtgsMU"",""All!B2:B""),MATCH($C1003,IMPORTRANGE(""12vtnxaE_Q1s4tyr10kZQx7ZF_xG0lBFae4jQEUtgsMU"",""All!A2:A""),0)),INDEX(IMPORTRANGE(""13KC70HngS4DDi8y9E5khtSpQEPG6owaQ9z4E-tR5mnY"""&amp;",""Non-Food!B2:B""),MATCH($C1003,IMPORTRANGE(""13KC70HngS4DDi8y9E5khtSpQEPG6owaQ9z4E-tR5mnY"",""Non-Food!A2:A""),0))),"""")"),"")</f>
        <v/>
      </c>
      <c r="E1003" s="15"/>
      <c r="F1003" s="15"/>
      <c r="G1003" s="36"/>
      <c r="H1003" s="23" t="str">
        <f>IFERROR(__xludf.DUMMYFUNCTION("iferror(iferror(iferror(index(IMPORTRANGE(""1NK5L1mviMn0j3D3uo53ASkIZOFRlLnqaCTnwzOG2_Wg"",""Direct Link!B2:B""),MATCH($C1003,IMPORTRANGE(""1NK5L1mviMn0j3D3uo53ASkIZOFRlLnqaCTnwzOG2_Wg"",""Direct Link!A2:A""),0)),XLOOKUP($C1003,IMPORTRANGE(""1NK5L1mviMn0j"&amp;"3D3uo53ASkIZOFRlLnqaCTnwzOG2_Wg"",""Direct links Without Sizes!A2:A""),IMPORTRANGE(""1NK5L1mviMn0j3D3uo53ASkIZOFRlLnqaCTnwzOG2_Wg"",""Direct links Without Sizes!B2:B""))),XLOOKUP($C1003,IMPORTRANGE(""1NK5L1mviMn0j3D3uo53ASkIZOFRlLnqaCTnwzOG2_Wg"",""Direct"&amp;" links Without Sizes!D2:D""),IMPORTRANGE(""1NK5L1mviMn0j3D3uo53ASkIZOFRlLnqaCTnwzOG2_Wg"",""Direct links Without Sizes!E2:E""))),"""")"),"")</f>
        <v/>
      </c>
      <c r="I1003" s="4"/>
      <c r="J1003" s="24" t="str">
        <f t="shared" si="1"/>
        <v/>
      </c>
      <c r="K1003" s="25"/>
      <c r="L1003" s="24" t="str">
        <f t="shared" si="2"/>
        <v/>
      </c>
      <c r="M1003" s="4"/>
      <c r="N1003" s="23"/>
      <c r="O1003" s="23"/>
      <c r="P1003" s="23"/>
      <c r="Q1003" s="4" t="str">
        <f t="shared" si="4"/>
        <v/>
      </c>
      <c r="R1003" s="20"/>
      <c r="S1003" s="20"/>
    </row>
    <row r="1004">
      <c r="A1004" s="4"/>
      <c r="B1004" s="4"/>
      <c r="C1004" s="37"/>
      <c r="D1004" s="7" t="str">
        <f>IFERROR(__xludf.DUMMYFUNCTION("iferror(iferror(INDEX(IMPORTRANGE(""12vtnxaE_Q1s4tyr10kZQx7ZF_xG0lBFae4jQEUtgsMU"",""All!B2:B""),MATCH($C1004,IMPORTRANGE(""12vtnxaE_Q1s4tyr10kZQx7ZF_xG0lBFae4jQEUtgsMU"",""All!A2:A""),0)),INDEX(IMPORTRANGE(""13KC70HngS4DDi8y9E5khtSpQEPG6owaQ9z4E-tR5mnY"""&amp;",""Non-Food!B2:B""),MATCH($C1004,IMPORTRANGE(""13KC70HngS4DDi8y9E5khtSpQEPG6owaQ9z4E-tR5mnY"",""Non-Food!A2:A""),0))),"""")"),"")</f>
        <v/>
      </c>
      <c r="E1004" s="15"/>
      <c r="F1004" s="15"/>
      <c r="G1004" s="36"/>
      <c r="H1004" s="23" t="str">
        <f>IFERROR(__xludf.DUMMYFUNCTION("iferror(iferror(iferror(index(IMPORTRANGE(""1NK5L1mviMn0j3D3uo53ASkIZOFRlLnqaCTnwzOG2_Wg"",""Direct Link!B2:B""),MATCH($C1004,IMPORTRANGE(""1NK5L1mviMn0j3D3uo53ASkIZOFRlLnqaCTnwzOG2_Wg"",""Direct Link!A2:A""),0)),XLOOKUP($C1004,IMPORTRANGE(""1NK5L1mviMn0j"&amp;"3D3uo53ASkIZOFRlLnqaCTnwzOG2_Wg"",""Direct links Without Sizes!A2:A""),IMPORTRANGE(""1NK5L1mviMn0j3D3uo53ASkIZOFRlLnqaCTnwzOG2_Wg"",""Direct links Without Sizes!B2:B""))),XLOOKUP($C1004,IMPORTRANGE(""1NK5L1mviMn0j3D3uo53ASkIZOFRlLnqaCTnwzOG2_Wg"",""Direct"&amp;" links Without Sizes!D2:D""),IMPORTRANGE(""1NK5L1mviMn0j3D3uo53ASkIZOFRlLnqaCTnwzOG2_Wg"",""Direct links Without Sizes!E2:E""))),"""")"),"")</f>
        <v/>
      </c>
      <c r="I1004" s="4"/>
      <c r="J1004" s="24" t="str">
        <f t="shared" si="1"/>
        <v/>
      </c>
      <c r="K1004" s="25"/>
      <c r="L1004" s="24" t="str">
        <f t="shared" si="2"/>
        <v/>
      </c>
      <c r="M1004" s="4"/>
      <c r="N1004" s="23"/>
      <c r="O1004" s="23"/>
      <c r="P1004" s="23"/>
      <c r="Q1004" s="4" t="str">
        <f t="shared" si="4"/>
        <v/>
      </c>
      <c r="R1004" s="20"/>
      <c r="S1004" s="20"/>
    </row>
    <row r="1005">
      <c r="A1005" s="4"/>
      <c r="B1005" s="4"/>
      <c r="C1005" s="37"/>
      <c r="D1005" s="7" t="str">
        <f>IFERROR(__xludf.DUMMYFUNCTION("iferror(iferror(INDEX(IMPORTRANGE(""12vtnxaE_Q1s4tyr10kZQx7ZF_xG0lBFae4jQEUtgsMU"",""All!B2:B""),MATCH($C1005,IMPORTRANGE(""12vtnxaE_Q1s4tyr10kZQx7ZF_xG0lBFae4jQEUtgsMU"",""All!A2:A""),0)),INDEX(IMPORTRANGE(""13KC70HngS4DDi8y9E5khtSpQEPG6owaQ9z4E-tR5mnY"""&amp;",""Non-Food!B2:B""),MATCH($C1005,IMPORTRANGE(""13KC70HngS4DDi8y9E5khtSpQEPG6owaQ9z4E-tR5mnY"",""Non-Food!A2:A""),0))),"""")"),"")</f>
        <v/>
      </c>
      <c r="E1005" s="15"/>
      <c r="F1005" s="15"/>
      <c r="G1005" s="36"/>
      <c r="H1005" s="23" t="str">
        <f>IFERROR(__xludf.DUMMYFUNCTION("iferror(iferror(iferror(index(IMPORTRANGE(""1NK5L1mviMn0j3D3uo53ASkIZOFRlLnqaCTnwzOG2_Wg"",""Direct Link!B2:B""),MATCH($C1005,IMPORTRANGE(""1NK5L1mviMn0j3D3uo53ASkIZOFRlLnqaCTnwzOG2_Wg"",""Direct Link!A2:A""),0)),XLOOKUP($C1005,IMPORTRANGE(""1NK5L1mviMn0j"&amp;"3D3uo53ASkIZOFRlLnqaCTnwzOG2_Wg"",""Direct links Without Sizes!A2:A""),IMPORTRANGE(""1NK5L1mviMn0j3D3uo53ASkIZOFRlLnqaCTnwzOG2_Wg"",""Direct links Without Sizes!B2:B""))),XLOOKUP($C1005,IMPORTRANGE(""1NK5L1mviMn0j3D3uo53ASkIZOFRlLnqaCTnwzOG2_Wg"",""Direct"&amp;" links Without Sizes!D2:D""),IMPORTRANGE(""1NK5L1mviMn0j3D3uo53ASkIZOFRlLnqaCTnwzOG2_Wg"",""Direct links Without Sizes!E2:E""))),"""")"),"")</f>
        <v/>
      </c>
      <c r="I1005" s="4"/>
      <c r="J1005" s="24" t="str">
        <f t="shared" si="1"/>
        <v/>
      </c>
      <c r="K1005" s="25"/>
      <c r="L1005" s="24" t="str">
        <f t="shared" si="2"/>
        <v/>
      </c>
      <c r="M1005" s="4"/>
      <c r="N1005" s="23"/>
      <c r="O1005" s="23"/>
      <c r="P1005" s="23"/>
      <c r="Q1005" s="4" t="str">
        <f t="shared" si="4"/>
        <v/>
      </c>
      <c r="R1005" s="20"/>
      <c r="S1005" s="20"/>
    </row>
    <row r="1006">
      <c r="A1006" s="4"/>
      <c r="B1006" s="4"/>
      <c r="C1006" s="37"/>
      <c r="D1006" s="7" t="str">
        <f>IFERROR(__xludf.DUMMYFUNCTION("iferror(iferror(INDEX(IMPORTRANGE(""12vtnxaE_Q1s4tyr10kZQx7ZF_xG0lBFae4jQEUtgsMU"",""All!B2:B""),MATCH($C1006,IMPORTRANGE(""12vtnxaE_Q1s4tyr10kZQx7ZF_xG0lBFae4jQEUtgsMU"",""All!A2:A""),0)),INDEX(IMPORTRANGE(""13KC70HngS4DDi8y9E5khtSpQEPG6owaQ9z4E-tR5mnY"""&amp;",""Non-Food!B2:B""),MATCH($C1006,IMPORTRANGE(""13KC70HngS4DDi8y9E5khtSpQEPG6owaQ9z4E-tR5mnY"",""Non-Food!A2:A""),0))),"""")"),"")</f>
        <v/>
      </c>
      <c r="E1006" s="15"/>
      <c r="F1006" s="15"/>
      <c r="G1006" s="36"/>
      <c r="H1006" s="23" t="str">
        <f>IFERROR(__xludf.DUMMYFUNCTION("iferror(iferror(iferror(index(IMPORTRANGE(""1NK5L1mviMn0j3D3uo53ASkIZOFRlLnqaCTnwzOG2_Wg"",""Direct Link!B2:B""),MATCH($C1006,IMPORTRANGE(""1NK5L1mviMn0j3D3uo53ASkIZOFRlLnqaCTnwzOG2_Wg"",""Direct Link!A2:A""),0)),XLOOKUP($C1006,IMPORTRANGE(""1NK5L1mviMn0j"&amp;"3D3uo53ASkIZOFRlLnqaCTnwzOG2_Wg"",""Direct links Without Sizes!A2:A""),IMPORTRANGE(""1NK5L1mviMn0j3D3uo53ASkIZOFRlLnqaCTnwzOG2_Wg"",""Direct links Without Sizes!B2:B""))),XLOOKUP($C1006,IMPORTRANGE(""1NK5L1mviMn0j3D3uo53ASkIZOFRlLnqaCTnwzOG2_Wg"",""Direct"&amp;" links Without Sizes!D2:D""),IMPORTRANGE(""1NK5L1mviMn0j3D3uo53ASkIZOFRlLnqaCTnwzOG2_Wg"",""Direct links Without Sizes!E2:E""))),"""")"),"")</f>
        <v/>
      </c>
      <c r="I1006" s="4"/>
      <c r="J1006" s="24" t="str">
        <f t="shared" si="1"/>
        <v/>
      </c>
      <c r="K1006" s="25"/>
      <c r="L1006" s="24" t="str">
        <f t="shared" si="2"/>
        <v/>
      </c>
      <c r="M1006" s="4"/>
      <c r="N1006" s="23"/>
      <c r="O1006" s="23"/>
      <c r="P1006" s="23"/>
      <c r="Q1006" s="4" t="str">
        <f t="shared" si="4"/>
        <v/>
      </c>
      <c r="R1006" s="20"/>
      <c r="S1006" s="20"/>
    </row>
    <row r="1007">
      <c r="A1007" s="4"/>
      <c r="B1007" s="4"/>
      <c r="C1007" s="37"/>
      <c r="D1007" s="7" t="str">
        <f>IFERROR(__xludf.DUMMYFUNCTION("iferror(iferror(INDEX(IMPORTRANGE(""12vtnxaE_Q1s4tyr10kZQx7ZF_xG0lBFae4jQEUtgsMU"",""All!B2:B""),MATCH($C1007,IMPORTRANGE(""12vtnxaE_Q1s4tyr10kZQx7ZF_xG0lBFae4jQEUtgsMU"",""All!A2:A""),0)),INDEX(IMPORTRANGE(""13KC70HngS4DDi8y9E5khtSpQEPG6owaQ9z4E-tR5mnY"""&amp;",""Non-Food!B2:B""),MATCH($C1007,IMPORTRANGE(""13KC70HngS4DDi8y9E5khtSpQEPG6owaQ9z4E-tR5mnY"",""Non-Food!A2:A""),0))),"""")"),"")</f>
        <v/>
      </c>
      <c r="E1007" s="15"/>
      <c r="F1007" s="15"/>
      <c r="G1007" s="36"/>
      <c r="H1007" s="23" t="str">
        <f>IFERROR(__xludf.DUMMYFUNCTION("iferror(iferror(iferror(index(IMPORTRANGE(""1NK5L1mviMn0j3D3uo53ASkIZOFRlLnqaCTnwzOG2_Wg"",""Direct Link!B2:B""),MATCH($C1007,IMPORTRANGE(""1NK5L1mviMn0j3D3uo53ASkIZOFRlLnqaCTnwzOG2_Wg"",""Direct Link!A2:A""),0)),XLOOKUP($C1007,IMPORTRANGE(""1NK5L1mviMn0j"&amp;"3D3uo53ASkIZOFRlLnqaCTnwzOG2_Wg"",""Direct links Without Sizes!A2:A""),IMPORTRANGE(""1NK5L1mviMn0j3D3uo53ASkIZOFRlLnqaCTnwzOG2_Wg"",""Direct links Without Sizes!B2:B""))),XLOOKUP($C1007,IMPORTRANGE(""1NK5L1mviMn0j3D3uo53ASkIZOFRlLnqaCTnwzOG2_Wg"",""Direct"&amp;" links Without Sizes!D2:D""),IMPORTRANGE(""1NK5L1mviMn0j3D3uo53ASkIZOFRlLnqaCTnwzOG2_Wg"",""Direct links Without Sizes!E2:E""))),"""")"),"")</f>
        <v/>
      </c>
      <c r="I1007" s="4"/>
      <c r="J1007" s="24" t="str">
        <f t="shared" si="1"/>
        <v/>
      </c>
      <c r="K1007" s="25"/>
      <c r="L1007" s="24" t="str">
        <f t="shared" si="2"/>
        <v/>
      </c>
      <c r="M1007" s="4"/>
      <c r="N1007" s="23"/>
      <c r="O1007" s="23"/>
      <c r="P1007" s="23"/>
      <c r="Q1007" s="4" t="str">
        <f t="shared" si="4"/>
        <v/>
      </c>
      <c r="R1007" s="20"/>
      <c r="S1007" s="20"/>
    </row>
    <row r="1008">
      <c r="A1008" s="4"/>
      <c r="B1008" s="4"/>
      <c r="C1008" s="37"/>
      <c r="D1008" s="7" t="str">
        <f>IFERROR(__xludf.DUMMYFUNCTION("iferror(iferror(INDEX(IMPORTRANGE(""12vtnxaE_Q1s4tyr10kZQx7ZF_xG0lBFae4jQEUtgsMU"",""All!B2:B""),MATCH($C1008,IMPORTRANGE(""12vtnxaE_Q1s4tyr10kZQx7ZF_xG0lBFae4jQEUtgsMU"",""All!A2:A""),0)),INDEX(IMPORTRANGE(""13KC70HngS4DDi8y9E5khtSpQEPG6owaQ9z4E-tR5mnY"""&amp;",""Non-Food!B2:B""),MATCH($C1008,IMPORTRANGE(""13KC70HngS4DDi8y9E5khtSpQEPG6owaQ9z4E-tR5mnY"",""Non-Food!A2:A""),0))),"""")"),"")</f>
        <v/>
      </c>
      <c r="E1008" s="15"/>
      <c r="F1008" s="15"/>
      <c r="G1008" s="36"/>
      <c r="H1008" s="23" t="str">
        <f>IFERROR(__xludf.DUMMYFUNCTION("iferror(iferror(iferror(index(IMPORTRANGE(""1NK5L1mviMn0j3D3uo53ASkIZOFRlLnqaCTnwzOG2_Wg"",""Direct Link!B2:B""),MATCH($C1008,IMPORTRANGE(""1NK5L1mviMn0j3D3uo53ASkIZOFRlLnqaCTnwzOG2_Wg"",""Direct Link!A2:A""),0)),XLOOKUP($C1008,IMPORTRANGE(""1NK5L1mviMn0j"&amp;"3D3uo53ASkIZOFRlLnqaCTnwzOG2_Wg"",""Direct links Without Sizes!A2:A""),IMPORTRANGE(""1NK5L1mviMn0j3D3uo53ASkIZOFRlLnqaCTnwzOG2_Wg"",""Direct links Without Sizes!B2:B""))),XLOOKUP($C1008,IMPORTRANGE(""1NK5L1mviMn0j3D3uo53ASkIZOFRlLnqaCTnwzOG2_Wg"",""Direct"&amp;" links Without Sizes!D2:D""),IMPORTRANGE(""1NK5L1mviMn0j3D3uo53ASkIZOFRlLnqaCTnwzOG2_Wg"",""Direct links Without Sizes!E2:E""))),"""")"),"")</f>
        <v/>
      </c>
      <c r="I1008" s="4"/>
      <c r="J1008" s="24" t="str">
        <f t="shared" si="1"/>
        <v/>
      </c>
      <c r="K1008" s="25"/>
      <c r="L1008" s="24" t="str">
        <f t="shared" si="2"/>
        <v/>
      </c>
      <c r="M1008" s="4"/>
      <c r="N1008" s="23"/>
      <c r="O1008" s="23"/>
      <c r="P1008" s="23"/>
      <c r="Q1008" s="4" t="str">
        <f t="shared" si="4"/>
        <v/>
      </c>
      <c r="R1008" s="20"/>
      <c r="S1008" s="20"/>
    </row>
    <row r="1009">
      <c r="A1009" s="4"/>
      <c r="B1009" s="4"/>
      <c r="C1009" s="37"/>
      <c r="D1009" s="7" t="str">
        <f>IFERROR(__xludf.DUMMYFUNCTION("iferror(iferror(INDEX(IMPORTRANGE(""12vtnxaE_Q1s4tyr10kZQx7ZF_xG0lBFae4jQEUtgsMU"",""All!B2:B""),MATCH($C1009,IMPORTRANGE(""12vtnxaE_Q1s4tyr10kZQx7ZF_xG0lBFae4jQEUtgsMU"",""All!A2:A""),0)),INDEX(IMPORTRANGE(""13KC70HngS4DDi8y9E5khtSpQEPG6owaQ9z4E-tR5mnY"""&amp;",""Non-Food!B2:B""),MATCH($C1009,IMPORTRANGE(""13KC70HngS4DDi8y9E5khtSpQEPG6owaQ9z4E-tR5mnY"",""Non-Food!A2:A""),0))),"""")"),"")</f>
        <v/>
      </c>
      <c r="E1009" s="15"/>
      <c r="F1009" s="15"/>
      <c r="G1009" s="36"/>
      <c r="H1009" s="23" t="str">
        <f>IFERROR(__xludf.DUMMYFUNCTION("iferror(iferror(iferror(index(IMPORTRANGE(""1NK5L1mviMn0j3D3uo53ASkIZOFRlLnqaCTnwzOG2_Wg"",""Direct Link!B2:B""),MATCH($C1009,IMPORTRANGE(""1NK5L1mviMn0j3D3uo53ASkIZOFRlLnqaCTnwzOG2_Wg"",""Direct Link!A2:A""),0)),XLOOKUP($C1009,IMPORTRANGE(""1NK5L1mviMn0j"&amp;"3D3uo53ASkIZOFRlLnqaCTnwzOG2_Wg"",""Direct links Without Sizes!A2:A""),IMPORTRANGE(""1NK5L1mviMn0j3D3uo53ASkIZOFRlLnqaCTnwzOG2_Wg"",""Direct links Without Sizes!B2:B""))),XLOOKUP($C1009,IMPORTRANGE(""1NK5L1mviMn0j3D3uo53ASkIZOFRlLnqaCTnwzOG2_Wg"",""Direct"&amp;" links Without Sizes!D2:D""),IMPORTRANGE(""1NK5L1mviMn0j3D3uo53ASkIZOFRlLnqaCTnwzOG2_Wg"",""Direct links Without Sizes!E2:E""))),"""")"),"")</f>
        <v/>
      </c>
      <c r="I1009" s="4"/>
      <c r="J1009" s="24" t="str">
        <f t="shared" si="1"/>
        <v/>
      </c>
      <c r="K1009" s="25"/>
      <c r="L1009" s="24" t="str">
        <f t="shared" si="2"/>
        <v/>
      </c>
      <c r="M1009" s="4"/>
      <c r="N1009" s="23"/>
      <c r="O1009" s="23"/>
      <c r="P1009" s="23"/>
      <c r="Q1009" s="4" t="str">
        <f t="shared" si="4"/>
        <v/>
      </c>
      <c r="R1009" s="20"/>
      <c r="S1009" s="20"/>
    </row>
    <row r="1010">
      <c r="A1010" s="4"/>
      <c r="B1010" s="4"/>
      <c r="C1010" s="37"/>
      <c r="D1010" s="7" t="str">
        <f>IFERROR(__xludf.DUMMYFUNCTION("iferror(iferror(INDEX(IMPORTRANGE(""12vtnxaE_Q1s4tyr10kZQx7ZF_xG0lBFae4jQEUtgsMU"",""All!B2:B""),MATCH($C1010,IMPORTRANGE(""12vtnxaE_Q1s4tyr10kZQx7ZF_xG0lBFae4jQEUtgsMU"",""All!A2:A""),0)),INDEX(IMPORTRANGE(""13KC70HngS4DDi8y9E5khtSpQEPG6owaQ9z4E-tR5mnY"""&amp;",""Non-Food!B2:B""),MATCH($C1010,IMPORTRANGE(""13KC70HngS4DDi8y9E5khtSpQEPG6owaQ9z4E-tR5mnY"",""Non-Food!A2:A""),0))),"""")"),"")</f>
        <v/>
      </c>
      <c r="E1010" s="15"/>
      <c r="F1010" s="15"/>
      <c r="G1010" s="36"/>
      <c r="H1010" s="23" t="str">
        <f>IFERROR(__xludf.DUMMYFUNCTION("iferror(iferror(iferror(index(IMPORTRANGE(""1NK5L1mviMn0j3D3uo53ASkIZOFRlLnqaCTnwzOG2_Wg"",""Direct Link!B2:B""),MATCH($C1010,IMPORTRANGE(""1NK5L1mviMn0j3D3uo53ASkIZOFRlLnqaCTnwzOG2_Wg"",""Direct Link!A2:A""),0)),XLOOKUP($C1010,IMPORTRANGE(""1NK5L1mviMn0j"&amp;"3D3uo53ASkIZOFRlLnqaCTnwzOG2_Wg"",""Direct links Without Sizes!A2:A""),IMPORTRANGE(""1NK5L1mviMn0j3D3uo53ASkIZOFRlLnqaCTnwzOG2_Wg"",""Direct links Without Sizes!B2:B""))),XLOOKUP($C1010,IMPORTRANGE(""1NK5L1mviMn0j3D3uo53ASkIZOFRlLnqaCTnwzOG2_Wg"",""Direct"&amp;" links Without Sizes!D2:D""),IMPORTRANGE(""1NK5L1mviMn0j3D3uo53ASkIZOFRlLnqaCTnwzOG2_Wg"",""Direct links Without Sizes!E2:E""))),"""")"),"")</f>
        <v/>
      </c>
      <c r="I1010" s="4"/>
      <c r="J1010" s="24" t="str">
        <f t="shared" si="1"/>
        <v/>
      </c>
      <c r="K1010" s="25"/>
      <c r="L1010" s="24" t="str">
        <f t="shared" si="2"/>
        <v/>
      </c>
      <c r="M1010" s="4"/>
      <c r="N1010" s="23"/>
      <c r="O1010" s="23"/>
      <c r="P1010" s="23"/>
      <c r="Q1010" s="4" t="str">
        <f t="shared" si="4"/>
        <v/>
      </c>
      <c r="R1010" s="20"/>
      <c r="S1010" s="20"/>
    </row>
    <row r="1011">
      <c r="A1011" s="4"/>
      <c r="B1011" s="4"/>
      <c r="C1011" s="37"/>
      <c r="D1011" s="7" t="str">
        <f>IFERROR(__xludf.DUMMYFUNCTION("iferror(iferror(INDEX(IMPORTRANGE(""12vtnxaE_Q1s4tyr10kZQx7ZF_xG0lBFae4jQEUtgsMU"",""All!B2:B""),MATCH($C1011,IMPORTRANGE(""12vtnxaE_Q1s4tyr10kZQx7ZF_xG0lBFae4jQEUtgsMU"",""All!A2:A""),0)),INDEX(IMPORTRANGE(""13KC70HngS4DDi8y9E5khtSpQEPG6owaQ9z4E-tR5mnY"""&amp;",""Non-Food!B2:B""),MATCH($C1011,IMPORTRANGE(""13KC70HngS4DDi8y9E5khtSpQEPG6owaQ9z4E-tR5mnY"",""Non-Food!A2:A""),0))),"""")"),"")</f>
        <v/>
      </c>
      <c r="E1011" s="15"/>
      <c r="F1011" s="15"/>
      <c r="G1011" s="36"/>
      <c r="H1011" s="23" t="str">
        <f>IFERROR(__xludf.DUMMYFUNCTION("iferror(iferror(iferror(index(IMPORTRANGE(""1NK5L1mviMn0j3D3uo53ASkIZOFRlLnqaCTnwzOG2_Wg"",""Direct Link!B2:B""),MATCH($C1011,IMPORTRANGE(""1NK5L1mviMn0j3D3uo53ASkIZOFRlLnqaCTnwzOG2_Wg"",""Direct Link!A2:A""),0)),XLOOKUP($C1011,IMPORTRANGE(""1NK5L1mviMn0j"&amp;"3D3uo53ASkIZOFRlLnqaCTnwzOG2_Wg"",""Direct links Without Sizes!A2:A""),IMPORTRANGE(""1NK5L1mviMn0j3D3uo53ASkIZOFRlLnqaCTnwzOG2_Wg"",""Direct links Without Sizes!B2:B""))),XLOOKUP($C1011,IMPORTRANGE(""1NK5L1mviMn0j3D3uo53ASkIZOFRlLnqaCTnwzOG2_Wg"",""Direct"&amp;" links Without Sizes!D2:D""),IMPORTRANGE(""1NK5L1mviMn0j3D3uo53ASkIZOFRlLnqaCTnwzOG2_Wg"",""Direct links Without Sizes!E2:E""))),"""")"),"")</f>
        <v/>
      </c>
      <c r="I1011" s="4"/>
      <c r="J1011" s="24" t="str">
        <f t="shared" si="1"/>
        <v/>
      </c>
      <c r="K1011" s="25"/>
      <c r="L1011" s="24" t="str">
        <f t="shared" si="2"/>
        <v/>
      </c>
      <c r="M1011" s="4"/>
      <c r="N1011" s="23"/>
      <c r="O1011" s="23"/>
      <c r="P1011" s="23"/>
      <c r="Q1011" s="4" t="str">
        <f t="shared" si="4"/>
        <v/>
      </c>
      <c r="R1011" s="20"/>
      <c r="S1011" s="20"/>
    </row>
    <row r="1012">
      <c r="A1012" s="4"/>
      <c r="B1012" s="4"/>
      <c r="C1012" s="37"/>
      <c r="D1012" s="7" t="str">
        <f>IFERROR(__xludf.DUMMYFUNCTION("iferror(iferror(INDEX(IMPORTRANGE(""12vtnxaE_Q1s4tyr10kZQx7ZF_xG0lBFae4jQEUtgsMU"",""All!B2:B""),MATCH($C1012,IMPORTRANGE(""12vtnxaE_Q1s4tyr10kZQx7ZF_xG0lBFae4jQEUtgsMU"",""All!A2:A""),0)),INDEX(IMPORTRANGE(""13KC70HngS4DDi8y9E5khtSpQEPG6owaQ9z4E-tR5mnY"""&amp;",""Non-Food!B2:B""),MATCH($C1012,IMPORTRANGE(""13KC70HngS4DDi8y9E5khtSpQEPG6owaQ9z4E-tR5mnY"",""Non-Food!A2:A""),0))),"""")"),"")</f>
        <v/>
      </c>
      <c r="E1012" s="15"/>
      <c r="F1012" s="15"/>
      <c r="G1012" s="36"/>
      <c r="H1012" s="23" t="str">
        <f>IFERROR(__xludf.DUMMYFUNCTION("iferror(iferror(iferror(index(IMPORTRANGE(""1NK5L1mviMn0j3D3uo53ASkIZOFRlLnqaCTnwzOG2_Wg"",""Direct Link!B2:B""),MATCH($C1012,IMPORTRANGE(""1NK5L1mviMn0j3D3uo53ASkIZOFRlLnqaCTnwzOG2_Wg"",""Direct Link!A2:A""),0)),XLOOKUP($C1012,IMPORTRANGE(""1NK5L1mviMn0j"&amp;"3D3uo53ASkIZOFRlLnqaCTnwzOG2_Wg"",""Direct links Without Sizes!A2:A""),IMPORTRANGE(""1NK5L1mviMn0j3D3uo53ASkIZOFRlLnqaCTnwzOG2_Wg"",""Direct links Without Sizes!B2:B""))),XLOOKUP($C1012,IMPORTRANGE(""1NK5L1mviMn0j3D3uo53ASkIZOFRlLnqaCTnwzOG2_Wg"",""Direct"&amp;" links Without Sizes!D2:D""),IMPORTRANGE(""1NK5L1mviMn0j3D3uo53ASkIZOFRlLnqaCTnwzOG2_Wg"",""Direct links Without Sizes!E2:E""))),"""")"),"")</f>
        <v/>
      </c>
      <c r="I1012" s="4"/>
      <c r="J1012" s="24" t="str">
        <f t="shared" si="1"/>
        <v/>
      </c>
      <c r="K1012" s="25"/>
      <c r="L1012" s="24" t="str">
        <f t="shared" si="2"/>
        <v/>
      </c>
      <c r="M1012" s="4"/>
      <c r="N1012" s="23"/>
      <c r="O1012" s="23"/>
      <c r="P1012" s="23"/>
      <c r="Q1012" s="4" t="str">
        <f t="shared" si="4"/>
        <v/>
      </c>
      <c r="R1012" s="20"/>
      <c r="S1012" s="20"/>
    </row>
    <row r="1013">
      <c r="A1013" s="4"/>
      <c r="B1013" s="4"/>
      <c r="C1013" s="37"/>
      <c r="D1013" s="7" t="str">
        <f>IFERROR(__xludf.DUMMYFUNCTION("iferror(iferror(INDEX(IMPORTRANGE(""12vtnxaE_Q1s4tyr10kZQx7ZF_xG0lBFae4jQEUtgsMU"",""All!B2:B""),MATCH($C1013,IMPORTRANGE(""12vtnxaE_Q1s4tyr10kZQx7ZF_xG0lBFae4jQEUtgsMU"",""All!A2:A""),0)),INDEX(IMPORTRANGE(""13KC70HngS4DDi8y9E5khtSpQEPG6owaQ9z4E-tR5mnY"""&amp;",""Non-Food!B2:B""),MATCH($C1013,IMPORTRANGE(""13KC70HngS4DDi8y9E5khtSpQEPG6owaQ9z4E-tR5mnY"",""Non-Food!A2:A""),0))),"""")"),"")</f>
        <v/>
      </c>
      <c r="E1013" s="15"/>
      <c r="F1013" s="15"/>
      <c r="G1013" s="36"/>
      <c r="H1013" s="23" t="str">
        <f>IFERROR(__xludf.DUMMYFUNCTION("iferror(iferror(iferror(index(IMPORTRANGE(""1NK5L1mviMn0j3D3uo53ASkIZOFRlLnqaCTnwzOG2_Wg"",""Direct Link!B2:B""),MATCH($C1013,IMPORTRANGE(""1NK5L1mviMn0j3D3uo53ASkIZOFRlLnqaCTnwzOG2_Wg"",""Direct Link!A2:A""),0)),XLOOKUP($C1013,IMPORTRANGE(""1NK5L1mviMn0j"&amp;"3D3uo53ASkIZOFRlLnqaCTnwzOG2_Wg"",""Direct links Without Sizes!A2:A""),IMPORTRANGE(""1NK5L1mviMn0j3D3uo53ASkIZOFRlLnqaCTnwzOG2_Wg"",""Direct links Without Sizes!B2:B""))),XLOOKUP($C1013,IMPORTRANGE(""1NK5L1mviMn0j3D3uo53ASkIZOFRlLnqaCTnwzOG2_Wg"",""Direct"&amp;" links Without Sizes!D2:D""),IMPORTRANGE(""1NK5L1mviMn0j3D3uo53ASkIZOFRlLnqaCTnwzOG2_Wg"",""Direct links Without Sizes!E2:E""))),"""")"),"")</f>
        <v/>
      </c>
      <c r="I1013" s="4"/>
      <c r="J1013" s="24" t="str">
        <f t="shared" si="1"/>
        <v/>
      </c>
      <c r="K1013" s="25"/>
      <c r="L1013" s="24" t="str">
        <f t="shared" si="2"/>
        <v/>
      </c>
      <c r="M1013" s="4"/>
      <c r="N1013" s="23"/>
      <c r="O1013" s="23"/>
      <c r="P1013" s="23"/>
      <c r="Q1013" s="4" t="str">
        <f t="shared" si="4"/>
        <v/>
      </c>
      <c r="R1013" s="20"/>
      <c r="S1013" s="20"/>
    </row>
    <row r="1014">
      <c r="A1014" s="4"/>
      <c r="B1014" s="4"/>
      <c r="C1014" s="37"/>
      <c r="D1014" s="7" t="str">
        <f>IFERROR(__xludf.DUMMYFUNCTION("iferror(iferror(INDEX(IMPORTRANGE(""12vtnxaE_Q1s4tyr10kZQx7ZF_xG0lBFae4jQEUtgsMU"",""All!B2:B""),MATCH($C1014,IMPORTRANGE(""12vtnxaE_Q1s4tyr10kZQx7ZF_xG0lBFae4jQEUtgsMU"",""All!A2:A""),0)),INDEX(IMPORTRANGE(""13KC70HngS4DDi8y9E5khtSpQEPG6owaQ9z4E-tR5mnY"""&amp;",""Non-Food!B2:B""),MATCH($C1014,IMPORTRANGE(""13KC70HngS4DDi8y9E5khtSpQEPG6owaQ9z4E-tR5mnY"",""Non-Food!A2:A""),0))),"""")"),"")</f>
        <v/>
      </c>
      <c r="E1014" s="15"/>
      <c r="F1014" s="15"/>
      <c r="G1014" s="36"/>
      <c r="H1014" s="23" t="str">
        <f>IFERROR(__xludf.DUMMYFUNCTION("iferror(iferror(iferror(index(IMPORTRANGE(""1NK5L1mviMn0j3D3uo53ASkIZOFRlLnqaCTnwzOG2_Wg"",""Direct Link!B2:B""),MATCH($C1014,IMPORTRANGE(""1NK5L1mviMn0j3D3uo53ASkIZOFRlLnqaCTnwzOG2_Wg"",""Direct Link!A2:A""),0)),XLOOKUP($C1014,IMPORTRANGE(""1NK5L1mviMn0j"&amp;"3D3uo53ASkIZOFRlLnqaCTnwzOG2_Wg"",""Direct links Without Sizes!A2:A""),IMPORTRANGE(""1NK5L1mviMn0j3D3uo53ASkIZOFRlLnqaCTnwzOG2_Wg"",""Direct links Without Sizes!B2:B""))),XLOOKUP($C1014,IMPORTRANGE(""1NK5L1mviMn0j3D3uo53ASkIZOFRlLnqaCTnwzOG2_Wg"",""Direct"&amp;" links Without Sizes!D2:D""),IMPORTRANGE(""1NK5L1mviMn0j3D3uo53ASkIZOFRlLnqaCTnwzOG2_Wg"",""Direct links Without Sizes!E2:E""))),"""")"),"")</f>
        <v/>
      </c>
      <c r="I1014" s="4"/>
      <c r="J1014" s="24" t="str">
        <f t="shared" si="1"/>
        <v/>
      </c>
      <c r="K1014" s="25"/>
      <c r="L1014" s="24" t="str">
        <f t="shared" si="2"/>
        <v/>
      </c>
      <c r="M1014" s="4"/>
      <c r="N1014" s="23"/>
      <c r="O1014" s="23"/>
      <c r="P1014" s="23"/>
      <c r="Q1014" s="4" t="str">
        <f t="shared" si="4"/>
        <v/>
      </c>
      <c r="R1014" s="20"/>
      <c r="S1014" s="20"/>
    </row>
    <row r="1015">
      <c r="A1015" s="4"/>
      <c r="B1015" s="4"/>
      <c r="C1015" s="37"/>
      <c r="D1015" s="7" t="str">
        <f>IFERROR(__xludf.DUMMYFUNCTION("iferror(iferror(INDEX(IMPORTRANGE(""12vtnxaE_Q1s4tyr10kZQx7ZF_xG0lBFae4jQEUtgsMU"",""All!B2:B""),MATCH($C1015,IMPORTRANGE(""12vtnxaE_Q1s4tyr10kZQx7ZF_xG0lBFae4jQEUtgsMU"",""All!A2:A""),0)),INDEX(IMPORTRANGE(""13KC70HngS4DDi8y9E5khtSpQEPG6owaQ9z4E-tR5mnY"""&amp;",""Non-Food!B2:B""),MATCH($C1015,IMPORTRANGE(""13KC70HngS4DDi8y9E5khtSpQEPG6owaQ9z4E-tR5mnY"",""Non-Food!A2:A""),0))),"""")"),"")</f>
        <v/>
      </c>
      <c r="E1015" s="15"/>
      <c r="F1015" s="15"/>
      <c r="G1015" s="36"/>
      <c r="H1015" s="23" t="str">
        <f>IFERROR(__xludf.DUMMYFUNCTION("iferror(iferror(iferror(index(IMPORTRANGE(""1NK5L1mviMn0j3D3uo53ASkIZOFRlLnqaCTnwzOG2_Wg"",""Direct Link!B2:B""),MATCH($C1015,IMPORTRANGE(""1NK5L1mviMn0j3D3uo53ASkIZOFRlLnqaCTnwzOG2_Wg"",""Direct Link!A2:A""),0)),XLOOKUP($C1015,IMPORTRANGE(""1NK5L1mviMn0j"&amp;"3D3uo53ASkIZOFRlLnqaCTnwzOG2_Wg"",""Direct links Without Sizes!A2:A""),IMPORTRANGE(""1NK5L1mviMn0j3D3uo53ASkIZOFRlLnqaCTnwzOG2_Wg"",""Direct links Without Sizes!B2:B""))),XLOOKUP($C1015,IMPORTRANGE(""1NK5L1mviMn0j3D3uo53ASkIZOFRlLnqaCTnwzOG2_Wg"",""Direct"&amp;" links Without Sizes!D2:D""),IMPORTRANGE(""1NK5L1mviMn0j3D3uo53ASkIZOFRlLnqaCTnwzOG2_Wg"",""Direct links Without Sizes!E2:E""))),"""")"),"")</f>
        <v/>
      </c>
      <c r="I1015" s="4"/>
      <c r="J1015" s="24" t="str">
        <f t="shared" si="1"/>
        <v/>
      </c>
      <c r="K1015" s="25"/>
      <c r="L1015" s="24" t="str">
        <f t="shared" si="2"/>
        <v/>
      </c>
      <c r="M1015" s="4"/>
      <c r="N1015" s="23"/>
      <c r="O1015" s="23"/>
      <c r="P1015" s="23"/>
      <c r="Q1015" s="4" t="str">
        <f t="shared" si="4"/>
        <v/>
      </c>
      <c r="R1015" s="20"/>
      <c r="S1015" s="20"/>
    </row>
    <row r="1016">
      <c r="A1016" s="4"/>
      <c r="B1016" s="4"/>
      <c r="C1016" s="37"/>
      <c r="D1016" s="7" t="str">
        <f>IFERROR(__xludf.DUMMYFUNCTION("iferror(iferror(INDEX(IMPORTRANGE(""12vtnxaE_Q1s4tyr10kZQx7ZF_xG0lBFae4jQEUtgsMU"",""All!B2:B""),MATCH($C1016,IMPORTRANGE(""12vtnxaE_Q1s4tyr10kZQx7ZF_xG0lBFae4jQEUtgsMU"",""All!A2:A""),0)),INDEX(IMPORTRANGE(""13KC70HngS4DDi8y9E5khtSpQEPG6owaQ9z4E-tR5mnY"""&amp;",""Non-Food!B2:B""),MATCH($C1016,IMPORTRANGE(""13KC70HngS4DDi8y9E5khtSpQEPG6owaQ9z4E-tR5mnY"",""Non-Food!A2:A""),0))),"""")"),"")</f>
        <v/>
      </c>
      <c r="E1016" s="15"/>
      <c r="F1016" s="15"/>
      <c r="G1016" s="36"/>
      <c r="H1016" s="23" t="str">
        <f>IFERROR(__xludf.DUMMYFUNCTION("iferror(iferror(iferror(index(IMPORTRANGE(""1NK5L1mviMn0j3D3uo53ASkIZOFRlLnqaCTnwzOG2_Wg"",""Direct Link!B2:B""),MATCH($C1016,IMPORTRANGE(""1NK5L1mviMn0j3D3uo53ASkIZOFRlLnqaCTnwzOG2_Wg"",""Direct Link!A2:A""),0)),XLOOKUP($C1016,IMPORTRANGE(""1NK5L1mviMn0j"&amp;"3D3uo53ASkIZOFRlLnqaCTnwzOG2_Wg"",""Direct links Without Sizes!A2:A""),IMPORTRANGE(""1NK5L1mviMn0j3D3uo53ASkIZOFRlLnqaCTnwzOG2_Wg"",""Direct links Without Sizes!B2:B""))),XLOOKUP($C1016,IMPORTRANGE(""1NK5L1mviMn0j3D3uo53ASkIZOFRlLnqaCTnwzOG2_Wg"",""Direct"&amp;" links Without Sizes!D2:D""),IMPORTRANGE(""1NK5L1mviMn0j3D3uo53ASkIZOFRlLnqaCTnwzOG2_Wg"",""Direct links Without Sizes!E2:E""))),"""")"),"")</f>
        <v/>
      </c>
      <c r="I1016" s="4"/>
      <c r="J1016" s="24" t="str">
        <f t="shared" si="1"/>
        <v/>
      </c>
      <c r="K1016" s="25"/>
      <c r="L1016" s="24" t="str">
        <f t="shared" si="2"/>
        <v/>
      </c>
      <c r="M1016" s="4"/>
      <c r="N1016" s="23"/>
      <c r="O1016" s="23"/>
      <c r="P1016" s="23"/>
      <c r="Q1016" s="4" t="str">
        <f t="shared" si="4"/>
        <v/>
      </c>
      <c r="R1016" s="20"/>
      <c r="S1016" s="20"/>
    </row>
    <row r="1017">
      <c r="A1017" s="4"/>
      <c r="B1017" s="4"/>
      <c r="C1017" s="37"/>
      <c r="D1017" s="7" t="str">
        <f>IFERROR(__xludf.DUMMYFUNCTION("iferror(iferror(INDEX(IMPORTRANGE(""12vtnxaE_Q1s4tyr10kZQx7ZF_xG0lBFae4jQEUtgsMU"",""All!B2:B""),MATCH($C1017,IMPORTRANGE(""12vtnxaE_Q1s4tyr10kZQx7ZF_xG0lBFae4jQEUtgsMU"",""All!A2:A""),0)),INDEX(IMPORTRANGE(""13KC70HngS4DDi8y9E5khtSpQEPG6owaQ9z4E-tR5mnY"""&amp;",""Non-Food!B2:B""),MATCH($C1017,IMPORTRANGE(""13KC70HngS4DDi8y9E5khtSpQEPG6owaQ9z4E-tR5mnY"",""Non-Food!A2:A""),0))),"""")"),"")</f>
        <v/>
      </c>
      <c r="E1017" s="15"/>
      <c r="F1017" s="15"/>
      <c r="G1017" s="36"/>
      <c r="H1017" s="23" t="str">
        <f>IFERROR(__xludf.DUMMYFUNCTION("iferror(iferror(iferror(index(IMPORTRANGE(""1NK5L1mviMn0j3D3uo53ASkIZOFRlLnqaCTnwzOG2_Wg"",""Direct Link!B2:B""),MATCH($C1017,IMPORTRANGE(""1NK5L1mviMn0j3D3uo53ASkIZOFRlLnqaCTnwzOG2_Wg"",""Direct Link!A2:A""),0)),XLOOKUP($C1017,IMPORTRANGE(""1NK5L1mviMn0j"&amp;"3D3uo53ASkIZOFRlLnqaCTnwzOG2_Wg"",""Direct links Without Sizes!A2:A""),IMPORTRANGE(""1NK5L1mviMn0j3D3uo53ASkIZOFRlLnqaCTnwzOG2_Wg"",""Direct links Without Sizes!B2:B""))),XLOOKUP($C1017,IMPORTRANGE(""1NK5L1mviMn0j3D3uo53ASkIZOFRlLnqaCTnwzOG2_Wg"",""Direct"&amp;" links Without Sizes!D2:D""),IMPORTRANGE(""1NK5L1mviMn0j3D3uo53ASkIZOFRlLnqaCTnwzOG2_Wg"",""Direct links Without Sizes!E2:E""))),"""")"),"")</f>
        <v/>
      </c>
      <c r="I1017" s="4"/>
      <c r="J1017" s="24" t="str">
        <f t="shared" si="1"/>
        <v/>
      </c>
      <c r="K1017" s="25"/>
      <c r="L1017" s="24" t="str">
        <f t="shared" si="2"/>
        <v/>
      </c>
      <c r="M1017" s="4"/>
      <c r="N1017" s="23"/>
      <c r="O1017" s="23"/>
      <c r="P1017" s="23"/>
      <c r="Q1017" s="4" t="str">
        <f t="shared" si="4"/>
        <v/>
      </c>
      <c r="R1017" s="20"/>
      <c r="S1017" s="20"/>
    </row>
    <row r="1018">
      <c r="A1018" s="4"/>
      <c r="B1018" s="4"/>
      <c r="C1018" s="37"/>
      <c r="D1018" s="7" t="str">
        <f>IFERROR(__xludf.DUMMYFUNCTION("iferror(iferror(INDEX(IMPORTRANGE(""12vtnxaE_Q1s4tyr10kZQx7ZF_xG0lBFae4jQEUtgsMU"",""All!B2:B""),MATCH($C1018,IMPORTRANGE(""12vtnxaE_Q1s4tyr10kZQx7ZF_xG0lBFae4jQEUtgsMU"",""All!A2:A""),0)),INDEX(IMPORTRANGE(""13KC70HngS4DDi8y9E5khtSpQEPG6owaQ9z4E-tR5mnY"""&amp;",""Non-Food!B2:B""),MATCH($C1018,IMPORTRANGE(""13KC70HngS4DDi8y9E5khtSpQEPG6owaQ9z4E-tR5mnY"",""Non-Food!A2:A""),0))),"""")"),"")</f>
        <v/>
      </c>
      <c r="E1018" s="15"/>
      <c r="F1018" s="15"/>
      <c r="G1018" s="36"/>
      <c r="H1018" s="23" t="str">
        <f>IFERROR(__xludf.DUMMYFUNCTION("iferror(iferror(iferror(index(IMPORTRANGE(""1NK5L1mviMn0j3D3uo53ASkIZOFRlLnqaCTnwzOG2_Wg"",""Direct Link!B2:B""),MATCH($C1018,IMPORTRANGE(""1NK5L1mviMn0j3D3uo53ASkIZOFRlLnqaCTnwzOG2_Wg"",""Direct Link!A2:A""),0)),XLOOKUP($C1018,IMPORTRANGE(""1NK5L1mviMn0j"&amp;"3D3uo53ASkIZOFRlLnqaCTnwzOG2_Wg"",""Direct links Without Sizes!A2:A""),IMPORTRANGE(""1NK5L1mviMn0j3D3uo53ASkIZOFRlLnqaCTnwzOG2_Wg"",""Direct links Without Sizes!B2:B""))),XLOOKUP($C1018,IMPORTRANGE(""1NK5L1mviMn0j3D3uo53ASkIZOFRlLnqaCTnwzOG2_Wg"",""Direct"&amp;" links Without Sizes!D2:D""),IMPORTRANGE(""1NK5L1mviMn0j3D3uo53ASkIZOFRlLnqaCTnwzOG2_Wg"",""Direct links Without Sizes!E2:E""))),"""")"),"")</f>
        <v/>
      </c>
      <c r="I1018" s="4"/>
      <c r="J1018" s="24" t="str">
        <f t="shared" si="1"/>
        <v/>
      </c>
      <c r="K1018" s="25"/>
      <c r="L1018" s="24" t="str">
        <f t="shared" si="2"/>
        <v/>
      </c>
      <c r="M1018" s="4"/>
      <c r="N1018" s="23"/>
      <c r="O1018" s="23"/>
      <c r="P1018" s="23"/>
      <c r="Q1018" s="4" t="str">
        <f t="shared" si="4"/>
        <v/>
      </c>
      <c r="R1018" s="20"/>
      <c r="S1018" s="20"/>
    </row>
    <row r="1019">
      <c r="A1019" s="4"/>
      <c r="B1019" s="4"/>
      <c r="C1019" s="37"/>
      <c r="D1019" s="7" t="str">
        <f>IFERROR(__xludf.DUMMYFUNCTION("iferror(iferror(INDEX(IMPORTRANGE(""12vtnxaE_Q1s4tyr10kZQx7ZF_xG0lBFae4jQEUtgsMU"",""All!B2:B""),MATCH($C1019,IMPORTRANGE(""12vtnxaE_Q1s4tyr10kZQx7ZF_xG0lBFae4jQEUtgsMU"",""All!A2:A""),0)),INDEX(IMPORTRANGE(""13KC70HngS4DDi8y9E5khtSpQEPG6owaQ9z4E-tR5mnY"""&amp;",""Non-Food!B2:B""),MATCH($C1019,IMPORTRANGE(""13KC70HngS4DDi8y9E5khtSpQEPG6owaQ9z4E-tR5mnY"",""Non-Food!A2:A""),0))),"""")"),"")</f>
        <v/>
      </c>
      <c r="E1019" s="15"/>
      <c r="F1019" s="15"/>
      <c r="G1019" s="36"/>
      <c r="H1019" s="23" t="str">
        <f>IFERROR(__xludf.DUMMYFUNCTION("iferror(iferror(iferror(index(IMPORTRANGE(""1NK5L1mviMn0j3D3uo53ASkIZOFRlLnqaCTnwzOG2_Wg"",""Direct Link!B2:B""),MATCH($C1019,IMPORTRANGE(""1NK5L1mviMn0j3D3uo53ASkIZOFRlLnqaCTnwzOG2_Wg"",""Direct Link!A2:A""),0)),XLOOKUP($C1019,IMPORTRANGE(""1NK5L1mviMn0j"&amp;"3D3uo53ASkIZOFRlLnqaCTnwzOG2_Wg"",""Direct links Without Sizes!A2:A""),IMPORTRANGE(""1NK5L1mviMn0j3D3uo53ASkIZOFRlLnqaCTnwzOG2_Wg"",""Direct links Without Sizes!B2:B""))),XLOOKUP($C1019,IMPORTRANGE(""1NK5L1mviMn0j3D3uo53ASkIZOFRlLnqaCTnwzOG2_Wg"",""Direct"&amp;" links Without Sizes!D2:D""),IMPORTRANGE(""1NK5L1mviMn0j3D3uo53ASkIZOFRlLnqaCTnwzOG2_Wg"",""Direct links Without Sizes!E2:E""))),"""")"),"")</f>
        <v/>
      </c>
      <c r="I1019" s="4"/>
      <c r="J1019" s="24" t="str">
        <f t="shared" si="1"/>
        <v/>
      </c>
      <c r="K1019" s="25"/>
      <c r="L1019" s="24" t="str">
        <f t="shared" si="2"/>
        <v/>
      </c>
      <c r="M1019" s="4"/>
      <c r="N1019" s="23"/>
      <c r="O1019" s="23"/>
      <c r="P1019" s="23"/>
      <c r="Q1019" s="4" t="str">
        <f t="shared" si="4"/>
        <v/>
      </c>
      <c r="R1019" s="20"/>
      <c r="S1019" s="20"/>
    </row>
    <row r="1020">
      <c r="A1020" s="4"/>
      <c r="B1020" s="4"/>
      <c r="C1020" s="37"/>
      <c r="D1020" s="7" t="str">
        <f>IFERROR(__xludf.DUMMYFUNCTION("iferror(iferror(INDEX(IMPORTRANGE(""12vtnxaE_Q1s4tyr10kZQx7ZF_xG0lBFae4jQEUtgsMU"",""All!B2:B""),MATCH($C1020,IMPORTRANGE(""12vtnxaE_Q1s4tyr10kZQx7ZF_xG0lBFae4jQEUtgsMU"",""All!A2:A""),0)),INDEX(IMPORTRANGE(""13KC70HngS4DDi8y9E5khtSpQEPG6owaQ9z4E-tR5mnY"""&amp;",""Non-Food!B2:B""),MATCH($C1020,IMPORTRANGE(""13KC70HngS4DDi8y9E5khtSpQEPG6owaQ9z4E-tR5mnY"",""Non-Food!A2:A""),0))),"""")"),"")</f>
        <v/>
      </c>
      <c r="E1020" s="15"/>
      <c r="F1020" s="15"/>
      <c r="G1020" s="36"/>
      <c r="H1020" s="23" t="str">
        <f>IFERROR(__xludf.DUMMYFUNCTION("iferror(iferror(iferror(index(IMPORTRANGE(""1NK5L1mviMn0j3D3uo53ASkIZOFRlLnqaCTnwzOG2_Wg"",""Direct Link!B2:B""),MATCH($C1020,IMPORTRANGE(""1NK5L1mviMn0j3D3uo53ASkIZOFRlLnqaCTnwzOG2_Wg"",""Direct Link!A2:A""),0)),XLOOKUP($C1020,IMPORTRANGE(""1NK5L1mviMn0j"&amp;"3D3uo53ASkIZOFRlLnqaCTnwzOG2_Wg"",""Direct links Without Sizes!A2:A""),IMPORTRANGE(""1NK5L1mviMn0j3D3uo53ASkIZOFRlLnqaCTnwzOG2_Wg"",""Direct links Without Sizes!B2:B""))),XLOOKUP($C1020,IMPORTRANGE(""1NK5L1mviMn0j3D3uo53ASkIZOFRlLnqaCTnwzOG2_Wg"",""Direct"&amp;" links Without Sizes!D2:D""),IMPORTRANGE(""1NK5L1mviMn0j3D3uo53ASkIZOFRlLnqaCTnwzOG2_Wg"",""Direct links Without Sizes!E2:E""))),"""")"),"")</f>
        <v/>
      </c>
      <c r="I1020" s="4"/>
      <c r="J1020" s="24" t="str">
        <f t="shared" si="1"/>
        <v/>
      </c>
      <c r="K1020" s="25"/>
      <c r="L1020" s="24" t="str">
        <f t="shared" si="2"/>
        <v/>
      </c>
      <c r="M1020" s="4"/>
      <c r="N1020" s="23"/>
      <c r="O1020" s="23"/>
      <c r="P1020" s="23"/>
      <c r="Q1020" s="4" t="str">
        <f t="shared" si="4"/>
        <v/>
      </c>
      <c r="R1020" s="20"/>
      <c r="S1020" s="20"/>
    </row>
    <row r="1021">
      <c r="A1021" s="4"/>
      <c r="B1021" s="4"/>
      <c r="C1021" s="37"/>
      <c r="D1021" s="7" t="str">
        <f>IFERROR(__xludf.DUMMYFUNCTION("iferror(iferror(INDEX(IMPORTRANGE(""12vtnxaE_Q1s4tyr10kZQx7ZF_xG0lBFae4jQEUtgsMU"",""All!B2:B""),MATCH($C1021,IMPORTRANGE(""12vtnxaE_Q1s4tyr10kZQx7ZF_xG0lBFae4jQEUtgsMU"",""All!A2:A""),0)),INDEX(IMPORTRANGE(""13KC70HngS4DDi8y9E5khtSpQEPG6owaQ9z4E-tR5mnY"""&amp;",""Non-Food!B2:B""),MATCH($C1021,IMPORTRANGE(""13KC70HngS4DDi8y9E5khtSpQEPG6owaQ9z4E-tR5mnY"",""Non-Food!A2:A""),0))),"""")"),"")</f>
        <v/>
      </c>
      <c r="E1021" s="15"/>
      <c r="F1021" s="15"/>
      <c r="G1021" s="36"/>
      <c r="H1021" s="23" t="str">
        <f>IFERROR(__xludf.DUMMYFUNCTION("iferror(iferror(iferror(index(IMPORTRANGE(""1NK5L1mviMn0j3D3uo53ASkIZOFRlLnqaCTnwzOG2_Wg"",""Direct Link!B2:B""),MATCH($C1021,IMPORTRANGE(""1NK5L1mviMn0j3D3uo53ASkIZOFRlLnqaCTnwzOG2_Wg"",""Direct Link!A2:A""),0)),XLOOKUP($C1021,IMPORTRANGE(""1NK5L1mviMn0j"&amp;"3D3uo53ASkIZOFRlLnqaCTnwzOG2_Wg"",""Direct links Without Sizes!A2:A""),IMPORTRANGE(""1NK5L1mviMn0j3D3uo53ASkIZOFRlLnqaCTnwzOG2_Wg"",""Direct links Without Sizes!B2:B""))),XLOOKUP($C1021,IMPORTRANGE(""1NK5L1mviMn0j3D3uo53ASkIZOFRlLnqaCTnwzOG2_Wg"",""Direct"&amp;" links Without Sizes!D2:D""),IMPORTRANGE(""1NK5L1mviMn0j3D3uo53ASkIZOFRlLnqaCTnwzOG2_Wg"",""Direct links Without Sizes!E2:E""))),"""")"),"")</f>
        <v/>
      </c>
      <c r="I1021" s="4"/>
      <c r="J1021" s="24" t="str">
        <f t="shared" si="1"/>
        <v/>
      </c>
      <c r="K1021" s="25"/>
      <c r="L1021" s="24" t="str">
        <f t="shared" si="2"/>
        <v/>
      </c>
      <c r="M1021" s="4"/>
      <c r="N1021" s="23"/>
      <c r="O1021" s="23"/>
      <c r="P1021" s="23"/>
      <c r="Q1021" s="4" t="str">
        <f t="shared" si="4"/>
        <v/>
      </c>
      <c r="R1021" s="20"/>
      <c r="S1021" s="20"/>
    </row>
    <row r="1022">
      <c r="A1022" s="4"/>
      <c r="B1022" s="4"/>
      <c r="C1022" s="37"/>
      <c r="D1022" s="7" t="str">
        <f>IFERROR(__xludf.DUMMYFUNCTION("iferror(iferror(INDEX(IMPORTRANGE(""12vtnxaE_Q1s4tyr10kZQx7ZF_xG0lBFae4jQEUtgsMU"",""All!B2:B""),MATCH($C1022,IMPORTRANGE(""12vtnxaE_Q1s4tyr10kZQx7ZF_xG0lBFae4jQEUtgsMU"",""All!A2:A""),0)),INDEX(IMPORTRANGE(""13KC70HngS4DDi8y9E5khtSpQEPG6owaQ9z4E-tR5mnY"""&amp;",""Non-Food!B2:B""),MATCH($C1022,IMPORTRANGE(""13KC70HngS4DDi8y9E5khtSpQEPG6owaQ9z4E-tR5mnY"",""Non-Food!A2:A""),0))),"""")"),"")</f>
        <v/>
      </c>
      <c r="E1022" s="15"/>
      <c r="F1022" s="15"/>
      <c r="G1022" s="36"/>
      <c r="H1022" s="23" t="str">
        <f>IFERROR(__xludf.DUMMYFUNCTION("iferror(iferror(iferror(index(IMPORTRANGE(""1NK5L1mviMn0j3D3uo53ASkIZOFRlLnqaCTnwzOG2_Wg"",""Direct Link!B2:B""),MATCH($C1022,IMPORTRANGE(""1NK5L1mviMn0j3D3uo53ASkIZOFRlLnqaCTnwzOG2_Wg"",""Direct Link!A2:A""),0)),XLOOKUP($C1022,IMPORTRANGE(""1NK5L1mviMn0j"&amp;"3D3uo53ASkIZOFRlLnqaCTnwzOG2_Wg"",""Direct links Without Sizes!A2:A""),IMPORTRANGE(""1NK5L1mviMn0j3D3uo53ASkIZOFRlLnqaCTnwzOG2_Wg"",""Direct links Without Sizes!B2:B""))),XLOOKUP($C1022,IMPORTRANGE(""1NK5L1mviMn0j3D3uo53ASkIZOFRlLnqaCTnwzOG2_Wg"",""Direct"&amp;" links Without Sizes!D2:D""),IMPORTRANGE(""1NK5L1mviMn0j3D3uo53ASkIZOFRlLnqaCTnwzOG2_Wg"",""Direct links Without Sizes!E2:E""))),"""")"),"")</f>
        <v/>
      </c>
      <c r="I1022" s="4"/>
      <c r="J1022" s="24" t="str">
        <f t="shared" si="1"/>
        <v/>
      </c>
      <c r="K1022" s="25"/>
      <c r="L1022" s="24" t="str">
        <f t="shared" si="2"/>
        <v/>
      </c>
      <c r="M1022" s="4"/>
      <c r="N1022" s="23"/>
      <c r="O1022" s="23"/>
      <c r="P1022" s="23"/>
      <c r="Q1022" s="4" t="str">
        <f t="shared" si="4"/>
        <v/>
      </c>
      <c r="R1022" s="20"/>
      <c r="S1022" s="20"/>
    </row>
    <row r="1023">
      <c r="A1023" s="4"/>
      <c r="B1023" s="4"/>
      <c r="C1023" s="37"/>
      <c r="D1023" s="7" t="str">
        <f>IFERROR(__xludf.DUMMYFUNCTION("iferror(iferror(INDEX(IMPORTRANGE(""12vtnxaE_Q1s4tyr10kZQx7ZF_xG0lBFae4jQEUtgsMU"",""All!B2:B""),MATCH($C1023,IMPORTRANGE(""12vtnxaE_Q1s4tyr10kZQx7ZF_xG0lBFae4jQEUtgsMU"",""All!A2:A""),0)),INDEX(IMPORTRANGE(""13KC70HngS4DDi8y9E5khtSpQEPG6owaQ9z4E-tR5mnY"""&amp;",""Non-Food!B2:B""),MATCH($C1023,IMPORTRANGE(""13KC70HngS4DDi8y9E5khtSpQEPG6owaQ9z4E-tR5mnY"",""Non-Food!A2:A""),0))),"""")"),"")</f>
        <v/>
      </c>
      <c r="E1023" s="15"/>
      <c r="F1023" s="15"/>
      <c r="G1023" s="36"/>
      <c r="H1023" s="23" t="str">
        <f>IFERROR(__xludf.DUMMYFUNCTION("iferror(iferror(iferror(index(IMPORTRANGE(""1NK5L1mviMn0j3D3uo53ASkIZOFRlLnqaCTnwzOG2_Wg"",""Direct Link!B2:B""),MATCH($C1023,IMPORTRANGE(""1NK5L1mviMn0j3D3uo53ASkIZOFRlLnqaCTnwzOG2_Wg"",""Direct Link!A2:A""),0)),XLOOKUP($C1023,IMPORTRANGE(""1NK5L1mviMn0j"&amp;"3D3uo53ASkIZOFRlLnqaCTnwzOG2_Wg"",""Direct links Without Sizes!A2:A""),IMPORTRANGE(""1NK5L1mviMn0j3D3uo53ASkIZOFRlLnqaCTnwzOG2_Wg"",""Direct links Without Sizes!B2:B""))),XLOOKUP($C1023,IMPORTRANGE(""1NK5L1mviMn0j3D3uo53ASkIZOFRlLnqaCTnwzOG2_Wg"",""Direct"&amp;" links Without Sizes!D2:D""),IMPORTRANGE(""1NK5L1mviMn0j3D3uo53ASkIZOFRlLnqaCTnwzOG2_Wg"",""Direct links Without Sizes!E2:E""))),"""")"),"")</f>
        <v/>
      </c>
      <c r="I1023" s="4"/>
      <c r="J1023" s="24" t="str">
        <f t="shared" si="1"/>
        <v/>
      </c>
      <c r="K1023" s="25"/>
      <c r="L1023" s="24" t="str">
        <f t="shared" si="2"/>
        <v/>
      </c>
      <c r="M1023" s="4"/>
      <c r="N1023" s="23"/>
      <c r="O1023" s="23"/>
      <c r="P1023" s="23"/>
      <c r="Q1023" s="4" t="str">
        <f t="shared" si="4"/>
        <v/>
      </c>
      <c r="R1023" s="20"/>
      <c r="S1023" s="20"/>
    </row>
    <row r="1024">
      <c r="A1024" s="4"/>
      <c r="B1024" s="4"/>
      <c r="C1024" s="37"/>
      <c r="D1024" s="7" t="str">
        <f>IFERROR(__xludf.DUMMYFUNCTION("iferror(iferror(INDEX(IMPORTRANGE(""12vtnxaE_Q1s4tyr10kZQx7ZF_xG0lBFae4jQEUtgsMU"",""All!B2:B""),MATCH($C1024,IMPORTRANGE(""12vtnxaE_Q1s4tyr10kZQx7ZF_xG0lBFae4jQEUtgsMU"",""All!A2:A""),0)),INDEX(IMPORTRANGE(""13KC70HngS4DDi8y9E5khtSpQEPG6owaQ9z4E-tR5mnY"""&amp;",""Non-Food!B2:B""),MATCH($C1024,IMPORTRANGE(""13KC70HngS4DDi8y9E5khtSpQEPG6owaQ9z4E-tR5mnY"",""Non-Food!A2:A""),0))),"""")"),"")</f>
        <v/>
      </c>
      <c r="E1024" s="15"/>
      <c r="F1024" s="15"/>
      <c r="G1024" s="36"/>
      <c r="H1024" s="23" t="str">
        <f>IFERROR(__xludf.DUMMYFUNCTION("iferror(iferror(iferror(index(IMPORTRANGE(""1NK5L1mviMn0j3D3uo53ASkIZOFRlLnqaCTnwzOG2_Wg"",""Direct Link!B2:B""),MATCH($C1024,IMPORTRANGE(""1NK5L1mviMn0j3D3uo53ASkIZOFRlLnqaCTnwzOG2_Wg"",""Direct Link!A2:A""),0)),XLOOKUP($C1024,IMPORTRANGE(""1NK5L1mviMn0j"&amp;"3D3uo53ASkIZOFRlLnqaCTnwzOG2_Wg"",""Direct links Without Sizes!A2:A""),IMPORTRANGE(""1NK5L1mviMn0j3D3uo53ASkIZOFRlLnqaCTnwzOG2_Wg"",""Direct links Without Sizes!B2:B""))),XLOOKUP($C1024,IMPORTRANGE(""1NK5L1mviMn0j3D3uo53ASkIZOFRlLnqaCTnwzOG2_Wg"",""Direct"&amp;" links Without Sizes!D2:D""),IMPORTRANGE(""1NK5L1mviMn0j3D3uo53ASkIZOFRlLnqaCTnwzOG2_Wg"",""Direct links Without Sizes!E2:E""))),"""")"),"")</f>
        <v/>
      </c>
      <c r="I1024" s="4"/>
      <c r="J1024" s="24" t="str">
        <f t="shared" si="1"/>
        <v/>
      </c>
      <c r="K1024" s="25"/>
      <c r="L1024" s="24" t="str">
        <f t="shared" si="2"/>
        <v/>
      </c>
      <c r="M1024" s="4"/>
      <c r="N1024" s="23"/>
      <c r="O1024" s="23"/>
      <c r="P1024" s="23"/>
      <c r="Q1024" s="4" t="str">
        <f t="shared" si="4"/>
        <v/>
      </c>
      <c r="R1024" s="20"/>
      <c r="S1024" s="20"/>
    </row>
    <row r="1025">
      <c r="A1025" s="4"/>
      <c r="B1025" s="4"/>
      <c r="C1025" s="37"/>
      <c r="D1025" s="7" t="str">
        <f>IFERROR(__xludf.DUMMYFUNCTION("iferror(iferror(INDEX(IMPORTRANGE(""12vtnxaE_Q1s4tyr10kZQx7ZF_xG0lBFae4jQEUtgsMU"",""All!B2:B""),MATCH($C1025,IMPORTRANGE(""12vtnxaE_Q1s4tyr10kZQx7ZF_xG0lBFae4jQEUtgsMU"",""All!A2:A""),0)),INDEX(IMPORTRANGE(""13KC70HngS4DDi8y9E5khtSpQEPG6owaQ9z4E-tR5mnY"""&amp;",""Non-Food!B2:B""),MATCH($C1025,IMPORTRANGE(""13KC70HngS4DDi8y9E5khtSpQEPG6owaQ9z4E-tR5mnY"",""Non-Food!A2:A""),0))),"""")"),"")</f>
        <v/>
      </c>
      <c r="E1025" s="15"/>
      <c r="F1025" s="15"/>
      <c r="G1025" s="36"/>
      <c r="H1025" s="23" t="str">
        <f>IFERROR(__xludf.DUMMYFUNCTION("iferror(iferror(iferror(index(IMPORTRANGE(""1NK5L1mviMn0j3D3uo53ASkIZOFRlLnqaCTnwzOG2_Wg"",""Direct Link!B2:B""),MATCH($C1025,IMPORTRANGE(""1NK5L1mviMn0j3D3uo53ASkIZOFRlLnqaCTnwzOG2_Wg"",""Direct Link!A2:A""),0)),XLOOKUP($C1025,IMPORTRANGE(""1NK5L1mviMn0j"&amp;"3D3uo53ASkIZOFRlLnqaCTnwzOG2_Wg"",""Direct links Without Sizes!A2:A""),IMPORTRANGE(""1NK5L1mviMn0j3D3uo53ASkIZOFRlLnqaCTnwzOG2_Wg"",""Direct links Without Sizes!B2:B""))),XLOOKUP($C1025,IMPORTRANGE(""1NK5L1mviMn0j3D3uo53ASkIZOFRlLnqaCTnwzOG2_Wg"",""Direct"&amp;" links Without Sizes!D2:D""),IMPORTRANGE(""1NK5L1mviMn0j3D3uo53ASkIZOFRlLnqaCTnwzOG2_Wg"",""Direct links Without Sizes!E2:E""))),"""")"),"")</f>
        <v/>
      </c>
      <c r="I1025" s="4"/>
      <c r="J1025" s="24" t="str">
        <f t="shared" si="1"/>
        <v/>
      </c>
      <c r="K1025" s="25"/>
      <c r="L1025" s="24" t="str">
        <f t="shared" si="2"/>
        <v/>
      </c>
      <c r="M1025" s="4"/>
      <c r="N1025" s="23"/>
      <c r="O1025" s="23"/>
      <c r="P1025" s="23"/>
      <c r="Q1025" s="4" t="str">
        <f t="shared" si="4"/>
        <v/>
      </c>
      <c r="R1025" s="20"/>
      <c r="S1025" s="20"/>
    </row>
    <row r="1026">
      <c r="A1026" s="4"/>
      <c r="B1026" s="4"/>
      <c r="C1026" s="37"/>
      <c r="D1026" s="7" t="str">
        <f>IFERROR(__xludf.DUMMYFUNCTION("iferror(iferror(INDEX(IMPORTRANGE(""12vtnxaE_Q1s4tyr10kZQx7ZF_xG0lBFae4jQEUtgsMU"",""All!B2:B""),MATCH($C1026,IMPORTRANGE(""12vtnxaE_Q1s4tyr10kZQx7ZF_xG0lBFae4jQEUtgsMU"",""All!A2:A""),0)),INDEX(IMPORTRANGE(""13KC70HngS4DDi8y9E5khtSpQEPG6owaQ9z4E-tR5mnY"""&amp;",""Non-Food!B2:B""),MATCH($C1026,IMPORTRANGE(""13KC70HngS4DDi8y9E5khtSpQEPG6owaQ9z4E-tR5mnY"",""Non-Food!A2:A""),0))),"""")"),"")</f>
        <v/>
      </c>
      <c r="E1026" s="15"/>
      <c r="F1026" s="15"/>
      <c r="G1026" s="36"/>
      <c r="H1026" s="23" t="str">
        <f>IFERROR(__xludf.DUMMYFUNCTION("iferror(iferror(iferror(index(IMPORTRANGE(""1NK5L1mviMn0j3D3uo53ASkIZOFRlLnqaCTnwzOG2_Wg"",""Direct Link!B2:B""),MATCH($C1026,IMPORTRANGE(""1NK5L1mviMn0j3D3uo53ASkIZOFRlLnqaCTnwzOG2_Wg"",""Direct Link!A2:A""),0)),XLOOKUP($C1026,IMPORTRANGE(""1NK5L1mviMn0j"&amp;"3D3uo53ASkIZOFRlLnqaCTnwzOG2_Wg"",""Direct links Without Sizes!A2:A""),IMPORTRANGE(""1NK5L1mviMn0j3D3uo53ASkIZOFRlLnqaCTnwzOG2_Wg"",""Direct links Without Sizes!B2:B""))),XLOOKUP($C1026,IMPORTRANGE(""1NK5L1mviMn0j3D3uo53ASkIZOFRlLnqaCTnwzOG2_Wg"",""Direct"&amp;" links Without Sizes!D2:D""),IMPORTRANGE(""1NK5L1mviMn0j3D3uo53ASkIZOFRlLnqaCTnwzOG2_Wg"",""Direct links Without Sizes!E2:E""))),"""")"),"")</f>
        <v/>
      </c>
      <c r="I1026" s="4"/>
      <c r="J1026" s="24" t="str">
        <f t="shared" si="1"/>
        <v/>
      </c>
      <c r="K1026" s="25"/>
      <c r="L1026" s="24" t="str">
        <f t="shared" si="2"/>
        <v/>
      </c>
      <c r="M1026" s="4"/>
      <c r="N1026" s="23"/>
      <c r="O1026" s="23"/>
      <c r="P1026" s="23"/>
      <c r="Q1026" s="4" t="str">
        <f t="shared" si="4"/>
        <v/>
      </c>
      <c r="R1026" s="20"/>
      <c r="S1026" s="20"/>
    </row>
    <row r="1027">
      <c r="A1027" s="4"/>
      <c r="B1027" s="4"/>
      <c r="C1027" s="37"/>
      <c r="D1027" s="7" t="str">
        <f>IFERROR(__xludf.DUMMYFUNCTION("iferror(iferror(INDEX(IMPORTRANGE(""12vtnxaE_Q1s4tyr10kZQx7ZF_xG0lBFae4jQEUtgsMU"",""All!B2:B""),MATCH($C1027,IMPORTRANGE(""12vtnxaE_Q1s4tyr10kZQx7ZF_xG0lBFae4jQEUtgsMU"",""All!A2:A""),0)),INDEX(IMPORTRANGE(""13KC70HngS4DDi8y9E5khtSpQEPG6owaQ9z4E-tR5mnY"""&amp;",""Non-Food!B2:B""),MATCH($C1027,IMPORTRANGE(""13KC70HngS4DDi8y9E5khtSpQEPG6owaQ9z4E-tR5mnY"",""Non-Food!A2:A""),0))),"""")"),"")</f>
        <v/>
      </c>
      <c r="E1027" s="15"/>
      <c r="F1027" s="15"/>
      <c r="G1027" s="36"/>
      <c r="H1027" s="23" t="str">
        <f>IFERROR(__xludf.DUMMYFUNCTION("iferror(iferror(iferror(index(IMPORTRANGE(""1NK5L1mviMn0j3D3uo53ASkIZOFRlLnqaCTnwzOG2_Wg"",""Direct Link!B2:B""),MATCH($C1027,IMPORTRANGE(""1NK5L1mviMn0j3D3uo53ASkIZOFRlLnqaCTnwzOG2_Wg"",""Direct Link!A2:A""),0)),XLOOKUP($C1027,IMPORTRANGE(""1NK5L1mviMn0j"&amp;"3D3uo53ASkIZOFRlLnqaCTnwzOG2_Wg"",""Direct links Without Sizes!A2:A""),IMPORTRANGE(""1NK5L1mviMn0j3D3uo53ASkIZOFRlLnqaCTnwzOG2_Wg"",""Direct links Without Sizes!B2:B""))),XLOOKUP($C1027,IMPORTRANGE(""1NK5L1mviMn0j3D3uo53ASkIZOFRlLnqaCTnwzOG2_Wg"",""Direct"&amp;" links Without Sizes!D2:D""),IMPORTRANGE(""1NK5L1mviMn0j3D3uo53ASkIZOFRlLnqaCTnwzOG2_Wg"",""Direct links Without Sizes!E2:E""))),"""")"),"")</f>
        <v/>
      </c>
      <c r="I1027" s="4"/>
      <c r="J1027" s="24" t="str">
        <f t="shared" si="1"/>
        <v/>
      </c>
      <c r="K1027" s="25"/>
      <c r="L1027" s="24" t="str">
        <f t="shared" si="2"/>
        <v/>
      </c>
      <c r="M1027" s="4"/>
      <c r="N1027" s="23"/>
      <c r="O1027" s="23"/>
      <c r="P1027" s="23"/>
      <c r="Q1027" s="4" t="str">
        <f t="shared" si="4"/>
        <v/>
      </c>
      <c r="R1027" s="20"/>
      <c r="S1027" s="20"/>
    </row>
    <row r="1028">
      <c r="A1028" s="4"/>
      <c r="B1028" s="4"/>
      <c r="C1028" s="37"/>
      <c r="D1028" s="7" t="str">
        <f>IFERROR(__xludf.DUMMYFUNCTION("iferror(iferror(INDEX(IMPORTRANGE(""12vtnxaE_Q1s4tyr10kZQx7ZF_xG0lBFae4jQEUtgsMU"",""All!B2:B""),MATCH($C1028,IMPORTRANGE(""12vtnxaE_Q1s4tyr10kZQx7ZF_xG0lBFae4jQEUtgsMU"",""All!A2:A""),0)),INDEX(IMPORTRANGE(""13KC70HngS4DDi8y9E5khtSpQEPG6owaQ9z4E-tR5mnY"""&amp;",""Non-Food!B2:B""),MATCH($C1028,IMPORTRANGE(""13KC70HngS4DDi8y9E5khtSpQEPG6owaQ9z4E-tR5mnY"",""Non-Food!A2:A""),0))),"""")"),"")</f>
        <v/>
      </c>
      <c r="E1028" s="15"/>
      <c r="F1028" s="15"/>
      <c r="G1028" s="36"/>
      <c r="H1028" s="23" t="str">
        <f>IFERROR(__xludf.DUMMYFUNCTION("iferror(iferror(iferror(index(IMPORTRANGE(""1NK5L1mviMn0j3D3uo53ASkIZOFRlLnqaCTnwzOG2_Wg"",""Direct Link!B2:B""),MATCH($C1028,IMPORTRANGE(""1NK5L1mviMn0j3D3uo53ASkIZOFRlLnqaCTnwzOG2_Wg"",""Direct Link!A2:A""),0)),XLOOKUP($C1028,IMPORTRANGE(""1NK5L1mviMn0j"&amp;"3D3uo53ASkIZOFRlLnqaCTnwzOG2_Wg"",""Direct links Without Sizes!A2:A""),IMPORTRANGE(""1NK5L1mviMn0j3D3uo53ASkIZOFRlLnqaCTnwzOG2_Wg"",""Direct links Without Sizes!B2:B""))),XLOOKUP($C1028,IMPORTRANGE(""1NK5L1mviMn0j3D3uo53ASkIZOFRlLnqaCTnwzOG2_Wg"",""Direct"&amp;" links Without Sizes!D2:D""),IMPORTRANGE(""1NK5L1mviMn0j3D3uo53ASkIZOFRlLnqaCTnwzOG2_Wg"",""Direct links Without Sizes!E2:E""))),"""")"),"")</f>
        <v/>
      </c>
      <c r="I1028" s="4"/>
      <c r="J1028" s="24" t="str">
        <f t="shared" si="1"/>
        <v/>
      </c>
      <c r="K1028" s="25"/>
      <c r="L1028" s="24" t="str">
        <f t="shared" si="2"/>
        <v/>
      </c>
      <c r="M1028" s="4"/>
      <c r="N1028" s="23"/>
      <c r="O1028" s="23"/>
      <c r="P1028" s="23"/>
      <c r="Q1028" s="4" t="str">
        <f t="shared" si="4"/>
        <v/>
      </c>
      <c r="R1028" s="20"/>
      <c r="S1028" s="20"/>
    </row>
    <row r="1029">
      <c r="A1029" s="4"/>
      <c r="B1029" s="4"/>
      <c r="C1029" s="37"/>
      <c r="D1029" s="7" t="str">
        <f>IFERROR(__xludf.DUMMYFUNCTION("iferror(iferror(INDEX(IMPORTRANGE(""12vtnxaE_Q1s4tyr10kZQx7ZF_xG0lBFae4jQEUtgsMU"",""All!B2:B""),MATCH($C1029,IMPORTRANGE(""12vtnxaE_Q1s4tyr10kZQx7ZF_xG0lBFae4jQEUtgsMU"",""All!A2:A""),0)),INDEX(IMPORTRANGE(""13KC70HngS4DDi8y9E5khtSpQEPG6owaQ9z4E-tR5mnY"""&amp;",""Non-Food!B2:B""),MATCH($C1029,IMPORTRANGE(""13KC70HngS4DDi8y9E5khtSpQEPG6owaQ9z4E-tR5mnY"",""Non-Food!A2:A""),0))),"""")"),"")</f>
        <v/>
      </c>
      <c r="E1029" s="15"/>
      <c r="F1029" s="15"/>
      <c r="G1029" s="36"/>
      <c r="H1029" s="23" t="str">
        <f>IFERROR(__xludf.DUMMYFUNCTION("iferror(iferror(iferror(index(IMPORTRANGE(""1NK5L1mviMn0j3D3uo53ASkIZOFRlLnqaCTnwzOG2_Wg"",""Direct Link!B2:B""),MATCH($C1029,IMPORTRANGE(""1NK5L1mviMn0j3D3uo53ASkIZOFRlLnqaCTnwzOG2_Wg"",""Direct Link!A2:A""),0)),XLOOKUP($C1029,IMPORTRANGE(""1NK5L1mviMn0j"&amp;"3D3uo53ASkIZOFRlLnqaCTnwzOG2_Wg"",""Direct links Without Sizes!A2:A""),IMPORTRANGE(""1NK5L1mviMn0j3D3uo53ASkIZOFRlLnqaCTnwzOG2_Wg"",""Direct links Without Sizes!B2:B""))),XLOOKUP($C1029,IMPORTRANGE(""1NK5L1mviMn0j3D3uo53ASkIZOFRlLnqaCTnwzOG2_Wg"",""Direct"&amp;" links Without Sizes!D2:D""),IMPORTRANGE(""1NK5L1mviMn0j3D3uo53ASkIZOFRlLnqaCTnwzOG2_Wg"",""Direct links Without Sizes!E2:E""))),"""")"),"")</f>
        <v/>
      </c>
      <c r="I1029" s="4"/>
      <c r="J1029" s="24" t="str">
        <f t="shared" si="1"/>
        <v/>
      </c>
      <c r="K1029" s="25"/>
      <c r="L1029" s="24" t="str">
        <f t="shared" si="2"/>
        <v/>
      </c>
      <c r="M1029" s="4"/>
      <c r="N1029" s="23"/>
      <c r="O1029" s="23"/>
      <c r="P1029" s="23"/>
      <c r="Q1029" s="4" t="str">
        <f t="shared" si="4"/>
        <v/>
      </c>
      <c r="R1029" s="20"/>
      <c r="S1029" s="20"/>
    </row>
    <row r="1030">
      <c r="A1030" s="4"/>
      <c r="B1030" s="4"/>
      <c r="C1030" s="37"/>
      <c r="D1030" s="7" t="str">
        <f>IFERROR(__xludf.DUMMYFUNCTION("iferror(iferror(INDEX(IMPORTRANGE(""12vtnxaE_Q1s4tyr10kZQx7ZF_xG0lBFae4jQEUtgsMU"",""All!B2:B""),MATCH($C1030,IMPORTRANGE(""12vtnxaE_Q1s4tyr10kZQx7ZF_xG0lBFae4jQEUtgsMU"",""All!A2:A""),0)),INDEX(IMPORTRANGE(""13KC70HngS4DDi8y9E5khtSpQEPG6owaQ9z4E-tR5mnY"""&amp;",""Non-Food!B2:B""),MATCH($C1030,IMPORTRANGE(""13KC70HngS4DDi8y9E5khtSpQEPG6owaQ9z4E-tR5mnY"",""Non-Food!A2:A""),0))),"""")"),"")</f>
        <v/>
      </c>
      <c r="E1030" s="15"/>
      <c r="F1030" s="15"/>
      <c r="G1030" s="36"/>
      <c r="H1030" s="23" t="str">
        <f>IFERROR(__xludf.DUMMYFUNCTION("iferror(iferror(iferror(index(IMPORTRANGE(""1NK5L1mviMn0j3D3uo53ASkIZOFRlLnqaCTnwzOG2_Wg"",""Direct Link!B2:B""),MATCH($C1030,IMPORTRANGE(""1NK5L1mviMn0j3D3uo53ASkIZOFRlLnqaCTnwzOG2_Wg"",""Direct Link!A2:A""),0)),XLOOKUP($C1030,IMPORTRANGE(""1NK5L1mviMn0j"&amp;"3D3uo53ASkIZOFRlLnqaCTnwzOG2_Wg"",""Direct links Without Sizes!A2:A""),IMPORTRANGE(""1NK5L1mviMn0j3D3uo53ASkIZOFRlLnqaCTnwzOG2_Wg"",""Direct links Without Sizes!B2:B""))),XLOOKUP($C1030,IMPORTRANGE(""1NK5L1mviMn0j3D3uo53ASkIZOFRlLnqaCTnwzOG2_Wg"",""Direct"&amp;" links Without Sizes!D2:D""),IMPORTRANGE(""1NK5L1mviMn0j3D3uo53ASkIZOFRlLnqaCTnwzOG2_Wg"",""Direct links Without Sizes!E2:E""))),"""")"),"")</f>
        <v/>
      </c>
      <c r="I1030" s="4"/>
      <c r="J1030" s="24" t="str">
        <f t="shared" si="1"/>
        <v/>
      </c>
      <c r="K1030" s="25"/>
      <c r="L1030" s="24" t="str">
        <f t="shared" si="2"/>
        <v/>
      </c>
      <c r="M1030" s="4"/>
      <c r="N1030" s="23"/>
      <c r="O1030" s="23"/>
      <c r="P1030" s="23"/>
      <c r="Q1030" s="4" t="str">
        <f t="shared" si="4"/>
        <v/>
      </c>
      <c r="R1030" s="20"/>
      <c r="S1030" s="20"/>
    </row>
    <row r="1031">
      <c r="A1031" s="4"/>
      <c r="B1031" s="4"/>
      <c r="C1031" s="37"/>
      <c r="D1031" s="7" t="str">
        <f>IFERROR(__xludf.DUMMYFUNCTION("iferror(iferror(INDEX(IMPORTRANGE(""12vtnxaE_Q1s4tyr10kZQx7ZF_xG0lBFae4jQEUtgsMU"",""All!B2:B""),MATCH($C1031,IMPORTRANGE(""12vtnxaE_Q1s4tyr10kZQx7ZF_xG0lBFae4jQEUtgsMU"",""All!A2:A""),0)),INDEX(IMPORTRANGE(""13KC70HngS4DDi8y9E5khtSpQEPG6owaQ9z4E-tR5mnY"""&amp;",""Non-Food!B2:B""),MATCH($C1031,IMPORTRANGE(""13KC70HngS4DDi8y9E5khtSpQEPG6owaQ9z4E-tR5mnY"",""Non-Food!A2:A""),0))),"""")"),"")</f>
        <v/>
      </c>
      <c r="E1031" s="15"/>
      <c r="F1031" s="15"/>
      <c r="G1031" s="36"/>
      <c r="H1031" s="23" t="str">
        <f>IFERROR(__xludf.DUMMYFUNCTION("iferror(iferror(iferror(index(IMPORTRANGE(""1NK5L1mviMn0j3D3uo53ASkIZOFRlLnqaCTnwzOG2_Wg"",""Direct Link!B2:B""),MATCH($C1031,IMPORTRANGE(""1NK5L1mviMn0j3D3uo53ASkIZOFRlLnqaCTnwzOG2_Wg"",""Direct Link!A2:A""),0)),XLOOKUP($C1031,IMPORTRANGE(""1NK5L1mviMn0j"&amp;"3D3uo53ASkIZOFRlLnqaCTnwzOG2_Wg"",""Direct links Without Sizes!A2:A""),IMPORTRANGE(""1NK5L1mviMn0j3D3uo53ASkIZOFRlLnqaCTnwzOG2_Wg"",""Direct links Without Sizes!B2:B""))),XLOOKUP($C1031,IMPORTRANGE(""1NK5L1mviMn0j3D3uo53ASkIZOFRlLnqaCTnwzOG2_Wg"",""Direct"&amp;" links Without Sizes!D2:D""),IMPORTRANGE(""1NK5L1mviMn0j3D3uo53ASkIZOFRlLnqaCTnwzOG2_Wg"",""Direct links Without Sizes!E2:E""))),"""")"),"")</f>
        <v/>
      </c>
      <c r="I1031" s="4"/>
      <c r="J1031" s="24" t="str">
        <f t="shared" si="1"/>
        <v/>
      </c>
      <c r="K1031" s="25"/>
      <c r="L1031" s="24" t="str">
        <f t="shared" si="2"/>
        <v/>
      </c>
      <c r="M1031" s="4"/>
      <c r="N1031" s="23"/>
      <c r="O1031" s="23"/>
      <c r="P1031" s="23"/>
      <c r="Q1031" s="4" t="str">
        <f t="shared" si="4"/>
        <v/>
      </c>
      <c r="R1031" s="20"/>
      <c r="S1031" s="20"/>
    </row>
    <row r="1032">
      <c r="A1032" s="4"/>
      <c r="B1032" s="4"/>
      <c r="C1032" s="37"/>
      <c r="D1032" s="7" t="str">
        <f>IFERROR(__xludf.DUMMYFUNCTION("iferror(iferror(INDEX(IMPORTRANGE(""12vtnxaE_Q1s4tyr10kZQx7ZF_xG0lBFae4jQEUtgsMU"",""All!B2:B""),MATCH($C1032,IMPORTRANGE(""12vtnxaE_Q1s4tyr10kZQx7ZF_xG0lBFae4jQEUtgsMU"",""All!A2:A""),0)),INDEX(IMPORTRANGE(""13KC70HngS4DDi8y9E5khtSpQEPG6owaQ9z4E-tR5mnY"""&amp;",""Non-Food!B2:B""),MATCH($C1032,IMPORTRANGE(""13KC70HngS4DDi8y9E5khtSpQEPG6owaQ9z4E-tR5mnY"",""Non-Food!A2:A""),0))),"""")"),"")</f>
        <v/>
      </c>
      <c r="E1032" s="15"/>
      <c r="F1032" s="15"/>
      <c r="G1032" s="36"/>
      <c r="H1032" s="23" t="str">
        <f>IFERROR(__xludf.DUMMYFUNCTION("iferror(iferror(iferror(index(IMPORTRANGE(""1NK5L1mviMn0j3D3uo53ASkIZOFRlLnqaCTnwzOG2_Wg"",""Direct Link!B2:B""),MATCH($C1032,IMPORTRANGE(""1NK5L1mviMn0j3D3uo53ASkIZOFRlLnqaCTnwzOG2_Wg"",""Direct Link!A2:A""),0)),XLOOKUP($C1032,IMPORTRANGE(""1NK5L1mviMn0j"&amp;"3D3uo53ASkIZOFRlLnqaCTnwzOG2_Wg"",""Direct links Without Sizes!A2:A""),IMPORTRANGE(""1NK5L1mviMn0j3D3uo53ASkIZOFRlLnqaCTnwzOG2_Wg"",""Direct links Without Sizes!B2:B""))),XLOOKUP($C1032,IMPORTRANGE(""1NK5L1mviMn0j3D3uo53ASkIZOFRlLnqaCTnwzOG2_Wg"",""Direct"&amp;" links Without Sizes!D2:D""),IMPORTRANGE(""1NK5L1mviMn0j3D3uo53ASkIZOFRlLnqaCTnwzOG2_Wg"",""Direct links Without Sizes!E2:E""))),"""")"),"")</f>
        <v/>
      </c>
      <c r="I1032" s="4"/>
      <c r="J1032" s="24" t="str">
        <f t="shared" si="1"/>
        <v/>
      </c>
      <c r="K1032" s="25"/>
      <c r="L1032" s="24" t="str">
        <f t="shared" si="2"/>
        <v/>
      </c>
      <c r="M1032" s="4"/>
      <c r="N1032" s="23"/>
      <c r="O1032" s="23"/>
      <c r="P1032" s="23"/>
      <c r="Q1032" s="4" t="str">
        <f t="shared" si="4"/>
        <v/>
      </c>
      <c r="R1032" s="20"/>
      <c r="S1032" s="20"/>
    </row>
    <row r="1033">
      <c r="A1033" s="4"/>
      <c r="B1033" s="4"/>
      <c r="C1033" s="37"/>
      <c r="D1033" s="7" t="str">
        <f>IFERROR(__xludf.DUMMYFUNCTION("iferror(iferror(INDEX(IMPORTRANGE(""12vtnxaE_Q1s4tyr10kZQx7ZF_xG0lBFae4jQEUtgsMU"",""All!B2:B""),MATCH($C1033,IMPORTRANGE(""12vtnxaE_Q1s4tyr10kZQx7ZF_xG0lBFae4jQEUtgsMU"",""All!A2:A""),0)),INDEX(IMPORTRANGE(""13KC70HngS4DDi8y9E5khtSpQEPG6owaQ9z4E-tR5mnY"""&amp;",""Non-Food!B2:B""),MATCH($C1033,IMPORTRANGE(""13KC70HngS4DDi8y9E5khtSpQEPG6owaQ9z4E-tR5mnY"",""Non-Food!A2:A""),0))),"""")"),"")</f>
        <v/>
      </c>
      <c r="E1033" s="15"/>
      <c r="F1033" s="15"/>
      <c r="G1033" s="36"/>
      <c r="H1033" s="23" t="str">
        <f>IFERROR(__xludf.DUMMYFUNCTION("iferror(iferror(iferror(index(IMPORTRANGE(""1NK5L1mviMn0j3D3uo53ASkIZOFRlLnqaCTnwzOG2_Wg"",""Direct Link!B2:B""),MATCH($C1033,IMPORTRANGE(""1NK5L1mviMn0j3D3uo53ASkIZOFRlLnqaCTnwzOG2_Wg"",""Direct Link!A2:A""),0)),XLOOKUP($C1033,IMPORTRANGE(""1NK5L1mviMn0j"&amp;"3D3uo53ASkIZOFRlLnqaCTnwzOG2_Wg"",""Direct links Without Sizes!A2:A""),IMPORTRANGE(""1NK5L1mviMn0j3D3uo53ASkIZOFRlLnqaCTnwzOG2_Wg"",""Direct links Without Sizes!B2:B""))),XLOOKUP($C1033,IMPORTRANGE(""1NK5L1mviMn0j3D3uo53ASkIZOFRlLnqaCTnwzOG2_Wg"",""Direct"&amp;" links Without Sizes!D2:D""),IMPORTRANGE(""1NK5L1mviMn0j3D3uo53ASkIZOFRlLnqaCTnwzOG2_Wg"",""Direct links Without Sizes!E2:E""))),"""")"),"")</f>
        <v/>
      </c>
      <c r="I1033" s="4"/>
      <c r="J1033" s="24" t="str">
        <f t="shared" si="1"/>
        <v/>
      </c>
      <c r="K1033" s="25"/>
      <c r="L1033" s="24" t="str">
        <f t="shared" si="2"/>
        <v/>
      </c>
      <c r="M1033" s="4"/>
      <c r="N1033" s="23"/>
      <c r="O1033" s="23"/>
      <c r="P1033" s="23"/>
      <c r="Q1033" s="4" t="str">
        <f t="shared" si="4"/>
        <v/>
      </c>
      <c r="R1033" s="20"/>
      <c r="S1033" s="20"/>
    </row>
    <row r="1034">
      <c r="A1034" s="4"/>
      <c r="B1034" s="4"/>
      <c r="C1034" s="37"/>
      <c r="D1034" s="7" t="str">
        <f>IFERROR(__xludf.DUMMYFUNCTION("iferror(iferror(INDEX(IMPORTRANGE(""12vtnxaE_Q1s4tyr10kZQx7ZF_xG0lBFae4jQEUtgsMU"",""All!B2:B""),MATCH($C1034,IMPORTRANGE(""12vtnxaE_Q1s4tyr10kZQx7ZF_xG0lBFae4jQEUtgsMU"",""All!A2:A""),0)),INDEX(IMPORTRANGE(""13KC70HngS4DDi8y9E5khtSpQEPG6owaQ9z4E-tR5mnY"""&amp;",""Non-Food!B2:B""),MATCH($C1034,IMPORTRANGE(""13KC70HngS4DDi8y9E5khtSpQEPG6owaQ9z4E-tR5mnY"",""Non-Food!A2:A""),0))),"""")"),"")</f>
        <v/>
      </c>
      <c r="E1034" s="15"/>
      <c r="F1034" s="15"/>
      <c r="G1034" s="36"/>
      <c r="H1034" s="23" t="str">
        <f>IFERROR(__xludf.DUMMYFUNCTION("iferror(iferror(iferror(index(IMPORTRANGE(""1NK5L1mviMn0j3D3uo53ASkIZOFRlLnqaCTnwzOG2_Wg"",""Direct Link!B2:B""),MATCH($C1034,IMPORTRANGE(""1NK5L1mviMn0j3D3uo53ASkIZOFRlLnqaCTnwzOG2_Wg"",""Direct Link!A2:A""),0)),XLOOKUP($C1034,IMPORTRANGE(""1NK5L1mviMn0j"&amp;"3D3uo53ASkIZOFRlLnqaCTnwzOG2_Wg"",""Direct links Without Sizes!A2:A""),IMPORTRANGE(""1NK5L1mviMn0j3D3uo53ASkIZOFRlLnqaCTnwzOG2_Wg"",""Direct links Without Sizes!B2:B""))),XLOOKUP($C1034,IMPORTRANGE(""1NK5L1mviMn0j3D3uo53ASkIZOFRlLnqaCTnwzOG2_Wg"",""Direct"&amp;" links Without Sizes!D2:D""),IMPORTRANGE(""1NK5L1mviMn0j3D3uo53ASkIZOFRlLnqaCTnwzOG2_Wg"",""Direct links Without Sizes!E2:E""))),"""")"),"")</f>
        <v/>
      </c>
      <c r="I1034" s="4"/>
      <c r="J1034" s="24" t="str">
        <f t="shared" si="1"/>
        <v/>
      </c>
      <c r="K1034" s="25"/>
      <c r="L1034" s="24" t="str">
        <f t="shared" si="2"/>
        <v/>
      </c>
      <c r="M1034" s="4"/>
      <c r="N1034" s="23"/>
      <c r="O1034" s="23"/>
      <c r="P1034" s="23"/>
      <c r="Q1034" s="4" t="str">
        <f t="shared" si="4"/>
        <v/>
      </c>
      <c r="R1034" s="20"/>
      <c r="S1034" s="20"/>
    </row>
    <row r="1035">
      <c r="A1035" s="4"/>
      <c r="B1035" s="4"/>
      <c r="C1035" s="37"/>
      <c r="D1035" s="7" t="str">
        <f>IFERROR(__xludf.DUMMYFUNCTION("iferror(iferror(INDEX(IMPORTRANGE(""12vtnxaE_Q1s4tyr10kZQx7ZF_xG0lBFae4jQEUtgsMU"",""All!B2:B""),MATCH($C1035,IMPORTRANGE(""12vtnxaE_Q1s4tyr10kZQx7ZF_xG0lBFae4jQEUtgsMU"",""All!A2:A""),0)),INDEX(IMPORTRANGE(""13KC70HngS4DDi8y9E5khtSpQEPG6owaQ9z4E-tR5mnY"""&amp;",""Non-Food!B2:B""),MATCH($C1035,IMPORTRANGE(""13KC70HngS4DDi8y9E5khtSpQEPG6owaQ9z4E-tR5mnY"",""Non-Food!A2:A""),0))),"""")"),"")</f>
        <v/>
      </c>
      <c r="E1035" s="15"/>
      <c r="F1035" s="15"/>
      <c r="G1035" s="36"/>
      <c r="H1035" s="23" t="str">
        <f>IFERROR(__xludf.DUMMYFUNCTION("iferror(iferror(iferror(index(IMPORTRANGE(""1NK5L1mviMn0j3D3uo53ASkIZOFRlLnqaCTnwzOG2_Wg"",""Direct Link!B2:B""),MATCH($C1035,IMPORTRANGE(""1NK5L1mviMn0j3D3uo53ASkIZOFRlLnqaCTnwzOG2_Wg"",""Direct Link!A2:A""),0)),XLOOKUP($C1035,IMPORTRANGE(""1NK5L1mviMn0j"&amp;"3D3uo53ASkIZOFRlLnqaCTnwzOG2_Wg"",""Direct links Without Sizes!A2:A""),IMPORTRANGE(""1NK5L1mviMn0j3D3uo53ASkIZOFRlLnqaCTnwzOG2_Wg"",""Direct links Without Sizes!B2:B""))),XLOOKUP($C1035,IMPORTRANGE(""1NK5L1mviMn0j3D3uo53ASkIZOFRlLnqaCTnwzOG2_Wg"",""Direct"&amp;" links Without Sizes!D2:D""),IMPORTRANGE(""1NK5L1mviMn0j3D3uo53ASkIZOFRlLnqaCTnwzOG2_Wg"",""Direct links Without Sizes!E2:E""))),"""")"),"")</f>
        <v/>
      </c>
      <c r="I1035" s="4"/>
      <c r="J1035" s="24" t="str">
        <f t="shared" si="1"/>
        <v/>
      </c>
      <c r="K1035" s="25"/>
      <c r="L1035" s="24" t="str">
        <f t="shared" si="2"/>
        <v/>
      </c>
      <c r="M1035" s="4"/>
      <c r="N1035" s="23"/>
      <c r="O1035" s="23"/>
      <c r="P1035" s="23"/>
      <c r="Q1035" s="4" t="str">
        <f t="shared" si="4"/>
        <v/>
      </c>
      <c r="R1035" s="20"/>
      <c r="S1035" s="20"/>
    </row>
    <row r="1036">
      <c r="A1036" s="4"/>
      <c r="B1036" s="4"/>
      <c r="C1036" s="37"/>
      <c r="D1036" s="7" t="str">
        <f>IFERROR(__xludf.DUMMYFUNCTION("iferror(iferror(INDEX(IMPORTRANGE(""12vtnxaE_Q1s4tyr10kZQx7ZF_xG0lBFae4jQEUtgsMU"",""All!B2:B""),MATCH($C1036,IMPORTRANGE(""12vtnxaE_Q1s4tyr10kZQx7ZF_xG0lBFae4jQEUtgsMU"",""All!A2:A""),0)),INDEX(IMPORTRANGE(""13KC70HngS4DDi8y9E5khtSpQEPG6owaQ9z4E-tR5mnY"""&amp;",""Non-Food!B2:B""),MATCH($C1036,IMPORTRANGE(""13KC70HngS4DDi8y9E5khtSpQEPG6owaQ9z4E-tR5mnY"",""Non-Food!A2:A""),0))),"""")"),"")</f>
        <v/>
      </c>
      <c r="E1036" s="15"/>
      <c r="F1036" s="15"/>
      <c r="G1036" s="36"/>
      <c r="H1036" s="23" t="str">
        <f>IFERROR(__xludf.DUMMYFUNCTION("iferror(iferror(iferror(index(IMPORTRANGE(""1NK5L1mviMn0j3D3uo53ASkIZOFRlLnqaCTnwzOG2_Wg"",""Direct Link!B2:B""),MATCH($C1036,IMPORTRANGE(""1NK5L1mviMn0j3D3uo53ASkIZOFRlLnqaCTnwzOG2_Wg"",""Direct Link!A2:A""),0)),XLOOKUP($C1036,IMPORTRANGE(""1NK5L1mviMn0j"&amp;"3D3uo53ASkIZOFRlLnqaCTnwzOG2_Wg"",""Direct links Without Sizes!A2:A""),IMPORTRANGE(""1NK5L1mviMn0j3D3uo53ASkIZOFRlLnqaCTnwzOG2_Wg"",""Direct links Without Sizes!B2:B""))),XLOOKUP($C1036,IMPORTRANGE(""1NK5L1mviMn0j3D3uo53ASkIZOFRlLnqaCTnwzOG2_Wg"",""Direct"&amp;" links Without Sizes!D2:D""),IMPORTRANGE(""1NK5L1mviMn0j3D3uo53ASkIZOFRlLnqaCTnwzOG2_Wg"",""Direct links Without Sizes!E2:E""))),"""")"),"")</f>
        <v/>
      </c>
      <c r="I1036" s="4"/>
      <c r="J1036" s="24" t="str">
        <f t="shared" si="1"/>
        <v/>
      </c>
      <c r="K1036" s="25"/>
      <c r="L1036" s="24" t="str">
        <f t="shared" si="2"/>
        <v/>
      </c>
      <c r="M1036" s="4"/>
      <c r="N1036" s="23"/>
      <c r="O1036" s="23"/>
      <c r="P1036" s="23"/>
      <c r="Q1036" s="4" t="str">
        <f t="shared" si="4"/>
        <v/>
      </c>
      <c r="R1036" s="20"/>
      <c r="S1036" s="20"/>
    </row>
    <row r="1037">
      <c r="A1037" s="4"/>
      <c r="B1037" s="4"/>
      <c r="C1037" s="37"/>
      <c r="D1037" s="7" t="str">
        <f>IFERROR(__xludf.DUMMYFUNCTION("iferror(iferror(INDEX(IMPORTRANGE(""12vtnxaE_Q1s4tyr10kZQx7ZF_xG0lBFae4jQEUtgsMU"",""All!B2:B""),MATCH($C1037,IMPORTRANGE(""12vtnxaE_Q1s4tyr10kZQx7ZF_xG0lBFae4jQEUtgsMU"",""All!A2:A""),0)),INDEX(IMPORTRANGE(""13KC70HngS4DDi8y9E5khtSpQEPG6owaQ9z4E-tR5mnY"""&amp;",""Non-Food!B2:B""),MATCH($C1037,IMPORTRANGE(""13KC70HngS4DDi8y9E5khtSpQEPG6owaQ9z4E-tR5mnY"",""Non-Food!A2:A""),0))),"""")"),"")</f>
        <v/>
      </c>
      <c r="E1037" s="15"/>
      <c r="F1037" s="15"/>
      <c r="G1037" s="36"/>
      <c r="H1037" s="23" t="str">
        <f>IFERROR(__xludf.DUMMYFUNCTION("iferror(iferror(iferror(index(IMPORTRANGE(""1NK5L1mviMn0j3D3uo53ASkIZOFRlLnqaCTnwzOG2_Wg"",""Direct Link!B2:B""),MATCH($C1037,IMPORTRANGE(""1NK5L1mviMn0j3D3uo53ASkIZOFRlLnqaCTnwzOG2_Wg"",""Direct Link!A2:A""),0)),XLOOKUP($C1037,IMPORTRANGE(""1NK5L1mviMn0j"&amp;"3D3uo53ASkIZOFRlLnqaCTnwzOG2_Wg"",""Direct links Without Sizes!A2:A""),IMPORTRANGE(""1NK5L1mviMn0j3D3uo53ASkIZOFRlLnqaCTnwzOG2_Wg"",""Direct links Without Sizes!B2:B""))),XLOOKUP($C1037,IMPORTRANGE(""1NK5L1mviMn0j3D3uo53ASkIZOFRlLnqaCTnwzOG2_Wg"",""Direct"&amp;" links Without Sizes!D2:D""),IMPORTRANGE(""1NK5L1mviMn0j3D3uo53ASkIZOFRlLnqaCTnwzOG2_Wg"",""Direct links Without Sizes!E2:E""))),"""")"),"")</f>
        <v/>
      </c>
      <c r="I1037" s="4"/>
      <c r="J1037" s="24" t="str">
        <f t="shared" si="1"/>
        <v/>
      </c>
      <c r="K1037" s="25"/>
      <c r="L1037" s="24" t="str">
        <f t="shared" si="2"/>
        <v/>
      </c>
      <c r="M1037" s="4"/>
      <c r="N1037" s="23"/>
      <c r="O1037" s="23"/>
      <c r="P1037" s="23"/>
      <c r="Q1037" s="4" t="str">
        <f t="shared" si="4"/>
        <v/>
      </c>
      <c r="R1037" s="20"/>
      <c r="S1037" s="20"/>
    </row>
    <row r="1038">
      <c r="A1038" s="4"/>
      <c r="B1038" s="4"/>
      <c r="C1038" s="37"/>
      <c r="D1038" s="7" t="str">
        <f>IFERROR(__xludf.DUMMYFUNCTION("iferror(iferror(INDEX(IMPORTRANGE(""12vtnxaE_Q1s4tyr10kZQx7ZF_xG0lBFae4jQEUtgsMU"",""All!B2:B""),MATCH($C1038,IMPORTRANGE(""12vtnxaE_Q1s4tyr10kZQx7ZF_xG0lBFae4jQEUtgsMU"",""All!A2:A""),0)),INDEX(IMPORTRANGE(""13KC70HngS4DDi8y9E5khtSpQEPG6owaQ9z4E-tR5mnY"""&amp;",""Non-Food!B2:B""),MATCH($C1038,IMPORTRANGE(""13KC70HngS4DDi8y9E5khtSpQEPG6owaQ9z4E-tR5mnY"",""Non-Food!A2:A""),0))),"""")"),"")</f>
        <v/>
      </c>
      <c r="E1038" s="15"/>
      <c r="F1038" s="15"/>
      <c r="G1038" s="36"/>
      <c r="H1038" s="23" t="str">
        <f>IFERROR(__xludf.DUMMYFUNCTION("iferror(iferror(iferror(index(IMPORTRANGE(""1NK5L1mviMn0j3D3uo53ASkIZOFRlLnqaCTnwzOG2_Wg"",""Direct Link!B2:B""),MATCH($C1038,IMPORTRANGE(""1NK5L1mviMn0j3D3uo53ASkIZOFRlLnqaCTnwzOG2_Wg"",""Direct Link!A2:A""),0)),XLOOKUP($C1038,IMPORTRANGE(""1NK5L1mviMn0j"&amp;"3D3uo53ASkIZOFRlLnqaCTnwzOG2_Wg"",""Direct links Without Sizes!A2:A""),IMPORTRANGE(""1NK5L1mviMn0j3D3uo53ASkIZOFRlLnqaCTnwzOG2_Wg"",""Direct links Without Sizes!B2:B""))),XLOOKUP($C1038,IMPORTRANGE(""1NK5L1mviMn0j3D3uo53ASkIZOFRlLnqaCTnwzOG2_Wg"",""Direct"&amp;" links Without Sizes!D2:D""),IMPORTRANGE(""1NK5L1mviMn0j3D3uo53ASkIZOFRlLnqaCTnwzOG2_Wg"",""Direct links Without Sizes!E2:E""))),"""")"),"")</f>
        <v/>
      </c>
      <c r="I1038" s="4"/>
      <c r="J1038" s="24" t="str">
        <f t="shared" si="1"/>
        <v/>
      </c>
      <c r="K1038" s="25"/>
      <c r="L1038" s="24" t="str">
        <f t="shared" si="2"/>
        <v/>
      </c>
      <c r="M1038" s="4"/>
      <c r="N1038" s="23"/>
      <c r="O1038" s="23"/>
      <c r="P1038" s="23"/>
      <c r="Q1038" s="4" t="str">
        <f t="shared" si="4"/>
        <v/>
      </c>
      <c r="R1038" s="20"/>
      <c r="S1038" s="20"/>
    </row>
    <row r="1039">
      <c r="A1039" s="4"/>
      <c r="B1039" s="4"/>
      <c r="C1039" s="37"/>
      <c r="D1039" s="7" t="str">
        <f>IFERROR(__xludf.DUMMYFUNCTION("iferror(iferror(INDEX(IMPORTRANGE(""12vtnxaE_Q1s4tyr10kZQx7ZF_xG0lBFae4jQEUtgsMU"",""All!B2:B""),MATCH($C1039,IMPORTRANGE(""12vtnxaE_Q1s4tyr10kZQx7ZF_xG0lBFae4jQEUtgsMU"",""All!A2:A""),0)),INDEX(IMPORTRANGE(""13KC70HngS4DDi8y9E5khtSpQEPG6owaQ9z4E-tR5mnY"""&amp;",""Non-Food!B2:B""),MATCH($C1039,IMPORTRANGE(""13KC70HngS4DDi8y9E5khtSpQEPG6owaQ9z4E-tR5mnY"",""Non-Food!A2:A""),0))),"""")"),"")</f>
        <v/>
      </c>
      <c r="E1039" s="15"/>
      <c r="F1039" s="15"/>
      <c r="G1039" s="36"/>
      <c r="H1039" s="23" t="str">
        <f>IFERROR(__xludf.DUMMYFUNCTION("iferror(iferror(iferror(index(IMPORTRANGE(""1NK5L1mviMn0j3D3uo53ASkIZOFRlLnqaCTnwzOG2_Wg"",""Direct Link!B2:B""),MATCH($C1039,IMPORTRANGE(""1NK5L1mviMn0j3D3uo53ASkIZOFRlLnqaCTnwzOG2_Wg"",""Direct Link!A2:A""),0)),XLOOKUP($C1039,IMPORTRANGE(""1NK5L1mviMn0j"&amp;"3D3uo53ASkIZOFRlLnqaCTnwzOG2_Wg"",""Direct links Without Sizes!A2:A""),IMPORTRANGE(""1NK5L1mviMn0j3D3uo53ASkIZOFRlLnqaCTnwzOG2_Wg"",""Direct links Without Sizes!B2:B""))),XLOOKUP($C1039,IMPORTRANGE(""1NK5L1mviMn0j3D3uo53ASkIZOFRlLnqaCTnwzOG2_Wg"",""Direct"&amp;" links Without Sizes!D2:D""),IMPORTRANGE(""1NK5L1mviMn0j3D3uo53ASkIZOFRlLnqaCTnwzOG2_Wg"",""Direct links Without Sizes!E2:E""))),"""")"),"")</f>
        <v/>
      </c>
      <c r="I1039" s="4"/>
      <c r="J1039" s="24" t="str">
        <f t="shared" si="1"/>
        <v/>
      </c>
      <c r="K1039" s="25"/>
      <c r="L1039" s="24" t="str">
        <f t="shared" si="2"/>
        <v/>
      </c>
      <c r="M1039" s="4"/>
      <c r="N1039" s="23"/>
      <c r="O1039" s="23"/>
      <c r="P1039" s="23"/>
      <c r="Q1039" s="4" t="str">
        <f t="shared" si="4"/>
        <v/>
      </c>
      <c r="R1039" s="20"/>
      <c r="S1039" s="20"/>
    </row>
    <row r="1040">
      <c r="A1040" s="4"/>
      <c r="B1040" s="4"/>
      <c r="C1040" s="37"/>
      <c r="D1040" s="7" t="str">
        <f>IFERROR(__xludf.DUMMYFUNCTION("iferror(iferror(INDEX(IMPORTRANGE(""12vtnxaE_Q1s4tyr10kZQx7ZF_xG0lBFae4jQEUtgsMU"",""All!B2:B""),MATCH($C1040,IMPORTRANGE(""12vtnxaE_Q1s4tyr10kZQx7ZF_xG0lBFae4jQEUtgsMU"",""All!A2:A""),0)),INDEX(IMPORTRANGE(""13KC70HngS4DDi8y9E5khtSpQEPG6owaQ9z4E-tR5mnY"""&amp;",""Non-Food!B2:B""),MATCH($C1040,IMPORTRANGE(""13KC70HngS4DDi8y9E5khtSpQEPG6owaQ9z4E-tR5mnY"",""Non-Food!A2:A""),0))),"""")"),"")</f>
        <v/>
      </c>
      <c r="E1040" s="15"/>
      <c r="F1040" s="15"/>
      <c r="G1040" s="36"/>
      <c r="H1040" s="23" t="str">
        <f>IFERROR(__xludf.DUMMYFUNCTION("iferror(iferror(iferror(index(IMPORTRANGE(""1NK5L1mviMn0j3D3uo53ASkIZOFRlLnqaCTnwzOG2_Wg"",""Direct Link!B2:B""),MATCH($C1040,IMPORTRANGE(""1NK5L1mviMn0j3D3uo53ASkIZOFRlLnqaCTnwzOG2_Wg"",""Direct Link!A2:A""),0)),XLOOKUP($C1040,IMPORTRANGE(""1NK5L1mviMn0j"&amp;"3D3uo53ASkIZOFRlLnqaCTnwzOG2_Wg"",""Direct links Without Sizes!A2:A""),IMPORTRANGE(""1NK5L1mviMn0j3D3uo53ASkIZOFRlLnqaCTnwzOG2_Wg"",""Direct links Without Sizes!B2:B""))),XLOOKUP($C1040,IMPORTRANGE(""1NK5L1mviMn0j3D3uo53ASkIZOFRlLnqaCTnwzOG2_Wg"",""Direct"&amp;" links Without Sizes!D2:D""),IMPORTRANGE(""1NK5L1mviMn0j3D3uo53ASkIZOFRlLnqaCTnwzOG2_Wg"",""Direct links Without Sizes!E2:E""))),"""")"),"")</f>
        <v/>
      </c>
      <c r="I1040" s="4"/>
      <c r="J1040" s="24" t="str">
        <f t="shared" si="1"/>
        <v/>
      </c>
      <c r="K1040" s="25"/>
      <c r="L1040" s="24" t="str">
        <f t="shared" si="2"/>
        <v/>
      </c>
      <c r="M1040" s="4"/>
      <c r="N1040" s="23"/>
      <c r="O1040" s="23"/>
      <c r="P1040" s="23"/>
      <c r="Q1040" s="4" t="str">
        <f t="shared" si="4"/>
        <v/>
      </c>
      <c r="R1040" s="20"/>
      <c r="S1040" s="20"/>
    </row>
    <row r="1041">
      <c r="A1041" s="4"/>
      <c r="B1041" s="4"/>
      <c r="C1041" s="37"/>
      <c r="D1041" s="7" t="str">
        <f>IFERROR(__xludf.DUMMYFUNCTION("iferror(iferror(INDEX(IMPORTRANGE(""12vtnxaE_Q1s4tyr10kZQx7ZF_xG0lBFae4jQEUtgsMU"",""All!B2:B""),MATCH($C1041,IMPORTRANGE(""12vtnxaE_Q1s4tyr10kZQx7ZF_xG0lBFae4jQEUtgsMU"",""All!A2:A""),0)),INDEX(IMPORTRANGE(""13KC70HngS4DDi8y9E5khtSpQEPG6owaQ9z4E-tR5mnY"""&amp;",""Non-Food!B2:B""),MATCH($C1041,IMPORTRANGE(""13KC70HngS4DDi8y9E5khtSpQEPG6owaQ9z4E-tR5mnY"",""Non-Food!A2:A""),0))),"""")"),"")</f>
        <v/>
      </c>
      <c r="E1041" s="15"/>
      <c r="F1041" s="15"/>
      <c r="G1041" s="36"/>
      <c r="H1041" s="23" t="str">
        <f>IFERROR(__xludf.DUMMYFUNCTION("iferror(iferror(iferror(index(IMPORTRANGE(""1NK5L1mviMn0j3D3uo53ASkIZOFRlLnqaCTnwzOG2_Wg"",""Direct Link!B2:B""),MATCH($C1041,IMPORTRANGE(""1NK5L1mviMn0j3D3uo53ASkIZOFRlLnqaCTnwzOG2_Wg"",""Direct Link!A2:A""),0)),XLOOKUP($C1041,IMPORTRANGE(""1NK5L1mviMn0j"&amp;"3D3uo53ASkIZOFRlLnqaCTnwzOG2_Wg"",""Direct links Without Sizes!A2:A""),IMPORTRANGE(""1NK5L1mviMn0j3D3uo53ASkIZOFRlLnqaCTnwzOG2_Wg"",""Direct links Without Sizes!B2:B""))),XLOOKUP($C1041,IMPORTRANGE(""1NK5L1mviMn0j3D3uo53ASkIZOFRlLnqaCTnwzOG2_Wg"",""Direct"&amp;" links Without Sizes!D2:D""),IMPORTRANGE(""1NK5L1mviMn0j3D3uo53ASkIZOFRlLnqaCTnwzOG2_Wg"",""Direct links Without Sizes!E2:E""))),"""")"),"")</f>
        <v/>
      </c>
      <c r="I1041" s="4"/>
      <c r="J1041" s="24" t="str">
        <f t="shared" si="1"/>
        <v/>
      </c>
      <c r="K1041" s="25"/>
      <c r="L1041" s="24" t="str">
        <f t="shared" si="2"/>
        <v/>
      </c>
      <c r="M1041" s="4"/>
      <c r="N1041" s="23"/>
      <c r="O1041" s="23"/>
      <c r="P1041" s="23"/>
      <c r="Q1041" s="4" t="str">
        <f t="shared" si="4"/>
        <v/>
      </c>
      <c r="R1041" s="20"/>
      <c r="S1041" s="20"/>
    </row>
    <row r="1042">
      <c r="A1042" s="4"/>
      <c r="B1042" s="4"/>
      <c r="C1042" s="37"/>
      <c r="D1042" s="7" t="str">
        <f>IFERROR(__xludf.DUMMYFUNCTION("iferror(iferror(INDEX(IMPORTRANGE(""12vtnxaE_Q1s4tyr10kZQx7ZF_xG0lBFae4jQEUtgsMU"",""All!B2:B""),MATCH($C1042,IMPORTRANGE(""12vtnxaE_Q1s4tyr10kZQx7ZF_xG0lBFae4jQEUtgsMU"",""All!A2:A""),0)),INDEX(IMPORTRANGE(""13KC70HngS4DDi8y9E5khtSpQEPG6owaQ9z4E-tR5mnY"""&amp;",""Non-Food!B2:B""),MATCH($C1042,IMPORTRANGE(""13KC70HngS4DDi8y9E5khtSpQEPG6owaQ9z4E-tR5mnY"",""Non-Food!A2:A""),0))),"""")"),"")</f>
        <v/>
      </c>
      <c r="E1042" s="15"/>
      <c r="F1042" s="15"/>
      <c r="G1042" s="36"/>
      <c r="H1042" s="23" t="str">
        <f>IFERROR(__xludf.DUMMYFUNCTION("iferror(iferror(iferror(index(IMPORTRANGE(""1NK5L1mviMn0j3D3uo53ASkIZOFRlLnqaCTnwzOG2_Wg"",""Direct Link!B2:B""),MATCH($C1042,IMPORTRANGE(""1NK5L1mviMn0j3D3uo53ASkIZOFRlLnqaCTnwzOG2_Wg"",""Direct Link!A2:A""),0)),XLOOKUP($C1042,IMPORTRANGE(""1NK5L1mviMn0j"&amp;"3D3uo53ASkIZOFRlLnqaCTnwzOG2_Wg"",""Direct links Without Sizes!A2:A""),IMPORTRANGE(""1NK5L1mviMn0j3D3uo53ASkIZOFRlLnqaCTnwzOG2_Wg"",""Direct links Without Sizes!B2:B""))),XLOOKUP($C1042,IMPORTRANGE(""1NK5L1mviMn0j3D3uo53ASkIZOFRlLnqaCTnwzOG2_Wg"",""Direct"&amp;" links Without Sizes!D2:D""),IMPORTRANGE(""1NK5L1mviMn0j3D3uo53ASkIZOFRlLnqaCTnwzOG2_Wg"",""Direct links Without Sizes!E2:E""))),"""")"),"")</f>
        <v/>
      </c>
      <c r="I1042" s="4"/>
      <c r="J1042" s="24" t="str">
        <f t="shared" si="1"/>
        <v/>
      </c>
      <c r="K1042" s="25"/>
      <c r="L1042" s="24" t="str">
        <f t="shared" si="2"/>
        <v/>
      </c>
      <c r="M1042" s="4"/>
      <c r="N1042" s="23"/>
      <c r="O1042" s="23"/>
      <c r="P1042" s="23"/>
      <c r="Q1042" s="4" t="str">
        <f t="shared" si="4"/>
        <v/>
      </c>
      <c r="R1042" s="20"/>
      <c r="S1042" s="20"/>
    </row>
    <row r="1043">
      <c r="A1043" s="4"/>
      <c r="B1043" s="4"/>
      <c r="C1043" s="37"/>
      <c r="D1043" s="7" t="str">
        <f>IFERROR(__xludf.DUMMYFUNCTION("iferror(iferror(INDEX(IMPORTRANGE(""12vtnxaE_Q1s4tyr10kZQx7ZF_xG0lBFae4jQEUtgsMU"",""All!B2:B""),MATCH($C1043,IMPORTRANGE(""12vtnxaE_Q1s4tyr10kZQx7ZF_xG0lBFae4jQEUtgsMU"",""All!A2:A""),0)),INDEX(IMPORTRANGE(""13KC70HngS4DDi8y9E5khtSpQEPG6owaQ9z4E-tR5mnY"""&amp;",""Non-Food!B2:B""),MATCH($C1043,IMPORTRANGE(""13KC70HngS4DDi8y9E5khtSpQEPG6owaQ9z4E-tR5mnY"",""Non-Food!A2:A""),0))),"""")"),"")</f>
        <v/>
      </c>
      <c r="E1043" s="15"/>
      <c r="F1043" s="15"/>
      <c r="G1043" s="36"/>
      <c r="H1043" s="23" t="str">
        <f>IFERROR(__xludf.DUMMYFUNCTION("iferror(iferror(iferror(index(IMPORTRANGE(""1NK5L1mviMn0j3D3uo53ASkIZOFRlLnqaCTnwzOG2_Wg"",""Direct Link!B2:B""),MATCH($C1043,IMPORTRANGE(""1NK5L1mviMn0j3D3uo53ASkIZOFRlLnqaCTnwzOG2_Wg"",""Direct Link!A2:A""),0)),XLOOKUP($C1043,IMPORTRANGE(""1NK5L1mviMn0j"&amp;"3D3uo53ASkIZOFRlLnqaCTnwzOG2_Wg"",""Direct links Without Sizes!A2:A""),IMPORTRANGE(""1NK5L1mviMn0j3D3uo53ASkIZOFRlLnqaCTnwzOG2_Wg"",""Direct links Without Sizes!B2:B""))),XLOOKUP($C1043,IMPORTRANGE(""1NK5L1mviMn0j3D3uo53ASkIZOFRlLnqaCTnwzOG2_Wg"",""Direct"&amp;" links Without Sizes!D2:D""),IMPORTRANGE(""1NK5L1mviMn0j3D3uo53ASkIZOFRlLnqaCTnwzOG2_Wg"",""Direct links Without Sizes!E2:E""))),"""")"),"")</f>
        <v/>
      </c>
      <c r="I1043" s="4"/>
      <c r="J1043" s="24" t="str">
        <f t="shared" si="1"/>
        <v/>
      </c>
      <c r="K1043" s="25"/>
      <c r="L1043" s="24" t="str">
        <f t="shared" si="2"/>
        <v/>
      </c>
      <c r="M1043" s="4"/>
      <c r="N1043" s="23"/>
      <c r="O1043" s="23"/>
      <c r="P1043" s="23"/>
      <c r="Q1043" s="4" t="str">
        <f t="shared" si="4"/>
        <v/>
      </c>
      <c r="R1043" s="20"/>
      <c r="S1043" s="20"/>
    </row>
    <row r="1044">
      <c r="A1044" s="4"/>
      <c r="B1044" s="4"/>
      <c r="C1044" s="37"/>
      <c r="D1044" s="7" t="str">
        <f>IFERROR(__xludf.DUMMYFUNCTION("iferror(iferror(INDEX(IMPORTRANGE(""12vtnxaE_Q1s4tyr10kZQx7ZF_xG0lBFae4jQEUtgsMU"",""All!B2:B""),MATCH($C1044,IMPORTRANGE(""12vtnxaE_Q1s4tyr10kZQx7ZF_xG0lBFae4jQEUtgsMU"",""All!A2:A""),0)),INDEX(IMPORTRANGE(""13KC70HngS4DDi8y9E5khtSpQEPG6owaQ9z4E-tR5mnY"""&amp;",""Non-Food!B2:B""),MATCH($C1044,IMPORTRANGE(""13KC70HngS4DDi8y9E5khtSpQEPG6owaQ9z4E-tR5mnY"",""Non-Food!A2:A""),0))),"""")"),"")</f>
        <v/>
      </c>
      <c r="E1044" s="15"/>
      <c r="F1044" s="15"/>
      <c r="G1044" s="36"/>
      <c r="H1044" s="23" t="str">
        <f>IFERROR(__xludf.DUMMYFUNCTION("iferror(iferror(iferror(index(IMPORTRANGE(""1NK5L1mviMn0j3D3uo53ASkIZOFRlLnqaCTnwzOG2_Wg"",""Direct Link!B2:B""),MATCH($C1044,IMPORTRANGE(""1NK5L1mviMn0j3D3uo53ASkIZOFRlLnqaCTnwzOG2_Wg"",""Direct Link!A2:A""),0)),XLOOKUP($C1044,IMPORTRANGE(""1NK5L1mviMn0j"&amp;"3D3uo53ASkIZOFRlLnqaCTnwzOG2_Wg"",""Direct links Without Sizes!A2:A""),IMPORTRANGE(""1NK5L1mviMn0j3D3uo53ASkIZOFRlLnqaCTnwzOG2_Wg"",""Direct links Without Sizes!B2:B""))),XLOOKUP($C1044,IMPORTRANGE(""1NK5L1mviMn0j3D3uo53ASkIZOFRlLnqaCTnwzOG2_Wg"",""Direct"&amp;" links Without Sizes!D2:D""),IMPORTRANGE(""1NK5L1mviMn0j3D3uo53ASkIZOFRlLnqaCTnwzOG2_Wg"",""Direct links Without Sizes!E2:E""))),"""")"),"")</f>
        <v/>
      </c>
      <c r="I1044" s="4"/>
      <c r="J1044" s="24" t="str">
        <f t="shared" si="1"/>
        <v/>
      </c>
      <c r="K1044" s="25"/>
      <c r="L1044" s="24" t="str">
        <f t="shared" si="2"/>
        <v/>
      </c>
      <c r="M1044" s="4"/>
      <c r="N1044" s="23"/>
      <c r="O1044" s="23"/>
      <c r="P1044" s="23"/>
      <c r="Q1044" s="4" t="str">
        <f t="shared" si="4"/>
        <v/>
      </c>
      <c r="R1044" s="20"/>
      <c r="S1044" s="20"/>
    </row>
    <row r="1045">
      <c r="A1045" s="4"/>
      <c r="B1045" s="4"/>
      <c r="C1045" s="37"/>
      <c r="D1045" s="7" t="str">
        <f>IFERROR(__xludf.DUMMYFUNCTION("iferror(iferror(INDEX(IMPORTRANGE(""12vtnxaE_Q1s4tyr10kZQx7ZF_xG0lBFae4jQEUtgsMU"",""All!B2:B""),MATCH($C1045,IMPORTRANGE(""12vtnxaE_Q1s4tyr10kZQx7ZF_xG0lBFae4jQEUtgsMU"",""All!A2:A""),0)),INDEX(IMPORTRANGE(""13KC70HngS4DDi8y9E5khtSpQEPG6owaQ9z4E-tR5mnY"""&amp;",""Non-Food!B2:B""),MATCH($C1045,IMPORTRANGE(""13KC70HngS4DDi8y9E5khtSpQEPG6owaQ9z4E-tR5mnY"",""Non-Food!A2:A""),0))),"""")"),"")</f>
        <v/>
      </c>
      <c r="E1045" s="15"/>
      <c r="F1045" s="15"/>
      <c r="G1045" s="36"/>
      <c r="H1045" s="23" t="str">
        <f>IFERROR(__xludf.DUMMYFUNCTION("iferror(iferror(iferror(index(IMPORTRANGE(""1NK5L1mviMn0j3D3uo53ASkIZOFRlLnqaCTnwzOG2_Wg"",""Direct Link!B2:B""),MATCH($C1045,IMPORTRANGE(""1NK5L1mviMn0j3D3uo53ASkIZOFRlLnqaCTnwzOG2_Wg"",""Direct Link!A2:A""),0)),XLOOKUP($C1045,IMPORTRANGE(""1NK5L1mviMn0j"&amp;"3D3uo53ASkIZOFRlLnqaCTnwzOG2_Wg"",""Direct links Without Sizes!A2:A""),IMPORTRANGE(""1NK5L1mviMn0j3D3uo53ASkIZOFRlLnqaCTnwzOG2_Wg"",""Direct links Without Sizes!B2:B""))),XLOOKUP($C1045,IMPORTRANGE(""1NK5L1mviMn0j3D3uo53ASkIZOFRlLnqaCTnwzOG2_Wg"",""Direct"&amp;" links Without Sizes!D2:D""),IMPORTRANGE(""1NK5L1mviMn0j3D3uo53ASkIZOFRlLnqaCTnwzOG2_Wg"",""Direct links Without Sizes!E2:E""))),"""")"),"")</f>
        <v/>
      </c>
      <c r="I1045" s="4"/>
      <c r="J1045" s="24" t="str">
        <f t="shared" si="1"/>
        <v/>
      </c>
      <c r="K1045" s="25"/>
      <c r="L1045" s="24" t="str">
        <f t="shared" si="2"/>
        <v/>
      </c>
      <c r="M1045" s="4"/>
      <c r="N1045" s="23"/>
      <c r="O1045" s="23"/>
      <c r="P1045" s="23"/>
      <c r="Q1045" s="4" t="str">
        <f t="shared" si="4"/>
        <v/>
      </c>
      <c r="R1045" s="20"/>
      <c r="S1045" s="20"/>
    </row>
    <row r="1046">
      <c r="A1046" s="4"/>
      <c r="B1046" s="4"/>
      <c r="C1046" s="37"/>
      <c r="D1046" s="7" t="str">
        <f>IFERROR(__xludf.DUMMYFUNCTION("iferror(iferror(INDEX(IMPORTRANGE(""12vtnxaE_Q1s4tyr10kZQx7ZF_xG0lBFae4jQEUtgsMU"",""All!B2:B""),MATCH($C1046,IMPORTRANGE(""12vtnxaE_Q1s4tyr10kZQx7ZF_xG0lBFae4jQEUtgsMU"",""All!A2:A""),0)),INDEX(IMPORTRANGE(""13KC70HngS4DDi8y9E5khtSpQEPG6owaQ9z4E-tR5mnY"""&amp;",""Non-Food!B2:B""),MATCH($C1046,IMPORTRANGE(""13KC70HngS4DDi8y9E5khtSpQEPG6owaQ9z4E-tR5mnY"",""Non-Food!A2:A""),0))),"""")"),"")</f>
        <v/>
      </c>
      <c r="E1046" s="15"/>
      <c r="F1046" s="15"/>
      <c r="G1046" s="36"/>
      <c r="H1046" s="23" t="str">
        <f>IFERROR(__xludf.DUMMYFUNCTION("iferror(iferror(iferror(index(IMPORTRANGE(""1NK5L1mviMn0j3D3uo53ASkIZOFRlLnqaCTnwzOG2_Wg"",""Direct Link!B2:B""),MATCH($C1046,IMPORTRANGE(""1NK5L1mviMn0j3D3uo53ASkIZOFRlLnqaCTnwzOG2_Wg"",""Direct Link!A2:A""),0)),XLOOKUP($C1046,IMPORTRANGE(""1NK5L1mviMn0j"&amp;"3D3uo53ASkIZOFRlLnqaCTnwzOG2_Wg"",""Direct links Without Sizes!A2:A""),IMPORTRANGE(""1NK5L1mviMn0j3D3uo53ASkIZOFRlLnqaCTnwzOG2_Wg"",""Direct links Without Sizes!B2:B""))),XLOOKUP($C1046,IMPORTRANGE(""1NK5L1mviMn0j3D3uo53ASkIZOFRlLnqaCTnwzOG2_Wg"",""Direct"&amp;" links Without Sizes!D2:D""),IMPORTRANGE(""1NK5L1mviMn0j3D3uo53ASkIZOFRlLnqaCTnwzOG2_Wg"",""Direct links Without Sizes!E2:E""))),"""")"),"")</f>
        <v/>
      </c>
      <c r="I1046" s="4"/>
      <c r="J1046" s="24" t="str">
        <f t="shared" si="1"/>
        <v/>
      </c>
      <c r="K1046" s="25"/>
      <c r="L1046" s="24" t="str">
        <f t="shared" si="2"/>
        <v/>
      </c>
      <c r="M1046" s="4"/>
      <c r="N1046" s="23"/>
      <c r="O1046" s="23"/>
      <c r="P1046" s="23"/>
      <c r="Q1046" s="4" t="str">
        <f t="shared" si="4"/>
        <v/>
      </c>
      <c r="R1046" s="20"/>
      <c r="S1046" s="20"/>
    </row>
    <row r="1047">
      <c r="A1047" s="4"/>
      <c r="B1047" s="4"/>
      <c r="C1047" s="37"/>
      <c r="D1047" s="7" t="str">
        <f>IFERROR(__xludf.DUMMYFUNCTION("iferror(iferror(INDEX(IMPORTRANGE(""12vtnxaE_Q1s4tyr10kZQx7ZF_xG0lBFae4jQEUtgsMU"",""All!B2:B""),MATCH($C1047,IMPORTRANGE(""12vtnxaE_Q1s4tyr10kZQx7ZF_xG0lBFae4jQEUtgsMU"",""All!A2:A""),0)),INDEX(IMPORTRANGE(""13KC70HngS4DDi8y9E5khtSpQEPG6owaQ9z4E-tR5mnY"""&amp;",""Non-Food!B2:B""),MATCH($C1047,IMPORTRANGE(""13KC70HngS4DDi8y9E5khtSpQEPG6owaQ9z4E-tR5mnY"",""Non-Food!A2:A""),0))),"""")"),"")</f>
        <v/>
      </c>
      <c r="E1047" s="15"/>
      <c r="F1047" s="15"/>
      <c r="G1047" s="36"/>
      <c r="H1047" s="23" t="str">
        <f>IFERROR(__xludf.DUMMYFUNCTION("iferror(iferror(iferror(index(IMPORTRANGE(""1NK5L1mviMn0j3D3uo53ASkIZOFRlLnqaCTnwzOG2_Wg"",""Direct Link!B2:B""),MATCH($C1047,IMPORTRANGE(""1NK5L1mviMn0j3D3uo53ASkIZOFRlLnqaCTnwzOG2_Wg"",""Direct Link!A2:A""),0)),XLOOKUP($C1047,IMPORTRANGE(""1NK5L1mviMn0j"&amp;"3D3uo53ASkIZOFRlLnqaCTnwzOG2_Wg"",""Direct links Without Sizes!A2:A""),IMPORTRANGE(""1NK5L1mviMn0j3D3uo53ASkIZOFRlLnqaCTnwzOG2_Wg"",""Direct links Without Sizes!B2:B""))),XLOOKUP($C1047,IMPORTRANGE(""1NK5L1mviMn0j3D3uo53ASkIZOFRlLnqaCTnwzOG2_Wg"",""Direct"&amp;" links Without Sizes!D2:D""),IMPORTRANGE(""1NK5L1mviMn0j3D3uo53ASkIZOFRlLnqaCTnwzOG2_Wg"",""Direct links Without Sizes!E2:E""))),"""")"),"")</f>
        <v/>
      </c>
      <c r="I1047" s="4"/>
      <c r="J1047" s="24" t="str">
        <f t="shared" si="1"/>
        <v/>
      </c>
      <c r="K1047" s="25"/>
      <c r="L1047" s="24" t="str">
        <f t="shared" si="2"/>
        <v/>
      </c>
      <c r="M1047" s="4"/>
      <c r="N1047" s="23"/>
      <c r="O1047" s="23"/>
      <c r="P1047" s="23"/>
      <c r="Q1047" s="4" t="str">
        <f t="shared" si="4"/>
        <v/>
      </c>
      <c r="R1047" s="20"/>
      <c r="S1047" s="20"/>
    </row>
    <row r="1048">
      <c r="A1048" s="4"/>
      <c r="B1048" s="4"/>
      <c r="C1048" s="37"/>
      <c r="D1048" s="7" t="str">
        <f>IFERROR(__xludf.DUMMYFUNCTION("iferror(iferror(INDEX(IMPORTRANGE(""12vtnxaE_Q1s4tyr10kZQx7ZF_xG0lBFae4jQEUtgsMU"",""All!B2:B""),MATCH($C1048,IMPORTRANGE(""12vtnxaE_Q1s4tyr10kZQx7ZF_xG0lBFae4jQEUtgsMU"",""All!A2:A""),0)),INDEX(IMPORTRANGE(""13KC70HngS4DDi8y9E5khtSpQEPG6owaQ9z4E-tR5mnY"""&amp;",""Non-Food!B2:B""),MATCH($C1048,IMPORTRANGE(""13KC70HngS4DDi8y9E5khtSpQEPG6owaQ9z4E-tR5mnY"",""Non-Food!A2:A""),0))),"""")"),"")</f>
        <v/>
      </c>
      <c r="E1048" s="15"/>
      <c r="F1048" s="15"/>
      <c r="G1048" s="36"/>
      <c r="H1048" s="23" t="str">
        <f>IFERROR(__xludf.DUMMYFUNCTION("iferror(iferror(iferror(index(IMPORTRANGE(""1NK5L1mviMn0j3D3uo53ASkIZOFRlLnqaCTnwzOG2_Wg"",""Direct Link!B2:B""),MATCH($C1048,IMPORTRANGE(""1NK5L1mviMn0j3D3uo53ASkIZOFRlLnqaCTnwzOG2_Wg"",""Direct Link!A2:A""),0)),XLOOKUP($C1048,IMPORTRANGE(""1NK5L1mviMn0j"&amp;"3D3uo53ASkIZOFRlLnqaCTnwzOG2_Wg"",""Direct links Without Sizes!A2:A""),IMPORTRANGE(""1NK5L1mviMn0j3D3uo53ASkIZOFRlLnqaCTnwzOG2_Wg"",""Direct links Without Sizes!B2:B""))),XLOOKUP($C1048,IMPORTRANGE(""1NK5L1mviMn0j3D3uo53ASkIZOFRlLnqaCTnwzOG2_Wg"",""Direct"&amp;" links Without Sizes!D2:D""),IMPORTRANGE(""1NK5L1mviMn0j3D3uo53ASkIZOFRlLnqaCTnwzOG2_Wg"",""Direct links Without Sizes!E2:E""))),"""")"),"")</f>
        <v/>
      </c>
      <c r="I1048" s="4"/>
      <c r="J1048" s="24" t="str">
        <f t="shared" si="1"/>
        <v/>
      </c>
      <c r="K1048" s="25"/>
      <c r="L1048" s="24" t="str">
        <f t="shared" si="2"/>
        <v/>
      </c>
      <c r="M1048" s="4"/>
      <c r="N1048" s="23"/>
      <c r="O1048" s="23"/>
      <c r="P1048" s="23"/>
      <c r="Q1048" s="4" t="str">
        <f t="shared" si="4"/>
        <v/>
      </c>
      <c r="R1048" s="20"/>
      <c r="S1048" s="20"/>
    </row>
    <row r="1049">
      <c r="A1049" s="4"/>
      <c r="B1049" s="4"/>
      <c r="C1049" s="37"/>
      <c r="D1049" s="7" t="str">
        <f>IFERROR(__xludf.DUMMYFUNCTION("iferror(iferror(INDEX(IMPORTRANGE(""12vtnxaE_Q1s4tyr10kZQx7ZF_xG0lBFae4jQEUtgsMU"",""All!B2:B""),MATCH($C1049,IMPORTRANGE(""12vtnxaE_Q1s4tyr10kZQx7ZF_xG0lBFae4jQEUtgsMU"",""All!A2:A""),0)),INDEX(IMPORTRANGE(""13KC70HngS4DDi8y9E5khtSpQEPG6owaQ9z4E-tR5mnY"""&amp;",""Non-Food!B2:B""),MATCH($C1049,IMPORTRANGE(""13KC70HngS4DDi8y9E5khtSpQEPG6owaQ9z4E-tR5mnY"",""Non-Food!A2:A""),0))),"""")"),"")</f>
        <v/>
      </c>
      <c r="E1049" s="15"/>
      <c r="F1049" s="15"/>
      <c r="G1049" s="36"/>
      <c r="H1049" s="23" t="str">
        <f>IFERROR(__xludf.DUMMYFUNCTION("iferror(iferror(iferror(index(IMPORTRANGE(""1NK5L1mviMn0j3D3uo53ASkIZOFRlLnqaCTnwzOG2_Wg"",""Direct Link!B2:B""),MATCH($C1049,IMPORTRANGE(""1NK5L1mviMn0j3D3uo53ASkIZOFRlLnqaCTnwzOG2_Wg"",""Direct Link!A2:A""),0)),XLOOKUP($C1049,IMPORTRANGE(""1NK5L1mviMn0j"&amp;"3D3uo53ASkIZOFRlLnqaCTnwzOG2_Wg"",""Direct links Without Sizes!A2:A""),IMPORTRANGE(""1NK5L1mviMn0j3D3uo53ASkIZOFRlLnqaCTnwzOG2_Wg"",""Direct links Without Sizes!B2:B""))),XLOOKUP($C1049,IMPORTRANGE(""1NK5L1mviMn0j3D3uo53ASkIZOFRlLnqaCTnwzOG2_Wg"",""Direct"&amp;" links Without Sizes!D2:D""),IMPORTRANGE(""1NK5L1mviMn0j3D3uo53ASkIZOFRlLnqaCTnwzOG2_Wg"",""Direct links Without Sizes!E2:E""))),"""")"),"")</f>
        <v/>
      </c>
      <c r="I1049" s="4"/>
      <c r="J1049" s="24" t="str">
        <f t="shared" si="1"/>
        <v/>
      </c>
      <c r="K1049" s="25"/>
      <c r="L1049" s="24" t="str">
        <f t="shared" si="2"/>
        <v/>
      </c>
      <c r="M1049" s="4"/>
      <c r="N1049" s="23"/>
      <c r="O1049" s="23"/>
      <c r="P1049" s="23"/>
      <c r="Q1049" s="4" t="str">
        <f t="shared" si="4"/>
        <v/>
      </c>
      <c r="R1049" s="20"/>
      <c r="S1049" s="20"/>
    </row>
    <row r="1050">
      <c r="A1050" s="4"/>
      <c r="B1050" s="4"/>
      <c r="C1050" s="37"/>
      <c r="D1050" s="7" t="str">
        <f>IFERROR(__xludf.DUMMYFUNCTION("iferror(iferror(INDEX(IMPORTRANGE(""12vtnxaE_Q1s4tyr10kZQx7ZF_xG0lBFae4jQEUtgsMU"",""All!B2:B""),MATCH($C1050,IMPORTRANGE(""12vtnxaE_Q1s4tyr10kZQx7ZF_xG0lBFae4jQEUtgsMU"",""All!A2:A""),0)),INDEX(IMPORTRANGE(""13KC70HngS4DDi8y9E5khtSpQEPG6owaQ9z4E-tR5mnY"""&amp;",""Non-Food!B2:B""),MATCH($C1050,IMPORTRANGE(""13KC70HngS4DDi8y9E5khtSpQEPG6owaQ9z4E-tR5mnY"",""Non-Food!A2:A""),0))),"""")"),"")</f>
        <v/>
      </c>
      <c r="E1050" s="15"/>
      <c r="F1050" s="15"/>
      <c r="G1050" s="36"/>
      <c r="H1050" s="23" t="str">
        <f>IFERROR(__xludf.DUMMYFUNCTION("iferror(iferror(iferror(index(IMPORTRANGE(""1NK5L1mviMn0j3D3uo53ASkIZOFRlLnqaCTnwzOG2_Wg"",""Direct Link!B2:B""),MATCH($C1050,IMPORTRANGE(""1NK5L1mviMn0j3D3uo53ASkIZOFRlLnqaCTnwzOG2_Wg"",""Direct Link!A2:A""),0)),XLOOKUP($C1050,IMPORTRANGE(""1NK5L1mviMn0j"&amp;"3D3uo53ASkIZOFRlLnqaCTnwzOG2_Wg"",""Direct links Without Sizes!A2:A""),IMPORTRANGE(""1NK5L1mviMn0j3D3uo53ASkIZOFRlLnqaCTnwzOG2_Wg"",""Direct links Without Sizes!B2:B""))),XLOOKUP($C1050,IMPORTRANGE(""1NK5L1mviMn0j3D3uo53ASkIZOFRlLnqaCTnwzOG2_Wg"",""Direct"&amp;" links Without Sizes!D2:D""),IMPORTRANGE(""1NK5L1mviMn0j3D3uo53ASkIZOFRlLnqaCTnwzOG2_Wg"",""Direct links Without Sizes!E2:E""))),"""")"),"")</f>
        <v/>
      </c>
      <c r="I1050" s="4"/>
      <c r="J1050" s="24" t="str">
        <f t="shared" si="1"/>
        <v/>
      </c>
      <c r="K1050" s="25"/>
      <c r="L1050" s="24" t="str">
        <f t="shared" si="2"/>
        <v/>
      </c>
      <c r="M1050" s="4"/>
      <c r="N1050" s="23"/>
      <c r="O1050" s="23"/>
      <c r="P1050" s="23"/>
      <c r="Q1050" s="4" t="str">
        <f t="shared" si="4"/>
        <v/>
      </c>
      <c r="R1050" s="20"/>
      <c r="S1050" s="20"/>
    </row>
    <row r="1051">
      <c r="A1051" s="4"/>
      <c r="B1051" s="4"/>
      <c r="C1051" s="37"/>
      <c r="D1051" s="7" t="str">
        <f>IFERROR(__xludf.DUMMYFUNCTION("iferror(iferror(INDEX(IMPORTRANGE(""12vtnxaE_Q1s4tyr10kZQx7ZF_xG0lBFae4jQEUtgsMU"",""All!B2:B""),MATCH($C1051,IMPORTRANGE(""12vtnxaE_Q1s4tyr10kZQx7ZF_xG0lBFae4jQEUtgsMU"",""All!A2:A""),0)),INDEX(IMPORTRANGE(""13KC70HngS4DDi8y9E5khtSpQEPG6owaQ9z4E-tR5mnY"""&amp;",""Non-Food!B2:B""),MATCH($C1051,IMPORTRANGE(""13KC70HngS4DDi8y9E5khtSpQEPG6owaQ9z4E-tR5mnY"",""Non-Food!A2:A""),0))),"""")"),"")</f>
        <v/>
      </c>
      <c r="E1051" s="15"/>
      <c r="F1051" s="15"/>
      <c r="G1051" s="36"/>
      <c r="H1051" s="23" t="str">
        <f>IFERROR(__xludf.DUMMYFUNCTION("iferror(iferror(iferror(index(IMPORTRANGE(""1NK5L1mviMn0j3D3uo53ASkIZOFRlLnqaCTnwzOG2_Wg"",""Direct Link!B2:B""),MATCH($C1051,IMPORTRANGE(""1NK5L1mviMn0j3D3uo53ASkIZOFRlLnqaCTnwzOG2_Wg"",""Direct Link!A2:A""),0)),XLOOKUP($C1051,IMPORTRANGE(""1NK5L1mviMn0j"&amp;"3D3uo53ASkIZOFRlLnqaCTnwzOG2_Wg"",""Direct links Without Sizes!A2:A""),IMPORTRANGE(""1NK5L1mviMn0j3D3uo53ASkIZOFRlLnqaCTnwzOG2_Wg"",""Direct links Without Sizes!B2:B""))),XLOOKUP($C1051,IMPORTRANGE(""1NK5L1mviMn0j3D3uo53ASkIZOFRlLnqaCTnwzOG2_Wg"",""Direct"&amp;" links Without Sizes!D2:D""),IMPORTRANGE(""1NK5L1mviMn0j3D3uo53ASkIZOFRlLnqaCTnwzOG2_Wg"",""Direct links Without Sizes!E2:E""))),"""")"),"")</f>
        <v/>
      </c>
      <c r="I1051" s="4"/>
      <c r="J1051" s="24" t="str">
        <f t="shared" si="1"/>
        <v/>
      </c>
      <c r="K1051" s="25"/>
      <c r="L1051" s="24" t="str">
        <f t="shared" si="2"/>
        <v/>
      </c>
      <c r="M1051" s="4"/>
      <c r="N1051" s="23"/>
      <c r="O1051" s="23"/>
      <c r="P1051" s="23"/>
      <c r="Q1051" s="4" t="str">
        <f t="shared" si="4"/>
        <v/>
      </c>
      <c r="R1051" s="20"/>
      <c r="S1051" s="20"/>
    </row>
    <row r="1052">
      <c r="A1052" s="4"/>
      <c r="B1052" s="4"/>
      <c r="C1052" s="37"/>
      <c r="D1052" s="7" t="str">
        <f>IFERROR(__xludf.DUMMYFUNCTION("iferror(iferror(INDEX(IMPORTRANGE(""12vtnxaE_Q1s4tyr10kZQx7ZF_xG0lBFae4jQEUtgsMU"",""All!B2:B""),MATCH($C1052,IMPORTRANGE(""12vtnxaE_Q1s4tyr10kZQx7ZF_xG0lBFae4jQEUtgsMU"",""All!A2:A""),0)),INDEX(IMPORTRANGE(""13KC70HngS4DDi8y9E5khtSpQEPG6owaQ9z4E-tR5mnY"""&amp;",""Non-Food!B2:B""),MATCH($C1052,IMPORTRANGE(""13KC70HngS4DDi8y9E5khtSpQEPG6owaQ9z4E-tR5mnY"",""Non-Food!A2:A""),0))),"""")"),"")</f>
        <v/>
      </c>
      <c r="E1052" s="15"/>
      <c r="F1052" s="15"/>
      <c r="G1052" s="36"/>
      <c r="H1052" s="23" t="str">
        <f>IFERROR(__xludf.DUMMYFUNCTION("iferror(iferror(iferror(index(IMPORTRANGE(""1NK5L1mviMn0j3D3uo53ASkIZOFRlLnqaCTnwzOG2_Wg"",""Direct Link!B2:B""),MATCH($C1052,IMPORTRANGE(""1NK5L1mviMn0j3D3uo53ASkIZOFRlLnqaCTnwzOG2_Wg"",""Direct Link!A2:A""),0)),XLOOKUP($C1052,IMPORTRANGE(""1NK5L1mviMn0j"&amp;"3D3uo53ASkIZOFRlLnqaCTnwzOG2_Wg"",""Direct links Without Sizes!A2:A""),IMPORTRANGE(""1NK5L1mviMn0j3D3uo53ASkIZOFRlLnqaCTnwzOG2_Wg"",""Direct links Without Sizes!B2:B""))),XLOOKUP($C1052,IMPORTRANGE(""1NK5L1mviMn0j3D3uo53ASkIZOFRlLnqaCTnwzOG2_Wg"",""Direct"&amp;" links Without Sizes!D2:D""),IMPORTRANGE(""1NK5L1mviMn0j3D3uo53ASkIZOFRlLnqaCTnwzOG2_Wg"",""Direct links Without Sizes!E2:E""))),"""")"),"")</f>
        <v/>
      </c>
      <c r="I1052" s="4"/>
      <c r="J1052" s="24" t="str">
        <f t="shared" si="1"/>
        <v/>
      </c>
      <c r="K1052" s="25"/>
      <c r="L1052" s="24" t="str">
        <f t="shared" si="2"/>
        <v/>
      </c>
      <c r="M1052" s="4"/>
      <c r="N1052" s="23"/>
      <c r="O1052" s="23"/>
      <c r="P1052" s="23"/>
      <c r="Q1052" s="4" t="str">
        <f t="shared" si="4"/>
        <v/>
      </c>
      <c r="R1052" s="20"/>
      <c r="S1052" s="20"/>
    </row>
    <row r="1053">
      <c r="A1053" s="4"/>
      <c r="B1053" s="4"/>
      <c r="C1053" s="37"/>
      <c r="D1053" s="7" t="str">
        <f>IFERROR(__xludf.DUMMYFUNCTION("iferror(iferror(INDEX(IMPORTRANGE(""12vtnxaE_Q1s4tyr10kZQx7ZF_xG0lBFae4jQEUtgsMU"",""All!B2:B""),MATCH($C1053,IMPORTRANGE(""12vtnxaE_Q1s4tyr10kZQx7ZF_xG0lBFae4jQEUtgsMU"",""All!A2:A""),0)),INDEX(IMPORTRANGE(""13KC70HngS4DDi8y9E5khtSpQEPG6owaQ9z4E-tR5mnY"""&amp;",""Non-Food!B2:B""),MATCH($C1053,IMPORTRANGE(""13KC70HngS4DDi8y9E5khtSpQEPG6owaQ9z4E-tR5mnY"",""Non-Food!A2:A""),0))),"""")"),"")</f>
        <v/>
      </c>
      <c r="E1053" s="15"/>
      <c r="F1053" s="15"/>
      <c r="G1053" s="36"/>
      <c r="H1053" s="23" t="str">
        <f>IFERROR(__xludf.DUMMYFUNCTION("iferror(iferror(iferror(index(IMPORTRANGE(""1NK5L1mviMn0j3D3uo53ASkIZOFRlLnqaCTnwzOG2_Wg"",""Direct Link!B2:B""),MATCH($C1053,IMPORTRANGE(""1NK5L1mviMn0j3D3uo53ASkIZOFRlLnqaCTnwzOG2_Wg"",""Direct Link!A2:A""),0)),XLOOKUP($C1053,IMPORTRANGE(""1NK5L1mviMn0j"&amp;"3D3uo53ASkIZOFRlLnqaCTnwzOG2_Wg"",""Direct links Without Sizes!A2:A""),IMPORTRANGE(""1NK5L1mviMn0j3D3uo53ASkIZOFRlLnqaCTnwzOG2_Wg"",""Direct links Without Sizes!B2:B""))),XLOOKUP($C1053,IMPORTRANGE(""1NK5L1mviMn0j3D3uo53ASkIZOFRlLnqaCTnwzOG2_Wg"",""Direct"&amp;" links Without Sizes!D2:D""),IMPORTRANGE(""1NK5L1mviMn0j3D3uo53ASkIZOFRlLnqaCTnwzOG2_Wg"",""Direct links Without Sizes!E2:E""))),"""")"),"")</f>
        <v/>
      </c>
      <c r="I1053" s="4"/>
      <c r="J1053" s="24" t="str">
        <f t="shared" si="1"/>
        <v/>
      </c>
      <c r="K1053" s="25"/>
      <c r="L1053" s="24" t="str">
        <f t="shared" si="2"/>
        <v/>
      </c>
      <c r="M1053" s="4"/>
      <c r="N1053" s="23"/>
      <c r="O1053" s="23"/>
      <c r="P1053" s="23"/>
      <c r="Q1053" s="4" t="str">
        <f t="shared" si="4"/>
        <v/>
      </c>
      <c r="R1053" s="20"/>
      <c r="S1053" s="20"/>
    </row>
    <row r="1054">
      <c r="A1054" s="4"/>
      <c r="B1054" s="4"/>
      <c r="C1054" s="37"/>
      <c r="D1054" s="7" t="str">
        <f>IFERROR(__xludf.DUMMYFUNCTION("iferror(iferror(INDEX(IMPORTRANGE(""12vtnxaE_Q1s4tyr10kZQx7ZF_xG0lBFae4jQEUtgsMU"",""All!B2:B""),MATCH($C1054,IMPORTRANGE(""12vtnxaE_Q1s4tyr10kZQx7ZF_xG0lBFae4jQEUtgsMU"",""All!A2:A""),0)),INDEX(IMPORTRANGE(""13KC70HngS4DDi8y9E5khtSpQEPG6owaQ9z4E-tR5mnY"""&amp;",""Non-Food!B2:B""),MATCH($C1054,IMPORTRANGE(""13KC70HngS4DDi8y9E5khtSpQEPG6owaQ9z4E-tR5mnY"",""Non-Food!A2:A""),0))),"""")"),"")</f>
        <v/>
      </c>
      <c r="E1054" s="15"/>
      <c r="F1054" s="15"/>
      <c r="G1054" s="36"/>
      <c r="H1054" s="23" t="str">
        <f>IFERROR(__xludf.DUMMYFUNCTION("iferror(iferror(iferror(index(IMPORTRANGE(""1NK5L1mviMn0j3D3uo53ASkIZOFRlLnqaCTnwzOG2_Wg"",""Direct Link!B2:B""),MATCH($C1054,IMPORTRANGE(""1NK5L1mviMn0j3D3uo53ASkIZOFRlLnqaCTnwzOG2_Wg"",""Direct Link!A2:A""),0)),XLOOKUP($C1054,IMPORTRANGE(""1NK5L1mviMn0j"&amp;"3D3uo53ASkIZOFRlLnqaCTnwzOG2_Wg"",""Direct links Without Sizes!A2:A""),IMPORTRANGE(""1NK5L1mviMn0j3D3uo53ASkIZOFRlLnqaCTnwzOG2_Wg"",""Direct links Without Sizes!B2:B""))),XLOOKUP($C1054,IMPORTRANGE(""1NK5L1mviMn0j3D3uo53ASkIZOFRlLnqaCTnwzOG2_Wg"",""Direct"&amp;" links Without Sizes!D2:D""),IMPORTRANGE(""1NK5L1mviMn0j3D3uo53ASkIZOFRlLnqaCTnwzOG2_Wg"",""Direct links Without Sizes!E2:E""))),"""")"),"")</f>
        <v/>
      </c>
      <c r="I1054" s="4"/>
      <c r="J1054" s="24" t="str">
        <f t="shared" si="1"/>
        <v/>
      </c>
      <c r="K1054" s="25"/>
      <c r="L1054" s="24" t="str">
        <f t="shared" si="2"/>
        <v/>
      </c>
      <c r="M1054" s="4"/>
      <c r="N1054" s="23"/>
      <c r="O1054" s="23"/>
      <c r="P1054" s="23"/>
      <c r="Q1054" s="4" t="str">
        <f t="shared" si="4"/>
        <v/>
      </c>
      <c r="R1054" s="20"/>
      <c r="S1054" s="20"/>
    </row>
    <row r="1055">
      <c r="A1055" s="4"/>
      <c r="B1055" s="4"/>
      <c r="C1055" s="37"/>
      <c r="D1055" s="7" t="str">
        <f>IFERROR(__xludf.DUMMYFUNCTION("iferror(iferror(INDEX(IMPORTRANGE(""12vtnxaE_Q1s4tyr10kZQx7ZF_xG0lBFae4jQEUtgsMU"",""All!B2:B""),MATCH($C1055,IMPORTRANGE(""12vtnxaE_Q1s4tyr10kZQx7ZF_xG0lBFae4jQEUtgsMU"",""All!A2:A""),0)),INDEX(IMPORTRANGE(""13KC70HngS4DDi8y9E5khtSpQEPG6owaQ9z4E-tR5mnY"""&amp;",""Non-Food!B2:B""),MATCH($C1055,IMPORTRANGE(""13KC70HngS4DDi8y9E5khtSpQEPG6owaQ9z4E-tR5mnY"",""Non-Food!A2:A""),0))),"""")"),"")</f>
        <v/>
      </c>
      <c r="E1055" s="15"/>
      <c r="F1055" s="15"/>
      <c r="G1055" s="36"/>
      <c r="H1055" s="23" t="str">
        <f>IFERROR(__xludf.DUMMYFUNCTION("iferror(iferror(iferror(index(IMPORTRANGE(""1NK5L1mviMn0j3D3uo53ASkIZOFRlLnqaCTnwzOG2_Wg"",""Direct Link!B2:B""),MATCH($C1055,IMPORTRANGE(""1NK5L1mviMn0j3D3uo53ASkIZOFRlLnqaCTnwzOG2_Wg"",""Direct Link!A2:A""),0)),XLOOKUP($C1055,IMPORTRANGE(""1NK5L1mviMn0j"&amp;"3D3uo53ASkIZOFRlLnqaCTnwzOG2_Wg"",""Direct links Without Sizes!A2:A""),IMPORTRANGE(""1NK5L1mviMn0j3D3uo53ASkIZOFRlLnqaCTnwzOG2_Wg"",""Direct links Without Sizes!B2:B""))),XLOOKUP($C1055,IMPORTRANGE(""1NK5L1mviMn0j3D3uo53ASkIZOFRlLnqaCTnwzOG2_Wg"",""Direct"&amp;" links Without Sizes!D2:D""),IMPORTRANGE(""1NK5L1mviMn0j3D3uo53ASkIZOFRlLnqaCTnwzOG2_Wg"",""Direct links Without Sizes!E2:E""))),"""")"),"")</f>
        <v/>
      </c>
      <c r="I1055" s="4"/>
      <c r="J1055" s="24" t="str">
        <f t="shared" si="1"/>
        <v/>
      </c>
      <c r="K1055" s="25"/>
      <c r="L1055" s="24" t="str">
        <f t="shared" si="2"/>
        <v/>
      </c>
      <c r="M1055" s="4"/>
      <c r="N1055" s="23"/>
      <c r="O1055" s="23"/>
      <c r="P1055" s="23"/>
      <c r="Q1055" s="4" t="str">
        <f t="shared" si="4"/>
        <v/>
      </c>
      <c r="R1055" s="20"/>
      <c r="S1055" s="20"/>
    </row>
    <row r="1056">
      <c r="A1056" s="4"/>
      <c r="B1056" s="4"/>
      <c r="C1056" s="37"/>
      <c r="D1056" s="7" t="str">
        <f>IFERROR(__xludf.DUMMYFUNCTION("iferror(iferror(INDEX(IMPORTRANGE(""12vtnxaE_Q1s4tyr10kZQx7ZF_xG0lBFae4jQEUtgsMU"",""All!B2:B""),MATCH($C1056,IMPORTRANGE(""12vtnxaE_Q1s4tyr10kZQx7ZF_xG0lBFae4jQEUtgsMU"",""All!A2:A""),0)),INDEX(IMPORTRANGE(""13KC70HngS4DDi8y9E5khtSpQEPG6owaQ9z4E-tR5mnY"""&amp;",""Non-Food!B2:B""),MATCH($C1056,IMPORTRANGE(""13KC70HngS4DDi8y9E5khtSpQEPG6owaQ9z4E-tR5mnY"",""Non-Food!A2:A""),0))),"""")"),"")</f>
        <v/>
      </c>
      <c r="E1056" s="15"/>
      <c r="F1056" s="15"/>
      <c r="G1056" s="36"/>
      <c r="H1056" s="23" t="str">
        <f>IFERROR(__xludf.DUMMYFUNCTION("iferror(iferror(iferror(index(IMPORTRANGE(""1NK5L1mviMn0j3D3uo53ASkIZOFRlLnqaCTnwzOG2_Wg"",""Direct Link!B2:B""),MATCH($C1056,IMPORTRANGE(""1NK5L1mviMn0j3D3uo53ASkIZOFRlLnqaCTnwzOG2_Wg"",""Direct Link!A2:A""),0)),XLOOKUP($C1056,IMPORTRANGE(""1NK5L1mviMn0j"&amp;"3D3uo53ASkIZOFRlLnqaCTnwzOG2_Wg"",""Direct links Without Sizes!A2:A""),IMPORTRANGE(""1NK5L1mviMn0j3D3uo53ASkIZOFRlLnqaCTnwzOG2_Wg"",""Direct links Without Sizes!B2:B""))),XLOOKUP($C1056,IMPORTRANGE(""1NK5L1mviMn0j3D3uo53ASkIZOFRlLnqaCTnwzOG2_Wg"",""Direct"&amp;" links Without Sizes!D2:D""),IMPORTRANGE(""1NK5L1mviMn0j3D3uo53ASkIZOFRlLnqaCTnwzOG2_Wg"",""Direct links Without Sizes!E2:E""))),"""")"),"")</f>
        <v/>
      </c>
      <c r="I1056" s="4"/>
      <c r="J1056" s="24" t="str">
        <f t="shared" si="1"/>
        <v/>
      </c>
      <c r="K1056" s="25"/>
      <c r="L1056" s="24" t="str">
        <f t="shared" si="2"/>
        <v/>
      </c>
      <c r="M1056" s="4"/>
      <c r="N1056" s="23"/>
      <c r="O1056" s="23"/>
      <c r="P1056" s="23"/>
      <c r="Q1056" s="4" t="str">
        <f t="shared" si="4"/>
        <v/>
      </c>
      <c r="R1056" s="20"/>
      <c r="S1056" s="20"/>
    </row>
    <row r="1057">
      <c r="A1057" s="4"/>
      <c r="B1057" s="4"/>
      <c r="C1057" s="37"/>
      <c r="D1057" s="7" t="str">
        <f>IFERROR(__xludf.DUMMYFUNCTION("iferror(iferror(INDEX(IMPORTRANGE(""12vtnxaE_Q1s4tyr10kZQx7ZF_xG0lBFae4jQEUtgsMU"",""All!B2:B""),MATCH($C1057,IMPORTRANGE(""12vtnxaE_Q1s4tyr10kZQx7ZF_xG0lBFae4jQEUtgsMU"",""All!A2:A""),0)),INDEX(IMPORTRANGE(""13KC70HngS4DDi8y9E5khtSpQEPG6owaQ9z4E-tR5mnY"""&amp;",""Non-Food!B2:B""),MATCH($C1057,IMPORTRANGE(""13KC70HngS4DDi8y9E5khtSpQEPG6owaQ9z4E-tR5mnY"",""Non-Food!A2:A""),0))),"""")"),"")</f>
        <v/>
      </c>
      <c r="E1057" s="15"/>
      <c r="F1057" s="15"/>
      <c r="G1057" s="36"/>
      <c r="H1057" s="23" t="str">
        <f>IFERROR(__xludf.DUMMYFUNCTION("iferror(iferror(iferror(index(IMPORTRANGE(""1NK5L1mviMn0j3D3uo53ASkIZOFRlLnqaCTnwzOG2_Wg"",""Direct Link!B2:B""),MATCH($C1057,IMPORTRANGE(""1NK5L1mviMn0j3D3uo53ASkIZOFRlLnqaCTnwzOG2_Wg"",""Direct Link!A2:A""),0)),XLOOKUP($C1057,IMPORTRANGE(""1NK5L1mviMn0j"&amp;"3D3uo53ASkIZOFRlLnqaCTnwzOG2_Wg"",""Direct links Without Sizes!A2:A""),IMPORTRANGE(""1NK5L1mviMn0j3D3uo53ASkIZOFRlLnqaCTnwzOG2_Wg"",""Direct links Without Sizes!B2:B""))),XLOOKUP($C1057,IMPORTRANGE(""1NK5L1mviMn0j3D3uo53ASkIZOFRlLnqaCTnwzOG2_Wg"",""Direct"&amp;" links Without Sizes!D2:D""),IMPORTRANGE(""1NK5L1mviMn0j3D3uo53ASkIZOFRlLnqaCTnwzOG2_Wg"",""Direct links Without Sizes!E2:E""))),"""")"),"")</f>
        <v/>
      </c>
      <c r="I1057" s="4"/>
      <c r="J1057" s="24" t="str">
        <f t="shared" si="1"/>
        <v/>
      </c>
      <c r="K1057" s="25"/>
      <c r="L1057" s="24" t="str">
        <f t="shared" si="2"/>
        <v/>
      </c>
      <c r="M1057" s="4"/>
      <c r="N1057" s="23"/>
      <c r="O1057" s="23"/>
      <c r="P1057" s="23"/>
      <c r="Q1057" s="4" t="str">
        <f t="shared" si="4"/>
        <v/>
      </c>
      <c r="R1057" s="20"/>
      <c r="S1057" s="20"/>
    </row>
    <row r="1058">
      <c r="A1058" s="4"/>
      <c r="B1058" s="4"/>
      <c r="C1058" s="37"/>
      <c r="D1058" s="7" t="str">
        <f>IFERROR(__xludf.DUMMYFUNCTION("iferror(iferror(INDEX(IMPORTRANGE(""12vtnxaE_Q1s4tyr10kZQx7ZF_xG0lBFae4jQEUtgsMU"",""All!B2:B""),MATCH($C1058,IMPORTRANGE(""12vtnxaE_Q1s4tyr10kZQx7ZF_xG0lBFae4jQEUtgsMU"",""All!A2:A""),0)),INDEX(IMPORTRANGE(""13KC70HngS4DDi8y9E5khtSpQEPG6owaQ9z4E-tR5mnY"""&amp;",""Non-Food!B2:B""),MATCH($C1058,IMPORTRANGE(""13KC70HngS4DDi8y9E5khtSpQEPG6owaQ9z4E-tR5mnY"",""Non-Food!A2:A""),0))),"""")"),"")</f>
        <v/>
      </c>
      <c r="E1058" s="15"/>
      <c r="F1058" s="15"/>
      <c r="G1058" s="36"/>
      <c r="H1058" s="23" t="str">
        <f>IFERROR(__xludf.DUMMYFUNCTION("iferror(iferror(iferror(index(IMPORTRANGE(""1NK5L1mviMn0j3D3uo53ASkIZOFRlLnqaCTnwzOG2_Wg"",""Direct Link!B2:B""),MATCH($C1058,IMPORTRANGE(""1NK5L1mviMn0j3D3uo53ASkIZOFRlLnqaCTnwzOG2_Wg"",""Direct Link!A2:A""),0)),XLOOKUP($C1058,IMPORTRANGE(""1NK5L1mviMn0j"&amp;"3D3uo53ASkIZOFRlLnqaCTnwzOG2_Wg"",""Direct links Without Sizes!A2:A""),IMPORTRANGE(""1NK5L1mviMn0j3D3uo53ASkIZOFRlLnqaCTnwzOG2_Wg"",""Direct links Without Sizes!B2:B""))),XLOOKUP($C1058,IMPORTRANGE(""1NK5L1mviMn0j3D3uo53ASkIZOFRlLnqaCTnwzOG2_Wg"",""Direct"&amp;" links Without Sizes!D2:D""),IMPORTRANGE(""1NK5L1mviMn0j3D3uo53ASkIZOFRlLnqaCTnwzOG2_Wg"",""Direct links Without Sizes!E2:E""))),"""")"),"")</f>
        <v/>
      </c>
      <c r="I1058" s="4"/>
      <c r="J1058" s="24" t="str">
        <f t="shared" si="1"/>
        <v/>
      </c>
      <c r="K1058" s="25"/>
      <c r="L1058" s="24" t="str">
        <f t="shared" si="2"/>
        <v/>
      </c>
      <c r="M1058" s="4"/>
      <c r="N1058" s="23"/>
      <c r="O1058" s="23"/>
      <c r="P1058" s="23"/>
      <c r="Q1058" s="4" t="str">
        <f t="shared" si="4"/>
        <v/>
      </c>
      <c r="R1058" s="20"/>
      <c r="S1058" s="20"/>
    </row>
    <row r="1059">
      <c r="A1059" s="4"/>
      <c r="B1059" s="4"/>
      <c r="C1059" s="37"/>
      <c r="D1059" s="7" t="str">
        <f>IFERROR(__xludf.DUMMYFUNCTION("iferror(iferror(INDEX(IMPORTRANGE(""12vtnxaE_Q1s4tyr10kZQx7ZF_xG0lBFae4jQEUtgsMU"",""All!B2:B""),MATCH($C1059,IMPORTRANGE(""12vtnxaE_Q1s4tyr10kZQx7ZF_xG0lBFae4jQEUtgsMU"",""All!A2:A""),0)),INDEX(IMPORTRANGE(""13KC70HngS4DDi8y9E5khtSpQEPG6owaQ9z4E-tR5mnY"""&amp;",""Non-Food!B2:B""),MATCH($C1059,IMPORTRANGE(""13KC70HngS4DDi8y9E5khtSpQEPG6owaQ9z4E-tR5mnY"",""Non-Food!A2:A""),0))),"""")"),"")</f>
        <v/>
      </c>
      <c r="E1059" s="15"/>
      <c r="F1059" s="15"/>
      <c r="G1059" s="36"/>
      <c r="H1059" s="23" t="str">
        <f>IFERROR(__xludf.DUMMYFUNCTION("iferror(iferror(iferror(index(IMPORTRANGE(""1NK5L1mviMn0j3D3uo53ASkIZOFRlLnqaCTnwzOG2_Wg"",""Direct Link!B2:B""),MATCH($C1059,IMPORTRANGE(""1NK5L1mviMn0j3D3uo53ASkIZOFRlLnqaCTnwzOG2_Wg"",""Direct Link!A2:A""),0)),XLOOKUP($C1059,IMPORTRANGE(""1NK5L1mviMn0j"&amp;"3D3uo53ASkIZOFRlLnqaCTnwzOG2_Wg"",""Direct links Without Sizes!A2:A""),IMPORTRANGE(""1NK5L1mviMn0j3D3uo53ASkIZOFRlLnqaCTnwzOG2_Wg"",""Direct links Without Sizes!B2:B""))),XLOOKUP($C1059,IMPORTRANGE(""1NK5L1mviMn0j3D3uo53ASkIZOFRlLnqaCTnwzOG2_Wg"",""Direct"&amp;" links Without Sizes!D2:D""),IMPORTRANGE(""1NK5L1mviMn0j3D3uo53ASkIZOFRlLnqaCTnwzOG2_Wg"",""Direct links Without Sizes!E2:E""))),"""")"),"")</f>
        <v/>
      </c>
      <c r="I1059" s="4"/>
      <c r="J1059" s="24" t="str">
        <f t="shared" si="1"/>
        <v/>
      </c>
      <c r="K1059" s="25"/>
      <c r="L1059" s="24" t="str">
        <f t="shared" si="2"/>
        <v/>
      </c>
      <c r="M1059" s="4"/>
      <c r="N1059" s="23"/>
      <c r="O1059" s="23"/>
      <c r="P1059" s="23"/>
      <c r="Q1059" s="4" t="str">
        <f t="shared" si="4"/>
        <v/>
      </c>
      <c r="R1059" s="20"/>
      <c r="S1059" s="20"/>
    </row>
    <row r="1060">
      <c r="A1060" s="4"/>
      <c r="B1060" s="4"/>
      <c r="C1060" s="37"/>
      <c r="D1060" s="7" t="str">
        <f>IFERROR(__xludf.DUMMYFUNCTION("iferror(iferror(INDEX(IMPORTRANGE(""12vtnxaE_Q1s4tyr10kZQx7ZF_xG0lBFae4jQEUtgsMU"",""All!B2:B""),MATCH($C1060,IMPORTRANGE(""12vtnxaE_Q1s4tyr10kZQx7ZF_xG0lBFae4jQEUtgsMU"",""All!A2:A""),0)),INDEX(IMPORTRANGE(""13KC70HngS4DDi8y9E5khtSpQEPG6owaQ9z4E-tR5mnY"""&amp;",""Non-Food!B2:B""),MATCH($C1060,IMPORTRANGE(""13KC70HngS4DDi8y9E5khtSpQEPG6owaQ9z4E-tR5mnY"",""Non-Food!A2:A""),0))),"""")"),"")</f>
        <v/>
      </c>
      <c r="E1060" s="15"/>
      <c r="F1060" s="15"/>
      <c r="G1060" s="36"/>
      <c r="H1060" s="23" t="str">
        <f>IFERROR(__xludf.DUMMYFUNCTION("iferror(iferror(iferror(index(IMPORTRANGE(""1NK5L1mviMn0j3D3uo53ASkIZOFRlLnqaCTnwzOG2_Wg"",""Direct Link!B2:B""),MATCH($C1060,IMPORTRANGE(""1NK5L1mviMn0j3D3uo53ASkIZOFRlLnqaCTnwzOG2_Wg"",""Direct Link!A2:A""),0)),XLOOKUP($C1060,IMPORTRANGE(""1NK5L1mviMn0j"&amp;"3D3uo53ASkIZOFRlLnqaCTnwzOG2_Wg"",""Direct links Without Sizes!A2:A""),IMPORTRANGE(""1NK5L1mviMn0j3D3uo53ASkIZOFRlLnqaCTnwzOG2_Wg"",""Direct links Without Sizes!B2:B""))),XLOOKUP($C1060,IMPORTRANGE(""1NK5L1mviMn0j3D3uo53ASkIZOFRlLnqaCTnwzOG2_Wg"",""Direct"&amp;" links Without Sizes!D2:D""),IMPORTRANGE(""1NK5L1mviMn0j3D3uo53ASkIZOFRlLnqaCTnwzOG2_Wg"",""Direct links Without Sizes!E2:E""))),"""")"),"")</f>
        <v/>
      </c>
      <c r="I1060" s="4"/>
      <c r="J1060" s="24" t="str">
        <f t="shared" si="1"/>
        <v/>
      </c>
      <c r="K1060" s="25"/>
      <c r="L1060" s="24" t="str">
        <f t="shared" si="2"/>
        <v/>
      </c>
      <c r="M1060" s="4"/>
      <c r="N1060" s="23"/>
      <c r="O1060" s="23"/>
      <c r="P1060" s="23"/>
      <c r="Q1060" s="4" t="str">
        <f t="shared" si="4"/>
        <v/>
      </c>
      <c r="R1060" s="20"/>
      <c r="S1060" s="20"/>
    </row>
    <row r="1061">
      <c r="A1061" s="4"/>
      <c r="B1061" s="4"/>
      <c r="C1061" s="37"/>
      <c r="D1061" s="7" t="str">
        <f>IFERROR(__xludf.DUMMYFUNCTION("iferror(iferror(INDEX(IMPORTRANGE(""12vtnxaE_Q1s4tyr10kZQx7ZF_xG0lBFae4jQEUtgsMU"",""All!B2:B""),MATCH($C1061,IMPORTRANGE(""12vtnxaE_Q1s4tyr10kZQx7ZF_xG0lBFae4jQEUtgsMU"",""All!A2:A""),0)),INDEX(IMPORTRANGE(""13KC70HngS4DDi8y9E5khtSpQEPG6owaQ9z4E-tR5mnY"""&amp;",""Non-Food!B2:B""),MATCH($C1061,IMPORTRANGE(""13KC70HngS4DDi8y9E5khtSpQEPG6owaQ9z4E-tR5mnY"",""Non-Food!A2:A""),0))),"""")"),"")</f>
        <v/>
      </c>
      <c r="E1061" s="15"/>
      <c r="F1061" s="15"/>
      <c r="G1061" s="36"/>
      <c r="H1061" s="23" t="str">
        <f>IFERROR(__xludf.DUMMYFUNCTION("iferror(iferror(iferror(index(IMPORTRANGE(""1NK5L1mviMn0j3D3uo53ASkIZOFRlLnqaCTnwzOG2_Wg"",""Direct Link!B2:B""),MATCH($C1061,IMPORTRANGE(""1NK5L1mviMn0j3D3uo53ASkIZOFRlLnqaCTnwzOG2_Wg"",""Direct Link!A2:A""),0)),XLOOKUP($C1061,IMPORTRANGE(""1NK5L1mviMn0j"&amp;"3D3uo53ASkIZOFRlLnqaCTnwzOG2_Wg"",""Direct links Without Sizes!A2:A""),IMPORTRANGE(""1NK5L1mviMn0j3D3uo53ASkIZOFRlLnqaCTnwzOG2_Wg"",""Direct links Without Sizes!B2:B""))),XLOOKUP($C1061,IMPORTRANGE(""1NK5L1mviMn0j3D3uo53ASkIZOFRlLnqaCTnwzOG2_Wg"",""Direct"&amp;" links Without Sizes!D2:D""),IMPORTRANGE(""1NK5L1mviMn0j3D3uo53ASkIZOFRlLnqaCTnwzOG2_Wg"",""Direct links Without Sizes!E2:E""))),"""")"),"")</f>
        <v/>
      </c>
      <c r="I1061" s="4"/>
      <c r="J1061" s="24" t="str">
        <f t="shared" si="1"/>
        <v/>
      </c>
      <c r="K1061" s="25"/>
      <c r="L1061" s="24" t="str">
        <f t="shared" si="2"/>
        <v/>
      </c>
      <c r="M1061" s="4"/>
      <c r="N1061" s="23"/>
      <c r="O1061" s="23"/>
      <c r="P1061" s="23"/>
      <c r="Q1061" s="4" t="str">
        <f t="shared" si="4"/>
        <v/>
      </c>
      <c r="R1061" s="20"/>
      <c r="S1061" s="20"/>
    </row>
    <row r="1062">
      <c r="A1062" s="4"/>
      <c r="B1062" s="4"/>
      <c r="C1062" s="37"/>
      <c r="D1062" s="7" t="str">
        <f>IFERROR(__xludf.DUMMYFUNCTION("iferror(iferror(INDEX(IMPORTRANGE(""12vtnxaE_Q1s4tyr10kZQx7ZF_xG0lBFae4jQEUtgsMU"",""All!B2:B""),MATCH($C1062,IMPORTRANGE(""12vtnxaE_Q1s4tyr10kZQx7ZF_xG0lBFae4jQEUtgsMU"",""All!A2:A""),0)),INDEX(IMPORTRANGE(""13KC70HngS4DDi8y9E5khtSpQEPG6owaQ9z4E-tR5mnY"""&amp;",""Non-Food!B2:B""),MATCH($C1062,IMPORTRANGE(""13KC70HngS4DDi8y9E5khtSpQEPG6owaQ9z4E-tR5mnY"",""Non-Food!A2:A""),0))),"""")"),"")</f>
        <v/>
      </c>
      <c r="E1062" s="15"/>
      <c r="F1062" s="15"/>
      <c r="G1062" s="36"/>
      <c r="H1062" s="23" t="str">
        <f>IFERROR(__xludf.DUMMYFUNCTION("iferror(iferror(iferror(index(IMPORTRANGE(""1NK5L1mviMn0j3D3uo53ASkIZOFRlLnqaCTnwzOG2_Wg"",""Direct Link!B2:B""),MATCH($C1062,IMPORTRANGE(""1NK5L1mviMn0j3D3uo53ASkIZOFRlLnqaCTnwzOG2_Wg"",""Direct Link!A2:A""),0)),XLOOKUP($C1062,IMPORTRANGE(""1NK5L1mviMn0j"&amp;"3D3uo53ASkIZOFRlLnqaCTnwzOG2_Wg"",""Direct links Without Sizes!A2:A""),IMPORTRANGE(""1NK5L1mviMn0j3D3uo53ASkIZOFRlLnqaCTnwzOG2_Wg"",""Direct links Without Sizes!B2:B""))),XLOOKUP($C1062,IMPORTRANGE(""1NK5L1mviMn0j3D3uo53ASkIZOFRlLnqaCTnwzOG2_Wg"",""Direct"&amp;" links Without Sizes!D2:D""),IMPORTRANGE(""1NK5L1mviMn0j3D3uo53ASkIZOFRlLnqaCTnwzOG2_Wg"",""Direct links Without Sizes!E2:E""))),"""")"),"")</f>
        <v/>
      </c>
      <c r="I1062" s="4"/>
      <c r="J1062" s="24" t="str">
        <f t="shared" si="1"/>
        <v/>
      </c>
      <c r="K1062" s="25"/>
      <c r="L1062" s="24" t="str">
        <f t="shared" si="2"/>
        <v/>
      </c>
      <c r="M1062" s="4"/>
      <c r="N1062" s="23"/>
      <c r="O1062" s="23"/>
      <c r="P1062" s="23"/>
      <c r="Q1062" s="4" t="str">
        <f t="shared" si="4"/>
        <v/>
      </c>
      <c r="R1062" s="20"/>
      <c r="S1062" s="20"/>
    </row>
    <row r="1063">
      <c r="A1063" s="4"/>
      <c r="B1063" s="4"/>
      <c r="C1063" s="37"/>
      <c r="D1063" s="7" t="str">
        <f>IFERROR(__xludf.DUMMYFUNCTION("iferror(iferror(INDEX(IMPORTRANGE(""12vtnxaE_Q1s4tyr10kZQx7ZF_xG0lBFae4jQEUtgsMU"",""All!B2:B""),MATCH($C1063,IMPORTRANGE(""12vtnxaE_Q1s4tyr10kZQx7ZF_xG0lBFae4jQEUtgsMU"",""All!A2:A""),0)),INDEX(IMPORTRANGE(""13KC70HngS4DDi8y9E5khtSpQEPG6owaQ9z4E-tR5mnY"""&amp;",""Non-Food!B2:B""),MATCH($C1063,IMPORTRANGE(""13KC70HngS4DDi8y9E5khtSpQEPG6owaQ9z4E-tR5mnY"",""Non-Food!A2:A""),0))),"""")"),"")</f>
        <v/>
      </c>
      <c r="E1063" s="15"/>
      <c r="F1063" s="15"/>
      <c r="G1063" s="36"/>
      <c r="H1063" s="23" t="str">
        <f>IFERROR(__xludf.DUMMYFUNCTION("iferror(iferror(iferror(index(IMPORTRANGE(""1NK5L1mviMn0j3D3uo53ASkIZOFRlLnqaCTnwzOG2_Wg"",""Direct Link!B2:B""),MATCH($C1063,IMPORTRANGE(""1NK5L1mviMn0j3D3uo53ASkIZOFRlLnqaCTnwzOG2_Wg"",""Direct Link!A2:A""),0)),XLOOKUP($C1063,IMPORTRANGE(""1NK5L1mviMn0j"&amp;"3D3uo53ASkIZOFRlLnqaCTnwzOG2_Wg"",""Direct links Without Sizes!A2:A""),IMPORTRANGE(""1NK5L1mviMn0j3D3uo53ASkIZOFRlLnqaCTnwzOG2_Wg"",""Direct links Without Sizes!B2:B""))),XLOOKUP($C1063,IMPORTRANGE(""1NK5L1mviMn0j3D3uo53ASkIZOFRlLnqaCTnwzOG2_Wg"",""Direct"&amp;" links Without Sizes!D2:D""),IMPORTRANGE(""1NK5L1mviMn0j3D3uo53ASkIZOFRlLnqaCTnwzOG2_Wg"",""Direct links Without Sizes!E2:E""))),"""")"),"")</f>
        <v/>
      </c>
      <c r="I1063" s="4"/>
      <c r="J1063" s="24" t="str">
        <f t="shared" si="1"/>
        <v/>
      </c>
      <c r="K1063" s="25"/>
      <c r="L1063" s="24" t="str">
        <f t="shared" si="2"/>
        <v/>
      </c>
      <c r="M1063" s="4"/>
      <c r="N1063" s="23"/>
      <c r="O1063" s="23"/>
      <c r="P1063" s="23"/>
      <c r="Q1063" s="4" t="str">
        <f t="shared" si="4"/>
        <v/>
      </c>
      <c r="R1063" s="20"/>
      <c r="S1063" s="20"/>
    </row>
    <row r="1064">
      <c r="A1064" s="4"/>
      <c r="B1064" s="4"/>
      <c r="C1064" s="37"/>
      <c r="D1064" s="7" t="str">
        <f>IFERROR(__xludf.DUMMYFUNCTION("iferror(iferror(INDEX(IMPORTRANGE(""12vtnxaE_Q1s4tyr10kZQx7ZF_xG0lBFae4jQEUtgsMU"",""All!B2:B""),MATCH($C1064,IMPORTRANGE(""12vtnxaE_Q1s4tyr10kZQx7ZF_xG0lBFae4jQEUtgsMU"",""All!A2:A""),0)),INDEX(IMPORTRANGE(""13KC70HngS4DDi8y9E5khtSpQEPG6owaQ9z4E-tR5mnY"""&amp;",""Non-Food!B2:B""),MATCH($C1064,IMPORTRANGE(""13KC70HngS4DDi8y9E5khtSpQEPG6owaQ9z4E-tR5mnY"",""Non-Food!A2:A""),0))),"""")"),"")</f>
        <v/>
      </c>
      <c r="E1064" s="15"/>
      <c r="F1064" s="15"/>
      <c r="G1064" s="36"/>
      <c r="H1064" s="23" t="str">
        <f>IFERROR(__xludf.DUMMYFUNCTION("iferror(iferror(iferror(index(IMPORTRANGE(""1NK5L1mviMn0j3D3uo53ASkIZOFRlLnqaCTnwzOG2_Wg"",""Direct Link!B2:B""),MATCH($C1064,IMPORTRANGE(""1NK5L1mviMn0j3D3uo53ASkIZOFRlLnqaCTnwzOG2_Wg"",""Direct Link!A2:A""),0)),XLOOKUP($C1064,IMPORTRANGE(""1NK5L1mviMn0j"&amp;"3D3uo53ASkIZOFRlLnqaCTnwzOG2_Wg"",""Direct links Without Sizes!A2:A""),IMPORTRANGE(""1NK5L1mviMn0j3D3uo53ASkIZOFRlLnqaCTnwzOG2_Wg"",""Direct links Without Sizes!B2:B""))),XLOOKUP($C1064,IMPORTRANGE(""1NK5L1mviMn0j3D3uo53ASkIZOFRlLnqaCTnwzOG2_Wg"",""Direct"&amp;" links Without Sizes!D2:D""),IMPORTRANGE(""1NK5L1mviMn0j3D3uo53ASkIZOFRlLnqaCTnwzOG2_Wg"",""Direct links Without Sizes!E2:E""))),"""")"),"")</f>
        <v/>
      </c>
      <c r="I1064" s="4"/>
      <c r="J1064" s="24" t="str">
        <f t="shared" si="1"/>
        <v/>
      </c>
      <c r="K1064" s="25"/>
      <c r="L1064" s="24" t="str">
        <f t="shared" si="2"/>
        <v/>
      </c>
      <c r="M1064" s="4"/>
      <c r="N1064" s="23"/>
      <c r="O1064" s="23"/>
      <c r="P1064" s="23"/>
      <c r="Q1064" s="4" t="str">
        <f t="shared" si="4"/>
        <v/>
      </c>
      <c r="R1064" s="20"/>
      <c r="S1064" s="20"/>
    </row>
    <row r="1065">
      <c r="A1065" s="4"/>
      <c r="B1065" s="4"/>
      <c r="C1065" s="37"/>
      <c r="D1065" s="7" t="str">
        <f>IFERROR(__xludf.DUMMYFUNCTION("iferror(iferror(INDEX(IMPORTRANGE(""12vtnxaE_Q1s4tyr10kZQx7ZF_xG0lBFae4jQEUtgsMU"",""All!B2:B""),MATCH($C1065,IMPORTRANGE(""12vtnxaE_Q1s4tyr10kZQx7ZF_xG0lBFae4jQEUtgsMU"",""All!A2:A""),0)),INDEX(IMPORTRANGE(""13KC70HngS4DDi8y9E5khtSpQEPG6owaQ9z4E-tR5mnY"""&amp;",""Non-Food!B2:B""),MATCH($C1065,IMPORTRANGE(""13KC70HngS4DDi8y9E5khtSpQEPG6owaQ9z4E-tR5mnY"",""Non-Food!A2:A""),0))),"""")"),"")</f>
        <v/>
      </c>
      <c r="E1065" s="15"/>
      <c r="F1065" s="15"/>
      <c r="G1065" s="36"/>
      <c r="H1065" s="23" t="str">
        <f>IFERROR(__xludf.DUMMYFUNCTION("iferror(iferror(iferror(index(IMPORTRANGE(""1NK5L1mviMn0j3D3uo53ASkIZOFRlLnqaCTnwzOG2_Wg"",""Direct Link!B2:B""),MATCH($C1065,IMPORTRANGE(""1NK5L1mviMn0j3D3uo53ASkIZOFRlLnqaCTnwzOG2_Wg"",""Direct Link!A2:A""),0)),XLOOKUP($C1065,IMPORTRANGE(""1NK5L1mviMn0j"&amp;"3D3uo53ASkIZOFRlLnqaCTnwzOG2_Wg"",""Direct links Without Sizes!A2:A""),IMPORTRANGE(""1NK5L1mviMn0j3D3uo53ASkIZOFRlLnqaCTnwzOG2_Wg"",""Direct links Without Sizes!B2:B""))),XLOOKUP($C1065,IMPORTRANGE(""1NK5L1mviMn0j3D3uo53ASkIZOFRlLnqaCTnwzOG2_Wg"",""Direct"&amp;" links Without Sizes!D2:D""),IMPORTRANGE(""1NK5L1mviMn0j3D3uo53ASkIZOFRlLnqaCTnwzOG2_Wg"",""Direct links Without Sizes!E2:E""))),"""")"),"")</f>
        <v/>
      </c>
      <c r="I1065" s="4"/>
      <c r="J1065" s="24" t="str">
        <f t="shared" si="1"/>
        <v/>
      </c>
      <c r="K1065" s="25"/>
      <c r="L1065" s="24" t="str">
        <f t="shared" si="2"/>
        <v/>
      </c>
      <c r="M1065" s="4"/>
      <c r="N1065" s="23"/>
      <c r="O1065" s="23"/>
      <c r="P1065" s="23"/>
      <c r="Q1065" s="4" t="str">
        <f t="shared" si="4"/>
        <v/>
      </c>
      <c r="R1065" s="20"/>
      <c r="S1065" s="20"/>
    </row>
    <row r="1066">
      <c r="A1066" s="4"/>
      <c r="B1066" s="4"/>
      <c r="C1066" s="37"/>
      <c r="D1066" s="7" t="str">
        <f>IFERROR(__xludf.DUMMYFUNCTION("iferror(iferror(INDEX(IMPORTRANGE(""12vtnxaE_Q1s4tyr10kZQx7ZF_xG0lBFae4jQEUtgsMU"",""All!B2:B""),MATCH($C1066,IMPORTRANGE(""12vtnxaE_Q1s4tyr10kZQx7ZF_xG0lBFae4jQEUtgsMU"",""All!A2:A""),0)),INDEX(IMPORTRANGE(""13KC70HngS4DDi8y9E5khtSpQEPG6owaQ9z4E-tR5mnY"""&amp;",""Non-Food!B2:B""),MATCH($C1066,IMPORTRANGE(""13KC70HngS4DDi8y9E5khtSpQEPG6owaQ9z4E-tR5mnY"",""Non-Food!A2:A""),0))),"""")"),"")</f>
        <v/>
      </c>
      <c r="E1066" s="15"/>
      <c r="F1066" s="15"/>
      <c r="G1066" s="36"/>
      <c r="H1066" s="23" t="str">
        <f>IFERROR(__xludf.DUMMYFUNCTION("iferror(iferror(iferror(index(IMPORTRANGE(""1NK5L1mviMn0j3D3uo53ASkIZOFRlLnqaCTnwzOG2_Wg"",""Direct Link!B2:B""),MATCH($C1066,IMPORTRANGE(""1NK5L1mviMn0j3D3uo53ASkIZOFRlLnqaCTnwzOG2_Wg"",""Direct Link!A2:A""),0)),XLOOKUP($C1066,IMPORTRANGE(""1NK5L1mviMn0j"&amp;"3D3uo53ASkIZOFRlLnqaCTnwzOG2_Wg"",""Direct links Without Sizes!A2:A""),IMPORTRANGE(""1NK5L1mviMn0j3D3uo53ASkIZOFRlLnqaCTnwzOG2_Wg"",""Direct links Without Sizes!B2:B""))),XLOOKUP($C1066,IMPORTRANGE(""1NK5L1mviMn0j3D3uo53ASkIZOFRlLnqaCTnwzOG2_Wg"",""Direct"&amp;" links Without Sizes!D2:D""),IMPORTRANGE(""1NK5L1mviMn0j3D3uo53ASkIZOFRlLnqaCTnwzOG2_Wg"",""Direct links Without Sizes!E2:E""))),"""")"),"")</f>
        <v/>
      </c>
      <c r="I1066" s="4"/>
      <c r="J1066" s="24" t="str">
        <f t="shared" si="1"/>
        <v/>
      </c>
      <c r="K1066" s="25"/>
      <c r="L1066" s="24" t="str">
        <f t="shared" si="2"/>
        <v/>
      </c>
      <c r="M1066" s="4"/>
      <c r="N1066" s="23"/>
      <c r="O1066" s="23"/>
      <c r="P1066" s="23"/>
      <c r="Q1066" s="4" t="str">
        <f t="shared" si="4"/>
        <v/>
      </c>
      <c r="R1066" s="20"/>
      <c r="S1066" s="20"/>
    </row>
    <row r="1067">
      <c r="A1067" s="4"/>
      <c r="B1067" s="4"/>
      <c r="C1067" s="37"/>
      <c r="D1067" s="7" t="str">
        <f>IFERROR(__xludf.DUMMYFUNCTION("iferror(iferror(INDEX(IMPORTRANGE(""12vtnxaE_Q1s4tyr10kZQx7ZF_xG0lBFae4jQEUtgsMU"",""All!B2:B""),MATCH($C1067,IMPORTRANGE(""12vtnxaE_Q1s4tyr10kZQx7ZF_xG0lBFae4jQEUtgsMU"",""All!A2:A""),0)),INDEX(IMPORTRANGE(""13KC70HngS4DDi8y9E5khtSpQEPG6owaQ9z4E-tR5mnY"""&amp;",""Non-Food!B2:B""),MATCH($C1067,IMPORTRANGE(""13KC70HngS4DDi8y9E5khtSpQEPG6owaQ9z4E-tR5mnY"",""Non-Food!A2:A""),0))),"""")"),"")</f>
        <v/>
      </c>
      <c r="E1067" s="15"/>
      <c r="F1067" s="15"/>
      <c r="G1067" s="36"/>
      <c r="H1067" s="23" t="str">
        <f>IFERROR(__xludf.DUMMYFUNCTION("iferror(iferror(iferror(index(IMPORTRANGE(""1NK5L1mviMn0j3D3uo53ASkIZOFRlLnqaCTnwzOG2_Wg"",""Direct Link!B2:B""),MATCH($C1067,IMPORTRANGE(""1NK5L1mviMn0j3D3uo53ASkIZOFRlLnqaCTnwzOG2_Wg"",""Direct Link!A2:A""),0)),XLOOKUP($C1067,IMPORTRANGE(""1NK5L1mviMn0j"&amp;"3D3uo53ASkIZOFRlLnqaCTnwzOG2_Wg"",""Direct links Without Sizes!A2:A""),IMPORTRANGE(""1NK5L1mviMn0j3D3uo53ASkIZOFRlLnqaCTnwzOG2_Wg"",""Direct links Without Sizes!B2:B""))),XLOOKUP($C1067,IMPORTRANGE(""1NK5L1mviMn0j3D3uo53ASkIZOFRlLnqaCTnwzOG2_Wg"",""Direct"&amp;" links Without Sizes!D2:D""),IMPORTRANGE(""1NK5L1mviMn0j3D3uo53ASkIZOFRlLnqaCTnwzOG2_Wg"",""Direct links Without Sizes!E2:E""))),"""")"),"")</f>
        <v/>
      </c>
      <c r="I1067" s="4"/>
      <c r="J1067" s="24" t="str">
        <f t="shared" si="1"/>
        <v/>
      </c>
      <c r="K1067" s="25"/>
      <c r="L1067" s="24" t="str">
        <f t="shared" si="2"/>
        <v/>
      </c>
      <c r="M1067" s="4"/>
      <c r="N1067" s="23"/>
      <c r="O1067" s="23"/>
      <c r="P1067" s="23"/>
      <c r="Q1067" s="4" t="str">
        <f t="shared" si="4"/>
        <v/>
      </c>
      <c r="R1067" s="20"/>
      <c r="S1067" s="20"/>
    </row>
    <row r="1068">
      <c r="A1068" s="4"/>
      <c r="B1068" s="4"/>
      <c r="C1068" s="37"/>
      <c r="D1068" s="7" t="str">
        <f>IFERROR(__xludf.DUMMYFUNCTION("iferror(iferror(INDEX(IMPORTRANGE(""12vtnxaE_Q1s4tyr10kZQx7ZF_xG0lBFae4jQEUtgsMU"",""All!B2:B""),MATCH($C1068,IMPORTRANGE(""12vtnxaE_Q1s4tyr10kZQx7ZF_xG0lBFae4jQEUtgsMU"",""All!A2:A""),0)),INDEX(IMPORTRANGE(""13KC70HngS4DDi8y9E5khtSpQEPG6owaQ9z4E-tR5mnY"""&amp;",""Non-Food!B2:B""),MATCH($C1068,IMPORTRANGE(""13KC70HngS4DDi8y9E5khtSpQEPG6owaQ9z4E-tR5mnY"",""Non-Food!A2:A""),0))),"""")"),"")</f>
        <v/>
      </c>
      <c r="E1068" s="15"/>
      <c r="F1068" s="15"/>
      <c r="G1068" s="36"/>
      <c r="H1068" s="23" t="str">
        <f>IFERROR(__xludf.DUMMYFUNCTION("iferror(iferror(iferror(index(IMPORTRANGE(""1NK5L1mviMn0j3D3uo53ASkIZOFRlLnqaCTnwzOG2_Wg"",""Direct Link!B2:B""),MATCH($C1068,IMPORTRANGE(""1NK5L1mviMn0j3D3uo53ASkIZOFRlLnqaCTnwzOG2_Wg"",""Direct Link!A2:A""),0)),XLOOKUP($C1068,IMPORTRANGE(""1NK5L1mviMn0j"&amp;"3D3uo53ASkIZOFRlLnqaCTnwzOG2_Wg"",""Direct links Without Sizes!A2:A""),IMPORTRANGE(""1NK5L1mviMn0j3D3uo53ASkIZOFRlLnqaCTnwzOG2_Wg"",""Direct links Without Sizes!B2:B""))),XLOOKUP($C1068,IMPORTRANGE(""1NK5L1mviMn0j3D3uo53ASkIZOFRlLnqaCTnwzOG2_Wg"",""Direct"&amp;" links Without Sizes!D2:D""),IMPORTRANGE(""1NK5L1mviMn0j3D3uo53ASkIZOFRlLnqaCTnwzOG2_Wg"",""Direct links Without Sizes!E2:E""))),"""")"),"")</f>
        <v/>
      </c>
      <c r="I1068" s="4"/>
      <c r="J1068" s="24" t="str">
        <f t="shared" si="1"/>
        <v/>
      </c>
      <c r="K1068" s="25"/>
      <c r="L1068" s="24" t="str">
        <f t="shared" si="2"/>
        <v/>
      </c>
      <c r="M1068" s="4"/>
      <c r="N1068" s="23"/>
      <c r="O1068" s="23"/>
      <c r="P1068" s="23"/>
      <c r="Q1068" s="4" t="str">
        <f t="shared" si="4"/>
        <v/>
      </c>
      <c r="R1068" s="20"/>
      <c r="S1068" s="20"/>
    </row>
    <row r="1069">
      <c r="A1069" s="4"/>
      <c r="B1069" s="4"/>
      <c r="C1069" s="37"/>
      <c r="D1069" s="7" t="str">
        <f>IFERROR(__xludf.DUMMYFUNCTION("iferror(iferror(INDEX(IMPORTRANGE(""12vtnxaE_Q1s4tyr10kZQx7ZF_xG0lBFae4jQEUtgsMU"",""All!B2:B""),MATCH($C1069,IMPORTRANGE(""12vtnxaE_Q1s4tyr10kZQx7ZF_xG0lBFae4jQEUtgsMU"",""All!A2:A""),0)),INDEX(IMPORTRANGE(""13KC70HngS4DDi8y9E5khtSpQEPG6owaQ9z4E-tR5mnY"""&amp;",""Non-Food!B2:B""),MATCH($C1069,IMPORTRANGE(""13KC70HngS4DDi8y9E5khtSpQEPG6owaQ9z4E-tR5mnY"",""Non-Food!A2:A""),0))),"""")"),"")</f>
        <v/>
      </c>
      <c r="E1069" s="15"/>
      <c r="F1069" s="15"/>
      <c r="G1069" s="36"/>
      <c r="H1069" s="23" t="str">
        <f>IFERROR(__xludf.DUMMYFUNCTION("iferror(iferror(iferror(index(IMPORTRANGE(""1NK5L1mviMn0j3D3uo53ASkIZOFRlLnqaCTnwzOG2_Wg"",""Direct Link!B2:B""),MATCH($C1069,IMPORTRANGE(""1NK5L1mviMn0j3D3uo53ASkIZOFRlLnqaCTnwzOG2_Wg"",""Direct Link!A2:A""),0)),XLOOKUP($C1069,IMPORTRANGE(""1NK5L1mviMn0j"&amp;"3D3uo53ASkIZOFRlLnqaCTnwzOG2_Wg"",""Direct links Without Sizes!A2:A""),IMPORTRANGE(""1NK5L1mviMn0j3D3uo53ASkIZOFRlLnqaCTnwzOG2_Wg"",""Direct links Without Sizes!B2:B""))),XLOOKUP($C1069,IMPORTRANGE(""1NK5L1mviMn0j3D3uo53ASkIZOFRlLnqaCTnwzOG2_Wg"",""Direct"&amp;" links Without Sizes!D2:D""),IMPORTRANGE(""1NK5L1mviMn0j3D3uo53ASkIZOFRlLnqaCTnwzOG2_Wg"",""Direct links Without Sizes!E2:E""))),"""")"),"")</f>
        <v/>
      </c>
      <c r="I1069" s="4"/>
      <c r="J1069" s="24" t="str">
        <f t="shared" si="1"/>
        <v/>
      </c>
      <c r="K1069" s="25"/>
      <c r="L1069" s="24" t="str">
        <f t="shared" si="2"/>
        <v/>
      </c>
      <c r="M1069" s="4"/>
      <c r="N1069" s="23"/>
      <c r="O1069" s="23"/>
      <c r="P1069" s="23"/>
      <c r="Q1069" s="4" t="str">
        <f t="shared" si="4"/>
        <v/>
      </c>
      <c r="R1069" s="20"/>
      <c r="S1069" s="20"/>
    </row>
    <row r="1070">
      <c r="A1070" s="4"/>
      <c r="B1070" s="4"/>
      <c r="C1070" s="37"/>
      <c r="D1070" s="7" t="str">
        <f>IFERROR(__xludf.DUMMYFUNCTION("iferror(iferror(INDEX(IMPORTRANGE(""12vtnxaE_Q1s4tyr10kZQx7ZF_xG0lBFae4jQEUtgsMU"",""All!B2:B""),MATCH($C1070,IMPORTRANGE(""12vtnxaE_Q1s4tyr10kZQx7ZF_xG0lBFae4jQEUtgsMU"",""All!A2:A""),0)),INDEX(IMPORTRANGE(""13KC70HngS4DDi8y9E5khtSpQEPG6owaQ9z4E-tR5mnY"""&amp;",""Non-Food!B2:B""),MATCH($C1070,IMPORTRANGE(""13KC70HngS4DDi8y9E5khtSpQEPG6owaQ9z4E-tR5mnY"",""Non-Food!A2:A""),0))),"""")"),"")</f>
        <v/>
      </c>
      <c r="E1070" s="15"/>
      <c r="F1070" s="15"/>
      <c r="G1070" s="36"/>
      <c r="H1070" s="23" t="str">
        <f>IFERROR(__xludf.DUMMYFUNCTION("iferror(iferror(iferror(index(IMPORTRANGE(""1NK5L1mviMn0j3D3uo53ASkIZOFRlLnqaCTnwzOG2_Wg"",""Direct Link!B2:B""),MATCH($C1070,IMPORTRANGE(""1NK5L1mviMn0j3D3uo53ASkIZOFRlLnqaCTnwzOG2_Wg"",""Direct Link!A2:A""),0)),XLOOKUP($C1070,IMPORTRANGE(""1NK5L1mviMn0j"&amp;"3D3uo53ASkIZOFRlLnqaCTnwzOG2_Wg"",""Direct links Without Sizes!A2:A""),IMPORTRANGE(""1NK5L1mviMn0j3D3uo53ASkIZOFRlLnqaCTnwzOG2_Wg"",""Direct links Without Sizes!B2:B""))),XLOOKUP($C1070,IMPORTRANGE(""1NK5L1mviMn0j3D3uo53ASkIZOFRlLnqaCTnwzOG2_Wg"",""Direct"&amp;" links Without Sizes!D2:D""),IMPORTRANGE(""1NK5L1mviMn0j3D3uo53ASkIZOFRlLnqaCTnwzOG2_Wg"",""Direct links Without Sizes!E2:E""))),"""")"),"")</f>
        <v/>
      </c>
      <c r="I1070" s="4"/>
      <c r="J1070" s="24" t="str">
        <f t="shared" si="1"/>
        <v/>
      </c>
      <c r="K1070" s="25"/>
      <c r="L1070" s="24" t="str">
        <f t="shared" si="2"/>
        <v/>
      </c>
      <c r="M1070" s="4"/>
      <c r="N1070" s="23"/>
      <c r="O1070" s="23"/>
      <c r="P1070" s="23"/>
      <c r="Q1070" s="4" t="str">
        <f t="shared" si="4"/>
        <v/>
      </c>
      <c r="R1070" s="20"/>
      <c r="S1070" s="20"/>
    </row>
    <row r="1071">
      <c r="A1071" s="4"/>
      <c r="B1071" s="4"/>
      <c r="C1071" s="37"/>
      <c r="D1071" s="7" t="str">
        <f>IFERROR(__xludf.DUMMYFUNCTION("iferror(iferror(INDEX(IMPORTRANGE(""12vtnxaE_Q1s4tyr10kZQx7ZF_xG0lBFae4jQEUtgsMU"",""All!B2:B""),MATCH($C1071,IMPORTRANGE(""12vtnxaE_Q1s4tyr10kZQx7ZF_xG0lBFae4jQEUtgsMU"",""All!A2:A""),0)),INDEX(IMPORTRANGE(""13KC70HngS4DDi8y9E5khtSpQEPG6owaQ9z4E-tR5mnY"""&amp;",""Non-Food!B2:B""),MATCH($C1071,IMPORTRANGE(""13KC70HngS4DDi8y9E5khtSpQEPG6owaQ9z4E-tR5mnY"",""Non-Food!A2:A""),0))),"""")"),"")</f>
        <v/>
      </c>
      <c r="E1071" s="15"/>
      <c r="F1071" s="15"/>
      <c r="G1071" s="36"/>
      <c r="H1071" s="23" t="str">
        <f>IFERROR(__xludf.DUMMYFUNCTION("iferror(iferror(iferror(index(IMPORTRANGE(""1NK5L1mviMn0j3D3uo53ASkIZOFRlLnqaCTnwzOG2_Wg"",""Direct Link!B2:B""),MATCH($C1071,IMPORTRANGE(""1NK5L1mviMn0j3D3uo53ASkIZOFRlLnqaCTnwzOG2_Wg"",""Direct Link!A2:A""),0)),XLOOKUP($C1071,IMPORTRANGE(""1NK5L1mviMn0j"&amp;"3D3uo53ASkIZOFRlLnqaCTnwzOG2_Wg"",""Direct links Without Sizes!A2:A""),IMPORTRANGE(""1NK5L1mviMn0j3D3uo53ASkIZOFRlLnqaCTnwzOG2_Wg"",""Direct links Without Sizes!B2:B""))),XLOOKUP($C1071,IMPORTRANGE(""1NK5L1mviMn0j3D3uo53ASkIZOFRlLnqaCTnwzOG2_Wg"",""Direct"&amp;" links Without Sizes!D2:D""),IMPORTRANGE(""1NK5L1mviMn0j3D3uo53ASkIZOFRlLnqaCTnwzOG2_Wg"",""Direct links Without Sizes!E2:E""))),"""")"),"")</f>
        <v/>
      </c>
      <c r="I1071" s="4"/>
      <c r="J1071" s="24" t="str">
        <f t="shared" si="1"/>
        <v/>
      </c>
      <c r="K1071" s="25"/>
      <c r="L1071" s="24" t="str">
        <f t="shared" si="2"/>
        <v/>
      </c>
      <c r="M1071" s="4"/>
      <c r="N1071" s="23"/>
      <c r="O1071" s="23"/>
      <c r="P1071" s="23"/>
      <c r="Q1071" s="4" t="str">
        <f t="shared" si="4"/>
        <v/>
      </c>
      <c r="R1071" s="20"/>
      <c r="S1071" s="20"/>
    </row>
    <row r="1072">
      <c r="A1072" s="4"/>
      <c r="B1072" s="4"/>
      <c r="C1072" s="37"/>
      <c r="D1072" s="7" t="str">
        <f>IFERROR(__xludf.DUMMYFUNCTION("iferror(iferror(INDEX(IMPORTRANGE(""12vtnxaE_Q1s4tyr10kZQx7ZF_xG0lBFae4jQEUtgsMU"",""All!B2:B""),MATCH($C1072,IMPORTRANGE(""12vtnxaE_Q1s4tyr10kZQx7ZF_xG0lBFae4jQEUtgsMU"",""All!A2:A""),0)),INDEX(IMPORTRANGE(""13KC70HngS4DDi8y9E5khtSpQEPG6owaQ9z4E-tR5mnY"""&amp;",""Non-Food!B2:B""),MATCH($C1072,IMPORTRANGE(""13KC70HngS4DDi8y9E5khtSpQEPG6owaQ9z4E-tR5mnY"",""Non-Food!A2:A""),0))),"""")"),"")</f>
        <v/>
      </c>
      <c r="E1072" s="15"/>
      <c r="F1072" s="15"/>
      <c r="G1072" s="36"/>
      <c r="H1072" s="23" t="str">
        <f>IFERROR(__xludf.DUMMYFUNCTION("iferror(iferror(iferror(index(IMPORTRANGE(""1NK5L1mviMn0j3D3uo53ASkIZOFRlLnqaCTnwzOG2_Wg"",""Direct Link!B2:B""),MATCH($C1072,IMPORTRANGE(""1NK5L1mviMn0j3D3uo53ASkIZOFRlLnqaCTnwzOG2_Wg"",""Direct Link!A2:A""),0)),XLOOKUP($C1072,IMPORTRANGE(""1NK5L1mviMn0j"&amp;"3D3uo53ASkIZOFRlLnqaCTnwzOG2_Wg"",""Direct links Without Sizes!A2:A""),IMPORTRANGE(""1NK5L1mviMn0j3D3uo53ASkIZOFRlLnqaCTnwzOG2_Wg"",""Direct links Without Sizes!B2:B""))),XLOOKUP($C1072,IMPORTRANGE(""1NK5L1mviMn0j3D3uo53ASkIZOFRlLnqaCTnwzOG2_Wg"",""Direct"&amp;" links Without Sizes!D2:D""),IMPORTRANGE(""1NK5L1mviMn0j3D3uo53ASkIZOFRlLnqaCTnwzOG2_Wg"",""Direct links Without Sizes!E2:E""))),"""")"),"")</f>
        <v/>
      </c>
      <c r="I1072" s="4"/>
      <c r="J1072" s="24" t="str">
        <f t="shared" si="1"/>
        <v/>
      </c>
      <c r="K1072" s="25"/>
      <c r="L1072" s="24" t="str">
        <f t="shared" si="2"/>
        <v/>
      </c>
      <c r="M1072" s="4"/>
      <c r="N1072" s="23"/>
      <c r="O1072" s="23"/>
      <c r="P1072" s="23"/>
      <c r="Q1072" s="4" t="str">
        <f t="shared" si="4"/>
        <v/>
      </c>
      <c r="R1072" s="20"/>
      <c r="S1072" s="20"/>
    </row>
    <row r="1073">
      <c r="A1073" s="4"/>
      <c r="B1073" s="4"/>
      <c r="C1073" s="37"/>
      <c r="D1073" s="7" t="str">
        <f>IFERROR(__xludf.DUMMYFUNCTION("iferror(iferror(INDEX(IMPORTRANGE(""12vtnxaE_Q1s4tyr10kZQx7ZF_xG0lBFae4jQEUtgsMU"",""All!B2:B""),MATCH($C1073,IMPORTRANGE(""12vtnxaE_Q1s4tyr10kZQx7ZF_xG0lBFae4jQEUtgsMU"",""All!A2:A""),0)),INDEX(IMPORTRANGE(""13KC70HngS4DDi8y9E5khtSpQEPG6owaQ9z4E-tR5mnY"""&amp;",""Non-Food!B2:B""),MATCH($C1073,IMPORTRANGE(""13KC70HngS4DDi8y9E5khtSpQEPG6owaQ9z4E-tR5mnY"",""Non-Food!A2:A""),0))),"""")"),"")</f>
        <v/>
      </c>
      <c r="E1073" s="15"/>
      <c r="F1073" s="15"/>
      <c r="G1073" s="36"/>
      <c r="H1073" s="23" t="str">
        <f>IFERROR(__xludf.DUMMYFUNCTION("iferror(iferror(iferror(index(IMPORTRANGE(""1NK5L1mviMn0j3D3uo53ASkIZOFRlLnqaCTnwzOG2_Wg"",""Direct Link!B2:B""),MATCH($C1073,IMPORTRANGE(""1NK5L1mviMn0j3D3uo53ASkIZOFRlLnqaCTnwzOG2_Wg"",""Direct Link!A2:A""),0)),XLOOKUP($C1073,IMPORTRANGE(""1NK5L1mviMn0j"&amp;"3D3uo53ASkIZOFRlLnqaCTnwzOG2_Wg"",""Direct links Without Sizes!A2:A""),IMPORTRANGE(""1NK5L1mviMn0j3D3uo53ASkIZOFRlLnqaCTnwzOG2_Wg"",""Direct links Without Sizes!B2:B""))),XLOOKUP($C1073,IMPORTRANGE(""1NK5L1mviMn0j3D3uo53ASkIZOFRlLnqaCTnwzOG2_Wg"",""Direct"&amp;" links Without Sizes!D2:D""),IMPORTRANGE(""1NK5L1mviMn0j3D3uo53ASkIZOFRlLnqaCTnwzOG2_Wg"",""Direct links Without Sizes!E2:E""))),"""")"),"")</f>
        <v/>
      </c>
      <c r="I1073" s="4"/>
      <c r="J1073" s="24" t="str">
        <f t="shared" si="1"/>
        <v/>
      </c>
      <c r="K1073" s="25"/>
      <c r="L1073" s="24" t="str">
        <f t="shared" si="2"/>
        <v/>
      </c>
      <c r="M1073" s="4"/>
      <c r="N1073" s="23"/>
      <c r="O1073" s="23"/>
      <c r="P1073" s="23"/>
      <c r="Q1073" s="4" t="str">
        <f t="shared" si="4"/>
        <v/>
      </c>
      <c r="R1073" s="20"/>
      <c r="S1073" s="20"/>
    </row>
    <row r="1074">
      <c r="A1074" s="4"/>
      <c r="B1074" s="4"/>
      <c r="C1074" s="37"/>
      <c r="D1074" s="7" t="str">
        <f>IFERROR(__xludf.DUMMYFUNCTION("iferror(iferror(INDEX(IMPORTRANGE(""12vtnxaE_Q1s4tyr10kZQx7ZF_xG0lBFae4jQEUtgsMU"",""All!B2:B""),MATCH($C1074,IMPORTRANGE(""12vtnxaE_Q1s4tyr10kZQx7ZF_xG0lBFae4jQEUtgsMU"",""All!A2:A""),0)),INDEX(IMPORTRANGE(""13KC70HngS4DDi8y9E5khtSpQEPG6owaQ9z4E-tR5mnY"""&amp;",""Non-Food!B2:B""),MATCH($C1074,IMPORTRANGE(""13KC70HngS4DDi8y9E5khtSpQEPG6owaQ9z4E-tR5mnY"",""Non-Food!A2:A""),0))),"""")"),"")</f>
        <v/>
      </c>
      <c r="E1074" s="15"/>
      <c r="F1074" s="15"/>
      <c r="G1074" s="36"/>
      <c r="H1074" s="23" t="str">
        <f>IFERROR(__xludf.DUMMYFUNCTION("iferror(iferror(iferror(index(IMPORTRANGE(""1NK5L1mviMn0j3D3uo53ASkIZOFRlLnqaCTnwzOG2_Wg"",""Direct Link!B2:B""),MATCH($C1074,IMPORTRANGE(""1NK5L1mviMn0j3D3uo53ASkIZOFRlLnqaCTnwzOG2_Wg"",""Direct Link!A2:A""),0)),XLOOKUP($C1074,IMPORTRANGE(""1NK5L1mviMn0j"&amp;"3D3uo53ASkIZOFRlLnqaCTnwzOG2_Wg"",""Direct links Without Sizes!A2:A""),IMPORTRANGE(""1NK5L1mviMn0j3D3uo53ASkIZOFRlLnqaCTnwzOG2_Wg"",""Direct links Without Sizes!B2:B""))),XLOOKUP($C1074,IMPORTRANGE(""1NK5L1mviMn0j3D3uo53ASkIZOFRlLnqaCTnwzOG2_Wg"",""Direct"&amp;" links Without Sizes!D2:D""),IMPORTRANGE(""1NK5L1mviMn0j3D3uo53ASkIZOFRlLnqaCTnwzOG2_Wg"",""Direct links Without Sizes!E2:E""))),"""")"),"")</f>
        <v/>
      </c>
      <c r="I1074" s="4"/>
      <c r="J1074" s="24" t="str">
        <f t="shared" si="1"/>
        <v/>
      </c>
      <c r="K1074" s="25"/>
      <c r="L1074" s="24" t="str">
        <f t="shared" si="2"/>
        <v/>
      </c>
      <c r="M1074" s="4"/>
      <c r="N1074" s="23"/>
      <c r="O1074" s="23"/>
      <c r="P1074" s="23"/>
      <c r="Q1074" s="4" t="str">
        <f t="shared" si="4"/>
        <v/>
      </c>
      <c r="R1074" s="20"/>
      <c r="S1074" s="20"/>
    </row>
    <row r="1075">
      <c r="A1075" s="4"/>
      <c r="B1075" s="4"/>
      <c r="C1075" s="37"/>
      <c r="D1075" s="7" t="str">
        <f>IFERROR(__xludf.DUMMYFUNCTION("iferror(iferror(INDEX(IMPORTRANGE(""12vtnxaE_Q1s4tyr10kZQx7ZF_xG0lBFae4jQEUtgsMU"",""All!B2:B""),MATCH($C1075,IMPORTRANGE(""12vtnxaE_Q1s4tyr10kZQx7ZF_xG0lBFae4jQEUtgsMU"",""All!A2:A""),0)),INDEX(IMPORTRANGE(""13KC70HngS4DDi8y9E5khtSpQEPG6owaQ9z4E-tR5mnY"""&amp;",""Non-Food!B2:B""),MATCH($C1075,IMPORTRANGE(""13KC70HngS4DDi8y9E5khtSpQEPG6owaQ9z4E-tR5mnY"",""Non-Food!A2:A""),0))),"""")"),"")</f>
        <v/>
      </c>
      <c r="E1075" s="15"/>
      <c r="F1075" s="15"/>
      <c r="G1075" s="36"/>
      <c r="H1075" s="23" t="str">
        <f>IFERROR(__xludf.DUMMYFUNCTION("iferror(iferror(iferror(index(IMPORTRANGE(""1NK5L1mviMn0j3D3uo53ASkIZOFRlLnqaCTnwzOG2_Wg"",""Direct Link!B2:B""),MATCH($C1075,IMPORTRANGE(""1NK5L1mviMn0j3D3uo53ASkIZOFRlLnqaCTnwzOG2_Wg"",""Direct Link!A2:A""),0)),XLOOKUP($C1075,IMPORTRANGE(""1NK5L1mviMn0j"&amp;"3D3uo53ASkIZOFRlLnqaCTnwzOG2_Wg"",""Direct links Without Sizes!A2:A""),IMPORTRANGE(""1NK5L1mviMn0j3D3uo53ASkIZOFRlLnqaCTnwzOG2_Wg"",""Direct links Without Sizes!B2:B""))),XLOOKUP($C1075,IMPORTRANGE(""1NK5L1mviMn0j3D3uo53ASkIZOFRlLnqaCTnwzOG2_Wg"",""Direct"&amp;" links Without Sizes!D2:D""),IMPORTRANGE(""1NK5L1mviMn0j3D3uo53ASkIZOFRlLnqaCTnwzOG2_Wg"",""Direct links Without Sizes!E2:E""))),"""")"),"")</f>
        <v/>
      </c>
      <c r="I1075" s="4"/>
      <c r="J1075" s="24" t="str">
        <f t="shared" si="1"/>
        <v/>
      </c>
      <c r="K1075" s="25"/>
      <c r="L1075" s="24" t="str">
        <f t="shared" si="2"/>
        <v/>
      </c>
      <c r="M1075" s="4"/>
      <c r="N1075" s="23"/>
      <c r="O1075" s="23"/>
      <c r="P1075" s="23"/>
      <c r="Q1075" s="4" t="str">
        <f t="shared" si="4"/>
        <v/>
      </c>
      <c r="R1075" s="20"/>
      <c r="S1075" s="20"/>
    </row>
    <row r="1076">
      <c r="A1076" s="4"/>
      <c r="B1076" s="4"/>
      <c r="C1076" s="37"/>
      <c r="D1076" s="7" t="str">
        <f>IFERROR(__xludf.DUMMYFUNCTION("iferror(iferror(INDEX(IMPORTRANGE(""12vtnxaE_Q1s4tyr10kZQx7ZF_xG0lBFae4jQEUtgsMU"",""All!B2:B""),MATCH($C1076,IMPORTRANGE(""12vtnxaE_Q1s4tyr10kZQx7ZF_xG0lBFae4jQEUtgsMU"",""All!A2:A""),0)),INDEX(IMPORTRANGE(""13KC70HngS4DDi8y9E5khtSpQEPG6owaQ9z4E-tR5mnY"""&amp;",""Non-Food!B2:B""),MATCH($C1076,IMPORTRANGE(""13KC70HngS4DDi8y9E5khtSpQEPG6owaQ9z4E-tR5mnY"",""Non-Food!A2:A""),0))),"""")"),"")</f>
        <v/>
      </c>
      <c r="E1076" s="15"/>
      <c r="F1076" s="15"/>
      <c r="G1076" s="36"/>
      <c r="H1076" s="23" t="str">
        <f>IFERROR(__xludf.DUMMYFUNCTION("iferror(iferror(iferror(index(IMPORTRANGE(""1NK5L1mviMn0j3D3uo53ASkIZOFRlLnqaCTnwzOG2_Wg"",""Direct Link!B2:B""),MATCH($C1076,IMPORTRANGE(""1NK5L1mviMn0j3D3uo53ASkIZOFRlLnqaCTnwzOG2_Wg"",""Direct Link!A2:A""),0)),XLOOKUP($C1076,IMPORTRANGE(""1NK5L1mviMn0j"&amp;"3D3uo53ASkIZOFRlLnqaCTnwzOG2_Wg"",""Direct links Without Sizes!A2:A""),IMPORTRANGE(""1NK5L1mviMn0j3D3uo53ASkIZOFRlLnqaCTnwzOG2_Wg"",""Direct links Without Sizes!B2:B""))),XLOOKUP($C1076,IMPORTRANGE(""1NK5L1mviMn0j3D3uo53ASkIZOFRlLnqaCTnwzOG2_Wg"",""Direct"&amp;" links Without Sizes!D2:D""),IMPORTRANGE(""1NK5L1mviMn0j3D3uo53ASkIZOFRlLnqaCTnwzOG2_Wg"",""Direct links Without Sizes!E2:E""))),"""")"),"")</f>
        <v/>
      </c>
      <c r="I1076" s="4"/>
      <c r="J1076" s="24" t="str">
        <f t="shared" si="1"/>
        <v/>
      </c>
      <c r="K1076" s="25"/>
      <c r="L1076" s="24" t="str">
        <f t="shared" si="2"/>
        <v/>
      </c>
      <c r="M1076" s="4"/>
      <c r="N1076" s="23"/>
      <c r="O1076" s="23"/>
      <c r="P1076" s="23"/>
      <c r="Q1076" s="4" t="str">
        <f t="shared" si="4"/>
        <v/>
      </c>
      <c r="R1076" s="20"/>
      <c r="S1076" s="20"/>
    </row>
    <row r="1077">
      <c r="A1077" s="4"/>
      <c r="B1077" s="4"/>
      <c r="C1077" s="37"/>
      <c r="D1077" s="7" t="str">
        <f>IFERROR(__xludf.DUMMYFUNCTION("iferror(iferror(INDEX(IMPORTRANGE(""12vtnxaE_Q1s4tyr10kZQx7ZF_xG0lBFae4jQEUtgsMU"",""All!B2:B""),MATCH($C1077,IMPORTRANGE(""12vtnxaE_Q1s4tyr10kZQx7ZF_xG0lBFae4jQEUtgsMU"",""All!A2:A""),0)),INDEX(IMPORTRANGE(""13KC70HngS4DDi8y9E5khtSpQEPG6owaQ9z4E-tR5mnY"""&amp;",""Non-Food!B2:B""),MATCH($C1077,IMPORTRANGE(""13KC70HngS4DDi8y9E5khtSpQEPG6owaQ9z4E-tR5mnY"",""Non-Food!A2:A""),0))),"""")"),"")</f>
        <v/>
      </c>
      <c r="E1077" s="15"/>
      <c r="F1077" s="15"/>
      <c r="G1077" s="36"/>
      <c r="H1077" s="23" t="str">
        <f>IFERROR(__xludf.DUMMYFUNCTION("iferror(iferror(iferror(index(IMPORTRANGE(""1NK5L1mviMn0j3D3uo53ASkIZOFRlLnqaCTnwzOG2_Wg"",""Direct Link!B2:B""),MATCH($C1077,IMPORTRANGE(""1NK5L1mviMn0j3D3uo53ASkIZOFRlLnqaCTnwzOG2_Wg"",""Direct Link!A2:A""),0)),XLOOKUP($C1077,IMPORTRANGE(""1NK5L1mviMn0j"&amp;"3D3uo53ASkIZOFRlLnqaCTnwzOG2_Wg"",""Direct links Without Sizes!A2:A""),IMPORTRANGE(""1NK5L1mviMn0j3D3uo53ASkIZOFRlLnqaCTnwzOG2_Wg"",""Direct links Without Sizes!B2:B""))),XLOOKUP($C1077,IMPORTRANGE(""1NK5L1mviMn0j3D3uo53ASkIZOFRlLnqaCTnwzOG2_Wg"",""Direct"&amp;" links Without Sizes!D2:D""),IMPORTRANGE(""1NK5L1mviMn0j3D3uo53ASkIZOFRlLnqaCTnwzOG2_Wg"",""Direct links Without Sizes!E2:E""))),"""")"),"")</f>
        <v/>
      </c>
      <c r="I1077" s="4"/>
      <c r="J1077" s="24" t="str">
        <f t="shared" si="1"/>
        <v/>
      </c>
      <c r="K1077" s="25"/>
      <c r="L1077" s="24" t="str">
        <f t="shared" si="2"/>
        <v/>
      </c>
      <c r="M1077" s="4"/>
      <c r="N1077" s="23"/>
      <c r="O1077" s="23"/>
      <c r="P1077" s="23"/>
      <c r="Q1077" s="4" t="str">
        <f t="shared" si="4"/>
        <v/>
      </c>
      <c r="R1077" s="20"/>
      <c r="S1077" s="20"/>
    </row>
    <row r="1078">
      <c r="A1078" s="4"/>
      <c r="B1078" s="4"/>
      <c r="C1078" s="37"/>
      <c r="D1078" s="7" t="str">
        <f>IFERROR(__xludf.DUMMYFUNCTION("iferror(iferror(INDEX(IMPORTRANGE(""12vtnxaE_Q1s4tyr10kZQx7ZF_xG0lBFae4jQEUtgsMU"",""All!B2:B""),MATCH($C1078,IMPORTRANGE(""12vtnxaE_Q1s4tyr10kZQx7ZF_xG0lBFae4jQEUtgsMU"",""All!A2:A""),0)),INDEX(IMPORTRANGE(""13KC70HngS4DDi8y9E5khtSpQEPG6owaQ9z4E-tR5mnY"""&amp;",""Non-Food!B2:B""),MATCH($C1078,IMPORTRANGE(""13KC70HngS4DDi8y9E5khtSpQEPG6owaQ9z4E-tR5mnY"",""Non-Food!A2:A""),0))),"""")"),"")</f>
        <v/>
      </c>
      <c r="E1078" s="15"/>
      <c r="F1078" s="15"/>
      <c r="G1078" s="36"/>
      <c r="H1078" s="23" t="str">
        <f>IFERROR(__xludf.DUMMYFUNCTION("iferror(iferror(iferror(index(IMPORTRANGE(""1NK5L1mviMn0j3D3uo53ASkIZOFRlLnqaCTnwzOG2_Wg"",""Direct Link!B2:B""),MATCH($C1078,IMPORTRANGE(""1NK5L1mviMn0j3D3uo53ASkIZOFRlLnqaCTnwzOG2_Wg"",""Direct Link!A2:A""),0)),XLOOKUP($C1078,IMPORTRANGE(""1NK5L1mviMn0j"&amp;"3D3uo53ASkIZOFRlLnqaCTnwzOG2_Wg"",""Direct links Without Sizes!A2:A""),IMPORTRANGE(""1NK5L1mviMn0j3D3uo53ASkIZOFRlLnqaCTnwzOG2_Wg"",""Direct links Without Sizes!B2:B""))),XLOOKUP($C1078,IMPORTRANGE(""1NK5L1mviMn0j3D3uo53ASkIZOFRlLnqaCTnwzOG2_Wg"",""Direct"&amp;" links Without Sizes!D2:D""),IMPORTRANGE(""1NK5L1mviMn0j3D3uo53ASkIZOFRlLnqaCTnwzOG2_Wg"",""Direct links Without Sizes!E2:E""))),"""")"),"")</f>
        <v/>
      </c>
      <c r="I1078" s="4"/>
      <c r="J1078" s="24" t="str">
        <f t="shared" si="1"/>
        <v/>
      </c>
      <c r="K1078" s="25"/>
      <c r="L1078" s="24" t="str">
        <f t="shared" si="2"/>
        <v/>
      </c>
      <c r="M1078" s="4"/>
      <c r="N1078" s="23"/>
      <c r="O1078" s="23"/>
      <c r="P1078" s="23"/>
      <c r="Q1078" s="4" t="str">
        <f t="shared" si="4"/>
        <v/>
      </c>
      <c r="R1078" s="20"/>
      <c r="S1078" s="20"/>
    </row>
    <row r="1079">
      <c r="A1079" s="4"/>
      <c r="B1079" s="4"/>
      <c r="C1079" s="37"/>
      <c r="D1079" s="7" t="str">
        <f>IFERROR(__xludf.DUMMYFUNCTION("iferror(iferror(INDEX(IMPORTRANGE(""12vtnxaE_Q1s4tyr10kZQx7ZF_xG0lBFae4jQEUtgsMU"",""All!B2:B""),MATCH($C1079,IMPORTRANGE(""12vtnxaE_Q1s4tyr10kZQx7ZF_xG0lBFae4jQEUtgsMU"",""All!A2:A""),0)),INDEX(IMPORTRANGE(""13KC70HngS4DDi8y9E5khtSpQEPG6owaQ9z4E-tR5mnY"""&amp;",""Non-Food!B2:B""),MATCH($C1079,IMPORTRANGE(""13KC70HngS4DDi8y9E5khtSpQEPG6owaQ9z4E-tR5mnY"",""Non-Food!A2:A""),0))),"""")"),"")</f>
        <v/>
      </c>
      <c r="E1079" s="15"/>
      <c r="F1079" s="15"/>
      <c r="G1079" s="36"/>
      <c r="H1079" s="23" t="str">
        <f>IFERROR(__xludf.DUMMYFUNCTION("iferror(iferror(iferror(index(IMPORTRANGE(""1NK5L1mviMn0j3D3uo53ASkIZOFRlLnqaCTnwzOG2_Wg"",""Direct Link!B2:B""),MATCH($C1079,IMPORTRANGE(""1NK5L1mviMn0j3D3uo53ASkIZOFRlLnqaCTnwzOG2_Wg"",""Direct Link!A2:A""),0)),XLOOKUP($C1079,IMPORTRANGE(""1NK5L1mviMn0j"&amp;"3D3uo53ASkIZOFRlLnqaCTnwzOG2_Wg"",""Direct links Without Sizes!A2:A""),IMPORTRANGE(""1NK5L1mviMn0j3D3uo53ASkIZOFRlLnqaCTnwzOG2_Wg"",""Direct links Without Sizes!B2:B""))),XLOOKUP($C1079,IMPORTRANGE(""1NK5L1mviMn0j3D3uo53ASkIZOFRlLnqaCTnwzOG2_Wg"",""Direct"&amp;" links Without Sizes!D2:D""),IMPORTRANGE(""1NK5L1mviMn0j3D3uo53ASkIZOFRlLnqaCTnwzOG2_Wg"",""Direct links Without Sizes!E2:E""))),"""")"),"")</f>
        <v/>
      </c>
      <c r="I1079" s="4"/>
      <c r="J1079" s="24" t="str">
        <f t="shared" si="1"/>
        <v/>
      </c>
      <c r="K1079" s="25"/>
      <c r="L1079" s="24" t="str">
        <f t="shared" si="2"/>
        <v/>
      </c>
      <c r="M1079" s="4"/>
      <c r="N1079" s="23"/>
      <c r="O1079" s="23"/>
      <c r="P1079" s="23"/>
      <c r="Q1079" s="4" t="str">
        <f t="shared" si="4"/>
        <v/>
      </c>
      <c r="R1079" s="20"/>
      <c r="S1079" s="20"/>
    </row>
    <row r="1080">
      <c r="A1080" s="4"/>
      <c r="B1080" s="4"/>
      <c r="C1080" s="37"/>
      <c r="D1080" s="7" t="str">
        <f>IFERROR(__xludf.DUMMYFUNCTION("iferror(iferror(INDEX(IMPORTRANGE(""12vtnxaE_Q1s4tyr10kZQx7ZF_xG0lBFae4jQEUtgsMU"",""All!B2:B""),MATCH($C1080,IMPORTRANGE(""12vtnxaE_Q1s4tyr10kZQx7ZF_xG0lBFae4jQEUtgsMU"",""All!A2:A""),0)),INDEX(IMPORTRANGE(""13KC70HngS4DDi8y9E5khtSpQEPG6owaQ9z4E-tR5mnY"""&amp;",""Non-Food!B2:B""),MATCH($C1080,IMPORTRANGE(""13KC70HngS4DDi8y9E5khtSpQEPG6owaQ9z4E-tR5mnY"",""Non-Food!A2:A""),0))),"""")"),"")</f>
        <v/>
      </c>
      <c r="E1080" s="15"/>
      <c r="F1080" s="15"/>
      <c r="G1080" s="36"/>
      <c r="H1080" s="23" t="str">
        <f>IFERROR(__xludf.DUMMYFUNCTION("iferror(iferror(iferror(index(IMPORTRANGE(""1NK5L1mviMn0j3D3uo53ASkIZOFRlLnqaCTnwzOG2_Wg"",""Direct Link!B2:B""),MATCH($C1080,IMPORTRANGE(""1NK5L1mviMn0j3D3uo53ASkIZOFRlLnqaCTnwzOG2_Wg"",""Direct Link!A2:A""),0)),XLOOKUP($C1080,IMPORTRANGE(""1NK5L1mviMn0j"&amp;"3D3uo53ASkIZOFRlLnqaCTnwzOG2_Wg"",""Direct links Without Sizes!A2:A""),IMPORTRANGE(""1NK5L1mviMn0j3D3uo53ASkIZOFRlLnqaCTnwzOG2_Wg"",""Direct links Without Sizes!B2:B""))),XLOOKUP($C1080,IMPORTRANGE(""1NK5L1mviMn0j3D3uo53ASkIZOFRlLnqaCTnwzOG2_Wg"",""Direct"&amp;" links Without Sizes!D2:D""),IMPORTRANGE(""1NK5L1mviMn0j3D3uo53ASkIZOFRlLnqaCTnwzOG2_Wg"",""Direct links Without Sizes!E2:E""))),"""")"),"")</f>
        <v/>
      </c>
      <c r="I1080" s="4"/>
      <c r="J1080" s="24" t="str">
        <f t="shared" si="1"/>
        <v/>
      </c>
      <c r="K1080" s="25"/>
      <c r="L1080" s="24" t="str">
        <f t="shared" si="2"/>
        <v/>
      </c>
      <c r="M1080" s="4"/>
      <c r="N1080" s="23"/>
      <c r="O1080" s="23"/>
      <c r="P1080" s="23"/>
      <c r="Q1080" s="4" t="str">
        <f t="shared" si="4"/>
        <v/>
      </c>
      <c r="R1080" s="20"/>
      <c r="S1080" s="20"/>
    </row>
    <row r="1081">
      <c r="A1081" s="4"/>
      <c r="B1081" s="4"/>
      <c r="C1081" s="37"/>
      <c r="D1081" s="7" t="str">
        <f>IFERROR(__xludf.DUMMYFUNCTION("iferror(iferror(INDEX(IMPORTRANGE(""12vtnxaE_Q1s4tyr10kZQx7ZF_xG0lBFae4jQEUtgsMU"",""All!B2:B""),MATCH($C1081,IMPORTRANGE(""12vtnxaE_Q1s4tyr10kZQx7ZF_xG0lBFae4jQEUtgsMU"",""All!A2:A""),0)),INDEX(IMPORTRANGE(""13KC70HngS4DDi8y9E5khtSpQEPG6owaQ9z4E-tR5mnY"""&amp;",""Non-Food!B2:B""),MATCH($C1081,IMPORTRANGE(""13KC70HngS4DDi8y9E5khtSpQEPG6owaQ9z4E-tR5mnY"",""Non-Food!A2:A""),0))),"""")"),"")</f>
        <v/>
      </c>
      <c r="E1081" s="15"/>
      <c r="F1081" s="15"/>
      <c r="G1081" s="36"/>
      <c r="H1081" s="23" t="str">
        <f>IFERROR(__xludf.DUMMYFUNCTION("iferror(iferror(iferror(index(IMPORTRANGE(""1NK5L1mviMn0j3D3uo53ASkIZOFRlLnqaCTnwzOG2_Wg"",""Direct Link!B2:B""),MATCH($C1081,IMPORTRANGE(""1NK5L1mviMn0j3D3uo53ASkIZOFRlLnqaCTnwzOG2_Wg"",""Direct Link!A2:A""),0)),XLOOKUP($C1081,IMPORTRANGE(""1NK5L1mviMn0j"&amp;"3D3uo53ASkIZOFRlLnqaCTnwzOG2_Wg"",""Direct links Without Sizes!A2:A""),IMPORTRANGE(""1NK5L1mviMn0j3D3uo53ASkIZOFRlLnqaCTnwzOG2_Wg"",""Direct links Without Sizes!B2:B""))),XLOOKUP($C1081,IMPORTRANGE(""1NK5L1mviMn0j3D3uo53ASkIZOFRlLnqaCTnwzOG2_Wg"",""Direct"&amp;" links Without Sizes!D2:D""),IMPORTRANGE(""1NK5L1mviMn0j3D3uo53ASkIZOFRlLnqaCTnwzOG2_Wg"",""Direct links Without Sizes!E2:E""))),"""")"),"")</f>
        <v/>
      </c>
      <c r="I1081" s="4"/>
      <c r="J1081" s="24" t="str">
        <f t="shared" si="1"/>
        <v/>
      </c>
      <c r="K1081" s="25"/>
      <c r="L1081" s="24" t="str">
        <f t="shared" si="2"/>
        <v/>
      </c>
      <c r="M1081" s="4"/>
      <c r="N1081" s="23"/>
      <c r="O1081" s="23"/>
      <c r="P1081" s="23"/>
      <c r="Q1081" s="4" t="str">
        <f t="shared" si="4"/>
        <v/>
      </c>
      <c r="R1081" s="20"/>
      <c r="S1081" s="20"/>
    </row>
    <row r="1082">
      <c r="A1082" s="4"/>
      <c r="B1082" s="4"/>
      <c r="C1082" s="37"/>
      <c r="D1082" s="7" t="str">
        <f>IFERROR(__xludf.DUMMYFUNCTION("iferror(iferror(INDEX(IMPORTRANGE(""12vtnxaE_Q1s4tyr10kZQx7ZF_xG0lBFae4jQEUtgsMU"",""All!B2:B""),MATCH($C1082,IMPORTRANGE(""12vtnxaE_Q1s4tyr10kZQx7ZF_xG0lBFae4jQEUtgsMU"",""All!A2:A""),0)),INDEX(IMPORTRANGE(""13KC70HngS4DDi8y9E5khtSpQEPG6owaQ9z4E-tR5mnY"""&amp;",""Non-Food!B2:B""),MATCH($C1082,IMPORTRANGE(""13KC70HngS4DDi8y9E5khtSpQEPG6owaQ9z4E-tR5mnY"",""Non-Food!A2:A""),0))),"""")"),"")</f>
        <v/>
      </c>
      <c r="E1082" s="15"/>
      <c r="F1082" s="15"/>
      <c r="G1082" s="36"/>
      <c r="H1082" s="23" t="str">
        <f>IFERROR(__xludf.DUMMYFUNCTION("iferror(iferror(iferror(index(IMPORTRANGE(""1NK5L1mviMn0j3D3uo53ASkIZOFRlLnqaCTnwzOG2_Wg"",""Direct Link!B2:B""),MATCH($C1082,IMPORTRANGE(""1NK5L1mviMn0j3D3uo53ASkIZOFRlLnqaCTnwzOG2_Wg"",""Direct Link!A2:A""),0)),XLOOKUP($C1082,IMPORTRANGE(""1NK5L1mviMn0j"&amp;"3D3uo53ASkIZOFRlLnqaCTnwzOG2_Wg"",""Direct links Without Sizes!A2:A""),IMPORTRANGE(""1NK5L1mviMn0j3D3uo53ASkIZOFRlLnqaCTnwzOG2_Wg"",""Direct links Without Sizes!B2:B""))),XLOOKUP($C1082,IMPORTRANGE(""1NK5L1mviMn0j3D3uo53ASkIZOFRlLnqaCTnwzOG2_Wg"",""Direct"&amp;" links Without Sizes!D2:D""),IMPORTRANGE(""1NK5L1mviMn0j3D3uo53ASkIZOFRlLnqaCTnwzOG2_Wg"",""Direct links Without Sizes!E2:E""))),"""")"),"")</f>
        <v/>
      </c>
      <c r="I1082" s="4"/>
      <c r="J1082" s="24" t="str">
        <f t="shared" si="1"/>
        <v/>
      </c>
      <c r="K1082" s="25"/>
      <c r="L1082" s="24" t="str">
        <f t="shared" si="2"/>
        <v/>
      </c>
      <c r="M1082" s="4"/>
      <c r="N1082" s="23"/>
      <c r="O1082" s="23"/>
      <c r="P1082" s="23"/>
      <c r="Q1082" s="4" t="str">
        <f t="shared" si="4"/>
        <v/>
      </c>
      <c r="R1082" s="20"/>
      <c r="S1082" s="20"/>
    </row>
    <row r="1083">
      <c r="A1083" s="4"/>
      <c r="B1083" s="4"/>
      <c r="C1083" s="37"/>
      <c r="D1083" s="7" t="str">
        <f>IFERROR(__xludf.DUMMYFUNCTION("iferror(iferror(INDEX(IMPORTRANGE(""12vtnxaE_Q1s4tyr10kZQx7ZF_xG0lBFae4jQEUtgsMU"",""All!B2:B""),MATCH($C1083,IMPORTRANGE(""12vtnxaE_Q1s4tyr10kZQx7ZF_xG0lBFae4jQEUtgsMU"",""All!A2:A""),0)),INDEX(IMPORTRANGE(""13KC70HngS4DDi8y9E5khtSpQEPG6owaQ9z4E-tR5mnY"""&amp;",""Non-Food!B2:B""),MATCH($C1083,IMPORTRANGE(""13KC70HngS4DDi8y9E5khtSpQEPG6owaQ9z4E-tR5mnY"",""Non-Food!A2:A""),0))),"""")"),"")</f>
        <v/>
      </c>
      <c r="E1083" s="15"/>
      <c r="F1083" s="15"/>
      <c r="G1083" s="36"/>
      <c r="H1083" s="23" t="str">
        <f>IFERROR(__xludf.DUMMYFUNCTION("iferror(iferror(iferror(index(IMPORTRANGE(""1NK5L1mviMn0j3D3uo53ASkIZOFRlLnqaCTnwzOG2_Wg"",""Direct Link!B2:B""),MATCH($C1083,IMPORTRANGE(""1NK5L1mviMn0j3D3uo53ASkIZOFRlLnqaCTnwzOG2_Wg"",""Direct Link!A2:A""),0)),XLOOKUP($C1083,IMPORTRANGE(""1NK5L1mviMn0j"&amp;"3D3uo53ASkIZOFRlLnqaCTnwzOG2_Wg"",""Direct links Without Sizes!A2:A""),IMPORTRANGE(""1NK5L1mviMn0j3D3uo53ASkIZOFRlLnqaCTnwzOG2_Wg"",""Direct links Without Sizes!B2:B""))),XLOOKUP($C1083,IMPORTRANGE(""1NK5L1mviMn0j3D3uo53ASkIZOFRlLnqaCTnwzOG2_Wg"",""Direct"&amp;" links Without Sizes!D2:D""),IMPORTRANGE(""1NK5L1mviMn0j3D3uo53ASkIZOFRlLnqaCTnwzOG2_Wg"",""Direct links Without Sizes!E2:E""))),"""")"),"")</f>
        <v/>
      </c>
      <c r="I1083" s="4"/>
      <c r="J1083" s="24" t="str">
        <f t="shared" si="1"/>
        <v/>
      </c>
      <c r="K1083" s="25"/>
      <c r="L1083" s="24" t="str">
        <f t="shared" si="2"/>
        <v/>
      </c>
      <c r="M1083" s="4"/>
      <c r="N1083" s="23"/>
      <c r="O1083" s="23"/>
      <c r="P1083" s="23"/>
      <c r="Q1083" s="4" t="str">
        <f t="shared" si="4"/>
        <v/>
      </c>
      <c r="R1083" s="20"/>
      <c r="S1083" s="20"/>
    </row>
    <row r="1084">
      <c r="A1084" s="4"/>
      <c r="B1084" s="4"/>
      <c r="C1084" s="37"/>
      <c r="D1084" s="7" t="str">
        <f>IFERROR(__xludf.DUMMYFUNCTION("iferror(iferror(INDEX(IMPORTRANGE(""12vtnxaE_Q1s4tyr10kZQx7ZF_xG0lBFae4jQEUtgsMU"",""All!B2:B""),MATCH($C1084,IMPORTRANGE(""12vtnxaE_Q1s4tyr10kZQx7ZF_xG0lBFae4jQEUtgsMU"",""All!A2:A""),0)),INDEX(IMPORTRANGE(""13KC70HngS4DDi8y9E5khtSpQEPG6owaQ9z4E-tR5mnY"""&amp;",""Non-Food!B2:B""),MATCH($C1084,IMPORTRANGE(""13KC70HngS4DDi8y9E5khtSpQEPG6owaQ9z4E-tR5mnY"",""Non-Food!A2:A""),0))),"""")"),"")</f>
        <v/>
      </c>
      <c r="E1084" s="15"/>
      <c r="F1084" s="15"/>
      <c r="G1084" s="36"/>
      <c r="H1084" s="23" t="str">
        <f>IFERROR(__xludf.DUMMYFUNCTION("iferror(iferror(iferror(index(IMPORTRANGE(""1NK5L1mviMn0j3D3uo53ASkIZOFRlLnqaCTnwzOG2_Wg"",""Direct Link!B2:B""),MATCH($C1084,IMPORTRANGE(""1NK5L1mviMn0j3D3uo53ASkIZOFRlLnqaCTnwzOG2_Wg"",""Direct Link!A2:A""),0)),XLOOKUP($C1084,IMPORTRANGE(""1NK5L1mviMn0j"&amp;"3D3uo53ASkIZOFRlLnqaCTnwzOG2_Wg"",""Direct links Without Sizes!A2:A""),IMPORTRANGE(""1NK5L1mviMn0j3D3uo53ASkIZOFRlLnqaCTnwzOG2_Wg"",""Direct links Without Sizes!B2:B""))),XLOOKUP($C1084,IMPORTRANGE(""1NK5L1mviMn0j3D3uo53ASkIZOFRlLnqaCTnwzOG2_Wg"",""Direct"&amp;" links Without Sizes!D2:D""),IMPORTRANGE(""1NK5L1mviMn0j3D3uo53ASkIZOFRlLnqaCTnwzOG2_Wg"",""Direct links Without Sizes!E2:E""))),"""")"),"")</f>
        <v/>
      </c>
      <c r="I1084" s="4"/>
      <c r="J1084" s="24" t="str">
        <f t="shared" si="1"/>
        <v/>
      </c>
      <c r="K1084" s="25"/>
      <c r="L1084" s="24" t="str">
        <f t="shared" si="2"/>
        <v/>
      </c>
      <c r="M1084" s="4"/>
      <c r="N1084" s="23"/>
      <c r="O1084" s="23"/>
      <c r="P1084" s="23"/>
      <c r="Q1084" s="4" t="str">
        <f t="shared" si="4"/>
        <v/>
      </c>
      <c r="R1084" s="20"/>
      <c r="S1084" s="20"/>
    </row>
    <row r="1085">
      <c r="A1085" s="4"/>
      <c r="B1085" s="4"/>
      <c r="C1085" s="37"/>
      <c r="D1085" s="7" t="str">
        <f>IFERROR(__xludf.DUMMYFUNCTION("iferror(iferror(INDEX(IMPORTRANGE(""12vtnxaE_Q1s4tyr10kZQx7ZF_xG0lBFae4jQEUtgsMU"",""All!B2:B""),MATCH($C1085,IMPORTRANGE(""12vtnxaE_Q1s4tyr10kZQx7ZF_xG0lBFae4jQEUtgsMU"",""All!A2:A""),0)),INDEX(IMPORTRANGE(""13KC70HngS4DDi8y9E5khtSpQEPG6owaQ9z4E-tR5mnY"""&amp;",""Non-Food!B2:B""),MATCH($C1085,IMPORTRANGE(""13KC70HngS4DDi8y9E5khtSpQEPG6owaQ9z4E-tR5mnY"",""Non-Food!A2:A""),0))),"""")"),"")</f>
        <v/>
      </c>
      <c r="E1085" s="15"/>
      <c r="F1085" s="15"/>
      <c r="G1085" s="36"/>
      <c r="H1085" s="23" t="str">
        <f>IFERROR(__xludf.DUMMYFUNCTION("iferror(iferror(iferror(index(IMPORTRANGE(""1NK5L1mviMn0j3D3uo53ASkIZOFRlLnqaCTnwzOG2_Wg"",""Direct Link!B2:B""),MATCH($C1085,IMPORTRANGE(""1NK5L1mviMn0j3D3uo53ASkIZOFRlLnqaCTnwzOG2_Wg"",""Direct Link!A2:A""),0)),XLOOKUP($C1085,IMPORTRANGE(""1NK5L1mviMn0j"&amp;"3D3uo53ASkIZOFRlLnqaCTnwzOG2_Wg"",""Direct links Without Sizes!A2:A""),IMPORTRANGE(""1NK5L1mviMn0j3D3uo53ASkIZOFRlLnqaCTnwzOG2_Wg"",""Direct links Without Sizes!B2:B""))),XLOOKUP($C1085,IMPORTRANGE(""1NK5L1mviMn0j3D3uo53ASkIZOFRlLnqaCTnwzOG2_Wg"",""Direct"&amp;" links Without Sizes!D2:D""),IMPORTRANGE(""1NK5L1mviMn0j3D3uo53ASkIZOFRlLnqaCTnwzOG2_Wg"",""Direct links Without Sizes!E2:E""))),"""")"),"")</f>
        <v/>
      </c>
      <c r="I1085" s="4"/>
      <c r="J1085" s="24" t="str">
        <f t="shared" si="1"/>
        <v/>
      </c>
      <c r="K1085" s="25"/>
      <c r="L1085" s="24" t="str">
        <f t="shared" si="2"/>
        <v/>
      </c>
      <c r="M1085" s="4"/>
      <c r="N1085" s="23"/>
      <c r="O1085" s="23"/>
      <c r="P1085" s="23"/>
      <c r="Q1085" s="4" t="str">
        <f t="shared" si="4"/>
        <v/>
      </c>
      <c r="R1085" s="20"/>
      <c r="S1085" s="20"/>
    </row>
    <row r="1086">
      <c r="A1086" s="4"/>
      <c r="B1086" s="4"/>
      <c r="C1086" s="37"/>
      <c r="D1086" s="7" t="str">
        <f>IFERROR(__xludf.DUMMYFUNCTION("iferror(iferror(INDEX(IMPORTRANGE(""12vtnxaE_Q1s4tyr10kZQx7ZF_xG0lBFae4jQEUtgsMU"",""All!B2:B""),MATCH($C1086,IMPORTRANGE(""12vtnxaE_Q1s4tyr10kZQx7ZF_xG0lBFae4jQEUtgsMU"",""All!A2:A""),0)),INDEX(IMPORTRANGE(""13KC70HngS4DDi8y9E5khtSpQEPG6owaQ9z4E-tR5mnY"""&amp;",""Non-Food!B2:B""),MATCH($C1086,IMPORTRANGE(""13KC70HngS4DDi8y9E5khtSpQEPG6owaQ9z4E-tR5mnY"",""Non-Food!A2:A""),0))),"""")"),"")</f>
        <v/>
      </c>
      <c r="E1086" s="15"/>
      <c r="F1086" s="15"/>
      <c r="G1086" s="36"/>
      <c r="H1086" s="23" t="str">
        <f>IFERROR(__xludf.DUMMYFUNCTION("iferror(iferror(iferror(index(IMPORTRANGE(""1NK5L1mviMn0j3D3uo53ASkIZOFRlLnqaCTnwzOG2_Wg"",""Direct Link!B2:B""),MATCH($C1086,IMPORTRANGE(""1NK5L1mviMn0j3D3uo53ASkIZOFRlLnqaCTnwzOG2_Wg"",""Direct Link!A2:A""),0)),XLOOKUP($C1086,IMPORTRANGE(""1NK5L1mviMn0j"&amp;"3D3uo53ASkIZOFRlLnqaCTnwzOG2_Wg"",""Direct links Without Sizes!A2:A""),IMPORTRANGE(""1NK5L1mviMn0j3D3uo53ASkIZOFRlLnqaCTnwzOG2_Wg"",""Direct links Without Sizes!B2:B""))),XLOOKUP($C1086,IMPORTRANGE(""1NK5L1mviMn0j3D3uo53ASkIZOFRlLnqaCTnwzOG2_Wg"",""Direct"&amp;" links Without Sizes!D2:D""),IMPORTRANGE(""1NK5L1mviMn0j3D3uo53ASkIZOFRlLnqaCTnwzOG2_Wg"",""Direct links Without Sizes!E2:E""))),"""")"),"")</f>
        <v/>
      </c>
      <c r="I1086" s="4"/>
      <c r="J1086" s="24" t="str">
        <f t="shared" si="1"/>
        <v/>
      </c>
      <c r="K1086" s="25"/>
      <c r="L1086" s="24" t="str">
        <f t="shared" si="2"/>
        <v/>
      </c>
      <c r="M1086" s="4"/>
      <c r="N1086" s="23"/>
      <c r="O1086" s="23"/>
      <c r="P1086" s="23"/>
      <c r="Q1086" s="4" t="str">
        <f t="shared" si="4"/>
        <v/>
      </c>
      <c r="R1086" s="20"/>
      <c r="S1086" s="20"/>
    </row>
    <row r="1087">
      <c r="A1087" s="4"/>
      <c r="B1087" s="4"/>
      <c r="C1087" s="37"/>
      <c r="D1087" s="7" t="str">
        <f>IFERROR(__xludf.DUMMYFUNCTION("iferror(iferror(INDEX(IMPORTRANGE(""12vtnxaE_Q1s4tyr10kZQx7ZF_xG0lBFae4jQEUtgsMU"",""All!B2:B""),MATCH($C1087,IMPORTRANGE(""12vtnxaE_Q1s4tyr10kZQx7ZF_xG0lBFae4jQEUtgsMU"",""All!A2:A""),0)),INDEX(IMPORTRANGE(""13KC70HngS4DDi8y9E5khtSpQEPG6owaQ9z4E-tR5mnY"""&amp;",""Non-Food!B2:B""),MATCH($C1087,IMPORTRANGE(""13KC70HngS4DDi8y9E5khtSpQEPG6owaQ9z4E-tR5mnY"",""Non-Food!A2:A""),0))),"""")"),"")</f>
        <v/>
      </c>
      <c r="E1087" s="15"/>
      <c r="F1087" s="15"/>
      <c r="G1087" s="36"/>
      <c r="H1087" s="23" t="str">
        <f>IFERROR(__xludf.DUMMYFUNCTION("iferror(iferror(iferror(index(IMPORTRANGE(""1NK5L1mviMn0j3D3uo53ASkIZOFRlLnqaCTnwzOG2_Wg"",""Direct Link!B2:B""),MATCH($C1087,IMPORTRANGE(""1NK5L1mviMn0j3D3uo53ASkIZOFRlLnqaCTnwzOG2_Wg"",""Direct Link!A2:A""),0)),XLOOKUP($C1087,IMPORTRANGE(""1NK5L1mviMn0j"&amp;"3D3uo53ASkIZOFRlLnqaCTnwzOG2_Wg"",""Direct links Without Sizes!A2:A""),IMPORTRANGE(""1NK5L1mviMn0j3D3uo53ASkIZOFRlLnqaCTnwzOG2_Wg"",""Direct links Without Sizes!B2:B""))),XLOOKUP($C1087,IMPORTRANGE(""1NK5L1mviMn0j3D3uo53ASkIZOFRlLnqaCTnwzOG2_Wg"",""Direct"&amp;" links Without Sizes!D2:D""),IMPORTRANGE(""1NK5L1mviMn0j3D3uo53ASkIZOFRlLnqaCTnwzOG2_Wg"",""Direct links Without Sizes!E2:E""))),"""")"),"")</f>
        <v/>
      </c>
      <c r="I1087" s="4"/>
      <c r="J1087" s="24" t="str">
        <f t="shared" si="1"/>
        <v/>
      </c>
      <c r="K1087" s="25"/>
      <c r="L1087" s="24" t="str">
        <f t="shared" si="2"/>
        <v/>
      </c>
      <c r="M1087" s="4"/>
      <c r="N1087" s="23"/>
      <c r="O1087" s="23"/>
      <c r="P1087" s="23"/>
      <c r="Q1087" s="4" t="str">
        <f t="shared" si="4"/>
        <v/>
      </c>
      <c r="R1087" s="20"/>
      <c r="S1087" s="20"/>
    </row>
    <row r="1088">
      <c r="A1088" s="4"/>
      <c r="B1088" s="4"/>
      <c r="C1088" s="37"/>
      <c r="D1088" s="7" t="str">
        <f>IFERROR(__xludf.DUMMYFUNCTION("iferror(iferror(INDEX(IMPORTRANGE(""12vtnxaE_Q1s4tyr10kZQx7ZF_xG0lBFae4jQEUtgsMU"",""All!B2:B""),MATCH($C1088,IMPORTRANGE(""12vtnxaE_Q1s4tyr10kZQx7ZF_xG0lBFae4jQEUtgsMU"",""All!A2:A""),0)),INDEX(IMPORTRANGE(""13KC70HngS4DDi8y9E5khtSpQEPG6owaQ9z4E-tR5mnY"""&amp;",""Non-Food!B2:B""),MATCH($C1088,IMPORTRANGE(""13KC70HngS4DDi8y9E5khtSpQEPG6owaQ9z4E-tR5mnY"",""Non-Food!A2:A""),0))),"""")"),"")</f>
        <v/>
      </c>
      <c r="E1088" s="15"/>
      <c r="F1088" s="15"/>
      <c r="G1088" s="36"/>
      <c r="H1088" s="23" t="str">
        <f>IFERROR(__xludf.DUMMYFUNCTION("iferror(iferror(iferror(index(IMPORTRANGE(""1NK5L1mviMn0j3D3uo53ASkIZOFRlLnqaCTnwzOG2_Wg"",""Direct Link!B2:B""),MATCH($C1088,IMPORTRANGE(""1NK5L1mviMn0j3D3uo53ASkIZOFRlLnqaCTnwzOG2_Wg"",""Direct Link!A2:A""),0)),XLOOKUP($C1088,IMPORTRANGE(""1NK5L1mviMn0j"&amp;"3D3uo53ASkIZOFRlLnqaCTnwzOG2_Wg"",""Direct links Without Sizes!A2:A""),IMPORTRANGE(""1NK5L1mviMn0j3D3uo53ASkIZOFRlLnqaCTnwzOG2_Wg"",""Direct links Without Sizes!B2:B""))),XLOOKUP($C1088,IMPORTRANGE(""1NK5L1mviMn0j3D3uo53ASkIZOFRlLnqaCTnwzOG2_Wg"",""Direct"&amp;" links Without Sizes!D2:D""),IMPORTRANGE(""1NK5L1mviMn0j3D3uo53ASkIZOFRlLnqaCTnwzOG2_Wg"",""Direct links Without Sizes!E2:E""))),"""")"),"")</f>
        <v/>
      </c>
      <c r="I1088" s="4"/>
      <c r="J1088" s="24" t="str">
        <f t="shared" si="1"/>
        <v/>
      </c>
      <c r="K1088" s="25"/>
      <c r="L1088" s="24" t="str">
        <f t="shared" si="2"/>
        <v/>
      </c>
      <c r="M1088" s="4"/>
      <c r="N1088" s="23"/>
      <c r="O1088" s="23"/>
      <c r="P1088" s="23"/>
      <c r="Q1088" s="4" t="str">
        <f t="shared" si="4"/>
        <v/>
      </c>
      <c r="R1088" s="20"/>
      <c r="S1088" s="20"/>
    </row>
    <row r="1089">
      <c r="A1089" s="4"/>
      <c r="B1089" s="4"/>
      <c r="C1089" s="37"/>
      <c r="D1089" s="7" t="str">
        <f>IFERROR(__xludf.DUMMYFUNCTION("iferror(iferror(INDEX(IMPORTRANGE(""12vtnxaE_Q1s4tyr10kZQx7ZF_xG0lBFae4jQEUtgsMU"",""All!B2:B""),MATCH($C1089,IMPORTRANGE(""12vtnxaE_Q1s4tyr10kZQx7ZF_xG0lBFae4jQEUtgsMU"",""All!A2:A""),0)),INDEX(IMPORTRANGE(""13KC70HngS4DDi8y9E5khtSpQEPG6owaQ9z4E-tR5mnY"""&amp;",""Non-Food!B2:B""),MATCH($C1089,IMPORTRANGE(""13KC70HngS4DDi8y9E5khtSpQEPG6owaQ9z4E-tR5mnY"",""Non-Food!A2:A""),0))),"""")"),"")</f>
        <v/>
      </c>
      <c r="E1089" s="15"/>
      <c r="F1089" s="15"/>
      <c r="G1089" s="36"/>
      <c r="H1089" s="23" t="str">
        <f>IFERROR(__xludf.DUMMYFUNCTION("iferror(iferror(iferror(index(IMPORTRANGE(""1NK5L1mviMn0j3D3uo53ASkIZOFRlLnqaCTnwzOG2_Wg"",""Direct Link!B2:B""),MATCH($C1089,IMPORTRANGE(""1NK5L1mviMn0j3D3uo53ASkIZOFRlLnqaCTnwzOG2_Wg"",""Direct Link!A2:A""),0)),XLOOKUP($C1089,IMPORTRANGE(""1NK5L1mviMn0j"&amp;"3D3uo53ASkIZOFRlLnqaCTnwzOG2_Wg"",""Direct links Without Sizes!A2:A""),IMPORTRANGE(""1NK5L1mviMn0j3D3uo53ASkIZOFRlLnqaCTnwzOG2_Wg"",""Direct links Without Sizes!B2:B""))),XLOOKUP($C1089,IMPORTRANGE(""1NK5L1mviMn0j3D3uo53ASkIZOFRlLnqaCTnwzOG2_Wg"",""Direct"&amp;" links Without Sizes!D2:D""),IMPORTRANGE(""1NK5L1mviMn0j3D3uo53ASkIZOFRlLnqaCTnwzOG2_Wg"",""Direct links Without Sizes!E2:E""))),"""")"),"")</f>
        <v/>
      </c>
      <c r="I1089" s="4"/>
      <c r="J1089" s="24" t="str">
        <f t="shared" si="1"/>
        <v/>
      </c>
      <c r="K1089" s="25"/>
      <c r="L1089" s="24" t="str">
        <f t="shared" si="2"/>
        <v/>
      </c>
      <c r="M1089" s="4"/>
      <c r="N1089" s="23"/>
      <c r="O1089" s="23"/>
      <c r="P1089" s="23"/>
      <c r="Q1089" s="4" t="str">
        <f t="shared" si="4"/>
        <v/>
      </c>
      <c r="R1089" s="20"/>
      <c r="S1089" s="20"/>
    </row>
    <row r="1090">
      <c r="A1090" s="4"/>
      <c r="B1090" s="4"/>
      <c r="C1090" s="37"/>
      <c r="D1090" s="7" t="str">
        <f>IFERROR(__xludf.DUMMYFUNCTION("iferror(iferror(INDEX(IMPORTRANGE(""12vtnxaE_Q1s4tyr10kZQx7ZF_xG0lBFae4jQEUtgsMU"",""All!B2:B""),MATCH($C1090,IMPORTRANGE(""12vtnxaE_Q1s4tyr10kZQx7ZF_xG0lBFae4jQEUtgsMU"",""All!A2:A""),0)),INDEX(IMPORTRANGE(""13KC70HngS4DDi8y9E5khtSpQEPG6owaQ9z4E-tR5mnY"""&amp;",""Non-Food!B2:B""),MATCH($C1090,IMPORTRANGE(""13KC70HngS4DDi8y9E5khtSpQEPG6owaQ9z4E-tR5mnY"",""Non-Food!A2:A""),0))),"""")"),"")</f>
        <v/>
      </c>
      <c r="E1090" s="15"/>
      <c r="F1090" s="15"/>
      <c r="G1090" s="36"/>
      <c r="H1090" s="23" t="str">
        <f>IFERROR(__xludf.DUMMYFUNCTION("iferror(iferror(iferror(index(IMPORTRANGE(""1NK5L1mviMn0j3D3uo53ASkIZOFRlLnqaCTnwzOG2_Wg"",""Direct Link!B2:B""),MATCH($C1090,IMPORTRANGE(""1NK5L1mviMn0j3D3uo53ASkIZOFRlLnqaCTnwzOG2_Wg"",""Direct Link!A2:A""),0)),XLOOKUP($C1090,IMPORTRANGE(""1NK5L1mviMn0j"&amp;"3D3uo53ASkIZOFRlLnqaCTnwzOG2_Wg"",""Direct links Without Sizes!A2:A""),IMPORTRANGE(""1NK5L1mviMn0j3D3uo53ASkIZOFRlLnqaCTnwzOG2_Wg"",""Direct links Without Sizes!B2:B""))),XLOOKUP($C1090,IMPORTRANGE(""1NK5L1mviMn0j3D3uo53ASkIZOFRlLnqaCTnwzOG2_Wg"",""Direct"&amp;" links Without Sizes!D2:D""),IMPORTRANGE(""1NK5L1mviMn0j3D3uo53ASkIZOFRlLnqaCTnwzOG2_Wg"",""Direct links Without Sizes!E2:E""))),"""")"),"")</f>
        <v/>
      </c>
      <c r="I1090" s="4"/>
      <c r="J1090" s="24" t="str">
        <f t="shared" si="1"/>
        <v/>
      </c>
      <c r="K1090" s="25"/>
      <c r="L1090" s="24" t="str">
        <f t="shared" si="2"/>
        <v/>
      </c>
      <c r="M1090" s="4"/>
      <c r="N1090" s="23"/>
      <c r="O1090" s="23"/>
      <c r="P1090" s="23"/>
      <c r="Q1090" s="4" t="str">
        <f t="shared" si="4"/>
        <v/>
      </c>
      <c r="R1090" s="20"/>
      <c r="S1090" s="20"/>
    </row>
    <row r="1091">
      <c r="A1091" s="4"/>
      <c r="B1091" s="4"/>
      <c r="C1091" s="37"/>
      <c r="D1091" s="7" t="str">
        <f>IFERROR(__xludf.DUMMYFUNCTION("iferror(iferror(INDEX(IMPORTRANGE(""12vtnxaE_Q1s4tyr10kZQx7ZF_xG0lBFae4jQEUtgsMU"",""All!B2:B""),MATCH($C1091,IMPORTRANGE(""12vtnxaE_Q1s4tyr10kZQx7ZF_xG0lBFae4jQEUtgsMU"",""All!A2:A""),0)),INDEX(IMPORTRANGE(""13KC70HngS4DDi8y9E5khtSpQEPG6owaQ9z4E-tR5mnY"""&amp;",""Non-Food!B2:B""),MATCH($C1091,IMPORTRANGE(""13KC70HngS4DDi8y9E5khtSpQEPG6owaQ9z4E-tR5mnY"",""Non-Food!A2:A""),0))),"""")"),"")</f>
        <v/>
      </c>
      <c r="E1091" s="15"/>
      <c r="F1091" s="15"/>
      <c r="G1091" s="36"/>
      <c r="H1091" s="23" t="str">
        <f>IFERROR(__xludf.DUMMYFUNCTION("iferror(iferror(iferror(index(IMPORTRANGE(""1NK5L1mviMn0j3D3uo53ASkIZOFRlLnqaCTnwzOG2_Wg"",""Direct Link!B2:B""),MATCH($C1091,IMPORTRANGE(""1NK5L1mviMn0j3D3uo53ASkIZOFRlLnqaCTnwzOG2_Wg"",""Direct Link!A2:A""),0)),XLOOKUP($C1091,IMPORTRANGE(""1NK5L1mviMn0j"&amp;"3D3uo53ASkIZOFRlLnqaCTnwzOG2_Wg"",""Direct links Without Sizes!A2:A""),IMPORTRANGE(""1NK5L1mviMn0j3D3uo53ASkIZOFRlLnqaCTnwzOG2_Wg"",""Direct links Without Sizes!B2:B""))),XLOOKUP($C1091,IMPORTRANGE(""1NK5L1mviMn0j3D3uo53ASkIZOFRlLnqaCTnwzOG2_Wg"",""Direct"&amp;" links Without Sizes!D2:D""),IMPORTRANGE(""1NK5L1mviMn0j3D3uo53ASkIZOFRlLnqaCTnwzOG2_Wg"",""Direct links Without Sizes!E2:E""))),"""")"),"")</f>
        <v/>
      </c>
      <c r="I1091" s="4"/>
      <c r="J1091" s="24" t="str">
        <f t="shared" si="1"/>
        <v/>
      </c>
      <c r="K1091" s="25"/>
      <c r="L1091" s="24" t="str">
        <f t="shared" si="2"/>
        <v/>
      </c>
      <c r="M1091" s="4"/>
      <c r="N1091" s="23"/>
      <c r="O1091" s="23"/>
      <c r="P1091" s="23"/>
      <c r="Q1091" s="4" t="str">
        <f t="shared" si="4"/>
        <v/>
      </c>
      <c r="R1091" s="20"/>
      <c r="S1091" s="20"/>
    </row>
    <row r="1092">
      <c r="A1092" s="4"/>
      <c r="B1092" s="4"/>
      <c r="C1092" s="37"/>
      <c r="D1092" s="7" t="str">
        <f>IFERROR(__xludf.DUMMYFUNCTION("iferror(iferror(INDEX(IMPORTRANGE(""12vtnxaE_Q1s4tyr10kZQx7ZF_xG0lBFae4jQEUtgsMU"",""All!B2:B""),MATCH($C1092,IMPORTRANGE(""12vtnxaE_Q1s4tyr10kZQx7ZF_xG0lBFae4jQEUtgsMU"",""All!A2:A""),0)),INDEX(IMPORTRANGE(""13KC70HngS4DDi8y9E5khtSpQEPG6owaQ9z4E-tR5mnY"""&amp;",""Non-Food!B2:B""),MATCH($C1092,IMPORTRANGE(""13KC70HngS4DDi8y9E5khtSpQEPG6owaQ9z4E-tR5mnY"",""Non-Food!A2:A""),0))),"""")"),"")</f>
        <v/>
      </c>
      <c r="E1092" s="15"/>
      <c r="F1092" s="15"/>
      <c r="G1092" s="36"/>
      <c r="H1092" s="23" t="str">
        <f>IFERROR(__xludf.DUMMYFUNCTION("iferror(iferror(iferror(index(IMPORTRANGE(""1NK5L1mviMn0j3D3uo53ASkIZOFRlLnqaCTnwzOG2_Wg"",""Direct Link!B2:B""),MATCH($C1092,IMPORTRANGE(""1NK5L1mviMn0j3D3uo53ASkIZOFRlLnqaCTnwzOG2_Wg"",""Direct Link!A2:A""),0)),XLOOKUP($C1092,IMPORTRANGE(""1NK5L1mviMn0j"&amp;"3D3uo53ASkIZOFRlLnqaCTnwzOG2_Wg"",""Direct links Without Sizes!A2:A""),IMPORTRANGE(""1NK5L1mviMn0j3D3uo53ASkIZOFRlLnqaCTnwzOG2_Wg"",""Direct links Without Sizes!B2:B""))),XLOOKUP($C1092,IMPORTRANGE(""1NK5L1mviMn0j3D3uo53ASkIZOFRlLnqaCTnwzOG2_Wg"",""Direct"&amp;" links Without Sizes!D2:D""),IMPORTRANGE(""1NK5L1mviMn0j3D3uo53ASkIZOFRlLnqaCTnwzOG2_Wg"",""Direct links Without Sizes!E2:E""))),"""")"),"")</f>
        <v/>
      </c>
      <c r="I1092" s="4"/>
      <c r="J1092" s="24" t="str">
        <f t="shared" si="1"/>
        <v/>
      </c>
      <c r="K1092" s="25"/>
      <c r="L1092" s="24" t="str">
        <f t="shared" si="2"/>
        <v/>
      </c>
      <c r="M1092" s="4"/>
      <c r="N1092" s="23"/>
      <c r="O1092" s="23"/>
      <c r="P1092" s="23"/>
      <c r="Q1092" s="4" t="str">
        <f t="shared" si="4"/>
        <v/>
      </c>
      <c r="R1092" s="20"/>
      <c r="S1092" s="20"/>
    </row>
    <row r="1093">
      <c r="A1093" s="4"/>
      <c r="B1093" s="4"/>
      <c r="C1093" s="37"/>
      <c r="D1093" s="7" t="str">
        <f>IFERROR(__xludf.DUMMYFUNCTION("iferror(iferror(INDEX(IMPORTRANGE(""12vtnxaE_Q1s4tyr10kZQx7ZF_xG0lBFae4jQEUtgsMU"",""All!B2:B""),MATCH($C1093,IMPORTRANGE(""12vtnxaE_Q1s4tyr10kZQx7ZF_xG0lBFae4jQEUtgsMU"",""All!A2:A""),0)),INDEX(IMPORTRANGE(""13KC70HngS4DDi8y9E5khtSpQEPG6owaQ9z4E-tR5mnY"""&amp;",""Non-Food!B2:B""),MATCH($C1093,IMPORTRANGE(""13KC70HngS4DDi8y9E5khtSpQEPG6owaQ9z4E-tR5mnY"",""Non-Food!A2:A""),0))),"""")"),"")</f>
        <v/>
      </c>
      <c r="E1093" s="15"/>
      <c r="F1093" s="15"/>
      <c r="G1093" s="36"/>
      <c r="H1093" s="23" t="str">
        <f>IFERROR(__xludf.DUMMYFUNCTION("iferror(iferror(iferror(index(IMPORTRANGE(""1NK5L1mviMn0j3D3uo53ASkIZOFRlLnqaCTnwzOG2_Wg"",""Direct Link!B2:B""),MATCH($C1093,IMPORTRANGE(""1NK5L1mviMn0j3D3uo53ASkIZOFRlLnqaCTnwzOG2_Wg"",""Direct Link!A2:A""),0)),XLOOKUP($C1093,IMPORTRANGE(""1NK5L1mviMn0j"&amp;"3D3uo53ASkIZOFRlLnqaCTnwzOG2_Wg"",""Direct links Without Sizes!A2:A""),IMPORTRANGE(""1NK5L1mviMn0j3D3uo53ASkIZOFRlLnqaCTnwzOG2_Wg"",""Direct links Without Sizes!B2:B""))),XLOOKUP($C1093,IMPORTRANGE(""1NK5L1mviMn0j3D3uo53ASkIZOFRlLnqaCTnwzOG2_Wg"",""Direct"&amp;" links Without Sizes!D2:D""),IMPORTRANGE(""1NK5L1mviMn0j3D3uo53ASkIZOFRlLnqaCTnwzOG2_Wg"",""Direct links Without Sizes!E2:E""))),"""")"),"")</f>
        <v/>
      </c>
      <c r="I1093" s="4"/>
      <c r="J1093" s="24" t="str">
        <f t="shared" si="1"/>
        <v/>
      </c>
      <c r="K1093" s="25"/>
      <c r="L1093" s="24" t="str">
        <f t="shared" si="2"/>
        <v/>
      </c>
      <c r="M1093" s="4"/>
      <c r="N1093" s="23"/>
      <c r="O1093" s="23"/>
      <c r="P1093" s="23"/>
      <c r="Q1093" s="4" t="str">
        <f t="shared" si="4"/>
        <v/>
      </c>
      <c r="R1093" s="20"/>
      <c r="S1093" s="20"/>
    </row>
    <row r="1094">
      <c r="A1094" s="4"/>
      <c r="B1094" s="4"/>
      <c r="C1094" s="37"/>
      <c r="D1094" s="7" t="str">
        <f>IFERROR(__xludf.DUMMYFUNCTION("iferror(iferror(INDEX(IMPORTRANGE(""12vtnxaE_Q1s4tyr10kZQx7ZF_xG0lBFae4jQEUtgsMU"",""All!B2:B""),MATCH($C1094,IMPORTRANGE(""12vtnxaE_Q1s4tyr10kZQx7ZF_xG0lBFae4jQEUtgsMU"",""All!A2:A""),0)),INDEX(IMPORTRANGE(""13KC70HngS4DDi8y9E5khtSpQEPG6owaQ9z4E-tR5mnY"""&amp;",""Non-Food!B2:B""),MATCH($C1094,IMPORTRANGE(""13KC70HngS4DDi8y9E5khtSpQEPG6owaQ9z4E-tR5mnY"",""Non-Food!A2:A""),0))),"""")"),"")</f>
        <v/>
      </c>
      <c r="E1094" s="15"/>
      <c r="F1094" s="15"/>
      <c r="G1094" s="36"/>
      <c r="H1094" s="23" t="str">
        <f>IFERROR(__xludf.DUMMYFUNCTION("iferror(iferror(iferror(index(IMPORTRANGE(""1NK5L1mviMn0j3D3uo53ASkIZOFRlLnqaCTnwzOG2_Wg"",""Direct Link!B2:B""),MATCH($C1094,IMPORTRANGE(""1NK5L1mviMn0j3D3uo53ASkIZOFRlLnqaCTnwzOG2_Wg"",""Direct Link!A2:A""),0)),XLOOKUP($C1094,IMPORTRANGE(""1NK5L1mviMn0j"&amp;"3D3uo53ASkIZOFRlLnqaCTnwzOG2_Wg"",""Direct links Without Sizes!A2:A""),IMPORTRANGE(""1NK5L1mviMn0j3D3uo53ASkIZOFRlLnqaCTnwzOG2_Wg"",""Direct links Without Sizes!B2:B""))),XLOOKUP($C1094,IMPORTRANGE(""1NK5L1mviMn0j3D3uo53ASkIZOFRlLnqaCTnwzOG2_Wg"",""Direct"&amp;" links Without Sizes!D2:D""),IMPORTRANGE(""1NK5L1mviMn0j3D3uo53ASkIZOFRlLnqaCTnwzOG2_Wg"",""Direct links Without Sizes!E2:E""))),"""")"),"")</f>
        <v/>
      </c>
      <c r="I1094" s="4"/>
      <c r="J1094" s="24" t="str">
        <f t="shared" si="1"/>
        <v/>
      </c>
      <c r="K1094" s="25"/>
      <c r="L1094" s="24" t="str">
        <f t="shared" si="2"/>
        <v/>
      </c>
      <c r="M1094" s="4"/>
      <c r="N1094" s="23"/>
      <c r="O1094" s="23"/>
      <c r="P1094" s="23"/>
      <c r="Q1094" s="4" t="str">
        <f t="shared" si="4"/>
        <v/>
      </c>
      <c r="R1094" s="20"/>
      <c r="S1094" s="20"/>
    </row>
    <row r="1095">
      <c r="A1095" s="4"/>
      <c r="B1095" s="4"/>
      <c r="C1095" s="37"/>
      <c r="D1095" s="7" t="str">
        <f>IFERROR(__xludf.DUMMYFUNCTION("iferror(iferror(INDEX(IMPORTRANGE(""12vtnxaE_Q1s4tyr10kZQx7ZF_xG0lBFae4jQEUtgsMU"",""All!B2:B""),MATCH($C1095,IMPORTRANGE(""12vtnxaE_Q1s4tyr10kZQx7ZF_xG0lBFae4jQEUtgsMU"",""All!A2:A""),0)),INDEX(IMPORTRANGE(""13KC70HngS4DDi8y9E5khtSpQEPG6owaQ9z4E-tR5mnY"""&amp;",""Non-Food!B2:B""),MATCH($C1095,IMPORTRANGE(""13KC70HngS4DDi8y9E5khtSpQEPG6owaQ9z4E-tR5mnY"",""Non-Food!A2:A""),0))),"""")"),"")</f>
        <v/>
      </c>
      <c r="E1095" s="15"/>
      <c r="F1095" s="15"/>
      <c r="G1095" s="36"/>
      <c r="H1095" s="23" t="str">
        <f>IFERROR(__xludf.DUMMYFUNCTION("iferror(iferror(iferror(index(IMPORTRANGE(""1NK5L1mviMn0j3D3uo53ASkIZOFRlLnqaCTnwzOG2_Wg"",""Direct Link!B2:B""),MATCH($C1095,IMPORTRANGE(""1NK5L1mviMn0j3D3uo53ASkIZOFRlLnqaCTnwzOG2_Wg"",""Direct Link!A2:A""),0)),XLOOKUP($C1095,IMPORTRANGE(""1NK5L1mviMn0j"&amp;"3D3uo53ASkIZOFRlLnqaCTnwzOG2_Wg"",""Direct links Without Sizes!A2:A""),IMPORTRANGE(""1NK5L1mviMn0j3D3uo53ASkIZOFRlLnqaCTnwzOG2_Wg"",""Direct links Without Sizes!B2:B""))),XLOOKUP($C1095,IMPORTRANGE(""1NK5L1mviMn0j3D3uo53ASkIZOFRlLnqaCTnwzOG2_Wg"",""Direct"&amp;" links Without Sizes!D2:D""),IMPORTRANGE(""1NK5L1mviMn0j3D3uo53ASkIZOFRlLnqaCTnwzOG2_Wg"",""Direct links Without Sizes!E2:E""))),"""")"),"")</f>
        <v/>
      </c>
      <c r="I1095" s="4"/>
      <c r="J1095" s="24" t="str">
        <f t="shared" si="1"/>
        <v/>
      </c>
      <c r="K1095" s="25"/>
      <c r="L1095" s="24" t="str">
        <f t="shared" si="2"/>
        <v/>
      </c>
      <c r="M1095" s="4"/>
      <c r="N1095" s="23"/>
      <c r="O1095" s="23"/>
      <c r="P1095" s="23"/>
      <c r="Q1095" s="4" t="str">
        <f t="shared" si="4"/>
        <v/>
      </c>
      <c r="R1095" s="20"/>
      <c r="S1095" s="20"/>
    </row>
    <row r="1096">
      <c r="A1096" s="4"/>
      <c r="B1096" s="4"/>
      <c r="C1096" s="37"/>
      <c r="D1096" s="7" t="str">
        <f>IFERROR(__xludf.DUMMYFUNCTION("iferror(iferror(INDEX(IMPORTRANGE(""12vtnxaE_Q1s4tyr10kZQx7ZF_xG0lBFae4jQEUtgsMU"",""All!B2:B""),MATCH($C1096,IMPORTRANGE(""12vtnxaE_Q1s4tyr10kZQx7ZF_xG0lBFae4jQEUtgsMU"",""All!A2:A""),0)),INDEX(IMPORTRANGE(""13KC70HngS4DDi8y9E5khtSpQEPG6owaQ9z4E-tR5mnY"""&amp;",""Non-Food!B2:B""),MATCH($C1096,IMPORTRANGE(""13KC70HngS4DDi8y9E5khtSpQEPG6owaQ9z4E-tR5mnY"",""Non-Food!A2:A""),0))),"""")"),"")</f>
        <v/>
      </c>
      <c r="E1096" s="15"/>
      <c r="F1096" s="15"/>
      <c r="G1096" s="36"/>
      <c r="H1096" s="23" t="str">
        <f>IFERROR(__xludf.DUMMYFUNCTION("iferror(iferror(iferror(index(IMPORTRANGE(""1NK5L1mviMn0j3D3uo53ASkIZOFRlLnqaCTnwzOG2_Wg"",""Direct Link!B2:B""),MATCH($C1096,IMPORTRANGE(""1NK5L1mviMn0j3D3uo53ASkIZOFRlLnqaCTnwzOG2_Wg"",""Direct Link!A2:A""),0)),XLOOKUP($C1096,IMPORTRANGE(""1NK5L1mviMn0j"&amp;"3D3uo53ASkIZOFRlLnqaCTnwzOG2_Wg"",""Direct links Without Sizes!A2:A""),IMPORTRANGE(""1NK5L1mviMn0j3D3uo53ASkIZOFRlLnqaCTnwzOG2_Wg"",""Direct links Without Sizes!B2:B""))),XLOOKUP($C1096,IMPORTRANGE(""1NK5L1mviMn0j3D3uo53ASkIZOFRlLnqaCTnwzOG2_Wg"",""Direct"&amp;" links Without Sizes!D2:D""),IMPORTRANGE(""1NK5L1mviMn0j3D3uo53ASkIZOFRlLnqaCTnwzOG2_Wg"",""Direct links Without Sizes!E2:E""))),"""")"),"")</f>
        <v/>
      </c>
      <c r="I1096" s="4"/>
      <c r="J1096" s="24" t="str">
        <f t="shared" si="1"/>
        <v/>
      </c>
      <c r="K1096" s="25"/>
      <c r="L1096" s="24" t="str">
        <f t="shared" si="2"/>
        <v/>
      </c>
      <c r="M1096" s="4"/>
      <c r="N1096" s="23"/>
      <c r="O1096" s="23"/>
      <c r="P1096" s="23"/>
      <c r="Q1096" s="4" t="str">
        <f t="shared" si="4"/>
        <v/>
      </c>
      <c r="R1096" s="20"/>
      <c r="S1096" s="20"/>
    </row>
    <row r="1097">
      <c r="A1097" s="4"/>
      <c r="B1097" s="4"/>
      <c r="C1097" s="37"/>
      <c r="D1097" s="7" t="str">
        <f>IFERROR(__xludf.DUMMYFUNCTION("iferror(iferror(INDEX(IMPORTRANGE(""12vtnxaE_Q1s4tyr10kZQx7ZF_xG0lBFae4jQEUtgsMU"",""All!B2:B""),MATCH($C1097,IMPORTRANGE(""12vtnxaE_Q1s4tyr10kZQx7ZF_xG0lBFae4jQEUtgsMU"",""All!A2:A""),0)),INDEX(IMPORTRANGE(""13KC70HngS4DDi8y9E5khtSpQEPG6owaQ9z4E-tR5mnY"""&amp;",""Non-Food!B2:B""),MATCH($C1097,IMPORTRANGE(""13KC70HngS4DDi8y9E5khtSpQEPG6owaQ9z4E-tR5mnY"",""Non-Food!A2:A""),0))),"""")"),"")</f>
        <v/>
      </c>
      <c r="E1097" s="15"/>
      <c r="F1097" s="15"/>
      <c r="G1097" s="36"/>
      <c r="H1097" s="23" t="str">
        <f>IFERROR(__xludf.DUMMYFUNCTION("iferror(iferror(iferror(index(IMPORTRANGE(""1NK5L1mviMn0j3D3uo53ASkIZOFRlLnqaCTnwzOG2_Wg"",""Direct Link!B2:B""),MATCH($C1097,IMPORTRANGE(""1NK5L1mviMn0j3D3uo53ASkIZOFRlLnqaCTnwzOG2_Wg"",""Direct Link!A2:A""),0)),XLOOKUP($C1097,IMPORTRANGE(""1NK5L1mviMn0j"&amp;"3D3uo53ASkIZOFRlLnqaCTnwzOG2_Wg"",""Direct links Without Sizes!A2:A""),IMPORTRANGE(""1NK5L1mviMn0j3D3uo53ASkIZOFRlLnqaCTnwzOG2_Wg"",""Direct links Without Sizes!B2:B""))),XLOOKUP($C1097,IMPORTRANGE(""1NK5L1mviMn0j3D3uo53ASkIZOFRlLnqaCTnwzOG2_Wg"",""Direct"&amp;" links Without Sizes!D2:D""),IMPORTRANGE(""1NK5L1mviMn0j3D3uo53ASkIZOFRlLnqaCTnwzOG2_Wg"",""Direct links Without Sizes!E2:E""))),"""")"),"")</f>
        <v/>
      </c>
      <c r="I1097" s="4"/>
      <c r="J1097" s="24" t="str">
        <f t="shared" si="1"/>
        <v/>
      </c>
      <c r="K1097" s="25"/>
      <c r="L1097" s="24" t="str">
        <f t="shared" si="2"/>
        <v/>
      </c>
      <c r="M1097" s="4"/>
      <c r="N1097" s="23"/>
      <c r="O1097" s="23"/>
      <c r="P1097" s="23"/>
      <c r="Q1097" s="4" t="str">
        <f t="shared" si="4"/>
        <v/>
      </c>
      <c r="R1097" s="20"/>
      <c r="S1097" s="20"/>
    </row>
    <row r="1098">
      <c r="A1098" s="4"/>
      <c r="B1098" s="4"/>
      <c r="C1098" s="37"/>
      <c r="D1098" s="7" t="str">
        <f>IFERROR(__xludf.DUMMYFUNCTION("iferror(iferror(INDEX(IMPORTRANGE(""12vtnxaE_Q1s4tyr10kZQx7ZF_xG0lBFae4jQEUtgsMU"",""All!B2:B""),MATCH($C1098,IMPORTRANGE(""12vtnxaE_Q1s4tyr10kZQx7ZF_xG0lBFae4jQEUtgsMU"",""All!A2:A""),0)),INDEX(IMPORTRANGE(""13KC70HngS4DDi8y9E5khtSpQEPG6owaQ9z4E-tR5mnY"""&amp;",""Non-Food!B2:B""),MATCH($C1098,IMPORTRANGE(""13KC70HngS4DDi8y9E5khtSpQEPG6owaQ9z4E-tR5mnY"",""Non-Food!A2:A""),0))),"""")"),"")</f>
        <v/>
      </c>
      <c r="E1098" s="15"/>
      <c r="F1098" s="15"/>
      <c r="G1098" s="36"/>
      <c r="H1098" s="23" t="str">
        <f>IFERROR(__xludf.DUMMYFUNCTION("iferror(iferror(iferror(index(IMPORTRANGE(""1NK5L1mviMn0j3D3uo53ASkIZOFRlLnqaCTnwzOG2_Wg"",""Direct Link!B2:B""),MATCH($C1098,IMPORTRANGE(""1NK5L1mviMn0j3D3uo53ASkIZOFRlLnqaCTnwzOG2_Wg"",""Direct Link!A2:A""),0)),XLOOKUP($C1098,IMPORTRANGE(""1NK5L1mviMn0j"&amp;"3D3uo53ASkIZOFRlLnqaCTnwzOG2_Wg"",""Direct links Without Sizes!A2:A""),IMPORTRANGE(""1NK5L1mviMn0j3D3uo53ASkIZOFRlLnqaCTnwzOG2_Wg"",""Direct links Without Sizes!B2:B""))),XLOOKUP($C1098,IMPORTRANGE(""1NK5L1mviMn0j3D3uo53ASkIZOFRlLnqaCTnwzOG2_Wg"",""Direct"&amp;" links Without Sizes!D2:D""),IMPORTRANGE(""1NK5L1mviMn0j3D3uo53ASkIZOFRlLnqaCTnwzOG2_Wg"",""Direct links Without Sizes!E2:E""))),"""")"),"")</f>
        <v/>
      </c>
      <c r="I1098" s="4"/>
      <c r="J1098" s="24" t="str">
        <f t="shared" si="1"/>
        <v/>
      </c>
      <c r="K1098" s="25"/>
      <c r="L1098" s="24" t="str">
        <f t="shared" si="2"/>
        <v/>
      </c>
      <c r="M1098" s="4"/>
      <c r="N1098" s="23"/>
      <c r="O1098" s="23"/>
      <c r="P1098" s="23"/>
      <c r="Q1098" s="4" t="str">
        <f t="shared" si="4"/>
        <v/>
      </c>
      <c r="R1098" s="20"/>
      <c r="S1098" s="20"/>
    </row>
    <row r="1099">
      <c r="A1099" s="4"/>
      <c r="B1099" s="4"/>
      <c r="C1099" s="37"/>
      <c r="D1099" s="7" t="str">
        <f>IFERROR(__xludf.DUMMYFUNCTION("iferror(iferror(INDEX(IMPORTRANGE(""12vtnxaE_Q1s4tyr10kZQx7ZF_xG0lBFae4jQEUtgsMU"",""All!B2:B""),MATCH($C1099,IMPORTRANGE(""12vtnxaE_Q1s4tyr10kZQx7ZF_xG0lBFae4jQEUtgsMU"",""All!A2:A""),0)),INDEX(IMPORTRANGE(""13KC70HngS4DDi8y9E5khtSpQEPG6owaQ9z4E-tR5mnY"""&amp;",""Non-Food!B2:B""),MATCH($C1099,IMPORTRANGE(""13KC70HngS4DDi8y9E5khtSpQEPG6owaQ9z4E-tR5mnY"",""Non-Food!A2:A""),0))),"""")"),"")</f>
        <v/>
      </c>
      <c r="E1099" s="15"/>
      <c r="F1099" s="15"/>
      <c r="G1099" s="36"/>
      <c r="H1099" s="23" t="str">
        <f>IFERROR(__xludf.DUMMYFUNCTION("iferror(iferror(iferror(index(IMPORTRANGE(""1NK5L1mviMn0j3D3uo53ASkIZOFRlLnqaCTnwzOG2_Wg"",""Direct Link!B2:B""),MATCH($C1099,IMPORTRANGE(""1NK5L1mviMn0j3D3uo53ASkIZOFRlLnqaCTnwzOG2_Wg"",""Direct Link!A2:A""),0)),XLOOKUP($C1099,IMPORTRANGE(""1NK5L1mviMn0j"&amp;"3D3uo53ASkIZOFRlLnqaCTnwzOG2_Wg"",""Direct links Without Sizes!A2:A""),IMPORTRANGE(""1NK5L1mviMn0j3D3uo53ASkIZOFRlLnqaCTnwzOG2_Wg"",""Direct links Without Sizes!B2:B""))),XLOOKUP($C1099,IMPORTRANGE(""1NK5L1mviMn0j3D3uo53ASkIZOFRlLnqaCTnwzOG2_Wg"",""Direct"&amp;" links Without Sizes!D2:D""),IMPORTRANGE(""1NK5L1mviMn0j3D3uo53ASkIZOFRlLnqaCTnwzOG2_Wg"",""Direct links Without Sizes!E2:E""))),"""")"),"")</f>
        <v/>
      </c>
      <c r="I1099" s="4"/>
      <c r="J1099" s="24" t="str">
        <f t="shared" si="1"/>
        <v/>
      </c>
      <c r="K1099" s="25"/>
      <c r="L1099" s="24" t="str">
        <f t="shared" si="2"/>
        <v/>
      </c>
      <c r="M1099" s="4"/>
      <c r="N1099" s="23"/>
      <c r="O1099" s="23"/>
      <c r="P1099" s="23"/>
      <c r="Q1099" s="4" t="str">
        <f t="shared" si="4"/>
        <v/>
      </c>
      <c r="R1099" s="20"/>
      <c r="S1099" s="20"/>
    </row>
    <row r="1100">
      <c r="A1100" s="4"/>
      <c r="B1100" s="4"/>
      <c r="C1100" s="37"/>
      <c r="D1100" s="7" t="str">
        <f>IFERROR(__xludf.DUMMYFUNCTION("iferror(iferror(INDEX(IMPORTRANGE(""12vtnxaE_Q1s4tyr10kZQx7ZF_xG0lBFae4jQEUtgsMU"",""All!B2:B""),MATCH($C1100,IMPORTRANGE(""12vtnxaE_Q1s4tyr10kZQx7ZF_xG0lBFae4jQEUtgsMU"",""All!A2:A""),0)),INDEX(IMPORTRANGE(""13KC70HngS4DDi8y9E5khtSpQEPG6owaQ9z4E-tR5mnY"""&amp;",""Non-Food!B2:B""),MATCH($C1100,IMPORTRANGE(""13KC70HngS4DDi8y9E5khtSpQEPG6owaQ9z4E-tR5mnY"",""Non-Food!A2:A""),0))),"""")"),"")</f>
        <v/>
      </c>
      <c r="E1100" s="15"/>
      <c r="F1100" s="15"/>
      <c r="G1100" s="36"/>
      <c r="H1100" s="23" t="str">
        <f>IFERROR(__xludf.DUMMYFUNCTION("iferror(iferror(iferror(index(IMPORTRANGE(""1NK5L1mviMn0j3D3uo53ASkIZOFRlLnqaCTnwzOG2_Wg"",""Direct Link!B2:B""),MATCH($C1100,IMPORTRANGE(""1NK5L1mviMn0j3D3uo53ASkIZOFRlLnqaCTnwzOG2_Wg"",""Direct Link!A2:A""),0)),XLOOKUP($C1100,IMPORTRANGE(""1NK5L1mviMn0j"&amp;"3D3uo53ASkIZOFRlLnqaCTnwzOG2_Wg"",""Direct links Without Sizes!A2:A""),IMPORTRANGE(""1NK5L1mviMn0j3D3uo53ASkIZOFRlLnqaCTnwzOG2_Wg"",""Direct links Without Sizes!B2:B""))),XLOOKUP($C1100,IMPORTRANGE(""1NK5L1mviMn0j3D3uo53ASkIZOFRlLnqaCTnwzOG2_Wg"",""Direct"&amp;" links Without Sizes!D2:D""),IMPORTRANGE(""1NK5L1mviMn0j3D3uo53ASkIZOFRlLnqaCTnwzOG2_Wg"",""Direct links Without Sizes!E2:E""))),"""")"),"")</f>
        <v/>
      </c>
      <c r="I1100" s="4"/>
      <c r="J1100" s="24" t="str">
        <f t="shared" si="1"/>
        <v/>
      </c>
      <c r="K1100" s="25"/>
      <c r="L1100" s="24" t="str">
        <f t="shared" si="2"/>
        <v/>
      </c>
      <c r="M1100" s="4"/>
      <c r="N1100" s="23"/>
      <c r="O1100" s="23"/>
      <c r="P1100" s="23"/>
      <c r="Q1100" s="4" t="str">
        <f t="shared" si="4"/>
        <v/>
      </c>
      <c r="R1100" s="20"/>
      <c r="S1100" s="20"/>
    </row>
    <row r="1101">
      <c r="A1101" s="4"/>
      <c r="B1101" s="4"/>
      <c r="C1101" s="37"/>
      <c r="D1101" s="7" t="str">
        <f>IFERROR(__xludf.DUMMYFUNCTION("iferror(iferror(INDEX(IMPORTRANGE(""12vtnxaE_Q1s4tyr10kZQx7ZF_xG0lBFae4jQEUtgsMU"",""All!B2:B""),MATCH($C1101,IMPORTRANGE(""12vtnxaE_Q1s4tyr10kZQx7ZF_xG0lBFae4jQEUtgsMU"",""All!A2:A""),0)),INDEX(IMPORTRANGE(""13KC70HngS4DDi8y9E5khtSpQEPG6owaQ9z4E-tR5mnY"""&amp;",""Non-Food!B2:B""),MATCH($C1101,IMPORTRANGE(""13KC70HngS4DDi8y9E5khtSpQEPG6owaQ9z4E-tR5mnY"",""Non-Food!A2:A""),0))),"""")"),"")</f>
        <v/>
      </c>
      <c r="E1101" s="15"/>
      <c r="F1101" s="15"/>
      <c r="G1101" s="36"/>
      <c r="H1101" s="23" t="str">
        <f>IFERROR(__xludf.DUMMYFUNCTION("iferror(iferror(iferror(index(IMPORTRANGE(""1NK5L1mviMn0j3D3uo53ASkIZOFRlLnqaCTnwzOG2_Wg"",""Direct Link!B2:B""),MATCH($C1101,IMPORTRANGE(""1NK5L1mviMn0j3D3uo53ASkIZOFRlLnqaCTnwzOG2_Wg"",""Direct Link!A2:A""),0)),XLOOKUP($C1101,IMPORTRANGE(""1NK5L1mviMn0j"&amp;"3D3uo53ASkIZOFRlLnqaCTnwzOG2_Wg"",""Direct links Without Sizes!A2:A""),IMPORTRANGE(""1NK5L1mviMn0j3D3uo53ASkIZOFRlLnqaCTnwzOG2_Wg"",""Direct links Without Sizes!B2:B""))),XLOOKUP($C1101,IMPORTRANGE(""1NK5L1mviMn0j3D3uo53ASkIZOFRlLnqaCTnwzOG2_Wg"",""Direct"&amp;" links Without Sizes!D2:D""),IMPORTRANGE(""1NK5L1mviMn0j3D3uo53ASkIZOFRlLnqaCTnwzOG2_Wg"",""Direct links Without Sizes!E2:E""))),"""")"),"")</f>
        <v/>
      </c>
      <c r="I1101" s="4"/>
      <c r="J1101" s="24" t="str">
        <f t="shared" si="1"/>
        <v/>
      </c>
      <c r="K1101" s="25"/>
      <c r="L1101" s="24" t="str">
        <f t="shared" si="2"/>
        <v/>
      </c>
      <c r="M1101" s="4"/>
      <c r="N1101" s="23"/>
      <c r="O1101" s="23"/>
      <c r="P1101" s="23"/>
      <c r="Q1101" s="4" t="str">
        <f t="shared" si="4"/>
        <v/>
      </c>
      <c r="R1101" s="20"/>
      <c r="S1101" s="20"/>
    </row>
    <row r="1102">
      <c r="A1102" s="4"/>
      <c r="B1102" s="4"/>
      <c r="C1102" s="37"/>
      <c r="D1102" s="7" t="str">
        <f>IFERROR(__xludf.DUMMYFUNCTION("iferror(iferror(INDEX(IMPORTRANGE(""12vtnxaE_Q1s4tyr10kZQx7ZF_xG0lBFae4jQEUtgsMU"",""All!B2:B""),MATCH($C1102,IMPORTRANGE(""12vtnxaE_Q1s4tyr10kZQx7ZF_xG0lBFae4jQEUtgsMU"",""All!A2:A""),0)),INDEX(IMPORTRANGE(""13KC70HngS4DDi8y9E5khtSpQEPG6owaQ9z4E-tR5mnY"""&amp;",""Non-Food!B2:B""),MATCH($C1102,IMPORTRANGE(""13KC70HngS4DDi8y9E5khtSpQEPG6owaQ9z4E-tR5mnY"",""Non-Food!A2:A""),0))),"""")"),"")</f>
        <v/>
      </c>
      <c r="E1102" s="15"/>
      <c r="F1102" s="15"/>
      <c r="G1102" s="36"/>
      <c r="H1102" s="23" t="str">
        <f>IFERROR(__xludf.DUMMYFUNCTION("iferror(iferror(iferror(index(IMPORTRANGE(""1NK5L1mviMn0j3D3uo53ASkIZOFRlLnqaCTnwzOG2_Wg"",""Direct Link!B2:B""),MATCH($C1102,IMPORTRANGE(""1NK5L1mviMn0j3D3uo53ASkIZOFRlLnqaCTnwzOG2_Wg"",""Direct Link!A2:A""),0)),XLOOKUP($C1102,IMPORTRANGE(""1NK5L1mviMn0j"&amp;"3D3uo53ASkIZOFRlLnqaCTnwzOG2_Wg"",""Direct links Without Sizes!A2:A""),IMPORTRANGE(""1NK5L1mviMn0j3D3uo53ASkIZOFRlLnqaCTnwzOG2_Wg"",""Direct links Without Sizes!B2:B""))),XLOOKUP($C1102,IMPORTRANGE(""1NK5L1mviMn0j3D3uo53ASkIZOFRlLnqaCTnwzOG2_Wg"",""Direct"&amp;" links Without Sizes!D2:D""),IMPORTRANGE(""1NK5L1mviMn0j3D3uo53ASkIZOFRlLnqaCTnwzOG2_Wg"",""Direct links Without Sizes!E2:E""))),"""")"),"")</f>
        <v/>
      </c>
      <c r="I1102" s="4"/>
      <c r="J1102" s="24" t="str">
        <f t="shared" si="1"/>
        <v/>
      </c>
      <c r="K1102" s="25"/>
      <c r="L1102" s="24" t="str">
        <f t="shared" si="2"/>
        <v/>
      </c>
      <c r="M1102" s="4"/>
      <c r="N1102" s="23"/>
      <c r="O1102" s="23"/>
      <c r="P1102" s="23"/>
      <c r="Q1102" s="4" t="str">
        <f t="shared" si="4"/>
        <v/>
      </c>
      <c r="R1102" s="20"/>
      <c r="S1102" s="20"/>
    </row>
    <row r="1103">
      <c r="A1103" s="4"/>
      <c r="B1103" s="4"/>
      <c r="C1103" s="37"/>
      <c r="D1103" s="7" t="str">
        <f>IFERROR(__xludf.DUMMYFUNCTION("iferror(iferror(INDEX(IMPORTRANGE(""12vtnxaE_Q1s4tyr10kZQx7ZF_xG0lBFae4jQEUtgsMU"",""All!B2:B""),MATCH($C1103,IMPORTRANGE(""12vtnxaE_Q1s4tyr10kZQx7ZF_xG0lBFae4jQEUtgsMU"",""All!A2:A""),0)),INDEX(IMPORTRANGE(""13KC70HngS4DDi8y9E5khtSpQEPG6owaQ9z4E-tR5mnY"""&amp;",""Non-Food!B2:B""),MATCH($C1103,IMPORTRANGE(""13KC70HngS4DDi8y9E5khtSpQEPG6owaQ9z4E-tR5mnY"",""Non-Food!A2:A""),0))),"""")"),"")</f>
        <v/>
      </c>
      <c r="E1103" s="15"/>
      <c r="F1103" s="15"/>
      <c r="G1103" s="36"/>
      <c r="H1103" s="23" t="str">
        <f>IFERROR(__xludf.DUMMYFUNCTION("iferror(iferror(iferror(index(IMPORTRANGE(""1NK5L1mviMn0j3D3uo53ASkIZOFRlLnqaCTnwzOG2_Wg"",""Direct Link!B2:B""),MATCH($C1103,IMPORTRANGE(""1NK5L1mviMn0j3D3uo53ASkIZOFRlLnqaCTnwzOG2_Wg"",""Direct Link!A2:A""),0)),XLOOKUP($C1103,IMPORTRANGE(""1NK5L1mviMn0j"&amp;"3D3uo53ASkIZOFRlLnqaCTnwzOG2_Wg"",""Direct links Without Sizes!A2:A""),IMPORTRANGE(""1NK5L1mviMn0j3D3uo53ASkIZOFRlLnqaCTnwzOG2_Wg"",""Direct links Without Sizes!B2:B""))),XLOOKUP($C1103,IMPORTRANGE(""1NK5L1mviMn0j3D3uo53ASkIZOFRlLnqaCTnwzOG2_Wg"",""Direct"&amp;" links Without Sizes!D2:D""),IMPORTRANGE(""1NK5L1mviMn0j3D3uo53ASkIZOFRlLnqaCTnwzOG2_Wg"",""Direct links Without Sizes!E2:E""))),"""")"),"")</f>
        <v/>
      </c>
      <c r="I1103" s="4"/>
      <c r="J1103" s="24" t="str">
        <f t="shared" si="1"/>
        <v/>
      </c>
      <c r="K1103" s="25"/>
      <c r="L1103" s="24" t="str">
        <f t="shared" si="2"/>
        <v/>
      </c>
      <c r="M1103" s="4"/>
      <c r="N1103" s="23"/>
      <c r="O1103" s="23"/>
      <c r="P1103" s="23"/>
      <c r="Q1103" s="4" t="str">
        <f t="shared" si="4"/>
        <v/>
      </c>
      <c r="R1103" s="20"/>
      <c r="S1103" s="20"/>
    </row>
    <row r="1104">
      <c r="A1104" s="4"/>
      <c r="B1104" s="4"/>
      <c r="C1104" s="37"/>
      <c r="D1104" s="7" t="str">
        <f>IFERROR(__xludf.DUMMYFUNCTION("iferror(iferror(INDEX(IMPORTRANGE(""12vtnxaE_Q1s4tyr10kZQx7ZF_xG0lBFae4jQEUtgsMU"",""All!B2:B""),MATCH($C1104,IMPORTRANGE(""12vtnxaE_Q1s4tyr10kZQx7ZF_xG0lBFae4jQEUtgsMU"",""All!A2:A""),0)),INDEX(IMPORTRANGE(""13KC70HngS4DDi8y9E5khtSpQEPG6owaQ9z4E-tR5mnY"""&amp;",""Non-Food!B2:B""),MATCH($C1104,IMPORTRANGE(""13KC70HngS4DDi8y9E5khtSpQEPG6owaQ9z4E-tR5mnY"",""Non-Food!A2:A""),0))),"""")"),"")</f>
        <v/>
      </c>
      <c r="E1104" s="15"/>
      <c r="F1104" s="15"/>
      <c r="G1104" s="36"/>
      <c r="H1104" s="23" t="str">
        <f>IFERROR(__xludf.DUMMYFUNCTION("iferror(iferror(iferror(index(IMPORTRANGE(""1NK5L1mviMn0j3D3uo53ASkIZOFRlLnqaCTnwzOG2_Wg"",""Direct Link!B2:B""),MATCH($C1104,IMPORTRANGE(""1NK5L1mviMn0j3D3uo53ASkIZOFRlLnqaCTnwzOG2_Wg"",""Direct Link!A2:A""),0)),XLOOKUP($C1104,IMPORTRANGE(""1NK5L1mviMn0j"&amp;"3D3uo53ASkIZOFRlLnqaCTnwzOG2_Wg"",""Direct links Without Sizes!A2:A""),IMPORTRANGE(""1NK5L1mviMn0j3D3uo53ASkIZOFRlLnqaCTnwzOG2_Wg"",""Direct links Without Sizes!B2:B""))),XLOOKUP($C1104,IMPORTRANGE(""1NK5L1mviMn0j3D3uo53ASkIZOFRlLnqaCTnwzOG2_Wg"",""Direct"&amp;" links Without Sizes!D2:D""),IMPORTRANGE(""1NK5L1mviMn0j3D3uo53ASkIZOFRlLnqaCTnwzOG2_Wg"",""Direct links Without Sizes!E2:E""))),"""")"),"")</f>
        <v/>
      </c>
      <c r="I1104" s="4"/>
      <c r="J1104" s="24" t="str">
        <f t="shared" si="1"/>
        <v/>
      </c>
      <c r="K1104" s="25"/>
      <c r="L1104" s="24" t="str">
        <f t="shared" si="2"/>
        <v/>
      </c>
      <c r="M1104" s="4"/>
      <c r="N1104" s="23"/>
      <c r="O1104" s="23"/>
      <c r="P1104" s="23"/>
      <c r="Q1104" s="4" t="str">
        <f t="shared" si="4"/>
        <v/>
      </c>
      <c r="R1104" s="20"/>
      <c r="S1104" s="20"/>
    </row>
    <row r="1105">
      <c r="A1105" s="4"/>
      <c r="B1105" s="4"/>
      <c r="C1105" s="37"/>
      <c r="D1105" s="7" t="str">
        <f>IFERROR(__xludf.DUMMYFUNCTION("iferror(iferror(INDEX(IMPORTRANGE(""12vtnxaE_Q1s4tyr10kZQx7ZF_xG0lBFae4jQEUtgsMU"",""All!B2:B""),MATCH($C1105,IMPORTRANGE(""12vtnxaE_Q1s4tyr10kZQx7ZF_xG0lBFae4jQEUtgsMU"",""All!A2:A""),0)),INDEX(IMPORTRANGE(""13KC70HngS4DDi8y9E5khtSpQEPG6owaQ9z4E-tR5mnY"""&amp;",""Non-Food!B2:B""),MATCH($C1105,IMPORTRANGE(""13KC70HngS4DDi8y9E5khtSpQEPG6owaQ9z4E-tR5mnY"",""Non-Food!A2:A""),0))),"""")"),"")</f>
        <v/>
      </c>
      <c r="E1105" s="15"/>
      <c r="F1105" s="15"/>
      <c r="G1105" s="36"/>
      <c r="H1105" s="23" t="str">
        <f>IFERROR(__xludf.DUMMYFUNCTION("iferror(iferror(iferror(index(IMPORTRANGE(""1NK5L1mviMn0j3D3uo53ASkIZOFRlLnqaCTnwzOG2_Wg"",""Direct Link!B2:B""),MATCH($C1105,IMPORTRANGE(""1NK5L1mviMn0j3D3uo53ASkIZOFRlLnqaCTnwzOG2_Wg"",""Direct Link!A2:A""),0)),XLOOKUP($C1105,IMPORTRANGE(""1NK5L1mviMn0j"&amp;"3D3uo53ASkIZOFRlLnqaCTnwzOG2_Wg"",""Direct links Without Sizes!A2:A""),IMPORTRANGE(""1NK5L1mviMn0j3D3uo53ASkIZOFRlLnqaCTnwzOG2_Wg"",""Direct links Without Sizes!B2:B""))),XLOOKUP($C1105,IMPORTRANGE(""1NK5L1mviMn0j3D3uo53ASkIZOFRlLnqaCTnwzOG2_Wg"",""Direct"&amp;" links Without Sizes!D2:D""),IMPORTRANGE(""1NK5L1mviMn0j3D3uo53ASkIZOFRlLnqaCTnwzOG2_Wg"",""Direct links Without Sizes!E2:E""))),"""")"),"")</f>
        <v/>
      </c>
      <c r="I1105" s="4"/>
      <c r="J1105" s="24" t="str">
        <f t="shared" si="1"/>
        <v/>
      </c>
      <c r="K1105" s="25"/>
      <c r="L1105" s="24" t="str">
        <f t="shared" si="2"/>
        <v/>
      </c>
      <c r="M1105" s="4"/>
      <c r="N1105" s="23"/>
      <c r="O1105" s="23"/>
      <c r="P1105" s="23"/>
      <c r="Q1105" s="4" t="str">
        <f t="shared" si="4"/>
        <v/>
      </c>
      <c r="R1105" s="20"/>
      <c r="S1105" s="20"/>
    </row>
    <row r="1106">
      <c r="A1106" s="4"/>
      <c r="B1106" s="4"/>
      <c r="C1106" s="37"/>
      <c r="D1106" s="7" t="str">
        <f>IFERROR(__xludf.DUMMYFUNCTION("iferror(iferror(INDEX(IMPORTRANGE(""12vtnxaE_Q1s4tyr10kZQx7ZF_xG0lBFae4jQEUtgsMU"",""All!B2:B""),MATCH($C1106,IMPORTRANGE(""12vtnxaE_Q1s4tyr10kZQx7ZF_xG0lBFae4jQEUtgsMU"",""All!A2:A""),0)),INDEX(IMPORTRANGE(""13KC70HngS4DDi8y9E5khtSpQEPG6owaQ9z4E-tR5mnY"""&amp;",""Non-Food!B2:B""),MATCH($C1106,IMPORTRANGE(""13KC70HngS4DDi8y9E5khtSpQEPG6owaQ9z4E-tR5mnY"",""Non-Food!A2:A""),0))),"""")"),"")</f>
        <v/>
      </c>
      <c r="E1106" s="15"/>
      <c r="F1106" s="15"/>
      <c r="G1106" s="36"/>
      <c r="H1106" s="23" t="str">
        <f>IFERROR(__xludf.DUMMYFUNCTION("iferror(iferror(iferror(index(IMPORTRANGE(""1NK5L1mviMn0j3D3uo53ASkIZOFRlLnqaCTnwzOG2_Wg"",""Direct Link!B2:B""),MATCH($C1106,IMPORTRANGE(""1NK5L1mviMn0j3D3uo53ASkIZOFRlLnqaCTnwzOG2_Wg"",""Direct Link!A2:A""),0)),XLOOKUP($C1106,IMPORTRANGE(""1NK5L1mviMn0j"&amp;"3D3uo53ASkIZOFRlLnqaCTnwzOG2_Wg"",""Direct links Without Sizes!A2:A""),IMPORTRANGE(""1NK5L1mviMn0j3D3uo53ASkIZOFRlLnqaCTnwzOG2_Wg"",""Direct links Without Sizes!B2:B""))),XLOOKUP($C1106,IMPORTRANGE(""1NK5L1mviMn0j3D3uo53ASkIZOFRlLnqaCTnwzOG2_Wg"",""Direct"&amp;" links Without Sizes!D2:D""),IMPORTRANGE(""1NK5L1mviMn0j3D3uo53ASkIZOFRlLnqaCTnwzOG2_Wg"",""Direct links Without Sizes!E2:E""))),"""")"),"")</f>
        <v/>
      </c>
      <c r="I1106" s="4"/>
      <c r="J1106" s="24" t="str">
        <f t="shared" si="1"/>
        <v/>
      </c>
      <c r="K1106" s="25"/>
      <c r="L1106" s="24" t="str">
        <f t="shared" si="2"/>
        <v/>
      </c>
      <c r="M1106" s="4"/>
      <c r="N1106" s="23"/>
      <c r="O1106" s="23"/>
      <c r="P1106" s="23"/>
      <c r="Q1106" s="4" t="str">
        <f t="shared" si="4"/>
        <v/>
      </c>
      <c r="R1106" s="20"/>
      <c r="S1106" s="20"/>
    </row>
    <row r="1107">
      <c r="A1107" s="4"/>
      <c r="B1107" s="4"/>
      <c r="C1107" s="37"/>
      <c r="D1107" s="7" t="str">
        <f>IFERROR(__xludf.DUMMYFUNCTION("iferror(iferror(INDEX(IMPORTRANGE(""12vtnxaE_Q1s4tyr10kZQx7ZF_xG0lBFae4jQEUtgsMU"",""All!B2:B""),MATCH($C1107,IMPORTRANGE(""12vtnxaE_Q1s4tyr10kZQx7ZF_xG0lBFae4jQEUtgsMU"",""All!A2:A""),0)),INDEX(IMPORTRANGE(""13KC70HngS4DDi8y9E5khtSpQEPG6owaQ9z4E-tR5mnY"""&amp;",""Non-Food!B2:B""),MATCH($C1107,IMPORTRANGE(""13KC70HngS4DDi8y9E5khtSpQEPG6owaQ9z4E-tR5mnY"",""Non-Food!A2:A""),0))),"""")"),"")</f>
        <v/>
      </c>
      <c r="E1107" s="15"/>
      <c r="F1107" s="15"/>
      <c r="G1107" s="36"/>
      <c r="H1107" s="23" t="str">
        <f>IFERROR(__xludf.DUMMYFUNCTION("iferror(iferror(iferror(index(IMPORTRANGE(""1NK5L1mviMn0j3D3uo53ASkIZOFRlLnqaCTnwzOG2_Wg"",""Direct Link!B2:B""),MATCH($C1107,IMPORTRANGE(""1NK5L1mviMn0j3D3uo53ASkIZOFRlLnqaCTnwzOG2_Wg"",""Direct Link!A2:A""),0)),XLOOKUP($C1107,IMPORTRANGE(""1NK5L1mviMn0j"&amp;"3D3uo53ASkIZOFRlLnqaCTnwzOG2_Wg"",""Direct links Without Sizes!A2:A""),IMPORTRANGE(""1NK5L1mviMn0j3D3uo53ASkIZOFRlLnqaCTnwzOG2_Wg"",""Direct links Without Sizes!B2:B""))),XLOOKUP($C1107,IMPORTRANGE(""1NK5L1mviMn0j3D3uo53ASkIZOFRlLnqaCTnwzOG2_Wg"",""Direct"&amp;" links Without Sizes!D2:D""),IMPORTRANGE(""1NK5L1mviMn0j3D3uo53ASkIZOFRlLnqaCTnwzOG2_Wg"",""Direct links Without Sizes!E2:E""))),"""")"),"")</f>
        <v/>
      </c>
      <c r="I1107" s="4"/>
      <c r="J1107" s="24" t="str">
        <f t="shared" si="1"/>
        <v/>
      </c>
      <c r="K1107" s="25"/>
      <c r="L1107" s="24" t="str">
        <f t="shared" si="2"/>
        <v/>
      </c>
      <c r="M1107" s="4"/>
      <c r="N1107" s="23"/>
      <c r="O1107" s="23"/>
      <c r="P1107" s="23"/>
      <c r="Q1107" s="4" t="str">
        <f t="shared" si="4"/>
        <v/>
      </c>
      <c r="R1107" s="20"/>
      <c r="S1107" s="20"/>
    </row>
    <row r="1108">
      <c r="A1108" s="4"/>
      <c r="B1108" s="4"/>
      <c r="C1108" s="37"/>
      <c r="D1108" s="7" t="str">
        <f>IFERROR(__xludf.DUMMYFUNCTION("iferror(iferror(INDEX(IMPORTRANGE(""12vtnxaE_Q1s4tyr10kZQx7ZF_xG0lBFae4jQEUtgsMU"",""All!B2:B""),MATCH($C1108,IMPORTRANGE(""12vtnxaE_Q1s4tyr10kZQx7ZF_xG0lBFae4jQEUtgsMU"",""All!A2:A""),0)),INDEX(IMPORTRANGE(""13KC70HngS4DDi8y9E5khtSpQEPG6owaQ9z4E-tR5mnY"""&amp;",""Non-Food!B2:B""),MATCH($C1108,IMPORTRANGE(""13KC70HngS4DDi8y9E5khtSpQEPG6owaQ9z4E-tR5mnY"",""Non-Food!A2:A""),0))),"""")"),"")</f>
        <v/>
      </c>
      <c r="E1108" s="15"/>
      <c r="F1108" s="15"/>
      <c r="G1108" s="36"/>
      <c r="H1108" s="23" t="str">
        <f>IFERROR(__xludf.DUMMYFUNCTION("iferror(iferror(iferror(index(IMPORTRANGE(""1NK5L1mviMn0j3D3uo53ASkIZOFRlLnqaCTnwzOG2_Wg"",""Direct Link!B2:B""),MATCH($C1108,IMPORTRANGE(""1NK5L1mviMn0j3D3uo53ASkIZOFRlLnqaCTnwzOG2_Wg"",""Direct Link!A2:A""),0)),XLOOKUP($C1108,IMPORTRANGE(""1NK5L1mviMn0j"&amp;"3D3uo53ASkIZOFRlLnqaCTnwzOG2_Wg"",""Direct links Without Sizes!A2:A""),IMPORTRANGE(""1NK5L1mviMn0j3D3uo53ASkIZOFRlLnqaCTnwzOG2_Wg"",""Direct links Without Sizes!B2:B""))),XLOOKUP($C1108,IMPORTRANGE(""1NK5L1mviMn0j3D3uo53ASkIZOFRlLnqaCTnwzOG2_Wg"",""Direct"&amp;" links Without Sizes!D2:D""),IMPORTRANGE(""1NK5L1mviMn0j3D3uo53ASkIZOFRlLnqaCTnwzOG2_Wg"",""Direct links Without Sizes!E2:E""))),"""")"),"")</f>
        <v/>
      </c>
      <c r="I1108" s="4"/>
      <c r="J1108" s="24" t="str">
        <f t="shared" si="1"/>
        <v/>
      </c>
      <c r="K1108" s="25"/>
      <c r="L1108" s="24" t="str">
        <f t="shared" si="2"/>
        <v/>
      </c>
      <c r="M1108" s="4"/>
      <c r="N1108" s="23"/>
      <c r="O1108" s="23"/>
      <c r="P1108" s="23"/>
      <c r="Q1108" s="4" t="str">
        <f t="shared" si="4"/>
        <v/>
      </c>
      <c r="R1108" s="20"/>
      <c r="S1108" s="20"/>
    </row>
    <row r="1109">
      <c r="A1109" s="4"/>
      <c r="B1109" s="4"/>
      <c r="C1109" s="37"/>
      <c r="D1109" s="7" t="str">
        <f>IFERROR(__xludf.DUMMYFUNCTION("iferror(iferror(INDEX(IMPORTRANGE(""12vtnxaE_Q1s4tyr10kZQx7ZF_xG0lBFae4jQEUtgsMU"",""All!B2:B""),MATCH($C1109,IMPORTRANGE(""12vtnxaE_Q1s4tyr10kZQx7ZF_xG0lBFae4jQEUtgsMU"",""All!A2:A""),0)),INDEX(IMPORTRANGE(""13KC70HngS4DDi8y9E5khtSpQEPG6owaQ9z4E-tR5mnY"""&amp;",""Non-Food!B2:B""),MATCH($C1109,IMPORTRANGE(""13KC70HngS4DDi8y9E5khtSpQEPG6owaQ9z4E-tR5mnY"",""Non-Food!A2:A""),0))),"""")"),"")</f>
        <v/>
      </c>
      <c r="E1109" s="15"/>
      <c r="F1109" s="15"/>
      <c r="G1109" s="36"/>
      <c r="H1109" s="23" t="str">
        <f>IFERROR(__xludf.DUMMYFUNCTION("iferror(iferror(iferror(index(IMPORTRANGE(""1NK5L1mviMn0j3D3uo53ASkIZOFRlLnqaCTnwzOG2_Wg"",""Direct Link!B2:B""),MATCH($C1109,IMPORTRANGE(""1NK5L1mviMn0j3D3uo53ASkIZOFRlLnqaCTnwzOG2_Wg"",""Direct Link!A2:A""),0)),XLOOKUP($C1109,IMPORTRANGE(""1NK5L1mviMn0j"&amp;"3D3uo53ASkIZOFRlLnqaCTnwzOG2_Wg"",""Direct links Without Sizes!A2:A""),IMPORTRANGE(""1NK5L1mviMn0j3D3uo53ASkIZOFRlLnqaCTnwzOG2_Wg"",""Direct links Without Sizes!B2:B""))),XLOOKUP($C1109,IMPORTRANGE(""1NK5L1mviMn0j3D3uo53ASkIZOFRlLnqaCTnwzOG2_Wg"",""Direct"&amp;" links Without Sizes!D2:D""),IMPORTRANGE(""1NK5L1mviMn0j3D3uo53ASkIZOFRlLnqaCTnwzOG2_Wg"",""Direct links Without Sizes!E2:E""))),"""")"),"")</f>
        <v/>
      </c>
      <c r="I1109" s="4"/>
      <c r="J1109" s="24" t="str">
        <f t="shared" si="1"/>
        <v/>
      </c>
      <c r="K1109" s="25"/>
      <c r="L1109" s="24" t="str">
        <f t="shared" si="2"/>
        <v/>
      </c>
      <c r="M1109" s="4"/>
      <c r="N1109" s="23"/>
      <c r="O1109" s="23"/>
      <c r="P1109" s="23"/>
      <c r="Q1109" s="4" t="str">
        <f t="shared" si="4"/>
        <v/>
      </c>
      <c r="R1109" s="20"/>
      <c r="S1109" s="20"/>
    </row>
    <row r="1110">
      <c r="A1110" s="4"/>
      <c r="B1110" s="4"/>
      <c r="C1110" s="37"/>
      <c r="D1110" s="7" t="str">
        <f>IFERROR(__xludf.DUMMYFUNCTION("iferror(iferror(INDEX(IMPORTRANGE(""12vtnxaE_Q1s4tyr10kZQx7ZF_xG0lBFae4jQEUtgsMU"",""All!B2:B""),MATCH($C1110,IMPORTRANGE(""12vtnxaE_Q1s4tyr10kZQx7ZF_xG0lBFae4jQEUtgsMU"",""All!A2:A""),0)),INDEX(IMPORTRANGE(""13KC70HngS4DDi8y9E5khtSpQEPG6owaQ9z4E-tR5mnY"""&amp;",""Non-Food!B2:B""),MATCH($C1110,IMPORTRANGE(""13KC70HngS4DDi8y9E5khtSpQEPG6owaQ9z4E-tR5mnY"",""Non-Food!A2:A""),0))),"""")"),"")</f>
        <v/>
      </c>
      <c r="E1110" s="15"/>
      <c r="F1110" s="15"/>
      <c r="G1110" s="36"/>
      <c r="H1110" s="23" t="str">
        <f>IFERROR(__xludf.DUMMYFUNCTION("iferror(iferror(iferror(index(IMPORTRANGE(""1NK5L1mviMn0j3D3uo53ASkIZOFRlLnqaCTnwzOG2_Wg"",""Direct Link!B2:B""),MATCH($C1110,IMPORTRANGE(""1NK5L1mviMn0j3D3uo53ASkIZOFRlLnqaCTnwzOG2_Wg"",""Direct Link!A2:A""),0)),XLOOKUP($C1110,IMPORTRANGE(""1NK5L1mviMn0j"&amp;"3D3uo53ASkIZOFRlLnqaCTnwzOG2_Wg"",""Direct links Without Sizes!A2:A""),IMPORTRANGE(""1NK5L1mviMn0j3D3uo53ASkIZOFRlLnqaCTnwzOG2_Wg"",""Direct links Without Sizes!B2:B""))),XLOOKUP($C1110,IMPORTRANGE(""1NK5L1mviMn0j3D3uo53ASkIZOFRlLnqaCTnwzOG2_Wg"",""Direct"&amp;" links Without Sizes!D2:D""),IMPORTRANGE(""1NK5L1mviMn0j3D3uo53ASkIZOFRlLnqaCTnwzOG2_Wg"",""Direct links Without Sizes!E2:E""))),"""")"),"")</f>
        <v/>
      </c>
      <c r="I1110" s="4"/>
      <c r="J1110" s="24" t="str">
        <f t="shared" si="1"/>
        <v/>
      </c>
      <c r="K1110" s="25"/>
      <c r="L1110" s="24" t="str">
        <f t="shared" si="2"/>
        <v/>
      </c>
      <c r="M1110" s="4"/>
      <c r="N1110" s="23"/>
      <c r="O1110" s="23"/>
      <c r="P1110" s="23"/>
      <c r="Q1110" s="4" t="str">
        <f t="shared" si="4"/>
        <v/>
      </c>
      <c r="R1110" s="20"/>
      <c r="S1110" s="20"/>
    </row>
    <row r="1111">
      <c r="A1111" s="4"/>
      <c r="B1111" s="4"/>
      <c r="C1111" s="37"/>
      <c r="D1111" s="7" t="str">
        <f>IFERROR(__xludf.DUMMYFUNCTION("iferror(iferror(INDEX(IMPORTRANGE(""12vtnxaE_Q1s4tyr10kZQx7ZF_xG0lBFae4jQEUtgsMU"",""All!B2:B""),MATCH($C1111,IMPORTRANGE(""12vtnxaE_Q1s4tyr10kZQx7ZF_xG0lBFae4jQEUtgsMU"",""All!A2:A""),0)),INDEX(IMPORTRANGE(""13KC70HngS4DDi8y9E5khtSpQEPG6owaQ9z4E-tR5mnY"""&amp;",""Non-Food!B2:B""),MATCH($C1111,IMPORTRANGE(""13KC70HngS4DDi8y9E5khtSpQEPG6owaQ9z4E-tR5mnY"",""Non-Food!A2:A""),0))),"""")"),"")</f>
        <v/>
      </c>
      <c r="E1111" s="15"/>
      <c r="F1111" s="15"/>
      <c r="G1111" s="36"/>
      <c r="H1111" s="23" t="str">
        <f>IFERROR(__xludf.DUMMYFUNCTION("iferror(iferror(iferror(index(IMPORTRANGE(""1NK5L1mviMn0j3D3uo53ASkIZOFRlLnqaCTnwzOG2_Wg"",""Direct Link!B2:B""),MATCH($C1111,IMPORTRANGE(""1NK5L1mviMn0j3D3uo53ASkIZOFRlLnqaCTnwzOG2_Wg"",""Direct Link!A2:A""),0)),XLOOKUP($C1111,IMPORTRANGE(""1NK5L1mviMn0j"&amp;"3D3uo53ASkIZOFRlLnqaCTnwzOG2_Wg"",""Direct links Without Sizes!A2:A""),IMPORTRANGE(""1NK5L1mviMn0j3D3uo53ASkIZOFRlLnqaCTnwzOG2_Wg"",""Direct links Without Sizes!B2:B""))),XLOOKUP($C1111,IMPORTRANGE(""1NK5L1mviMn0j3D3uo53ASkIZOFRlLnqaCTnwzOG2_Wg"",""Direct"&amp;" links Without Sizes!D2:D""),IMPORTRANGE(""1NK5L1mviMn0j3D3uo53ASkIZOFRlLnqaCTnwzOG2_Wg"",""Direct links Without Sizes!E2:E""))),"""")"),"")</f>
        <v/>
      </c>
      <c r="I1111" s="4"/>
      <c r="J1111" s="24" t="str">
        <f t="shared" si="1"/>
        <v/>
      </c>
      <c r="K1111" s="25"/>
      <c r="L1111" s="24" t="str">
        <f t="shared" si="2"/>
        <v/>
      </c>
      <c r="M1111" s="4"/>
      <c r="N1111" s="23"/>
      <c r="O1111" s="23"/>
      <c r="P1111" s="23"/>
      <c r="Q1111" s="4" t="str">
        <f t="shared" si="4"/>
        <v/>
      </c>
      <c r="R1111" s="20"/>
      <c r="S1111" s="20"/>
    </row>
    <row r="1112">
      <c r="A1112" s="4"/>
      <c r="B1112" s="4"/>
      <c r="C1112" s="37"/>
      <c r="D1112" s="7" t="str">
        <f>IFERROR(__xludf.DUMMYFUNCTION("iferror(iferror(INDEX(IMPORTRANGE(""12vtnxaE_Q1s4tyr10kZQx7ZF_xG0lBFae4jQEUtgsMU"",""All!B2:B""),MATCH($C1112,IMPORTRANGE(""12vtnxaE_Q1s4tyr10kZQx7ZF_xG0lBFae4jQEUtgsMU"",""All!A2:A""),0)),INDEX(IMPORTRANGE(""13KC70HngS4DDi8y9E5khtSpQEPG6owaQ9z4E-tR5mnY"""&amp;",""Non-Food!B2:B""),MATCH($C1112,IMPORTRANGE(""13KC70HngS4DDi8y9E5khtSpQEPG6owaQ9z4E-tR5mnY"",""Non-Food!A2:A""),0))),"""")"),"")</f>
        <v/>
      </c>
      <c r="E1112" s="15"/>
      <c r="F1112" s="15"/>
      <c r="G1112" s="36"/>
      <c r="H1112" s="23" t="str">
        <f>IFERROR(__xludf.DUMMYFUNCTION("iferror(iferror(iferror(index(IMPORTRANGE(""1NK5L1mviMn0j3D3uo53ASkIZOFRlLnqaCTnwzOG2_Wg"",""Direct Link!B2:B""),MATCH($C1112,IMPORTRANGE(""1NK5L1mviMn0j3D3uo53ASkIZOFRlLnqaCTnwzOG2_Wg"",""Direct Link!A2:A""),0)),XLOOKUP($C1112,IMPORTRANGE(""1NK5L1mviMn0j"&amp;"3D3uo53ASkIZOFRlLnqaCTnwzOG2_Wg"",""Direct links Without Sizes!A2:A""),IMPORTRANGE(""1NK5L1mviMn0j3D3uo53ASkIZOFRlLnqaCTnwzOG2_Wg"",""Direct links Without Sizes!B2:B""))),XLOOKUP($C1112,IMPORTRANGE(""1NK5L1mviMn0j3D3uo53ASkIZOFRlLnqaCTnwzOG2_Wg"",""Direct"&amp;" links Without Sizes!D2:D""),IMPORTRANGE(""1NK5L1mviMn0j3D3uo53ASkIZOFRlLnqaCTnwzOG2_Wg"",""Direct links Without Sizes!E2:E""))),"""")"),"")</f>
        <v/>
      </c>
      <c r="I1112" s="4"/>
      <c r="J1112" s="24" t="str">
        <f t="shared" si="1"/>
        <v/>
      </c>
      <c r="K1112" s="25"/>
      <c r="L1112" s="24" t="str">
        <f t="shared" si="2"/>
        <v/>
      </c>
      <c r="M1112" s="4"/>
      <c r="N1112" s="23"/>
      <c r="O1112" s="23"/>
      <c r="P1112" s="23"/>
      <c r="Q1112" s="4" t="str">
        <f t="shared" si="4"/>
        <v/>
      </c>
      <c r="R1112" s="20"/>
      <c r="S1112" s="20"/>
    </row>
    <row r="1113">
      <c r="A1113" s="4"/>
      <c r="B1113" s="4"/>
      <c r="C1113" s="37"/>
      <c r="D1113" s="7" t="str">
        <f>IFERROR(__xludf.DUMMYFUNCTION("iferror(iferror(INDEX(IMPORTRANGE(""12vtnxaE_Q1s4tyr10kZQx7ZF_xG0lBFae4jQEUtgsMU"",""All!B2:B""),MATCH($C1113,IMPORTRANGE(""12vtnxaE_Q1s4tyr10kZQx7ZF_xG0lBFae4jQEUtgsMU"",""All!A2:A""),0)),INDEX(IMPORTRANGE(""13KC70HngS4DDi8y9E5khtSpQEPG6owaQ9z4E-tR5mnY"""&amp;",""Non-Food!B2:B""),MATCH($C1113,IMPORTRANGE(""13KC70HngS4DDi8y9E5khtSpQEPG6owaQ9z4E-tR5mnY"",""Non-Food!A2:A""),0))),"""")"),"")</f>
        <v/>
      </c>
      <c r="E1113" s="15"/>
      <c r="F1113" s="15"/>
      <c r="G1113" s="36"/>
      <c r="H1113" s="23" t="str">
        <f>IFERROR(__xludf.DUMMYFUNCTION("iferror(iferror(iferror(index(IMPORTRANGE(""1NK5L1mviMn0j3D3uo53ASkIZOFRlLnqaCTnwzOG2_Wg"",""Direct Link!B2:B""),MATCH($C1113,IMPORTRANGE(""1NK5L1mviMn0j3D3uo53ASkIZOFRlLnqaCTnwzOG2_Wg"",""Direct Link!A2:A""),0)),XLOOKUP($C1113,IMPORTRANGE(""1NK5L1mviMn0j"&amp;"3D3uo53ASkIZOFRlLnqaCTnwzOG2_Wg"",""Direct links Without Sizes!A2:A""),IMPORTRANGE(""1NK5L1mviMn0j3D3uo53ASkIZOFRlLnqaCTnwzOG2_Wg"",""Direct links Without Sizes!B2:B""))),XLOOKUP($C1113,IMPORTRANGE(""1NK5L1mviMn0j3D3uo53ASkIZOFRlLnqaCTnwzOG2_Wg"",""Direct"&amp;" links Without Sizes!D2:D""),IMPORTRANGE(""1NK5L1mviMn0j3D3uo53ASkIZOFRlLnqaCTnwzOG2_Wg"",""Direct links Without Sizes!E2:E""))),"""")"),"")</f>
        <v/>
      </c>
      <c r="I1113" s="4"/>
      <c r="J1113" s="24" t="str">
        <f t="shared" si="1"/>
        <v/>
      </c>
      <c r="K1113" s="25"/>
      <c r="L1113" s="24" t="str">
        <f t="shared" si="2"/>
        <v/>
      </c>
      <c r="M1113" s="4"/>
      <c r="N1113" s="23"/>
      <c r="O1113" s="23"/>
      <c r="P1113" s="23"/>
      <c r="Q1113" s="4" t="str">
        <f t="shared" si="4"/>
        <v/>
      </c>
      <c r="R1113" s="20"/>
      <c r="S1113" s="20"/>
    </row>
    <row r="1114">
      <c r="A1114" s="4"/>
      <c r="B1114" s="4"/>
      <c r="C1114" s="37"/>
      <c r="D1114" s="7" t="str">
        <f>IFERROR(__xludf.DUMMYFUNCTION("iferror(iferror(INDEX(IMPORTRANGE(""12vtnxaE_Q1s4tyr10kZQx7ZF_xG0lBFae4jQEUtgsMU"",""All!B2:B""),MATCH($C1114,IMPORTRANGE(""12vtnxaE_Q1s4tyr10kZQx7ZF_xG0lBFae4jQEUtgsMU"",""All!A2:A""),0)),INDEX(IMPORTRANGE(""13KC70HngS4DDi8y9E5khtSpQEPG6owaQ9z4E-tR5mnY"""&amp;",""Non-Food!B2:B""),MATCH($C1114,IMPORTRANGE(""13KC70HngS4DDi8y9E5khtSpQEPG6owaQ9z4E-tR5mnY"",""Non-Food!A2:A""),0))),"""")"),"")</f>
        <v/>
      </c>
      <c r="E1114" s="15"/>
      <c r="F1114" s="15"/>
      <c r="G1114" s="36"/>
      <c r="H1114" s="23" t="str">
        <f>IFERROR(__xludf.DUMMYFUNCTION("iferror(iferror(iferror(index(IMPORTRANGE(""1NK5L1mviMn0j3D3uo53ASkIZOFRlLnqaCTnwzOG2_Wg"",""Direct Link!B2:B""),MATCH($C1114,IMPORTRANGE(""1NK5L1mviMn0j3D3uo53ASkIZOFRlLnqaCTnwzOG2_Wg"",""Direct Link!A2:A""),0)),XLOOKUP($C1114,IMPORTRANGE(""1NK5L1mviMn0j"&amp;"3D3uo53ASkIZOFRlLnqaCTnwzOG2_Wg"",""Direct links Without Sizes!A2:A""),IMPORTRANGE(""1NK5L1mviMn0j3D3uo53ASkIZOFRlLnqaCTnwzOG2_Wg"",""Direct links Without Sizes!B2:B""))),XLOOKUP($C1114,IMPORTRANGE(""1NK5L1mviMn0j3D3uo53ASkIZOFRlLnqaCTnwzOG2_Wg"",""Direct"&amp;" links Without Sizes!D2:D""),IMPORTRANGE(""1NK5L1mviMn0j3D3uo53ASkIZOFRlLnqaCTnwzOG2_Wg"",""Direct links Without Sizes!E2:E""))),"""")"),"")</f>
        <v/>
      </c>
      <c r="I1114" s="4"/>
      <c r="J1114" s="24" t="str">
        <f t="shared" si="1"/>
        <v/>
      </c>
      <c r="K1114" s="25"/>
      <c r="L1114" s="24" t="str">
        <f t="shared" si="2"/>
        <v/>
      </c>
      <c r="M1114" s="4"/>
      <c r="N1114" s="23"/>
      <c r="O1114" s="23"/>
      <c r="P1114" s="23"/>
      <c r="Q1114" s="4" t="str">
        <f t="shared" si="4"/>
        <v/>
      </c>
      <c r="R1114" s="20"/>
      <c r="S1114" s="20"/>
    </row>
    <row r="1115">
      <c r="A1115" s="4"/>
      <c r="B1115" s="4"/>
      <c r="C1115" s="37"/>
      <c r="D1115" s="7" t="str">
        <f>IFERROR(__xludf.DUMMYFUNCTION("iferror(iferror(INDEX(IMPORTRANGE(""12vtnxaE_Q1s4tyr10kZQx7ZF_xG0lBFae4jQEUtgsMU"",""All!B2:B""),MATCH($C1115,IMPORTRANGE(""12vtnxaE_Q1s4tyr10kZQx7ZF_xG0lBFae4jQEUtgsMU"",""All!A2:A""),0)),INDEX(IMPORTRANGE(""13KC70HngS4DDi8y9E5khtSpQEPG6owaQ9z4E-tR5mnY"""&amp;",""Non-Food!B2:B""),MATCH($C1115,IMPORTRANGE(""13KC70HngS4DDi8y9E5khtSpQEPG6owaQ9z4E-tR5mnY"",""Non-Food!A2:A""),0))),"""")"),"")</f>
        <v/>
      </c>
      <c r="E1115" s="15"/>
      <c r="F1115" s="15"/>
      <c r="G1115" s="36"/>
      <c r="H1115" s="23" t="str">
        <f>IFERROR(__xludf.DUMMYFUNCTION("iferror(iferror(iferror(index(IMPORTRANGE(""1NK5L1mviMn0j3D3uo53ASkIZOFRlLnqaCTnwzOG2_Wg"",""Direct Link!B2:B""),MATCH($C1115,IMPORTRANGE(""1NK5L1mviMn0j3D3uo53ASkIZOFRlLnqaCTnwzOG2_Wg"",""Direct Link!A2:A""),0)),XLOOKUP($C1115,IMPORTRANGE(""1NK5L1mviMn0j"&amp;"3D3uo53ASkIZOFRlLnqaCTnwzOG2_Wg"",""Direct links Without Sizes!A2:A""),IMPORTRANGE(""1NK5L1mviMn0j3D3uo53ASkIZOFRlLnqaCTnwzOG2_Wg"",""Direct links Without Sizes!B2:B""))),XLOOKUP($C1115,IMPORTRANGE(""1NK5L1mviMn0j3D3uo53ASkIZOFRlLnqaCTnwzOG2_Wg"",""Direct"&amp;" links Without Sizes!D2:D""),IMPORTRANGE(""1NK5L1mviMn0j3D3uo53ASkIZOFRlLnqaCTnwzOG2_Wg"",""Direct links Without Sizes!E2:E""))),"""")"),"")</f>
        <v/>
      </c>
      <c r="I1115" s="4"/>
      <c r="J1115" s="24" t="str">
        <f t="shared" si="1"/>
        <v/>
      </c>
      <c r="K1115" s="25"/>
      <c r="L1115" s="24" t="str">
        <f t="shared" si="2"/>
        <v/>
      </c>
      <c r="M1115" s="4"/>
      <c r="N1115" s="23"/>
      <c r="O1115" s="23"/>
      <c r="P1115" s="23"/>
      <c r="Q1115" s="4" t="str">
        <f t="shared" si="4"/>
        <v/>
      </c>
      <c r="R1115" s="20"/>
      <c r="S1115" s="20"/>
    </row>
    <row r="1116">
      <c r="A1116" s="4"/>
      <c r="B1116" s="4"/>
      <c r="C1116" s="37"/>
      <c r="D1116" s="7" t="str">
        <f>IFERROR(__xludf.DUMMYFUNCTION("iferror(iferror(INDEX(IMPORTRANGE(""12vtnxaE_Q1s4tyr10kZQx7ZF_xG0lBFae4jQEUtgsMU"",""All!B2:B""),MATCH($C1116,IMPORTRANGE(""12vtnxaE_Q1s4tyr10kZQx7ZF_xG0lBFae4jQEUtgsMU"",""All!A2:A""),0)),INDEX(IMPORTRANGE(""13KC70HngS4DDi8y9E5khtSpQEPG6owaQ9z4E-tR5mnY"""&amp;",""Non-Food!B2:B""),MATCH($C1116,IMPORTRANGE(""13KC70HngS4DDi8y9E5khtSpQEPG6owaQ9z4E-tR5mnY"",""Non-Food!A2:A""),0))),"""")"),"")</f>
        <v/>
      </c>
      <c r="E1116" s="15"/>
      <c r="F1116" s="15"/>
      <c r="G1116" s="36"/>
      <c r="H1116" s="23" t="str">
        <f>IFERROR(__xludf.DUMMYFUNCTION("iferror(iferror(iferror(index(IMPORTRANGE(""1NK5L1mviMn0j3D3uo53ASkIZOFRlLnqaCTnwzOG2_Wg"",""Direct Link!B2:B""),MATCH($C1116,IMPORTRANGE(""1NK5L1mviMn0j3D3uo53ASkIZOFRlLnqaCTnwzOG2_Wg"",""Direct Link!A2:A""),0)),XLOOKUP($C1116,IMPORTRANGE(""1NK5L1mviMn0j"&amp;"3D3uo53ASkIZOFRlLnqaCTnwzOG2_Wg"",""Direct links Without Sizes!A2:A""),IMPORTRANGE(""1NK5L1mviMn0j3D3uo53ASkIZOFRlLnqaCTnwzOG2_Wg"",""Direct links Without Sizes!B2:B""))),XLOOKUP($C1116,IMPORTRANGE(""1NK5L1mviMn0j3D3uo53ASkIZOFRlLnqaCTnwzOG2_Wg"",""Direct"&amp;" links Without Sizes!D2:D""),IMPORTRANGE(""1NK5L1mviMn0j3D3uo53ASkIZOFRlLnqaCTnwzOG2_Wg"",""Direct links Without Sizes!E2:E""))),"""")"),"")</f>
        <v/>
      </c>
      <c r="I1116" s="4"/>
      <c r="J1116" s="24" t="str">
        <f t="shared" si="1"/>
        <v/>
      </c>
      <c r="K1116" s="25"/>
      <c r="L1116" s="24" t="str">
        <f t="shared" si="2"/>
        <v/>
      </c>
      <c r="M1116" s="4"/>
      <c r="N1116" s="23"/>
      <c r="O1116" s="23"/>
      <c r="P1116" s="23"/>
      <c r="Q1116" s="4" t="str">
        <f t="shared" si="4"/>
        <v/>
      </c>
      <c r="R1116" s="20"/>
      <c r="S1116" s="20"/>
    </row>
    <row r="1117">
      <c r="A1117" s="4"/>
      <c r="B1117" s="4"/>
      <c r="C1117" s="37"/>
      <c r="D1117" s="7" t="str">
        <f>IFERROR(__xludf.DUMMYFUNCTION("iferror(iferror(INDEX(IMPORTRANGE(""12vtnxaE_Q1s4tyr10kZQx7ZF_xG0lBFae4jQEUtgsMU"",""All!B2:B""),MATCH($C1117,IMPORTRANGE(""12vtnxaE_Q1s4tyr10kZQx7ZF_xG0lBFae4jQEUtgsMU"",""All!A2:A""),0)),INDEX(IMPORTRANGE(""13KC70HngS4DDi8y9E5khtSpQEPG6owaQ9z4E-tR5mnY"""&amp;",""Non-Food!B2:B""),MATCH($C1117,IMPORTRANGE(""13KC70HngS4DDi8y9E5khtSpQEPG6owaQ9z4E-tR5mnY"",""Non-Food!A2:A""),0))),"""")"),"")</f>
        <v/>
      </c>
      <c r="E1117" s="15"/>
      <c r="F1117" s="15"/>
      <c r="G1117" s="36"/>
      <c r="H1117" s="23" t="str">
        <f>IFERROR(__xludf.DUMMYFUNCTION("iferror(iferror(iferror(index(IMPORTRANGE(""1NK5L1mviMn0j3D3uo53ASkIZOFRlLnqaCTnwzOG2_Wg"",""Direct Link!B2:B""),MATCH($C1117,IMPORTRANGE(""1NK5L1mviMn0j3D3uo53ASkIZOFRlLnqaCTnwzOG2_Wg"",""Direct Link!A2:A""),0)),XLOOKUP($C1117,IMPORTRANGE(""1NK5L1mviMn0j"&amp;"3D3uo53ASkIZOFRlLnqaCTnwzOG2_Wg"",""Direct links Without Sizes!A2:A""),IMPORTRANGE(""1NK5L1mviMn0j3D3uo53ASkIZOFRlLnqaCTnwzOG2_Wg"",""Direct links Without Sizes!B2:B""))),XLOOKUP($C1117,IMPORTRANGE(""1NK5L1mviMn0j3D3uo53ASkIZOFRlLnqaCTnwzOG2_Wg"",""Direct"&amp;" links Without Sizes!D2:D""),IMPORTRANGE(""1NK5L1mviMn0j3D3uo53ASkIZOFRlLnqaCTnwzOG2_Wg"",""Direct links Without Sizes!E2:E""))),"""")"),"")</f>
        <v/>
      </c>
      <c r="I1117" s="4"/>
      <c r="J1117" s="24" t="str">
        <f t="shared" si="1"/>
        <v/>
      </c>
      <c r="K1117" s="25"/>
      <c r="L1117" s="24" t="str">
        <f t="shared" si="2"/>
        <v/>
      </c>
      <c r="M1117" s="4"/>
      <c r="N1117" s="23"/>
      <c r="O1117" s="23"/>
      <c r="P1117" s="23"/>
      <c r="Q1117" s="4" t="str">
        <f t="shared" si="4"/>
        <v/>
      </c>
      <c r="R1117" s="20"/>
      <c r="S1117" s="20"/>
    </row>
    <row r="1118">
      <c r="A1118" s="4"/>
      <c r="B1118" s="4"/>
      <c r="C1118" s="37"/>
      <c r="D1118" s="7" t="str">
        <f>IFERROR(__xludf.DUMMYFUNCTION("iferror(iferror(INDEX(IMPORTRANGE(""12vtnxaE_Q1s4tyr10kZQx7ZF_xG0lBFae4jQEUtgsMU"",""All!B2:B""),MATCH($C1118,IMPORTRANGE(""12vtnxaE_Q1s4tyr10kZQx7ZF_xG0lBFae4jQEUtgsMU"",""All!A2:A""),0)),INDEX(IMPORTRANGE(""13KC70HngS4DDi8y9E5khtSpQEPG6owaQ9z4E-tR5mnY"""&amp;",""Non-Food!B2:B""),MATCH($C1118,IMPORTRANGE(""13KC70HngS4DDi8y9E5khtSpQEPG6owaQ9z4E-tR5mnY"",""Non-Food!A2:A""),0))),"""")"),"")</f>
        <v/>
      </c>
      <c r="E1118" s="15"/>
      <c r="F1118" s="15"/>
      <c r="G1118" s="36"/>
      <c r="H1118" s="23" t="str">
        <f>IFERROR(__xludf.DUMMYFUNCTION("iferror(iferror(iferror(index(IMPORTRANGE(""1NK5L1mviMn0j3D3uo53ASkIZOFRlLnqaCTnwzOG2_Wg"",""Direct Link!B2:B""),MATCH($C1118,IMPORTRANGE(""1NK5L1mviMn0j3D3uo53ASkIZOFRlLnqaCTnwzOG2_Wg"",""Direct Link!A2:A""),0)),XLOOKUP($C1118,IMPORTRANGE(""1NK5L1mviMn0j"&amp;"3D3uo53ASkIZOFRlLnqaCTnwzOG2_Wg"",""Direct links Without Sizes!A2:A""),IMPORTRANGE(""1NK5L1mviMn0j3D3uo53ASkIZOFRlLnqaCTnwzOG2_Wg"",""Direct links Without Sizes!B2:B""))),XLOOKUP($C1118,IMPORTRANGE(""1NK5L1mviMn0j3D3uo53ASkIZOFRlLnqaCTnwzOG2_Wg"",""Direct"&amp;" links Without Sizes!D2:D""),IMPORTRANGE(""1NK5L1mviMn0j3D3uo53ASkIZOFRlLnqaCTnwzOG2_Wg"",""Direct links Without Sizes!E2:E""))),"""")"),"")</f>
        <v/>
      </c>
      <c r="I1118" s="4"/>
      <c r="J1118" s="24" t="str">
        <f t="shared" si="1"/>
        <v/>
      </c>
      <c r="K1118" s="25"/>
      <c r="L1118" s="24" t="str">
        <f t="shared" si="2"/>
        <v/>
      </c>
      <c r="M1118" s="4"/>
      <c r="N1118" s="23"/>
      <c r="O1118" s="23"/>
      <c r="P1118" s="23"/>
      <c r="Q1118" s="4" t="str">
        <f t="shared" si="4"/>
        <v/>
      </c>
      <c r="R1118" s="20"/>
      <c r="S1118" s="20"/>
    </row>
    <row r="1119">
      <c r="A1119" s="4"/>
      <c r="B1119" s="4"/>
      <c r="C1119" s="37"/>
      <c r="D1119" s="7" t="str">
        <f>IFERROR(__xludf.DUMMYFUNCTION("iferror(iferror(INDEX(IMPORTRANGE(""12vtnxaE_Q1s4tyr10kZQx7ZF_xG0lBFae4jQEUtgsMU"",""All!B2:B""),MATCH($C1119,IMPORTRANGE(""12vtnxaE_Q1s4tyr10kZQx7ZF_xG0lBFae4jQEUtgsMU"",""All!A2:A""),0)),INDEX(IMPORTRANGE(""13KC70HngS4DDi8y9E5khtSpQEPG6owaQ9z4E-tR5mnY"""&amp;",""Non-Food!B2:B""),MATCH($C1119,IMPORTRANGE(""13KC70HngS4DDi8y9E5khtSpQEPG6owaQ9z4E-tR5mnY"",""Non-Food!A2:A""),0))),"""")"),"")</f>
        <v/>
      </c>
      <c r="E1119" s="15"/>
      <c r="F1119" s="15"/>
      <c r="G1119" s="36"/>
      <c r="H1119" s="23" t="str">
        <f>IFERROR(__xludf.DUMMYFUNCTION("iferror(iferror(iferror(index(IMPORTRANGE(""1NK5L1mviMn0j3D3uo53ASkIZOFRlLnqaCTnwzOG2_Wg"",""Direct Link!B2:B""),MATCH($C1119,IMPORTRANGE(""1NK5L1mviMn0j3D3uo53ASkIZOFRlLnqaCTnwzOG2_Wg"",""Direct Link!A2:A""),0)),XLOOKUP($C1119,IMPORTRANGE(""1NK5L1mviMn0j"&amp;"3D3uo53ASkIZOFRlLnqaCTnwzOG2_Wg"",""Direct links Without Sizes!A2:A""),IMPORTRANGE(""1NK5L1mviMn0j3D3uo53ASkIZOFRlLnqaCTnwzOG2_Wg"",""Direct links Without Sizes!B2:B""))),XLOOKUP($C1119,IMPORTRANGE(""1NK5L1mviMn0j3D3uo53ASkIZOFRlLnqaCTnwzOG2_Wg"",""Direct"&amp;" links Without Sizes!D2:D""),IMPORTRANGE(""1NK5L1mviMn0j3D3uo53ASkIZOFRlLnqaCTnwzOG2_Wg"",""Direct links Without Sizes!E2:E""))),"""")"),"")</f>
        <v/>
      </c>
      <c r="I1119" s="4"/>
      <c r="J1119" s="24" t="str">
        <f t="shared" si="1"/>
        <v/>
      </c>
      <c r="K1119" s="25"/>
      <c r="L1119" s="24" t="str">
        <f t="shared" si="2"/>
        <v/>
      </c>
      <c r="M1119" s="4"/>
      <c r="N1119" s="23"/>
      <c r="O1119" s="23"/>
      <c r="P1119" s="23"/>
      <c r="Q1119" s="4" t="str">
        <f t="shared" si="4"/>
        <v/>
      </c>
      <c r="R1119" s="20"/>
      <c r="S1119" s="20"/>
    </row>
    <row r="1120">
      <c r="A1120" s="4"/>
      <c r="B1120" s="4"/>
      <c r="C1120" s="37"/>
      <c r="D1120" s="7" t="str">
        <f>IFERROR(__xludf.DUMMYFUNCTION("iferror(iferror(INDEX(IMPORTRANGE(""12vtnxaE_Q1s4tyr10kZQx7ZF_xG0lBFae4jQEUtgsMU"",""All!B2:B""),MATCH($C1120,IMPORTRANGE(""12vtnxaE_Q1s4tyr10kZQx7ZF_xG0lBFae4jQEUtgsMU"",""All!A2:A""),0)),INDEX(IMPORTRANGE(""13KC70HngS4DDi8y9E5khtSpQEPG6owaQ9z4E-tR5mnY"""&amp;",""Non-Food!B2:B""),MATCH($C1120,IMPORTRANGE(""13KC70HngS4DDi8y9E5khtSpQEPG6owaQ9z4E-tR5mnY"",""Non-Food!A2:A""),0))),"""")"),"")</f>
        <v/>
      </c>
      <c r="E1120" s="15"/>
      <c r="F1120" s="15"/>
      <c r="G1120" s="36"/>
      <c r="H1120" s="23" t="str">
        <f>IFERROR(__xludf.DUMMYFUNCTION("iferror(iferror(iferror(index(IMPORTRANGE(""1NK5L1mviMn0j3D3uo53ASkIZOFRlLnqaCTnwzOG2_Wg"",""Direct Link!B2:B""),MATCH($C1120,IMPORTRANGE(""1NK5L1mviMn0j3D3uo53ASkIZOFRlLnqaCTnwzOG2_Wg"",""Direct Link!A2:A""),0)),XLOOKUP($C1120,IMPORTRANGE(""1NK5L1mviMn0j"&amp;"3D3uo53ASkIZOFRlLnqaCTnwzOG2_Wg"",""Direct links Without Sizes!A2:A""),IMPORTRANGE(""1NK5L1mviMn0j3D3uo53ASkIZOFRlLnqaCTnwzOG2_Wg"",""Direct links Without Sizes!B2:B""))),XLOOKUP($C1120,IMPORTRANGE(""1NK5L1mviMn0j3D3uo53ASkIZOFRlLnqaCTnwzOG2_Wg"",""Direct"&amp;" links Without Sizes!D2:D""),IMPORTRANGE(""1NK5L1mviMn0j3D3uo53ASkIZOFRlLnqaCTnwzOG2_Wg"",""Direct links Without Sizes!E2:E""))),"""")"),"")</f>
        <v/>
      </c>
      <c r="I1120" s="4"/>
      <c r="J1120" s="24" t="str">
        <f t="shared" si="1"/>
        <v/>
      </c>
      <c r="K1120" s="25"/>
      <c r="L1120" s="24" t="str">
        <f t="shared" si="2"/>
        <v/>
      </c>
      <c r="M1120" s="4"/>
      <c r="N1120" s="23"/>
      <c r="O1120" s="23"/>
      <c r="P1120" s="23"/>
      <c r="Q1120" s="4" t="str">
        <f t="shared" si="4"/>
        <v/>
      </c>
      <c r="R1120" s="20"/>
      <c r="S1120" s="20"/>
    </row>
    <row r="1121">
      <c r="A1121" s="4"/>
      <c r="B1121" s="4"/>
      <c r="C1121" s="37"/>
      <c r="D1121" s="7" t="str">
        <f>IFERROR(__xludf.DUMMYFUNCTION("iferror(iferror(INDEX(IMPORTRANGE(""12vtnxaE_Q1s4tyr10kZQx7ZF_xG0lBFae4jQEUtgsMU"",""All!B2:B""),MATCH($C1121,IMPORTRANGE(""12vtnxaE_Q1s4tyr10kZQx7ZF_xG0lBFae4jQEUtgsMU"",""All!A2:A""),0)),INDEX(IMPORTRANGE(""13KC70HngS4DDi8y9E5khtSpQEPG6owaQ9z4E-tR5mnY"""&amp;",""Non-Food!B2:B""),MATCH($C1121,IMPORTRANGE(""13KC70HngS4DDi8y9E5khtSpQEPG6owaQ9z4E-tR5mnY"",""Non-Food!A2:A""),0))),"""")"),"")</f>
        <v/>
      </c>
      <c r="E1121" s="15"/>
      <c r="F1121" s="15"/>
      <c r="G1121" s="36"/>
      <c r="H1121" s="23" t="str">
        <f>IFERROR(__xludf.DUMMYFUNCTION("iferror(iferror(iferror(index(IMPORTRANGE(""1NK5L1mviMn0j3D3uo53ASkIZOFRlLnqaCTnwzOG2_Wg"",""Direct Link!B2:B""),MATCH($C1121,IMPORTRANGE(""1NK5L1mviMn0j3D3uo53ASkIZOFRlLnqaCTnwzOG2_Wg"",""Direct Link!A2:A""),0)),XLOOKUP($C1121,IMPORTRANGE(""1NK5L1mviMn0j"&amp;"3D3uo53ASkIZOFRlLnqaCTnwzOG2_Wg"",""Direct links Without Sizes!A2:A""),IMPORTRANGE(""1NK5L1mviMn0j3D3uo53ASkIZOFRlLnqaCTnwzOG2_Wg"",""Direct links Without Sizes!B2:B""))),XLOOKUP($C1121,IMPORTRANGE(""1NK5L1mviMn0j3D3uo53ASkIZOFRlLnqaCTnwzOG2_Wg"",""Direct"&amp;" links Without Sizes!D2:D""),IMPORTRANGE(""1NK5L1mviMn0j3D3uo53ASkIZOFRlLnqaCTnwzOG2_Wg"",""Direct links Without Sizes!E2:E""))),"""")"),"")</f>
        <v/>
      </c>
      <c r="I1121" s="4"/>
      <c r="J1121" s="24" t="str">
        <f t="shared" si="1"/>
        <v/>
      </c>
      <c r="K1121" s="25"/>
      <c r="L1121" s="24" t="str">
        <f t="shared" si="2"/>
        <v/>
      </c>
      <c r="M1121" s="4"/>
      <c r="N1121" s="23"/>
      <c r="O1121" s="23"/>
      <c r="P1121" s="23"/>
      <c r="Q1121" s="4" t="str">
        <f t="shared" si="4"/>
        <v/>
      </c>
      <c r="R1121" s="20"/>
      <c r="S1121" s="20"/>
    </row>
    <row r="1122">
      <c r="A1122" s="4"/>
      <c r="B1122" s="4"/>
      <c r="C1122" s="37"/>
      <c r="D1122" s="7" t="str">
        <f>IFERROR(__xludf.DUMMYFUNCTION("iferror(iferror(INDEX(IMPORTRANGE(""12vtnxaE_Q1s4tyr10kZQx7ZF_xG0lBFae4jQEUtgsMU"",""All!B2:B""),MATCH($C1122,IMPORTRANGE(""12vtnxaE_Q1s4tyr10kZQx7ZF_xG0lBFae4jQEUtgsMU"",""All!A2:A""),0)),INDEX(IMPORTRANGE(""13KC70HngS4DDi8y9E5khtSpQEPG6owaQ9z4E-tR5mnY"""&amp;",""Non-Food!B2:B""),MATCH($C1122,IMPORTRANGE(""13KC70HngS4DDi8y9E5khtSpQEPG6owaQ9z4E-tR5mnY"",""Non-Food!A2:A""),0))),"""")"),"")</f>
        <v/>
      </c>
      <c r="E1122" s="15"/>
      <c r="F1122" s="15"/>
      <c r="G1122" s="36"/>
      <c r="H1122" s="23" t="str">
        <f>IFERROR(__xludf.DUMMYFUNCTION("iferror(iferror(iferror(index(IMPORTRANGE(""1NK5L1mviMn0j3D3uo53ASkIZOFRlLnqaCTnwzOG2_Wg"",""Direct Link!B2:B""),MATCH($C1122,IMPORTRANGE(""1NK5L1mviMn0j3D3uo53ASkIZOFRlLnqaCTnwzOG2_Wg"",""Direct Link!A2:A""),0)),XLOOKUP($C1122,IMPORTRANGE(""1NK5L1mviMn0j"&amp;"3D3uo53ASkIZOFRlLnqaCTnwzOG2_Wg"",""Direct links Without Sizes!A2:A""),IMPORTRANGE(""1NK5L1mviMn0j3D3uo53ASkIZOFRlLnqaCTnwzOG2_Wg"",""Direct links Without Sizes!B2:B""))),XLOOKUP($C1122,IMPORTRANGE(""1NK5L1mviMn0j3D3uo53ASkIZOFRlLnqaCTnwzOG2_Wg"",""Direct"&amp;" links Without Sizes!D2:D""),IMPORTRANGE(""1NK5L1mviMn0j3D3uo53ASkIZOFRlLnqaCTnwzOG2_Wg"",""Direct links Without Sizes!E2:E""))),"""")"),"")</f>
        <v/>
      </c>
      <c r="I1122" s="4"/>
      <c r="J1122" s="24" t="str">
        <f t="shared" si="1"/>
        <v/>
      </c>
      <c r="K1122" s="25"/>
      <c r="L1122" s="24" t="str">
        <f t="shared" si="2"/>
        <v/>
      </c>
      <c r="M1122" s="4"/>
      <c r="N1122" s="23"/>
      <c r="O1122" s="23"/>
      <c r="P1122" s="23"/>
      <c r="Q1122" s="4" t="str">
        <f t="shared" si="4"/>
        <v/>
      </c>
      <c r="R1122" s="20"/>
      <c r="S1122" s="20"/>
    </row>
    <row r="1123">
      <c r="A1123" s="4"/>
      <c r="B1123" s="4"/>
      <c r="C1123" s="37"/>
      <c r="D1123" s="7" t="str">
        <f>IFERROR(__xludf.DUMMYFUNCTION("iferror(iferror(INDEX(IMPORTRANGE(""12vtnxaE_Q1s4tyr10kZQx7ZF_xG0lBFae4jQEUtgsMU"",""All!B2:B""),MATCH($C1123,IMPORTRANGE(""12vtnxaE_Q1s4tyr10kZQx7ZF_xG0lBFae4jQEUtgsMU"",""All!A2:A""),0)),INDEX(IMPORTRANGE(""13KC70HngS4DDi8y9E5khtSpQEPG6owaQ9z4E-tR5mnY"""&amp;",""Non-Food!B2:B""),MATCH($C1123,IMPORTRANGE(""13KC70HngS4DDi8y9E5khtSpQEPG6owaQ9z4E-tR5mnY"",""Non-Food!A2:A""),0))),"""")"),"")</f>
        <v/>
      </c>
      <c r="E1123" s="15"/>
      <c r="F1123" s="15"/>
      <c r="G1123" s="36"/>
      <c r="H1123" s="23" t="str">
        <f>IFERROR(__xludf.DUMMYFUNCTION("iferror(iferror(iferror(index(IMPORTRANGE(""1NK5L1mviMn0j3D3uo53ASkIZOFRlLnqaCTnwzOG2_Wg"",""Direct Link!B2:B""),MATCH($C1123,IMPORTRANGE(""1NK5L1mviMn0j3D3uo53ASkIZOFRlLnqaCTnwzOG2_Wg"",""Direct Link!A2:A""),0)),XLOOKUP($C1123,IMPORTRANGE(""1NK5L1mviMn0j"&amp;"3D3uo53ASkIZOFRlLnqaCTnwzOG2_Wg"",""Direct links Without Sizes!A2:A""),IMPORTRANGE(""1NK5L1mviMn0j3D3uo53ASkIZOFRlLnqaCTnwzOG2_Wg"",""Direct links Without Sizes!B2:B""))),XLOOKUP($C1123,IMPORTRANGE(""1NK5L1mviMn0j3D3uo53ASkIZOFRlLnqaCTnwzOG2_Wg"",""Direct"&amp;" links Without Sizes!D2:D""),IMPORTRANGE(""1NK5L1mviMn0j3D3uo53ASkIZOFRlLnqaCTnwzOG2_Wg"",""Direct links Without Sizes!E2:E""))),"""")"),"")</f>
        <v/>
      </c>
      <c r="I1123" s="4"/>
      <c r="J1123" s="24" t="str">
        <f t="shared" si="1"/>
        <v/>
      </c>
      <c r="K1123" s="25"/>
      <c r="L1123" s="24" t="str">
        <f t="shared" si="2"/>
        <v/>
      </c>
      <c r="M1123" s="4"/>
      <c r="N1123" s="23"/>
      <c r="O1123" s="23"/>
      <c r="P1123" s="23"/>
      <c r="Q1123" s="4" t="str">
        <f t="shared" si="4"/>
        <v/>
      </c>
      <c r="R1123" s="20"/>
      <c r="S1123" s="20"/>
    </row>
    <row r="1124">
      <c r="A1124" s="4"/>
      <c r="B1124" s="4"/>
      <c r="C1124" s="37"/>
      <c r="D1124" s="7" t="str">
        <f>IFERROR(__xludf.DUMMYFUNCTION("iferror(iferror(INDEX(IMPORTRANGE(""12vtnxaE_Q1s4tyr10kZQx7ZF_xG0lBFae4jQEUtgsMU"",""All!B2:B""),MATCH($C1124,IMPORTRANGE(""12vtnxaE_Q1s4tyr10kZQx7ZF_xG0lBFae4jQEUtgsMU"",""All!A2:A""),0)),INDEX(IMPORTRANGE(""13KC70HngS4DDi8y9E5khtSpQEPG6owaQ9z4E-tR5mnY"""&amp;",""Non-Food!B2:B""),MATCH($C1124,IMPORTRANGE(""13KC70HngS4DDi8y9E5khtSpQEPG6owaQ9z4E-tR5mnY"",""Non-Food!A2:A""),0))),"""")"),"")</f>
        <v/>
      </c>
      <c r="E1124" s="15"/>
      <c r="F1124" s="15"/>
      <c r="G1124" s="36"/>
      <c r="H1124" s="23" t="str">
        <f>IFERROR(__xludf.DUMMYFUNCTION("iferror(iferror(iferror(index(IMPORTRANGE(""1NK5L1mviMn0j3D3uo53ASkIZOFRlLnqaCTnwzOG2_Wg"",""Direct Link!B2:B""),MATCH($C1124,IMPORTRANGE(""1NK5L1mviMn0j3D3uo53ASkIZOFRlLnqaCTnwzOG2_Wg"",""Direct Link!A2:A""),0)),XLOOKUP($C1124,IMPORTRANGE(""1NK5L1mviMn0j"&amp;"3D3uo53ASkIZOFRlLnqaCTnwzOG2_Wg"",""Direct links Without Sizes!A2:A""),IMPORTRANGE(""1NK5L1mviMn0j3D3uo53ASkIZOFRlLnqaCTnwzOG2_Wg"",""Direct links Without Sizes!B2:B""))),XLOOKUP($C1124,IMPORTRANGE(""1NK5L1mviMn0j3D3uo53ASkIZOFRlLnqaCTnwzOG2_Wg"",""Direct"&amp;" links Without Sizes!D2:D""),IMPORTRANGE(""1NK5L1mviMn0j3D3uo53ASkIZOFRlLnqaCTnwzOG2_Wg"",""Direct links Without Sizes!E2:E""))),"""")"),"")</f>
        <v/>
      </c>
      <c r="I1124" s="4"/>
      <c r="J1124" s="24" t="str">
        <f t="shared" si="1"/>
        <v/>
      </c>
      <c r="K1124" s="25"/>
      <c r="L1124" s="24" t="str">
        <f t="shared" si="2"/>
        <v/>
      </c>
      <c r="M1124" s="4"/>
      <c r="N1124" s="23"/>
      <c r="O1124" s="23"/>
      <c r="P1124" s="23"/>
      <c r="Q1124" s="4" t="str">
        <f t="shared" si="4"/>
        <v/>
      </c>
      <c r="R1124" s="20"/>
      <c r="S1124" s="20"/>
    </row>
    <row r="1125">
      <c r="A1125" s="4"/>
      <c r="B1125" s="4"/>
      <c r="C1125" s="37"/>
      <c r="D1125" s="7" t="str">
        <f>IFERROR(__xludf.DUMMYFUNCTION("iferror(iferror(INDEX(IMPORTRANGE(""12vtnxaE_Q1s4tyr10kZQx7ZF_xG0lBFae4jQEUtgsMU"",""All!B2:B""),MATCH($C1125,IMPORTRANGE(""12vtnxaE_Q1s4tyr10kZQx7ZF_xG0lBFae4jQEUtgsMU"",""All!A2:A""),0)),INDEX(IMPORTRANGE(""13KC70HngS4DDi8y9E5khtSpQEPG6owaQ9z4E-tR5mnY"""&amp;",""Non-Food!B2:B""),MATCH($C1125,IMPORTRANGE(""13KC70HngS4DDi8y9E5khtSpQEPG6owaQ9z4E-tR5mnY"",""Non-Food!A2:A""),0))),"""")"),"")</f>
        <v/>
      </c>
      <c r="E1125" s="15"/>
      <c r="F1125" s="15"/>
      <c r="G1125" s="36"/>
      <c r="H1125" s="23" t="str">
        <f>IFERROR(__xludf.DUMMYFUNCTION("iferror(iferror(iferror(index(IMPORTRANGE(""1NK5L1mviMn0j3D3uo53ASkIZOFRlLnqaCTnwzOG2_Wg"",""Direct Link!B2:B""),MATCH($C1125,IMPORTRANGE(""1NK5L1mviMn0j3D3uo53ASkIZOFRlLnqaCTnwzOG2_Wg"",""Direct Link!A2:A""),0)),XLOOKUP($C1125,IMPORTRANGE(""1NK5L1mviMn0j"&amp;"3D3uo53ASkIZOFRlLnqaCTnwzOG2_Wg"",""Direct links Without Sizes!A2:A""),IMPORTRANGE(""1NK5L1mviMn0j3D3uo53ASkIZOFRlLnqaCTnwzOG2_Wg"",""Direct links Without Sizes!B2:B""))),XLOOKUP($C1125,IMPORTRANGE(""1NK5L1mviMn0j3D3uo53ASkIZOFRlLnqaCTnwzOG2_Wg"",""Direct"&amp;" links Without Sizes!D2:D""),IMPORTRANGE(""1NK5L1mviMn0j3D3uo53ASkIZOFRlLnqaCTnwzOG2_Wg"",""Direct links Without Sizes!E2:E""))),"""")"),"")</f>
        <v/>
      </c>
      <c r="I1125" s="4"/>
      <c r="J1125" s="24" t="str">
        <f t="shared" si="1"/>
        <v/>
      </c>
      <c r="K1125" s="25"/>
      <c r="L1125" s="24" t="str">
        <f t="shared" si="2"/>
        <v/>
      </c>
      <c r="M1125" s="4"/>
      <c r="N1125" s="23"/>
      <c r="O1125" s="23"/>
      <c r="P1125" s="23"/>
      <c r="Q1125" s="4" t="str">
        <f t="shared" si="4"/>
        <v/>
      </c>
      <c r="R1125" s="20"/>
      <c r="S1125" s="20"/>
    </row>
    <row r="1126">
      <c r="A1126" s="4"/>
      <c r="B1126" s="4"/>
      <c r="C1126" s="37"/>
      <c r="D1126" s="7" t="str">
        <f>IFERROR(__xludf.DUMMYFUNCTION("iferror(iferror(INDEX(IMPORTRANGE(""12vtnxaE_Q1s4tyr10kZQx7ZF_xG0lBFae4jQEUtgsMU"",""All!B2:B""),MATCH($C1126,IMPORTRANGE(""12vtnxaE_Q1s4tyr10kZQx7ZF_xG0lBFae4jQEUtgsMU"",""All!A2:A""),0)),INDEX(IMPORTRANGE(""13KC70HngS4DDi8y9E5khtSpQEPG6owaQ9z4E-tR5mnY"""&amp;",""Non-Food!B2:B""),MATCH($C1126,IMPORTRANGE(""13KC70HngS4DDi8y9E5khtSpQEPG6owaQ9z4E-tR5mnY"",""Non-Food!A2:A""),0))),"""")"),"")</f>
        <v/>
      </c>
      <c r="E1126" s="15"/>
      <c r="F1126" s="15"/>
      <c r="G1126" s="36"/>
      <c r="H1126" s="23" t="str">
        <f>IFERROR(__xludf.DUMMYFUNCTION("iferror(iferror(iferror(index(IMPORTRANGE(""1NK5L1mviMn0j3D3uo53ASkIZOFRlLnqaCTnwzOG2_Wg"",""Direct Link!B2:B""),MATCH($C1126,IMPORTRANGE(""1NK5L1mviMn0j3D3uo53ASkIZOFRlLnqaCTnwzOG2_Wg"",""Direct Link!A2:A""),0)),XLOOKUP($C1126,IMPORTRANGE(""1NK5L1mviMn0j"&amp;"3D3uo53ASkIZOFRlLnqaCTnwzOG2_Wg"",""Direct links Without Sizes!A2:A""),IMPORTRANGE(""1NK5L1mviMn0j3D3uo53ASkIZOFRlLnqaCTnwzOG2_Wg"",""Direct links Without Sizes!B2:B""))),XLOOKUP($C1126,IMPORTRANGE(""1NK5L1mviMn0j3D3uo53ASkIZOFRlLnqaCTnwzOG2_Wg"",""Direct"&amp;" links Without Sizes!D2:D""),IMPORTRANGE(""1NK5L1mviMn0j3D3uo53ASkIZOFRlLnqaCTnwzOG2_Wg"",""Direct links Without Sizes!E2:E""))),"""")"),"")</f>
        <v/>
      </c>
      <c r="I1126" s="4"/>
      <c r="J1126" s="24" t="str">
        <f t="shared" si="1"/>
        <v/>
      </c>
      <c r="K1126" s="25"/>
      <c r="L1126" s="24" t="str">
        <f t="shared" si="2"/>
        <v/>
      </c>
      <c r="M1126" s="4"/>
      <c r="N1126" s="23"/>
      <c r="O1126" s="23"/>
      <c r="P1126" s="23"/>
      <c r="Q1126" s="4" t="str">
        <f t="shared" si="4"/>
        <v/>
      </c>
      <c r="R1126" s="20"/>
      <c r="S1126" s="20"/>
    </row>
    <row r="1127">
      <c r="A1127" s="4"/>
      <c r="B1127" s="4"/>
      <c r="C1127" s="37"/>
      <c r="D1127" s="7" t="str">
        <f>IFERROR(__xludf.DUMMYFUNCTION("iferror(iferror(INDEX(IMPORTRANGE(""12vtnxaE_Q1s4tyr10kZQx7ZF_xG0lBFae4jQEUtgsMU"",""All!B2:B""),MATCH($C1127,IMPORTRANGE(""12vtnxaE_Q1s4tyr10kZQx7ZF_xG0lBFae4jQEUtgsMU"",""All!A2:A""),0)),INDEX(IMPORTRANGE(""13KC70HngS4DDi8y9E5khtSpQEPG6owaQ9z4E-tR5mnY"""&amp;",""Non-Food!B2:B""),MATCH($C1127,IMPORTRANGE(""13KC70HngS4DDi8y9E5khtSpQEPG6owaQ9z4E-tR5mnY"",""Non-Food!A2:A""),0))),"""")"),"")</f>
        <v/>
      </c>
      <c r="E1127" s="15"/>
      <c r="F1127" s="15"/>
      <c r="G1127" s="36"/>
      <c r="H1127" s="23" t="str">
        <f>IFERROR(__xludf.DUMMYFUNCTION("iferror(iferror(iferror(index(IMPORTRANGE(""1NK5L1mviMn0j3D3uo53ASkIZOFRlLnqaCTnwzOG2_Wg"",""Direct Link!B2:B""),MATCH($C1127,IMPORTRANGE(""1NK5L1mviMn0j3D3uo53ASkIZOFRlLnqaCTnwzOG2_Wg"",""Direct Link!A2:A""),0)),XLOOKUP($C1127,IMPORTRANGE(""1NK5L1mviMn0j"&amp;"3D3uo53ASkIZOFRlLnqaCTnwzOG2_Wg"",""Direct links Without Sizes!A2:A""),IMPORTRANGE(""1NK5L1mviMn0j3D3uo53ASkIZOFRlLnqaCTnwzOG2_Wg"",""Direct links Without Sizes!B2:B""))),XLOOKUP($C1127,IMPORTRANGE(""1NK5L1mviMn0j3D3uo53ASkIZOFRlLnqaCTnwzOG2_Wg"",""Direct"&amp;" links Without Sizes!D2:D""),IMPORTRANGE(""1NK5L1mviMn0j3D3uo53ASkIZOFRlLnqaCTnwzOG2_Wg"",""Direct links Without Sizes!E2:E""))),"""")"),"")</f>
        <v/>
      </c>
      <c r="I1127" s="4"/>
      <c r="J1127" s="24" t="str">
        <f t="shared" si="1"/>
        <v/>
      </c>
      <c r="K1127" s="25"/>
      <c r="L1127" s="24" t="str">
        <f t="shared" si="2"/>
        <v/>
      </c>
      <c r="M1127" s="4"/>
      <c r="N1127" s="23"/>
      <c r="O1127" s="23"/>
      <c r="P1127" s="23"/>
      <c r="Q1127" s="4" t="str">
        <f t="shared" si="4"/>
        <v/>
      </c>
      <c r="R1127" s="20"/>
      <c r="S1127" s="20"/>
    </row>
    <row r="1128">
      <c r="A1128" s="4"/>
      <c r="B1128" s="4"/>
      <c r="C1128" s="37"/>
      <c r="D1128" s="7" t="str">
        <f>IFERROR(__xludf.DUMMYFUNCTION("iferror(iferror(INDEX(IMPORTRANGE(""12vtnxaE_Q1s4tyr10kZQx7ZF_xG0lBFae4jQEUtgsMU"",""All!B2:B""),MATCH($C1128,IMPORTRANGE(""12vtnxaE_Q1s4tyr10kZQx7ZF_xG0lBFae4jQEUtgsMU"",""All!A2:A""),0)),INDEX(IMPORTRANGE(""13KC70HngS4DDi8y9E5khtSpQEPG6owaQ9z4E-tR5mnY"""&amp;",""Non-Food!B2:B""),MATCH($C1128,IMPORTRANGE(""13KC70HngS4DDi8y9E5khtSpQEPG6owaQ9z4E-tR5mnY"",""Non-Food!A2:A""),0))),"""")"),"")</f>
        <v/>
      </c>
      <c r="E1128" s="15"/>
      <c r="F1128" s="15"/>
      <c r="G1128" s="36"/>
      <c r="H1128" s="23" t="str">
        <f>IFERROR(__xludf.DUMMYFUNCTION("iferror(iferror(iferror(index(IMPORTRANGE(""1NK5L1mviMn0j3D3uo53ASkIZOFRlLnqaCTnwzOG2_Wg"",""Direct Link!B2:B""),MATCH($C1128,IMPORTRANGE(""1NK5L1mviMn0j3D3uo53ASkIZOFRlLnqaCTnwzOG2_Wg"",""Direct Link!A2:A""),0)),XLOOKUP($C1128,IMPORTRANGE(""1NK5L1mviMn0j"&amp;"3D3uo53ASkIZOFRlLnqaCTnwzOG2_Wg"",""Direct links Without Sizes!A2:A""),IMPORTRANGE(""1NK5L1mviMn0j3D3uo53ASkIZOFRlLnqaCTnwzOG2_Wg"",""Direct links Without Sizes!B2:B""))),XLOOKUP($C1128,IMPORTRANGE(""1NK5L1mviMn0j3D3uo53ASkIZOFRlLnqaCTnwzOG2_Wg"",""Direct"&amp;" links Without Sizes!D2:D""),IMPORTRANGE(""1NK5L1mviMn0j3D3uo53ASkIZOFRlLnqaCTnwzOG2_Wg"",""Direct links Without Sizes!E2:E""))),"""")"),"")</f>
        <v/>
      </c>
      <c r="I1128" s="4"/>
      <c r="J1128" s="24" t="str">
        <f t="shared" si="1"/>
        <v/>
      </c>
      <c r="K1128" s="25"/>
      <c r="L1128" s="24" t="str">
        <f t="shared" si="2"/>
        <v/>
      </c>
      <c r="M1128" s="4"/>
      <c r="N1128" s="23"/>
      <c r="O1128" s="23"/>
      <c r="P1128" s="23"/>
      <c r="Q1128" s="4" t="str">
        <f t="shared" si="4"/>
        <v/>
      </c>
      <c r="R1128" s="20"/>
      <c r="S1128" s="20"/>
    </row>
    <row r="1129">
      <c r="A1129" s="4"/>
      <c r="B1129" s="4"/>
      <c r="C1129" s="37"/>
      <c r="D1129" s="7" t="str">
        <f>IFERROR(__xludf.DUMMYFUNCTION("iferror(iferror(INDEX(IMPORTRANGE(""12vtnxaE_Q1s4tyr10kZQx7ZF_xG0lBFae4jQEUtgsMU"",""All!B2:B""),MATCH($C1129,IMPORTRANGE(""12vtnxaE_Q1s4tyr10kZQx7ZF_xG0lBFae4jQEUtgsMU"",""All!A2:A""),0)),INDEX(IMPORTRANGE(""13KC70HngS4DDi8y9E5khtSpQEPG6owaQ9z4E-tR5mnY"""&amp;",""Non-Food!B2:B""),MATCH($C1129,IMPORTRANGE(""13KC70HngS4DDi8y9E5khtSpQEPG6owaQ9z4E-tR5mnY"",""Non-Food!A2:A""),0))),"""")"),"")</f>
        <v/>
      </c>
      <c r="E1129" s="15"/>
      <c r="F1129" s="15"/>
      <c r="G1129" s="36"/>
      <c r="H1129" s="23" t="str">
        <f>IFERROR(__xludf.DUMMYFUNCTION("iferror(iferror(iferror(index(IMPORTRANGE(""1NK5L1mviMn0j3D3uo53ASkIZOFRlLnqaCTnwzOG2_Wg"",""Direct Link!B2:B""),MATCH($C1129,IMPORTRANGE(""1NK5L1mviMn0j3D3uo53ASkIZOFRlLnqaCTnwzOG2_Wg"",""Direct Link!A2:A""),0)),XLOOKUP($C1129,IMPORTRANGE(""1NK5L1mviMn0j"&amp;"3D3uo53ASkIZOFRlLnqaCTnwzOG2_Wg"",""Direct links Without Sizes!A2:A""),IMPORTRANGE(""1NK5L1mviMn0j3D3uo53ASkIZOFRlLnqaCTnwzOG2_Wg"",""Direct links Without Sizes!B2:B""))),XLOOKUP($C1129,IMPORTRANGE(""1NK5L1mviMn0j3D3uo53ASkIZOFRlLnqaCTnwzOG2_Wg"",""Direct"&amp;" links Without Sizes!D2:D""),IMPORTRANGE(""1NK5L1mviMn0j3D3uo53ASkIZOFRlLnqaCTnwzOG2_Wg"",""Direct links Without Sizes!E2:E""))),"""")"),"")</f>
        <v/>
      </c>
      <c r="I1129" s="4"/>
      <c r="J1129" s="24" t="str">
        <f t="shared" si="1"/>
        <v/>
      </c>
      <c r="K1129" s="25"/>
      <c r="L1129" s="24" t="str">
        <f t="shared" si="2"/>
        <v/>
      </c>
      <c r="M1129" s="4"/>
      <c r="N1129" s="23"/>
      <c r="O1129" s="23"/>
      <c r="P1129" s="23"/>
      <c r="Q1129" s="4" t="str">
        <f t="shared" si="4"/>
        <v/>
      </c>
      <c r="R1129" s="20"/>
      <c r="S1129" s="20"/>
    </row>
    <row r="1130">
      <c r="A1130" s="4"/>
      <c r="B1130" s="4"/>
      <c r="C1130" s="37"/>
      <c r="D1130" s="7" t="str">
        <f>IFERROR(__xludf.DUMMYFUNCTION("iferror(iferror(INDEX(IMPORTRANGE(""12vtnxaE_Q1s4tyr10kZQx7ZF_xG0lBFae4jQEUtgsMU"",""All!B2:B""),MATCH($C1130,IMPORTRANGE(""12vtnxaE_Q1s4tyr10kZQx7ZF_xG0lBFae4jQEUtgsMU"",""All!A2:A""),0)),INDEX(IMPORTRANGE(""13KC70HngS4DDi8y9E5khtSpQEPG6owaQ9z4E-tR5mnY"""&amp;",""Non-Food!B2:B""),MATCH($C1130,IMPORTRANGE(""13KC70HngS4DDi8y9E5khtSpQEPG6owaQ9z4E-tR5mnY"",""Non-Food!A2:A""),0))),"""")"),"")</f>
        <v/>
      </c>
      <c r="E1130" s="15"/>
      <c r="F1130" s="15"/>
      <c r="G1130" s="36"/>
      <c r="H1130" s="23" t="str">
        <f>IFERROR(__xludf.DUMMYFUNCTION("iferror(iferror(iferror(index(IMPORTRANGE(""1NK5L1mviMn0j3D3uo53ASkIZOFRlLnqaCTnwzOG2_Wg"",""Direct Link!B2:B""),MATCH($C1130,IMPORTRANGE(""1NK5L1mviMn0j3D3uo53ASkIZOFRlLnqaCTnwzOG2_Wg"",""Direct Link!A2:A""),0)),XLOOKUP($C1130,IMPORTRANGE(""1NK5L1mviMn0j"&amp;"3D3uo53ASkIZOFRlLnqaCTnwzOG2_Wg"",""Direct links Without Sizes!A2:A""),IMPORTRANGE(""1NK5L1mviMn0j3D3uo53ASkIZOFRlLnqaCTnwzOG2_Wg"",""Direct links Without Sizes!B2:B""))),XLOOKUP($C1130,IMPORTRANGE(""1NK5L1mviMn0j3D3uo53ASkIZOFRlLnqaCTnwzOG2_Wg"",""Direct"&amp;" links Without Sizes!D2:D""),IMPORTRANGE(""1NK5L1mviMn0j3D3uo53ASkIZOFRlLnqaCTnwzOG2_Wg"",""Direct links Without Sizes!E2:E""))),"""")"),"")</f>
        <v/>
      </c>
      <c r="I1130" s="4"/>
      <c r="J1130" s="24" t="str">
        <f t="shared" si="1"/>
        <v/>
      </c>
      <c r="K1130" s="25"/>
      <c r="L1130" s="24" t="str">
        <f t="shared" si="2"/>
        <v/>
      </c>
      <c r="M1130" s="4"/>
      <c r="N1130" s="23"/>
      <c r="O1130" s="23"/>
      <c r="P1130" s="23"/>
      <c r="Q1130" s="4" t="str">
        <f t="shared" si="4"/>
        <v/>
      </c>
      <c r="R1130" s="20"/>
      <c r="S1130" s="20"/>
    </row>
    <row r="1131">
      <c r="A1131" s="4"/>
      <c r="B1131" s="4"/>
      <c r="C1131" s="37"/>
      <c r="D1131" s="7" t="str">
        <f>IFERROR(__xludf.DUMMYFUNCTION("iferror(iferror(INDEX(IMPORTRANGE(""12vtnxaE_Q1s4tyr10kZQx7ZF_xG0lBFae4jQEUtgsMU"",""All!B2:B""),MATCH($C1131,IMPORTRANGE(""12vtnxaE_Q1s4tyr10kZQx7ZF_xG0lBFae4jQEUtgsMU"",""All!A2:A""),0)),INDEX(IMPORTRANGE(""13KC70HngS4DDi8y9E5khtSpQEPG6owaQ9z4E-tR5mnY"""&amp;",""Non-Food!B2:B""),MATCH($C1131,IMPORTRANGE(""13KC70HngS4DDi8y9E5khtSpQEPG6owaQ9z4E-tR5mnY"",""Non-Food!A2:A""),0))),"""")"),"")</f>
        <v/>
      </c>
      <c r="E1131" s="15"/>
      <c r="F1131" s="15"/>
      <c r="G1131" s="36"/>
      <c r="H1131" s="23" t="str">
        <f>IFERROR(__xludf.DUMMYFUNCTION("iferror(iferror(iferror(index(IMPORTRANGE(""1NK5L1mviMn0j3D3uo53ASkIZOFRlLnqaCTnwzOG2_Wg"",""Direct Link!B2:B""),MATCH($C1131,IMPORTRANGE(""1NK5L1mviMn0j3D3uo53ASkIZOFRlLnqaCTnwzOG2_Wg"",""Direct Link!A2:A""),0)),XLOOKUP($C1131,IMPORTRANGE(""1NK5L1mviMn0j"&amp;"3D3uo53ASkIZOFRlLnqaCTnwzOG2_Wg"",""Direct links Without Sizes!A2:A""),IMPORTRANGE(""1NK5L1mviMn0j3D3uo53ASkIZOFRlLnqaCTnwzOG2_Wg"",""Direct links Without Sizes!B2:B""))),XLOOKUP($C1131,IMPORTRANGE(""1NK5L1mviMn0j3D3uo53ASkIZOFRlLnqaCTnwzOG2_Wg"",""Direct"&amp;" links Without Sizes!D2:D""),IMPORTRANGE(""1NK5L1mviMn0j3D3uo53ASkIZOFRlLnqaCTnwzOG2_Wg"",""Direct links Without Sizes!E2:E""))),"""")"),"")</f>
        <v/>
      </c>
      <c r="I1131" s="4"/>
      <c r="J1131" s="24" t="str">
        <f t="shared" si="1"/>
        <v/>
      </c>
      <c r="K1131" s="25"/>
      <c r="L1131" s="24" t="str">
        <f t="shared" si="2"/>
        <v/>
      </c>
      <c r="M1131" s="4"/>
      <c r="N1131" s="23"/>
      <c r="O1131" s="23"/>
      <c r="P1131" s="23"/>
      <c r="Q1131" s="4" t="str">
        <f t="shared" si="4"/>
        <v/>
      </c>
      <c r="R1131" s="20"/>
      <c r="S1131" s="20"/>
    </row>
    <row r="1132">
      <c r="A1132" s="4"/>
      <c r="B1132" s="4"/>
      <c r="C1132" s="37"/>
      <c r="D1132" s="7" t="str">
        <f>IFERROR(__xludf.DUMMYFUNCTION("iferror(iferror(INDEX(IMPORTRANGE(""12vtnxaE_Q1s4tyr10kZQx7ZF_xG0lBFae4jQEUtgsMU"",""All!B2:B""),MATCH($C1132,IMPORTRANGE(""12vtnxaE_Q1s4tyr10kZQx7ZF_xG0lBFae4jQEUtgsMU"",""All!A2:A""),0)),INDEX(IMPORTRANGE(""13KC70HngS4DDi8y9E5khtSpQEPG6owaQ9z4E-tR5mnY"""&amp;",""Non-Food!B2:B""),MATCH($C1132,IMPORTRANGE(""13KC70HngS4DDi8y9E5khtSpQEPG6owaQ9z4E-tR5mnY"",""Non-Food!A2:A""),0))),"""")"),"")</f>
        <v/>
      </c>
      <c r="E1132" s="15"/>
      <c r="F1132" s="15"/>
      <c r="G1132" s="36"/>
      <c r="H1132" s="23" t="str">
        <f>IFERROR(__xludf.DUMMYFUNCTION("iferror(iferror(iferror(index(IMPORTRANGE(""1NK5L1mviMn0j3D3uo53ASkIZOFRlLnqaCTnwzOG2_Wg"",""Direct Link!B2:B""),MATCH($C1132,IMPORTRANGE(""1NK5L1mviMn0j3D3uo53ASkIZOFRlLnqaCTnwzOG2_Wg"",""Direct Link!A2:A""),0)),XLOOKUP($C1132,IMPORTRANGE(""1NK5L1mviMn0j"&amp;"3D3uo53ASkIZOFRlLnqaCTnwzOG2_Wg"",""Direct links Without Sizes!A2:A""),IMPORTRANGE(""1NK5L1mviMn0j3D3uo53ASkIZOFRlLnqaCTnwzOG2_Wg"",""Direct links Without Sizes!B2:B""))),XLOOKUP($C1132,IMPORTRANGE(""1NK5L1mviMn0j3D3uo53ASkIZOFRlLnqaCTnwzOG2_Wg"",""Direct"&amp;" links Without Sizes!D2:D""),IMPORTRANGE(""1NK5L1mviMn0j3D3uo53ASkIZOFRlLnqaCTnwzOG2_Wg"",""Direct links Without Sizes!E2:E""))),"""")"),"")</f>
        <v/>
      </c>
      <c r="I1132" s="4"/>
      <c r="J1132" s="24" t="str">
        <f t="shared" si="1"/>
        <v/>
      </c>
      <c r="K1132" s="25"/>
      <c r="L1132" s="24" t="str">
        <f t="shared" si="2"/>
        <v/>
      </c>
      <c r="M1132" s="4"/>
      <c r="N1132" s="23"/>
      <c r="O1132" s="23"/>
      <c r="P1132" s="23"/>
      <c r="Q1132" s="4" t="str">
        <f t="shared" si="4"/>
        <v/>
      </c>
      <c r="R1132" s="20"/>
      <c r="S1132" s="20"/>
    </row>
    <row r="1133">
      <c r="A1133" s="4"/>
      <c r="B1133" s="4"/>
      <c r="C1133" s="37"/>
      <c r="D1133" s="7" t="str">
        <f>IFERROR(__xludf.DUMMYFUNCTION("iferror(iferror(INDEX(IMPORTRANGE(""12vtnxaE_Q1s4tyr10kZQx7ZF_xG0lBFae4jQEUtgsMU"",""All!B2:B""),MATCH($C1133,IMPORTRANGE(""12vtnxaE_Q1s4tyr10kZQx7ZF_xG0lBFae4jQEUtgsMU"",""All!A2:A""),0)),INDEX(IMPORTRANGE(""13KC70HngS4DDi8y9E5khtSpQEPG6owaQ9z4E-tR5mnY"""&amp;",""Non-Food!B2:B""),MATCH($C1133,IMPORTRANGE(""13KC70HngS4DDi8y9E5khtSpQEPG6owaQ9z4E-tR5mnY"",""Non-Food!A2:A""),0))),"""")"),"")</f>
        <v/>
      </c>
      <c r="E1133" s="15"/>
      <c r="F1133" s="15"/>
      <c r="G1133" s="36"/>
      <c r="H1133" s="23" t="str">
        <f>IFERROR(__xludf.DUMMYFUNCTION("iferror(iferror(iferror(index(IMPORTRANGE(""1NK5L1mviMn0j3D3uo53ASkIZOFRlLnqaCTnwzOG2_Wg"",""Direct Link!B2:B""),MATCH($C1133,IMPORTRANGE(""1NK5L1mviMn0j3D3uo53ASkIZOFRlLnqaCTnwzOG2_Wg"",""Direct Link!A2:A""),0)),XLOOKUP($C1133,IMPORTRANGE(""1NK5L1mviMn0j"&amp;"3D3uo53ASkIZOFRlLnqaCTnwzOG2_Wg"",""Direct links Without Sizes!A2:A""),IMPORTRANGE(""1NK5L1mviMn0j3D3uo53ASkIZOFRlLnqaCTnwzOG2_Wg"",""Direct links Without Sizes!B2:B""))),XLOOKUP($C1133,IMPORTRANGE(""1NK5L1mviMn0j3D3uo53ASkIZOFRlLnqaCTnwzOG2_Wg"",""Direct"&amp;" links Without Sizes!D2:D""),IMPORTRANGE(""1NK5L1mviMn0j3D3uo53ASkIZOFRlLnqaCTnwzOG2_Wg"",""Direct links Without Sizes!E2:E""))),"""")"),"")</f>
        <v/>
      </c>
      <c r="I1133" s="4"/>
      <c r="J1133" s="24" t="str">
        <f t="shared" si="1"/>
        <v/>
      </c>
      <c r="K1133" s="25"/>
      <c r="L1133" s="24" t="str">
        <f t="shared" si="2"/>
        <v/>
      </c>
      <c r="M1133" s="4"/>
      <c r="N1133" s="23"/>
      <c r="O1133" s="23"/>
      <c r="P1133" s="23"/>
      <c r="Q1133" s="4" t="str">
        <f t="shared" si="4"/>
        <v/>
      </c>
      <c r="R1133" s="20"/>
      <c r="S1133" s="20"/>
    </row>
    <row r="1134">
      <c r="A1134" s="4"/>
      <c r="B1134" s="4"/>
      <c r="C1134" s="37"/>
      <c r="D1134" s="7" t="str">
        <f>IFERROR(__xludf.DUMMYFUNCTION("iferror(iferror(INDEX(IMPORTRANGE(""12vtnxaE_Q1s4tyr10kZQx7ZF_xG0lBFae4jQEUtgsMU"",""All!B2:B""),MATCH($C1134,IMPORTRANGE(""12vtnxaE_Q1s4tyr10kZQx7ZF_xG0lBFae4jQEUtgsMU"",""All!A2:A""),0)),INDEX(IMPORTRANGE(""13KC70HngS4DDi8y9E5khtSpQEPG6owaQ9z4E-tR5mnY"""&amp;",""Non-Food!B2:B""),MATCH($C1134,IMPORTRANGE(""13KC70HngS4DDi8y9E5khtSpQEPG6owaQ9z4E-tR5mnY"",""Non-Food!A2:A""),0))),"""")"),"")</f>
        <v/>
      </c>
      <c r="E1134" s="15"/>
      <c r="F1134" s="15"/>
      <c r="G1134" s="36"/>
      <c r="H1134" s="23" t="str">
        <f>IFERROR(__xludf.DUMMYFUNCTION("iferror(iferror(iferror(index(IMPORTRANGE(""1NK5L1mviMn0j3D3uo53ASkIZOFRlLnqaCTnwzOG2_Wg"",""Direct Link!B2:B""),MATCH($C1134,IMPORTRANGE(""1NK5L1mviMn0j3D3uo53ASkIZOFRlLnqaCTnwzOG2_Wg"",""Direct Link!A2:A""),0)),XLOOKUP($C1134,IMPORTRANGE(""1NK5L1mviMn0j"&amp;"3D3uo53ASkIZOFRlLnqaCTnwzOG2_Wg"",""Direct links Without Sizes!A2:A""),IMPORTRANGE(""1NK5L1mviMn0j3D3uo53ASkIZOFRlLnqaCTnwzOG2_Wg"",""Direct links Without Sizes!B2:B""))),XLOOKUP($C1134,IMPORTRANGE(""1NK5L1mviMn0j3D3uo53ASkIZOFRlLnqaCTnwzOG2_Wg"",""Direct"&amp;" links Without Sizes!D2:D""),IMPORTRANGE(""1NK5L1mviMn0j3D3uo53ASkIZOFRlLnqaCTnwzOG2_Wg"",""Direct links Without Sizes!E2:E""))),"""")"),"")</f>
        <v/>
      </c>
      <c r="I1134" s="4"/>
      <c r="J1134" s="24" t="str">
        <f t="shared" si="1"/>
        <v/>
      </c>
      <c r="K1134" s="25"/>
      <c r="L1134" s="24" t="str">
        <f t="shared" si="2"/>
        <v/>
      </c>
      <c r="M1134" s="4"/>
      <c r="N1134" s="23"/>
      <c r="O1134" s="23"/>
      <c r="P1134" s="23"/>
      <c r="Q1134" s="4" t="str">
        <f t="shared" si="4"/>
        <v/>
      </c>
      <c r="R1134" s="20"/>
      <c r="S1134" s="20"/>
    </row>
    <row r="1135">
      <c r="A1135" s="4"/>
      <c r="B1135" s="4"/>
      <c r="C1135" s="37"/>
      <c r="D1135" s="7" t="str">
        <f>IFERROR(__xludf.DUMMYFUNCTION("iferror(iferror(INDEX(IMPORTRANGE(""12vtnxaE_Q1s4tyr10kZQx7ZF_xG0lBFae4jQEUtgsMU"",""All!B2:B""),MATCH($C1135,IMPORTRANGE(""12vtnxaE_Q1s4tyr10kZQx7ZF_xG0lBFae4jQEUtgsMU"",""All!A2:A""),0)),INDEX(IMPORTRANGE(""13KC70HngS4DDi8y9E5khtSpQEPG6owaQ9z4E-tR5mnY"""&amp;",""Non-Food!B2:B""),MATCH($C1135,IMPORTRANGE(""13KC70HngS4DDi8y9E5khtSpQEPG6owaQ9z4E-tR5mnY"",""Non-Food!A2:A""),0))),"""")"),"")</f>
        <v/>
      </c>
      <c r="E1135" s="15"/>
      <c r="F1135" s="15"/>
      <c r="G1135" s="36"/>
      <c r="H1135" s="23" t="str">
        <f>IFERROR(__xludf.DUMMYFUNCTION("iferror(iferror(iferror(index(IMPORTRANGE(""1NK5L1mviMn0j3D3uo53ASkIZOFRlLnqaCTnwzOG2_Wg"",""Direct Link!B2:B""),MATCH($C1135,IMPORTRANGE(""1NK5L1mviMn0j3D3uo53ASkIZOFRlLnqaCTnwzOG2_Wg"",""Direct Link!A2:A""),0)),XLOOKUP($C1135,IMPORTRANGE(""1NK5L1mviMn0j"&amp;"3D3uo53ASkIZOFRlLnqaCTnwzOG2_Wg"",""Direct links Without Sizes!A2:A""),IMPORTRANGE(""1NK5L1mviMn0j3D3uo53ASkIZOFRlLnqaCTnwzOG2_Wg"",""Direct links Without Sizes!B2:B""))),XLOOKUP($C1135,IMPORTRANGE(""1NK5L1mviMn0j3D3uo53ASkIZOFRlLnqaCTnwzOG2_Wg"",""Direct"&amp;" links Without Sizes!D2:D""),IMPORTRANGE(""1NK5L1mviMn0j3D3uo53ASkIZOFRlLnqaCTnwzOG2_Wg"",""Direct links Without Sizes!E2:E""))),"""")"),"")</f>
        <v/>
      </c>
      <c r="I1135" s="4"/>
      <c r="J1135" s="24" t="str">
        <f t="shared" si="1"/>
        <v/>
      </c>
      <c r="K1135" s="25"/>
      <c r="L1135" s="24" t="str">
        <f t="shared" si="2"/>
        <v/>
      </c>
      <c r="M1135" s="4"/>
      <c r="N1135" s="23"/>
      <c r="O1135" s="23"/>
      <c r="P1135" s="23"/>
      <c r="Q1135" s="4" t="str">
        <f t="shared" si="4"/>
        <v/>
      </c>
      <c r="R1135" s="20"/>
      <c r="S1135" s="20"/>
    </row>
    <row r="1136">
      <c r="A1136" s="4"/>
      <c r="B1136" s="4"/>
      <c r="C1136" s="37"/>
      <c r="D1136" s="7" t="str">
        <f>IFERROR(__xludf.DUMMYFUNCTION("iferror(iferror(INDEX(IMPORTRANGE(""12vtnxaE_Q1s4tyr10kZQx7ZF_xG0lBFae4jQEUtgsMU"",""All!B2:B""),MATCH($C1136,IMPORTRANGE(""12vtnxaE_Q1s4tyr10kZQx7ZF_xG0lBFae4jQEUtgsMU"",""All!A2:A""),0)),INDEX(IMPORTRANGE(""13KC70HngS4DDi8y9E5khtSpQEPG6owaQ9z4E-tR5mnY"""&amp;",""Non-Food!B2:B""),MATCH($C1136,IMPORTRANGE(""13KC70HngS4DDi8y9E5khtSpQEPG6owaQ9z4E-tR5mnY"",""Non-Food!A2:A""),0))),"""")"),"")</f>
        <v/>
      </c>
      <c r="E1136" s="15"/>
      <c r="F1136" s="15"/>
      <c r="G1136" s="36"/>
      <c r="H1136" s="23" t="str">
        <f>IFERROR(__xludf.DUMMYFUNCTION("iferror(iferror(iferror(index(IMPORTRANGE(""1NK5L1mviMn0j3D3uo53ASkIZOFRlLnqaCTnwzOG2_Wg"",""Direct Link!B2:B""),MATCH($C1136,IMPORTRANGE(""1NK5L1mviMn0j3D3uo53ASkIZOFRlLnqaCTnwzOG2_Wg"",""Direct Link!A2:A""),0)),XLOOKUP($C1136,IMPORTRANGE(""1NK5L1mviMn0j"&amp;"3D3uo53ASkIZOFRlLnqaCTnwzOG2_Wg"",""Direct links Without Sizes!A2:A""),IMPORTRANGE(""1NK5L1mviMn0j3D3uo53ASkIZOFRlLnqaCTnwzOG2_Wg"",""Direct links Without Sizes!B2:B""))),XLOOKUP($C1136,IMPORTRANGE(""1NK5L1mviMn0j3D3uo53ASkIZOFRlLnqaCTnwzOG2_Wg"",""Direct"&amp;" links Without Sizes!D2:D""),IMPORTRANGE(""1NK5L1mviMn0j3D3uo53ASkIZOFRlLnqaCTnwzOG2_Wg"",""Direct links Without Sizes!E2:E""))),"""")"),"")</f>
        <v/>
      </c>
      <c r="I1136" s="4"/>
      <c r="J1136" s="24" t="str">
        <f t="shared" si="1"/>
        <v/>
      </c>
      <c r="K1136" s="25"/>
      <c r="L1136" s="24" t="str">
        <f t="shared" si="2"/>
        <v/>
      </c>
      <c r="M1136" s="4"/>
      <c r="N1136" s="23"/>
      <c r="O1136" s="23"/>
      <c r="P1136" s="23"/>
      <c r="Q1136" s="4" t="str">
        <f t="shared" si="4"/>
        <v/>
      </c>
      <c r="R1136" s="20"/>
      <c r="S1136" s="20"/>
    </row>
    <row r="1137">
      <c r="A1137" s="4"/>
      <c r="B1137" s="4"/>
      <c r="C1137" s="37"/>
      <c r="D1137" s="7" t="str">
        <f>IFERROR(__xludf.DUMMYFUNCTION("iferror(iferror(INDEX(IMPORTRANGE(""12vtnxaE_Q1s4tyr10kZQx7ZF_xG0lBFae4jQEUtgsMU"",""All!B2:B""),MATCH($C1137,IMPORTRANGE(""12vtnxaE_Q1s4tyr10kZQx7ZF_xG0lBFae4jQEUtgsMU"",""All!A2:A""),0)),INDEX(IMPORTRANGE(""13KC70HngS4DDi8y9E5khtSpQEPG6owaQ9z4E-tR5mnY"""&amp;",""Non-Food!B2:B""),MATCH($C1137,IMPORTRANGE(""13KC70HngS4DDi8y9E5khtSpQEPG6owaQ9z4E-tR5mnY"",""Non-Food!A2:A""),0))),"""")"),"")</f>
        <v/>
      </c>
      <c r="E1137" s="15"/>
      <c r="F1137" s="15"/>
      <c r="G1137" s="36"/>
      <c r="H1137" s="23" t="str">
        <f>IFERROR(__xludf.DUMMYFUNCTION("iferror(iferror(iferror(index(IMPORTRANGE(""1NK5L1mviMn0j3D3uo53ASkIZOFRlLnqaCTnwzOG2_Wg"",""Direct Link!B2:B""),MATCH($C1137,IMPORTRANGE(""1NK5L1mviMn0j3D3uo53ASkIZOFRlLnqaCTnwzOG2_Wg"",""Direct Link!A2:A""),0)),XLOOKUP($C1137,IMPORTRANGE(""1NK5L1mviMn0j"&amp;"3D3uo53ASkIZOFRlLnqaCTnwzOG2_Wg"",""Direct links Without Sizes!A2:A""),IMPORTRANGE(""1NK5L1mviMn0j3D3uo53ASkIZOFRlLnqaCTnwzOG2_Wg"",""Direct links Without Sizes!B2:B""))),XLOOKUP($C1137,IMPORTRANGE(""1NK5L1mviMn0j3D3uo53ASkIZOFRlLnqaCTnwzOG2_Wg"",""Direct"&amp;" links Without Sizes!D2:D""),IMPORTRANGE(""1NK5L1mviMn0j3D3uo53ASkIZOFRlLnqaCTnwzOG2_Wg"",""Direct links Without Sizes!E2:E""))),"""")"),"")</f>
        <v/>
      </c>
      <c r="I1137" s="4"/>
      <c r="J1137" s="24" t="str">
        <f t="shared" si="1"/>
        <v/>
      </c>
      <c r="K1137" s="25"/>
      <c r="L1137" s="24" t="str">
        <f t="shared" si="2"/>
        <v/>
      </c>
      <c r="M1137" s="4"/>
      <c r="N1137" s="23"/>
      <c r="O1137" s="23"/>
      <c r="P1137" s="23"/>
      <c r="Q1137" s="4" t="str">
        <f t="shared" si="4"/>
        <v/>
      </c>
      <c r="R1137" s="20"/>
      <c r="S1137" s="20"/>
    </row>
    <row r="1138">
      <c r="A1138" s="4"/>
      <c r="B1138" s="4"/>
      <c r="C1138" s="37"/>
      <c r="D1138" s="7" t="str">
        <f>IFERROR(__xludf.DUMMYFUNCTION("iferror(iferror(INDEX(IMPORTRANGE(""12vtnxaE_Q1s4tyr10kZQx7ZF_xG0lBFae4jQEUtgsMU"",""All!B2:B""),MATCH($C1138,IMPORTRANGE(""12vtnxaE_Q1s4tyr10kZQx7ZF_xG0lBFae4jQEUtgsMU"",""All!A2:A""),0)),INDEX(IMPORTRANGE(""13KC70HngS4DDi8y9E5khtSpQEPG6owaQ9z4E-tR5mnY"""&amp;",""Non-Food!B2:B""),MATCH($C1138,IMPORTRANGE(""13KC70HngS4DDi8y9E5khtSpQEPG6owaQ9z4E-tR5mnY"",""Non-Food!A2:A""),0))),"""")"),"")</f>
        <v/>
      </c>
      <c r="E1138" s="15"/>
      <c r="F1138" s="15"/>
      <c r="G1138" s="36"/>
      <c r="H1138" s="23" t="str">
        <f>IFERROR(__xludf.DUMMYFUNCTION("iferror(iferror(iferror(index(IMPORTRANGE(""1NK5L1mviMn0j3D3uo53ASkIZOFRlLnqaCTnwzOG2_Wg"",""Direct Link!B2:B""),MATCH($C1138,IMPORTRANGE(""1NK5L1mviMn0j3D3uo53ASkIZOFRlLnqaCTnwzOG2_Wg"",""Direct Link!A2:A""),0)),XLOOKUP($C1138,IMPORTRANGE(""1NK5L1mviMn0j"&amp;"3D3uo53ASkIZOFRlLnqaCTnwzOG2_Wg"",""Direct links Without Sizes!A2:A""),IMPORTRANGE(""1NK5L1mviMn0j3D3uo53ASkIZOFRlLnqaCTnwzOG2_Wg"",""Direct links Without Sizes!B2:B""))),XLOOKUP($C1138,IMPORTRANGE(""1NK5L1mviMn0j3D3uo53ASkIZOFRlLnqaCTnwzOG2_Wg"",""Direct"&amp;" links Without Sizes!D2:D""),IMPORTRANGE(""1NK5L1mviMn0j3D3uo53ASkIZOFRlLnqaCTnwzOG2_Wg"",""Direct links Without Sizes!E2:E""))),"""")"),"")</f>
        <v/>
      </c>
      <c r="I1138" s="4"/>
      <c r="J1138" s="24" t="str">
        <f t="shared" si="1"/>
        <v/>
      </c>
      <c r="K1138" s="25"/>
      <c r="L1138" s="24" t="str">
        <f t="shared" si="2"/>
        <v/>
      </c>
      <c r="M1138" s="4"/>
      <c r="N1138" s="23"/>
      <c r="O1138" s="23"/>
      <c r="P1138" s="23"/>
      <c r="Q1138" s="4" t="str">
        <f t="shared" si="4"/>
        <v/>
      </c>
      <c r="R1138" s="20"/>
      <c r="S1138" s="20"/>
    </row>
    <row r="1139">
      <c r="A1139" s="4"/>
      <c r="B1139" s="4"/>
      <c r="C1139" s="37"/>
      <c r="D1139" s="7" t="str">
        <f>IFERROR(__xludf.DUMMYFUNCTION("iferror(iferror(INDEX(IMPORTRANGE(""12vtnxaE_Q1s4tyr10kZQx7ZF_xG0lBFae4jQEUtgsMU"",""All!B2:B""),MATCH($C1139,IMPORTRANGE(""12vtnxaE_Q1s4tyr10kZQx7ZF_xG0lBFae4jQEUtgsMU"",""All!A2:A""),0)),INDEX(IMPORTRANGE(""13KC70HngS4DDi8y9E5khtSpQEPG6owaQ9z4E-tR5mnY"""&amp;",""Non-Food!B2:B""),MATCH($C1139,IMPORTRANGE(""13KC70HngS4DDi8y9E5khtSpQEPG6owaQ9z4E-tR5mnY"",""Non-Food!A2:A""),0))),"""")"),"")</f>
        <v/>
      </c>
      <c r="E1139" s="15"/>
      <c r="F1139" s="15"/>
      <c r="G1139" s="36"/>
      <c r="H1139" s="23" t="str">
        <f>IFERROR(__xludf.DUMMYFUNCTION("iferror(iferror(iferror(index(IMPORTRANGE(""1NK5L1mviMn0j3D3uo53ASkIZOFRlLnqaCTnwzOG2_Wg"",""Direct Link!B2:B""),MATCH($C1139,IMPORTRANGE(""1NK5L1mviMn0j3D3uo53ASkIZOFRlLnqaCTnwzOG2_Wg"",""Direct Link!A2:A""),0)),XLOOKUP($C1139,IMPORTRANGE(""1NK5L1mviMn0j"&amp;"3D3uo53ASkIZOFRlLnqaCTnwzOG2_Wg"",""Direct links Without Sizes!A2:A""),IMPORTRANGE(""1NK5L1mviMn0j3D3uo53ASkIZOFRlLnqaCTnwzOG2_Wg"",""Direct links Without Sizes!B2:B""))),XLOOKUP($C1139,IMPORTRANGE(""1NK5L1mviMn0j3D3uo53ASkIZOFRlLnqaCTnwzOG2_Wg"",""Direct"&amp;" links Without Sizes!D2:D""),IMPORTRANGE(""1NK5L1mviMn0j3D3uo53ASkIZOFRlLnqaCTnwzOG2_Wg"",""Direct links Without Sizes!E2:E""))),"""")"),"")</f>
        <v/>
      </c>
      <c r="I1139" s="4"/>
      <c r="J1139" s="24" t="str">
        <f t="shared" si="1"/>
        <v/>
      </c>
      <c r="K1139" s="25"/>
      <c r="L1139" s="24" t="str">
        <f t="shared" si="2"/>
        <v/>
      </c>
      <c r="M1139" s="4"/>
      <c r="N1139" s="23"/>
      <c r="O1139" s="23"/>
      <c r="P1139" s="23"/>
      <c r="Q1139" s="4" t="str">
        <f t="shared" si="4"/>
        <v/>
      </c>
      <c r="R1139" s="20"/>
      <c r="S1139" s="20"/>
    </row>
    <row r="1140">
      <c r="A1140" s="4"/>
      <c r="B1140" s="4"/>
      <c r="C1140" s="37"/>
      <c r="D1140" s="7" t="str">
        <f>IFERROR(__xludf.DUMMYFUNCTION("iferror(iferror(INDEX(IMPORTRANGE(""12vtnxaE_Q1s4tyr10kZQx7ZF_xG0lBFae4jQEUtgsMU"",""All!B2:B""),MATCH($C1140,IMPORTRANGE(""12vtnxaE_Q1s4tyr10kZQx7ZF_xG0lBFae4jQEUtgsMU"",""All!A2:A""),0)),INDEX(IMPORTRANGE(""13KC70HngS4DDi8y9E5khtSpQEPG6owaQ9z4E-tR5mnY"""&amp;",""Non-Food!B2:B""),MATCH($C1140,IMPORTRANGE(""13KC70HngS4DDi8y9E5khtSpQEPG6owaQ9z4E-tR5mnY"",""Non-Food!A2:A""),0))),"""")"),"")</f>
        <v/>
      </c>
      <c r="E1140" s="15"/>
      <c r="F1140" s="15"/>
      <c r="G1140" s="36"/>
      <c r="H1140" s="23" t="str">
        <f>IFERROR(__xludf.DUMMYFUNCTION("iferror(iferror(iferror(index(IMPORTRANGE(""1NK5L1mviMn0j3D3uo53ASkIZOFRlLnqaCTnwzOG2_Wg"",""Direct Link!B2:B""),MATCH($C1140,IMPORTRANGE(""1NK5L1mviMn0j3D3uo53ASkIZOFRlLnqaCTnwzOG2_Wg"",""Direct Link!A2:A""),0)),XLOOKUP($C1140,IMPORTRANGE(""1NK5L1mviMn0j"&amp;"3D3uo53ASkIZOFRlLnqaCTnwzOG2_Wg"",""Direct links Without Sizes!A2:A""),IMPORTRANGE(""1NK5L1mviMn0j3D3uo53ASkIZOFRlLnqaCTnwzOG2_Wg"",""Direct links Without Sizes!B2:B""))),XLOOKUP($C1140,IMPORTRANGE(""1NK5L1mviMn0j3D3uo53ASkIZOFRlLnqaCTnwzOG2_Wg"",""Direct"&amp;" links Without Sizes!D2:D""),IMPORTRANGE(""1NK5L1mviMn0j3D3uo53ASkIZOFRlLnqaCTnwzOG2_Wg"",""Direct links Without Sizes!E2:E""))),"""")"),"")</f>
        <v/>
      </c>
      <c r="I1140" s="4"/>
      <c r="J1140" s="24" t="str">
        <f t="shared" si="1"/>
        <v/>
      </c>
      <c r="K1140" s="25"/>
      <c r="L1140" s="24" t="str">
        <f t="shared" si="2"/>
        <v/>
      </c>
      <c r="M1140" s="4"/>
      <c r="N1140" s="23"/>
      <c r="O1140" s="23"/>
      <c r="P1140" s="23"/>
      <c r="Q1140" s="4" t="str">
        <f t="shared" si="4"/>
        <v/>
      </c>
      <c r="R1140" s="20"/>
      <c r="S1140" s="20"/>
    </row>
    <row r="1141">
      <c r="A1141" s="4"/>
      <c r="B1141" s="4"/>
      <c r="C1141" s="37"/>
      <c r="D1141" s="7" t="str">
        <f>IFERROR(__xludf.DUMMYFUNCTION("iferror(iferror(INDEX(IMPORTRANGE(""12vtnxaE_Q1s4tyr10kZQx7ZF_xG0lBFae4jQEUtgsMU"",""All!B2:B""),MATCH($C1141,IMPORTRANGE(""12vtnxaE_Q1s4tyr10kZQx7ZF_xG0lBFae4jQEUtgsMU"",""All!A2:A""),0)),INDEX(IMPORTRANGE(""13KC70HngS4DDi8y9E5khtSpQEPG6owaQ9z4E-tR5mnY"""&amp;",""Non-Food!B2:B""),MATCH($C1141,IMPORTRANGE(""13KC70HngS4DDi8y9E5khtSpQEPG6owaQ9z4E-tR5mnY"",""Non-Food!A2:A""),0))),"""")"),"")</f>
        <v/>
      </c>
      <c r="E1141" s="15"/>
      <c r="F1141" s="15"/>
      <c r="G1141" s="36"/>
      <c r="H1141" s="23" t="str">
        <f>IFERROR(__xludf.DUMMYFUNCTION("iferror(iferror(iferror(index(IMPORTRANGE(""1NK5L1mviMn0j3D3uo53ASkIZOFRlLnqaCTnwzOG2_Wg"",""Direct Link!B2:B""),MATCH($C1141,IMPORTRANGE(""1NK5L1mviMn0j3D3uo53ASkIZOFRlLnqaCTnwzOG2_Wg"",""Direct Link!A2:A""),0)),XLOOKUP($C1141,IMPORTRANGE(""1NK5L1mviMn0j"&amp;"3D3uo53ASkIZOFRlLnqaCTnwzOG2_Wg"",""Direct links Without Sizes!A2:A""),IMPORTRANGE(""1NK5L1mviMn0j3D3uo53ASkIZOFRlLnqaCTnwzOG2_Wg"",""Direct links Without Sizes!B2:B""))),XLOOKUP($C1141,IMPORTRANGE(""1NK5L1mviMn0j3D3uo53ASkIZOFRlLnqaCTnwzOG2_Wg"",""Direct"&amp;" links Without Sizes!D2:D""),IMPORTRANGE(""1NK5L1mviMn0j3D3uo53ASkIZOFRlLnqaCTnwzOG2_Wg"",""Direct links Without Sizes!E2:E""))),"""")"),"")</f>
        <v/>
      </c>
      <c r="I1141" s="4"/>
      <c r="J1141" s="24" t="str">
        <f t="shared" si="1"/>
        <v/>
      </c>
      <c r="K1141" s="25"/>
      <c r="L1141" s="24" t="str">
        <f t="shared" si="2"/>
        <v/>
      </c>
      <c r="M1141" s="4"/>
      <c r="N1141" s="23"/>
      <c r="O1141" s="23"/>
      <c r="P1141" s="23"/>
      <c r="Q1141" s="4" t="str">
        <f t="shared" si="4"/>
        <v/>
      </c>
      <c r="R1141" s="20"/>
      <c r="S1141" s="20"/>
    </row>
    <row r="1142">
      <c r="A1142" s="4"/>
      <c r="B1142" s="4"/>
      <c r="C1142" s="37"/>
      <c r="D1142" s="7" t="str">
        <f>IFERROR(__xludf.DUMMYFUNCTION("iferror(iferror(INDEX(IMPORTRANGE(""12vtnxaE_Q1s4tyr10kZQx7ZF_xG0lBFae4jQEUtgsMU"",""All!B2:B""),MATCH($C1142,IMPORTRANGE(""12vtnxaE_Q1s4tyr10kZQx7ZF_xG0lBFae4jQEUtgsMU"",""All!A2:A""),0)),INDEX(IMPORTRANGE(""13KC70HngS4DDi8y9E5khtSpQEPG6owaQ9z4E-tR5mnY"""&amp;",""Non-Food!B2:B""),MATCH($C1142,IMPORTRANGE(""13KC70HngS4DDi8y9E5khtSpQEPG6owaQ9z4E-tR5mnY"",""Non-Food!A2:A""),0))),"""")"),"")</f>
        <v/>
      </c>
      <c r="E1142" s="15"/>
      <c r="F1142" s="15"/>
      <c r="G1142" s="36"/>
      <c r="H1142" s="23" t="str">
        <f>IFERROR(__xludf.DUMMYFUNCTION("iferror(iferror(iferror(index(IMPORTRANGE(""1NK5L1mviMn0j3D3uo53ASkIZOFRlLnqaCTnwzOG2_Wg"",""Direct Link!B2:B""),MATCH($C1142,IMPORTRANGE(""1NK5L1mviMn0j3D3uo53ASkIZOFRlLnqaCTnwzOG2_Wg"",""Direct Link!A2:A""),0)),XLOOKUP($C1142,IMPORTRANGE(""1NK5L1mviMn0j"&amp;"3D3uo53ASkIZOFRlLnqaCTnwzOG2_Wg"",""Direct links Without Sizes!A2:A""),IMPORTRANGE(""1NK5L1mviMn0j3D3uo53ASkIZOFRlLnqaCTnwzOG2_Wg"",""Direct links Without Sizes!B2:B""))),XLOOKUP($C1142,IMPORTRANGE(""1NK5L1mviMn0j3D3uo53ASkIZOFRlLnqaCTnwzOG2_Wg"",""Direct"&amp;" links Without Sizes!D2:D""),IMPORTRANGE(""1NK5L1mviMn0j3D3uo53ASkIZOFRlLnqaCTnwzOG2_Wg"",""Direct links Without Sizes!E2:E""))),"""")"),"")</f>
        <v/>
      </c>
      <c r="I1142" s="4"/>
      <c r="J1142" s="24" t="str">
        <f t="shared" si="1"/>
        <v/>
      </c>
      <c r="K1142" s="25"/>
      <c r="L1142" s="24" t="str">
        <f t="shared" si="2"/>
        <v/>
      </c>
      <c r="M1142" s="4"/>
      <c r="N1142" s="23"/>
      <c r="O1142" s="23"/>
      <c r="P1142" s="23"/>
      <c r="Q1142" s="4" t="str">
        <f t="shared" si="4"/>
        <v/>
      </c>
      <c r="R1142" s="20"/>
      <c r="S1142" s="20"/>
    </row>
    <row r="1143">
      <c r="A1143" s="4"/>
      <c r="B1143" s="4"/>
      <c r="C1143" s="37"/>
      <c r="D1143" s="7" t="str">
        <f>IFERROR(__xludf.DUMMYFUNCTION("iferror(iferror(INDEX(IMPORTRANGE(""12vtnxaE_Q1s4tyr10kZQx7ZF_xG0lBFae4jQEUtgsMU"",""All!B2:B""),MATCH($C1143,IMPORTRANGE(""12vtnxaE_Q1s4tyr10kZQx7ZF_xG0lBFae4jQEUtgsMU"",""All!A2:A""),0)),INDEX(IMPORTRANGE(""13KC70HngS4DDi8y9E5khtSpQEPG6owaQ9z4E-tR5mnY"""&amp;",""Non-Food!B2:B""),MATCH($C1143,IMPORTRANGE(""13KC70HngS4DDi8y9E5khtSpQEPG6owaQ9z4E-tR5mnY"",""Non-Food!A2:A""),0))),"""")"),"")</f>
        <v/>
      </c>
      <c r="E1143" s="15"/>
      <c r="F1143" s="15"/>
      <c r="G1143" s="36"/>
      <c r="H1143" s="23" t="str">
        <f>IFERROR(__xludf.DUMMYFUNCTION("iferror(iferror(iferror(index(IMPORTRANGE(""1NK5L1mviMn0j3D3uo53ASkIZOFRlLnqaCTnwzOG2_Wg"",""Direct Link!B2:B""),MATCH($C1143,IMPORTRANGE(""1NK5L1mviMn0j3D3uo53ASkIZOFRlLnqaCTnwzOG2_Wg"",""Direct Link!A2:A""),0)),XLOOKUP($C1143,IMPORTRANGE(""1NK5L1mviMn0j"&amp;"3D3uo53ASkIZOFRlLnqaCTnwzOG2_Wg"",""Direct links Without Sizes!A2:A""),IMPORTRANGE(""1NK5L1mviMn0j3D3uo53ASkIZOFRlLnqaCTnwzOG2_Wg"",""Direct links Without Sizes!B2:B""))),XLOOKUP($C1143,IMPORTRANGE(""1NK5L1mviMn0j3D3uo53ASkIZOFRlLnqaCTnwzOG2_Wg"",""Direct"&amp;" links Without Sizes!D2:D""),IMPORTRANGE(""1NK5L1mviMn0j3D3uo53ASkIZOFRlLnqaCTnwzOG2_Wg"",""Direct links Without Sizes!E2:E""))),"""")"),"")</f>
        <v/>
      </c>
      <c r="I1143" s="4"/>
      <c r="J1143" s="24" t="str">
        <f t="shared" si="1"/>
        <v/>
      </c>
      <c r="K1143" s="25"/>
      <c r="L1143" s="24" t="str">
        <f t="shared" si="2"/>
        <v/>
      </c>
      <c r="M1143" s="4"/>
      <c r="N1143" s="23"/>
      <c r="O1143" s="23"/>
      <c r="P1143" s="23"/>
      <c r="Q1143" s="4" t="str">
        <f t="shared" si="4"/>
        <v/>
      </c>
      <c r="R1143" s="20"/>
      <c r="S1143" s="20"/>
    </row>
    <row r="1144">
      <c r="A1144" s="4"/>
      <c r="B1144" s="4"/>
      <c r="C1144" s="37"/>
      <c r="D1144" s="7" t="str">
        <f>IFERROR(__xludf.DUMMYFUNCTION("iferror(iferror(INDEX(IMPORTRANGE(""12vtnxaE_Q1s4tyr10kZQx7ZF_xG0lBFae4jQEUtgsMU"",""All!B2:B""),MATCH($C1144,IMPORTRANGE(""12vtnxaE_Q1s4tyr10kZQx7ZF_xG0lBFae4jQEUtgsMU"",""All!A2:A""),0)),INDEX(IMPORTRANGE(""13KC70HngS4DDi8y9E5khtSpQEPG6owaQ9z4E-tR5mnY"""&amp;",""Non-Food!B2:B""),MATCH($C1144,IMPORTRANGE(""13KC70HngS4DDi8y9E5khtSpQEPG6owaQ9z4E-tR5mnY"",""Non-Food!A2:A""),0))),"""")"),"")</f>
        <v/>
      </c>
      <c r="E1144" s="15"/>
      <c r="F1144" s="15"/>
      <c r="G1144" s="36"/>
      <c r="H1144" s="23" t="str">
        <f>IFERROR(__xludf.DUMMYFUNCTION("iferror(iferror(iferror(index(IMPORTRANGE(""1NK5L1mviMn0j3D3uo53ASkIZOFRlLnqaCTnwzOG2_Wg"",""Direct Link!B2:B""),MATCH($C1144,IMPORTRANGE(""1NK5L1mviMn0j3D3uo53ASkIZOFRlLnqaCTnwzOG2_Wg"",""Direct Link!A2:A""),0)),XLOOKUP($C1144,IMPORTRANGE(""1NK5L1mviMn0j"&amp;"3D3uo53ASkIZOFRlLnqaCTnwzOG2_Wg"",""Direct links Without Sizes!A2:A""),IMPORTRANGE(""1NK5L1mviMn0j3D3uo53ASkIZOFRlLnqaCTnwzOG2_Wg"",""Direct links Without Sizes!B2:B""))),XLOOKUP($C1144,IMPORTRANGE(""1NK5L1mviMn0j3D3uo53ASkIZOFRlLnqaCTnwzOG2_Wg"",""Direct"&amp;" links Without Sizes!D2:D""),IMPORTRANGE(""1NK5L1mviMn0j3D3uo53ASkIZOFRlLnqaCTnwzOG2_Wg"",""Direct links Without Sizes!E2:E""))),"""")"),"")</f>
        <v/>
      </c>
      <c r="I1144" s="4"/>
      <c r="J1144" s="24" t="str">
        <f t="shared" si="1"/>
        <v/>
      </c>
      <c r="K1144" s="25"/>
      <c r="L1144" s="24" t="str">
        <f t="shared" si="2"/>
        <v/>
      </c>
      <c r="M1144" s="4"/>
      <c r="N1144" s="23"/>
      <c r="O1144" s="23"/>
      <c r="P1144" s="23"/>
      <c r="Q1144" s="4" t="str">
        <f t="shared" si="4"/>
        <v/>
      </c>
      <c r="R1144" s="20"/>
      <c r="S1144" s="20"/>
    </row>
    <row r="1145">
      <c r="A1145" s="4"/>
      <c r="B1145" s="4"/>
      <c r="C1145" s="37"/>
      <c r="D1145" s="7" t="str">
        <f>IFERROR(__xludf.DUMMYFUNCTION("iferror(iferror(INDEX(IMPORTRANGE(""12vtnxaE_Q1s4tyr10kZQx7ZF_xG0lBFae4jQEUtgsMU"",""All!B2:B""),MATCH($C1145,IMPORTRANGE(""12vtnxaE_Q1s4tyr10kZQx7ZF_xG0lBFae4jQEUtgsMU"",""All!A2:A""),0)),INDEX(IMPORTRANGE(""13KC70HngS4DDi8y9E5khtSpQEPG6owaQ9z4E-tR5mnY"""&amp;",""Non-Food!B2:B""),MATCH($C1145,IMPORTRANGE(""13KC70HngS4DDi8y9E5khtSpQEPG6owaQ9z4E-tR5mnY"",""Non-Food!A2:A""),0))),"""")"),"")</f>
        <v/>
      </c>
      <c r="E1145" s="15"/>
      <c r="F1145" s="15"/>
      <c r="G1145" s="36"/>
      <c r="H1145" s="23" t="str">
        <f>IFERROR(__xludf.DUMMYFUNCTION("iferror(iferror(iferror(index(IMPORTRANGE(""1NK5L1mviMn0j3D3uo53ASkIZOFRlLnqaCTnwzOG2_Wg"",""Direct Link!B2:B""),MATCH($C1145,IMPORTRANGE(""1NK5L1mviMn0j3D3uo53ASkIZOFRlLnqaCTnwzOG2_Wg"",""Direct Link!A2:A""),0)),XLOOKUP($C1145,IMPORTRANGE(""1NK5L1mviMn0j"&amp;"3D3uo53ASkIZOFRlLnqaCTnwzOG2_Wg"",""Direct links Without Sizes!A2:A""),IMPORTRANGE(""1NK5L1mviMn0j3D3uo53ASkIZOFRlLnqaCTnwzOG2_Wg"",""Direct links Without Sizes!B2:B""))),XLOOKUP($C1145,IMPORTRANGE(""1NK5L1mviMn0j3D3uo53ASkIZOFRlLnqaCTnwzOG2_Wg"",""Direct"&amp;" links Without Sizes!D2:D""),IMPORTRANGE(""1NK5L1mviMn0j3D3uo53ASkIZOFRlLnqaCTnwzOG2_Wg"",""Direct links Without Sizes!E2:E""))),"""")"),"")</f>
        <v/>
      </c>
      <c r="I1145" s="4"/>
      <c r="J1145" s="24" t="str">
        <f t="shared" si="1"/>
        <v/>
      </c>
      <c r="K1145" s="25"/>
      <c r="L1145" s="24" t="str">
        <f t="shared" si="2"/>
        <v/>
      </c>
      <c r="M1145" s="4"/>
      <c r="N1145" s="23"/>
      <c r="O1145" s="23"/>
      <c r="P1145" s="23"/>
      <c r="Q1145" s="4" t="str">
        <f t="shared" si="4"/>
        <v/>
      </c>
      <c r="R1145" s="20"/>
      <c r="S1145" s="20"/>
    </row>
    <row r="1146">
      <c r="A1146" s="4"/>
      <c r="B1146" s="4"/>
      <c r="C1146" s="37"/>
      <c r="D1146" s="7" t="str">
        <f>IFERROR(__xludf.DUMMYFUNCTION("iferror(iferror(INDEX(IMPORTRANGE(""12vtnxaE_Q1s4tyr10kZQx7ZF_xG0lBFae4jQEUtgsMU"",""All!B2:B""),MATCH($C1146,IMPORTRANGE(""12vtnxaE_Q1s4tyr10kZQx7ZF_xG0lBFae4jQEUtgsMU"",""All!A2:A""),0)),INDEX(IMPORTRANGE(""13KC70HngS4DDi8y9E5khtSpQEPG6owaQ9z4E-tR5mnY"""&amp;",""Non-Food!B2:B""),MATCH($C1146,IMPORTRANGE(""13KC70HngS4DDi8y9E5khtSpQEPG6owaQ9z4E-tR5mnY"",""Non-Food!A2:A""),0))),"""")"),"")</f>
        <v/>
      </c>
      <c r="E1146" s="15"/>
      <c r="F1146" s="15"/>
      <c r="G1146" s="36"/>
      <c r="H1146" s="23" t="str">
        <f>IFERROR(__xludf.DUMMYFUNCTION("iferror(iferror(iferror(index(IMPORTRANGE(""1NK5L1mviMn0j3D3uo53ASkIZOFRlLnqaCTnwzOG2_Wg"",""Direct Link!B2:B""),MATCH($C1146,IMPORTRANGE(""1NK5L1mviMn0j3D3uo53ASkIZOFRlLnqaCTnwzOG2_Wg"",""Direct Link!A2:A""),0)),XLOOKUP($C1146,IMPORTRANGE(""1NK5L1mviMn0j"&amp;"3D3uo53ASkIZOFRlLnqaCTnwzOG2_Wg"",""Direct links Without Sizes!A2:A""),IMPORTRANGE(""1NK5L1mviMn0j3D3uo53ASkIZOFRlLnqaCTnwzOG2_Wg"",""Direct links Without Sizes!B2:B""))),XLOOKUP($C1146,IMPORTRANGE(""1NK5L1mviMn0j3D3uo53ASkIZOFRlLnqaCTnwzOG2_Wg"",""Direct"&amp;" links Without Sizes!D2:D""),IMPORTRANGE(""1NK5L1mviMn0j3D3uo53ASkIZOFRlLnqaCTnwzOG2_Wg"",""Direct links Without Sizes!E2:E""))),"""")"),"")</f>
        <v/>
      </c>
      <c r="I1146" s="4"/>
      <c r="J1146" s="24" t="str">
        <f t="shared" si="1"/>
        <v/>
      </c>
      <c r="K1146" s="25"/>
      <c r="L1146" s="24" t="str">
        <f t="shared" si="2"/>
        <v/>
      </c>
      <c r="M1146" s="4"/>
      <c r="N1146" s="23"/>
      <c r="O1146" s="23"/>
      <c r="P1146" s="23"/>
      <c r="Q1146" s="4" t="str">
        <f t="shared" si="4"/>
        <v/>
      </c>
      <c r="R1146" s="20"/>
      <c r="S1146" s="20"/>
    </row>
    <row r="1147">
      <c r="A1147" s="4"/>
      <c r="B1147" s="4"/>
      <c r="C1147" s="37"/>
      <c r="D1147" s="7" t="str">
        <f>IFERROR(__xludf.DUMMYFUNCTION("iferror(iferror(INDEX(IMPORTRANGE(""12vtnxaE_Q1s4tyr10kZQx7ZF_xG0lBFae4jQEUtgsMU"",""All!B2:B""),MATCH($C1147,IMPORTRANGE(""12vtnxaE_Q1s4tyr10kZQx7ZF_xG0lBFae4jQEUtgsMU"",""All!A2:A""),0)),INDEX(IMPORTRANGE(""13KC70HngS4DDi8y9E5khtSpQEPG6owaQ9z4E-tR5mnY"""&amp;",""Non-Food!B2:B""),MATCH($C1147,IMPORTRANGE(""13KC70HngS4DDi8y9E5khtSpQEPG6owaQ9z4E-tR5mnY"",""Non-Food!A2:A""),0))),"""")"),"")</f>
        <v/>
      </c>
      <c r="E1147" s="15"/>
      <c r="F1147" s="15"/>
      <c r="G1147" s="36"/>
      <c r="H1147" s="23" t="str">
        <f>IFERROR(__xludf.DUMMYFUNCTION("iferror(iferror(iferror(index(IMPORTRANGE(""1NK5L1mviMn0j3D3uo53ASkIZOFRlLnqaCTnwzOG2_Wg"",""Direct Link!B2:B""),MATCH($C1147,IMPORTRANGE(""1NK5L1mviMn0j3D3uo53ASkIZOFRlLnqaCTnwzOG2_Wg"",""Direct Link!A2:A""),0)),XLOOKUP($C1147,IMPORTRANGE(""1NK5L1mviMn0j"&amp;"3D3uo53ASkIZOFRlLnqaCTnwzOG2_Wg"",""Direct links Without Sizes!A2:A""),IMPORTRANGE(""1NK5L1mviMn0j3D3uo53ASkIZOFRlLnqaCTnwzOG2_Wg"",""Direct links Without Sizes!B2:B""))),XLOOKUP($C1147,IMPORTRANGE(""1NK5L1mviMn0j3D3uo53ASkIZOFRlLnqaCTnwzOG2_Wg"",""Direct"&amp;" links Without Sizes!D2:D""),IMPORTRANGE(""1NK5L1mviMn0j3D3uo53ASkIZOFRlLnqaCTnwzOG2_Wg"",""Direct links Without Sizes!E2:E""))),"""")"),"")</f>
        <v/>
      </c>
      <c r="I1147" s="4"/>
      <c r="J1147" s="24" t="str">
        <f t="shared" si="1"/>
        <v/>
      </c>
      <c r="K1147" s="25"/>
      <c r="L1147" s="24" t="str">
        <f t="shared" si="2"/>
        <v/>
      </c>
      <c r="M1147" s="4"/>
      <c r="N1147" s="23"/>
      <c r="O1147" s="23"/>
      <c r="P1147" s="23"/>
      <c r="Q1147" s="4" t="str">
        <f t="shared" si="4"/>
        <v/>
      </c>
      <c r="R1147" s="20"/>
      <c r="S1147" s="20"/>
    </row>
    <row r="1148">
      <c r="A1148" s="4"/>
      <c r="B1148" s="4"/>
      <c r="C1148" s="37"/>
      <c r="D1148" s="7" t="str">
        <f>IFERROR(__xludf.DUMMYFUNCTION("iferror(iferror(INDEX(IMPORTRANGE(""12vtnxaE_Q1s4tyr10kZQx7ZF_xG0lBFae4jQEUtgsMU"",""All!B2:B""),MATCH($C1148,IMPORTRANGE(""12vtnxaE_Q1s4tyr10kZQx7ZF_xG0lBFae4jQEUtgsMU"",""All!A2:A""),0)),INDEX(IMPORTRANGE(""13KC70HngS4DDi8y9E5khtSpQEPG6owaQ9z4E-tR5mnY"""&amp;",""Non-Food!B2:B""),MATCH($C1148,IMPORTRANGE(""13KC70HngS4DDi8y9E5khtSpQEPG6owaQ9z4E-tR5mnY"",""Non-Food!A2:A""),0))),"""")"),"")</f>
        <v/>
      </c>
      <c r="E1148" s="15"/>
      <c r="F1148" s="15"/>
      <c r="G1148" s="36"/>
      <c r="H1148" s="23" t="str">
        <f>IFERROR(__xludf.DUMMYFUNCTION("iferror(iferror(iferror(index(IMPORTRANGE(""1NK5L1mviMn0j3D3uo53ASkIZOFRlLnqaCTnwzOG2_Wg"",""Direct Link!B2:B""),MATCH($C1148,IMPORTRANGE(""1NK5L1mviMn0j3D3uo53ASkIZOFRlLnqaCTnwzOG2_Wg"",""Direct Link!A2:A""),0)),XLOOKUP($C1148,IMPORTRANGE(""1NK5L1mviMn0j"&amp;"3D3uo53ASkIZOFRlLnqaCTnwzOG2_Wg"",""Direct links Without Sizes!A2:A""),IMPORTRANGE(""1NK5L1mviMn0j3D3uo53ASkIZOFRlLnqaCTnwzOG2_Wg"",""Direct links Without Sizes!B2:B""))),XLOOKUP($C1148,IMPORTRANGE(""1NK5L1mviMn0j3D3uo53ASkIZOFRlLnqaCTnwzOG2_Wg"",""Direct"&amp;" links Without Sizes!D2:D""),IMPORTRANGE(""1NK5L1mviMn0j3D3uo53ASkIZOFRlLnqaCTnwzOG2_Wg"",""Direct links Without Sizes!E2:E""))),"""")"),"")</f>
        <v/>
      </c>
      <c r="I1148" s="4"/>
      <c r="J1148" s="24" t="str">
        <f t="shared" si="1"/>
        <v/>
      </c>
      <c r="K1148" s="25"/>
      <c r="L1148" s="24" t="str">
        <f t="shared" si="2"/>
        <v/>
      </c>
      <c r="M1148" s="4"/>
      <c r="N1148" s="23"/>
      <c r="O1148" s="23"/>
      <c r="P1148" s="23"/>
      <c r="Q1148" s="4" t="str">
        <f t="shared" si="4"/>
        <v/>
      </c>
      <c r="R1148" s="20"/>
      <c r="S1148" s="20"/>
    </row>
    <row r="1149">
      <c r="A1149" s="4"/>
      <c r="B1149" s="4"/>
      <c r="C1149" s="37"/>
      <c r="D1149" s="7" t="str">
        <f>IFERROR(__xludf.DUMMYFUNCTION("iferror(iferror(INDEX(IMPORTRANGE(""12vtnxaE_Q1s4tyr10kZQx7ZF_xG0lBFae4jQEUtgsMU"",""All!B2:B""),MATCH($C1149,IMPORTRANGE(""12vtnxaE_Q1s4tyr10kZQx7ZF_xG0lBFae4jQEUtgsMU"",""All!A2:A""),0)),INDEX(IMPORTRANGE(""13KC70HngS4DDi8y9E5khtSpQEPG6owaQ9z4E-tR5mnY"""&amp;",""Non-Food!B2:B""),MATCH($C1149,IMPORTRANGE(""13KC70HngS4DDi8y9E5khtSpQEPG6owaQ9z4E-tR5mnY"",""Non-Food!A2:A""),0))),"""")"),"")</f>
        <v/>
      </c>
      <c r="E1149" s="15"/>
      <c r="F1149" s="15"/>
      <c r="G1149" s="36"/>
      <c r="H1149" s="23" t="str">
        <f>IFERROR(__xludf.DUMMYFUNCTION("iferror(iferror(iferror(index(IMPORTRANGE(""1NK5L1mviMn0j3D3uo53ASkIZOFRlLnqaCTnwzOG2_Wg"",""Direct Link!B2:B""),MATCH($C1149,IMPORTRANGE(""1NK5L1mviMn0j3D3uo53ASkIZOFRlLnqaCTnwzOG2_Wg"",""Direct Link!A2:A""),0)),XLOOKUP($C1149,IMPORTRANGE(""1NK5L1mviMn0j"&amp;"3D3uo53ASkIZOFRlLnqaCTnwzOG2_Wg"",""Direct links Without Sizes!A2:A""),IMPORTRANGE(""1NK5L1mviMn0j3D3uo53ASkIZOFRlLnqaCTnwzOG2_Wg"",""Direct links Without Sizes!B2:B""))),XLOOKUP($C1149,IMPORTRANGE(""1NK5L1mviMn0j3D3uo53ASkIZOFRlLnqaCTnwzOG2_Wg"",""Direct"&amp;" links Without Sizes!D2:D""),IMPORTRANGE(""1NK5L1mviMn0j3D3uo53ASkIZOFRlLnqaCTnwzOG2_Wg"",""Direct links Without Sizes!E2:E""))),"""")"),"")</f>
        <v/>
      </c>
      <c r="I1149" s="4"/>
      <c r="J1149" s="24" t="str">
        <f t="shared" si="1"/>
        <v/>
      </c>
      <c r="K1149" s="25"/>
      <c r="L1149" s="24" t="str">
        <f t="shared" si="2"/>
        <v/>
      </c>
      <c r="M1149" s="4"/>
      <c r="N1149" s="23"/>
      <c r="O1149" s="23"/>
      <c r="P1149" s="23"/>
      <c r="Q1149" s="4" t="str">
        <f t="shared" si="4"/>
        <v/>
      </c>
      <c r="R1149" s="20"/>
      <c r="S1149" s="20"/>
    </row>
    <row r="1150">
      <c r="A1150" s="4"/>
      <c r="B1150" s="4"/>
      <c r="C1150" s="37"/>
      <c r="D1150" s="7" t="str">
        <f>IFERROR(__xludf.DUMMYFUNCTION("iferror(iferror(INDEX(IMPORTRANGE(""12vtnxaE_Q1s4tyr10kZQx7ZF_xG0lBFae4jQEUtgsMU"",""All!B2:B""),MATCH($C1150,IMPORTRANGE(""12vtnxaE_Q1s4tyr10kZQx7ZF_xG0lBFae4jQEUtgsMU"",""All!A2:A""),0)),INDEX(IMPORTRANGE(""13KC70HngS4DDi8y9E5khtSpQEPG6owaQ9z4E-tR5mnY"""&amp;",""Non-Food!B2:B""),MATCH($C1150,IMPORTRANGE(""13KC70HngS4DDi8y9E5khtSpQEPG6owaQ9z4E-tR5mnY"",""Non-Food!A2:A""),0))),"""")"),"")</f>
        <v/>
      </c>
      <c r="E1150" s="15"/>
      <c r="F1150" s="15"/>
      <c r="G1150" s="36"/>
      <c r="H1150" s="23" t="str">
        <f>IFERROR(__xludf.DUMMYFUNCTION("iferror(iferror(iferror(index(IMPORTRANGE(""1NK5L1mviMn0j3D3uo53ASkIZOFRlLnqaCTnwzOG2_Wg"",""Direct Link!B2:B""),MATCH($C1150,IMPORTRANGE(""1NK5L1mviMn0j3D3uo53ASkIZOFRlLnqaCTnwzOG2_Wg"",""Direct Link!A2:A""),0)),XLOOKUP($C1150,IMPORTRANGE(""1NK5L1mviMn0j"&amp;"3D3uo53ASkIZOFRlLnqaCTnwzOG2_Wg"",""Direct links Without Sizes!A2:A""),IMPORTRANGE(""1NK5L1mviMn0j3D3uo53ASkIZOFRlLnqaCTnwzOG2_Wg"",""Direct links Without Sizes!B2:B""))),XLOOKUP($C1150,IMPORTRANGE(""1NK5L1mviMn0j3D3uo53ASkIZOFRlLnqaCTnwzOG2_Wg"",""Direct"&amp;" links Without Sizes!D2:D""),IMPORTRANGE(""1NK5L1mviMn0j3D3uo53ASkIZOFRlLnqaCTnwzOG2_Wg"",""Direct links Without Sizes!E2:E""))),"""")"),"")</f>
        <v/>
      </c>
      <c r="I1150" s="4"/>
      <c r="J1150" s="24" t="str">
        <f t="shared" si="1"/>
        <v/>
      </c>
      <c r="K1150" s="25"/>
      <c r="L1150" s="24" t="str">
        <f t="shared" si="2"/>
        <v/>
      </c>
      <c r="M1150" s="4"/>
      <c r="N1150" s="23"/>
      <c r="O1150" s="23"/>
      <c r="P1150" s="23"/>
      <c r="Q1150" s="4" t="str">
        <f t="shared" si="4"/>
        <v/>
      </c>
      <c r="R1150" s="20"/>
      <c r="S1150" s="20"/>
    </row>
    <row r="1151">
      <c r="A1151" s="4"/>
      <c r="B1151" s="4"/>
      <c r="C1151" s="37"/>
      <c r="D1151" s="7" t="str">
        <f>IFERROR(__xludf.DUMMYFUNCTION("iferror(iferror(INDEX(IMPORTRANGE(""12vtnxaE_Q1s4tyr10kZQx7ZF_xG0lBFae4jQEUtgsMU"",""All!B2:B""),MATCH($C1151,IMPORTRANGE(""12vtnxaE_Q1s4tyr10kZQx7ZF_xG0lBFae4jQEUtgsMU"",""All!A2:A""),0)),INDEX(IMPORTRANGE(""13KC70HngS4DDi8y9E5khtSpQEPG6owaQ9z4E-tR5mnY"""&amp;",""Non-Food!B2:B""),MATCH($C1151,IMPORTRANGE(""13KC70HngS4DDi8y9E5khtSpQEPG6owaQ9z4E-tR5mnY"",""Non-Food!A2:A""),0))),"""")"),"")</f>
        <v/>
      </c>
      <c r="E1151" s="15"/>
      <c r="F1151" s="15"/>
      <c r="G1151" s="36"/>
      <c r="H1151" s="23" t="str">
        <f>IFERROR(__xludf.DUMMYFUNCTION("iferror(iferror(iferror(index(IMPORTRANGE(""1NK5L1mviMn0j3D3uo53ASkIZOFRlLnqaCTnwzOG2_Wg"",""Direct Link!B2:B""),MATCH($C1151,IMPORTRANGE(""1NK5L1mviMn0j3D3uo53ASkIZOFRlLnqaCTnwzOG2_Wg"",""Direct Link!A2:A""),0)),XLOOKUP($C1151,IMPORTRANGE(""1NK5L1mviMn0j"&amp;"3D3uo53ASkIZOFRlLnqaCTnwzOG2_Wg"",""Direct links Without Sizes!A2:A""),IMPORTRANGE(""1NK5L1mviMn0j3D3uo53ASkIZOFRlLnqaCTnwzOG2_Wg"",""Direct links Without Sizes!B2:B""))),XLOOKUP($C1151,IMPORTRANGE(""1NK5L1mviMn0j3D3uo53ASkIZOFRlLnqaCTnwzOG2_Wg"",""Direct"&amp;" links Without Sizes!D2:D""),IMPORTRANGE(""1NK5L1mviMn0j3D3uo53ASkIZOFRlLnqaCTnwzOG2_Wg"",""Direct links Without Sizes!E2:E""))),"""")"),"")</f>
        <v/>
      </c>
      <c r="I1151" s="4"/>
      <c r="J1151" s="24" t="str">
        <f t="shared" si="1"/>
        <v/>
      </c>
      <c r="K1151" s="25"/>
      <c r="L1151" s="24" t="str">
        <f t="shared" si="2"/>
        <v/>
      </c>
      <c r="M1151" s="4"/>
      <c r="N1151" s="23"/>
      <c r="O1151" s="23"/>
      <c r="P1151" s="23"/>
      <c r="Q1151" s="4" t="str">
        <f t="shared" si="4"/>
        <v/>
      </c>
      <c r="R1151" s="20"/>
      <c r="S1151" s="20"/>
    </row>
    <row r="1152">
      <c r="A1152" s="4"/>
      <c r="B1152" s="4"/>
      <c r="C1152" s="37"/>
      <c r="D1152" s="7" t="str">
        <f>IFERROR(__xludf.DUMMYFUNCTION("iferror(iferror(INDEX(IMPORTRANGE(""12vtnxaE_Q1s4tyr10kZQx7ZF_xG0lBFae4jQEUtgsMU"",""All!B2:B""),MATCH($C1152,IMPORTRANGE(""12vtnxaE_Q1s4tyr10kZQx7ZF_xG0lBFae4jQEUtgsMU"",""All!A2:A""),0)),INDEX(IMPORTRANGE(""13KC70HngS4DDi8y9E5khtSpQEPG6owaQ9z4E-tR5mnY"""&amp;",""Non-Food!B2:B""),MATCH($C1152,IMPORTRANGE(""13KC70HngS4DDi8y9E5khtSpQEPG6owaQ9z4E-tR5mnY"",""Non-Food!A2:A""),0))),"""")"),"")</f>
        <v/>
      </c>
      <c r="E1152" s="15"/>
      <c r="F1152" s="15"/>
      <c r="G1152" s="36"/>
      <c r="H1152" s="23" t="str">
        <f>IFERROR(__xludf.DUMMYFUNCTION("iferror(iferror(iferror(index(IMPORTRANGE(""1NK5L1mviMn0j3D3uo53ASkIZOFRlLnqaCTnwzOG2_Wg"",""Direct Link!B2:B""),MATCH($C1152,IMPORTRANGE(""1NK5L1mviMn0j3D3uo53ASkIZOFRlLnqaCTnwzOG2_Wg"",""Direct Link!A2:A""),0)),XLOOKUP($C1152,IMPORTRANGE(""1NK5L1mviMn0j"&amp;"3D3uo53ASkIZOFRlLnqaCTnwzOG2_Wg"",""Direct links Without Sizes!A2:A""),IMPORTRANGE(""1NK5L1mviMn0j3D3uo53ASkIZOFRlLnqaCTnwzOG2_Wg"",""Direct links Without Sizes!B2:B""))),XLOOKUP($C1152,IMPORTRANGE(""1NK5L1mviMn0j3D3uo53ASkIZOFRlLnqaCTnwzOG2_Wg"",""Direct"&amp;" links Without Sizes!D2:D""),IMPORTRANGE(""1NK5L1mviMn0j3D3uo53ASkIZOFRlLnqaCTnwzOG2_Wg"",""Direct links Without Sizes!E2:E""))),"""")"),"")</f>
        <v/>
      </c>
      <c r="I1152" s="4"/>
      <c r="J1152" s="24" t="str">
        <f t="shared" si="1"/>
        <v/>
      </c>
      <c r="K1152" s="25"/>
      <c r="L1152" s="24" t="str">
        <f t="shared" si="2"/>
        <v/>
      </c>
      <c r="M1152" s="4"/>
      <c r="N1152" s="23"/>
      <c r="O1152" s="23"/>
      <c r="P1152" s="23"/>
      <c r="Q1152" s="4" t="str">
        <f t="shared" si="4"/>
        <v/>
      </c>
      <c r="R1152" s="20"/>
      <c r="S1152" s="20"/>
    </row>
    <row r="1153">
      <c r="A1153" s="4"/>
      <c r="B1153" s="4"/>
      <c r="C1153" s="37"/>
      <c r="D1153" s="7" t="str">
        <f>IFERROR(__xludf.DUMMYFUNCTION("iferror(iferror(INDEX(IMPORTRANGE(""12vtnxaE_Q1s4tyr10kZQx7ZF_xG0lBFae4jQEUtgsMU"",""All!B2:B""),MATCH($C1153,IMPORTRANGE(""12vtnxaE_Q1s4tyr10kZQx7ZF_xG0lBFae4jQEUtgsMU"",""All!A2:A""),0)),INDEX(IMPORTRANGE(""13KC70HngS4DDi8y9E5khtSpQEPG6owaQ9z4E-tR5mnY"""&amp;",""Non-Food!B2:B""),MATCH($C1153,IMPORTRANGE(""13KC70HngS4DDi8y9E5khtSpQEPG6owaQ9z4E-tR5mnY"",""Non-Food!A2:A""),0))),"""")"),"")</f>
        <v/>
      </c>
      <c r="E1153" s="15"/>
      <c r="F1153" s="15"/>
      <c r="G1153" s="36"/>
      <c r="H1153" s="23" t="str">
        <f>IFERROR(__xludf.DUMMYFUNCTION("iferror(iferror(iferror(index(IMPORTRANGE(""1NK5L1mviMn0j3D3uo53ASkIZOFRlLnqaCTnwzOG2_Wg"",""Direct Link!B2:B""),MATCH($C1153,IMPORTRANGE(""1NK5L1mviMn0j3D3uo53ASkIZOFRlLnqaCTnwzOG2_Wg"",""Direct Link!A2:A""),0)),XLOOKUP($C1153,IMPORTRANGE(""1NK5L1mviMn0j"&amp;"3D3uo53ASkIZOFRlLnqaCTnwzOG2_Wg"",""Direct links Without Sizes!A2:A""),IMPORTRANGE(""1NK5L1mviMn0j3D3uo53ASkIZOFRlLnqaCTnwzOG2_Wg"",""Direct links Without Sizes!B2:B""))),XLOOKUP($C1153,IMPORTRANGE(""1NK5L1mviMn0j3D3uo53ASkIZOFRlLnqaCTnwzOG2_Wg"",""Direct"&amp;" links Without Sizes!D2:D""),IMPORTRANGE(""1NK5L1mviMn0j3D3uo53ASkIZOFRlLnqaCTnwzOG2_Wg"",""Direct links Without Sizes!E2:E""))),"""")"),"")</f>
        <v/>
      </c>
      <c r="I1153" s="4"/>
      <c r="J1153" s="24" t="str">
        <f t="shared" si="1"/>
        <v/>
      </c>
      <c r="K1153" s="25"/>
      <c r="L1153" s="24" t="str">
        <f t="shared" si="2"/>
        <v/>
      </c>
      <c r="M1153" s="4"/>
      <c r="N1153" s="23"/>
      <c r="O1153" s="23"/>
      <c r="P1153" s="23"/>
      <c r="Q1153" s="4" t="str">
        <f t="shared" si="4"/>
        <v/>
      </c>
      <c r="R1153" s="20"/>
      <c r="S1153" s="20"/>
    </row>
    <row r="1154">
      <c r="A1154" s="4"/>
      <c r="B1154" s="4"/>
      <c r="C1154" s="37"/>
      <c r="D1154" s="7" t="str">
        <f>IFERROR(__xludf.DUMMYFUNCTION("iferror(iferror(INDEX(IMPORTRANGE(""12vtnxaE_Q1s4tyr10kZQx7ZF_xG0lBFae4jQEUtgsMU"",""All!B2:B""),MATCH($C1154,IMPORTRANGE(""12vtnxaE_Q1s4tyr10kZQx7ZF_xG0lBFae4jQEUtgsMU"",""All!A2:A""),0)),INDEX(IMPORTRANGE(""13KC70HngS4DDi8y9E5khtSpQEPG6owaQ9z4E-tR5mnY"""&amp;",""Non-Food!B2:B""),MATCH($C1154,IMPORTRANGE(""13KC70HngS4DDi8y9E5khtSpQEPG6owaQ9z4E-tR5mnY"",""Non-Food!A2:A""),0))),"""")"),"")</f>
        <v/>
      </c>
      <c r="E1154" s="15"/>
      <c r="F1154" s="15"/>
      <c r="G1154" s="36"/>
      <c r="H1154" s="23" t="str">
        <f>IFERROR(__xludf.DUMMYFUNCTION("iferror(iferror(iferror(index(IMPORTRANGE(""1NK5L1mviMn0j3D3uo53ASkIZOFRlLnqaCTnwzOG2_Wg"",""Direct Link!B2:B""),MATCH($C1154,IMPORTRANGE(""1NK5L1mviMn0j3D3uo53ASkIZOFRlLnqaCTnwzOG2_Wg"",""Direct Link!A2:A""),0)),XLOOKUP($C1154,IMPORTRANGE(""1NK5L1mviMn0j"&amp;"3D3uo53ASkIZOFRlLnqaCTnwzOG2_Wg"",""Direct links Without Sizes!A2:A""),IMPORTRANGE(""1NK5L1mviMn0j3D3uo53ASkIZOFRlLnqaCTnwzOG2_Wg"",""Direct links Without Sizes!B2:B""))),XLOOKUP($C1154,IMPORTRANGE(""1NK5L1mviMn0j3D3uo53ASkIZOFRlLnqaCTnwzOG2_Wg"",""Direct"&amp;" links Without Sizes!D2:D""),IMPORTRANGE(""1NK5L1mviMn0j3D3uo53ASkIZOFRlLnqaCTnwzOG2_Wg"",""Direct links Without Sizes!E2:E""))),"""")"),"")</f>
        <v/>
      </c>
      <c r="I1154" s="4"/>
      <c r="J1154" s="24" t="str">
        <f t="shared" si="1"/>
        <v/>
      </c>
      <c r="K1154" s="25"/>
      <c r="L1154" s="24" t="str">
        <f t="shared" si="2"/>
        <v/>
      </c>
      <c r="M1154" s="4"/>
      <c r="N1154" s="23"/>
      <c r="O1154" s="23"/>
      <c r="P1154" s="23"/>
      <c r="Q1154" s="4" t="str">
        <f t="shared" si="4"/>
        <v/>
      </c>
      <c r="R1154" s="20"/>
      <c r="S1154" s="20"/>
    </row>
    <row r="1155">
      <c r="A1155" s="4"/>
      <c r="B1155" s="4"/>
      <c r="C1155" s="37"/>
      <c r="D1155" s="7" t="str">
        <f>IFERROR(__xludf.DUMMYFUNCTION("iferror(iferror(INDEX(IMPORTRANGE(""12vtnxaE_Q1s4tyr10kZQx7ZF_xG0lBFae4jQEUtgsMU"",""All!B2:B""),MATCH($C1155,IMPORTRANGE(""12vtnxaE_Q1s4tyr10kZQx7ZF_xG0lBFae4jQEUtgsMU"",""All!A2:A""),0)),INDEX(IMPORTRANGE(""13KC70HngS4DDi8y9E5khtSpQEPG6owaQ9z4E-tR5mnY"""&amp;",""Non-Food!B2:B""),MATCH($C1155,IMPORTRANGE(""13KC70HngS4DDi8y9E5khtSpQEPG6owaQ9z4E-tR5mnY"",""Non-Food!A2:A""),0))),"""")"),"")</f>
        <v/>
      </c>
      <c r="E1155" s="15"/>
      <c r="F1155" s="15"/>
      <c r="G1155" s="36"/>
      <c r="H1155" s="23" t="str">
        <f>IFERROR(__xludf.DUMMYFUNCTION("iferror(iferror(iferror(index(IMPORTRANGE(""1NK5L1mviMn0j3D3uo53ASkIZOFRlLnqaCTnwzOG2_Wg"",""Direct Link!B2:B""),MATCH($C1155,IMPORTRANGE(""1NK5L1mviMn0j3D3uo53ASkIZOFRlLnqaCTnwzOG2_Wg"",""Direct Link!A2:A""),0)),XLOOKUP($C1155,IMPORTRANGE(""1NK5L1mviMn0j"&amp;"3D3uo53ASkIZOFRlLnqaCTnwzOG2_Wg"",""Direct links Without Sizes!A2:A""),IMPORTRANGE(""1NK5L1mviMn0j3D3uo53ASkIZOFRlLnqaCTnwzOG2_Wg"",""Direct links Without Sizes!B2:B""))),XLOOKUP($C1155,IMPORTRANGE(""1NK5L1mviMn0j3D3uo53ASkIZOFRlLnqaCTnwzOG2_Wg"",""Direct"&amp;" links Without Sizes!D2:D""),IMPORTRANGE(""1NK5L1mviMn0j3D3uo53ASkIZOFRlLnqaCTnwzOG2_Wg"",""Direct links Without Sizes!E2:E""))),"""")"),"")</f>
        <v/>
      </c>
      <c r="I1155" s="4"/>
      <c r="J1155" s="24" t="str">
        <f t="shared" si="1"/>
        <v/>
      </c>
      <c r="K1155" s="25"/>
      <c r="L1155" s="24" t="str">
        <f t="shared" si="2"/>
        <v/>
      </c>
      <c r="M1155" s="4"/>
      <c r="N1155" s="23"/>
      <c r="O1155" s="23"/>
      <c r="P1155" s="23"/>
      <c r="Q1155" s="4" t="str">
        <f t="shared" si="4"/>
        <v/>
      </c>
      <c r="R1155" s="20"/>
      <c r="S1155" s="20"/>
    </row>
    <row r="1156">
      <c r="A1156" s="4"/>
      <c r="B1156" s="4"/>
      <c r="C1156" s="37"/>
      <c r="D1156" s="7" t="str">
        <f>IFERROR(__xludf.DUMMYFUNCTION("iferror(iferror(INDEX(IMPORTRANGE(""12vtnxaE_Q1s4tyr10kZQx7ZF_xG0lBFae4jQEUtgsMU"",""All!B2:B""),MATCH($C1156,IMPORTRANGE(""12vtnxaE_Q1s4tyr10kZQx7ZF_xG0lBFae4jQEUtgsMU"",""All!A2:A""),0)),INDEX(IMPORTRANGE(""13KC70HngS4DDi8y9E5khtSpQEPG6owaQ9z4E-tR5mnY"""&amp;",""Non-Food!B2:B""),MATCH($C1156,IMPORTRANGE(""13KC70HngS4DDi8y9E5khtSpQEPG6owaQ9z4E-tR5mnY"",""Non-Food!A2:A""),0))),"""")"),"")</f>
        <v/>
      </c>
      <c r="E1156" s="15"/>
      <c r="F1156" s="15"/>
      <c r="G1156" s="36"/>
      <c r="H1156" s="23" t="str">
        <f>IFERROR(__xludf.DUMMYFUNCTION("iferror(iferror(iferror(index(IMPORTRANGE(""1NK5L1mviMn0j3D3uo53ASkIZOFRlLnqaCTnwzOG2_Wg"",""Direct Link!B2:B""),MATCH($C1156,IMPORTRANGE(""1NK5L1mviMn0j3D3uo53ASkIZOFRlLnqaCTnwzOG2_Wg"",""Direct Link!A2:A""),0)),XLOOKUP($C1156,IMPORTRANGE(""1NK5L1mviMn0j"&amp;"3D3uo53ASkIZOFRlLnqaCTnwzOG2_Wg"",""Direct links Without Sizes!A2:A""),IMPORTRANGE(""1NK5L1mviMn0j3D3uo53ASkIZOFRlLnqaCTnwzOG2_Wg"",""Direct links Without Sizes!B2:B""))),XLOOKUP($C1156,IMPORTRANGE(""1NK5L1mviMn0j3D3uo53ASkIZOFRlLnqaCTnwzOG2_Wg"",""Direct"&amp;" links Without Sizes!D2:D""),IMPORTRANGE(""1NK5L1mviMn0j3D3uo53ASkIZOFRlLnqaCTnwzOG2_Wg"",""Direct links Without Sizes!E2:E""))),"""")"),"")</f>
        <v/>
      </c>
      <c r="I1156" s="4"/>
      <c r="J1156" s="24" t="str">
        <f t="shared" si="1"/>
        <v/>
      </c>
      <c r="K1156" s="25"/>
      <c r="L1156" s="24" t="str">
        <f t="shared" si="2"/>
        <v/>
      </c>
      <c r="M1156" s="4"/>
      <c r="N1156" s="23"/>
      <c r="O1156" s="23"/>
      <c r="P1156" s="23"/>
      <c r="Q1156" s="4" t="str">
        <f t="shared" si="4"/>
        <v/>
      </c>
      <c r="R1156" s="20"/>
      <c r="S1156" s="20"/>
    </row>
    <row r="1157">
      <c r="A1157" s="4"/>
      <c r="B1157" s="4"/>
      <c r="C1157" s="37"/>
      <c r="D1157" s="7" t="str">
        <f>IFERROR(__xludf.DUMMYFUNCTION("iferror(iferror(INDEX(IMPORTRANGE(""12vtnxaE_Q1s4tyr10kZQx7ZF_xG0lBFae4jQEUtgsMU"",""All!B2:B""),MATCH($C1157,IMPORTRANGE(""12vtnxaE_Q1s4tyr10kZQx7ZF_xG0lBFae4jQEUtgsMU"",""All!A2:A""),0)),INDEX(IMPORTRANGE(""13KC70HngS4DDi8y9E5khtSpQEPG6owaQ9z4E-tR5mnY"""&amp;",""Non-Food!B2:B""),MATCH($C1157,IMPORTRANGE(""13KC70HngS4DDi8y9E5khtSpQEPG6owaQ9z4E-tR5mnY"",""Non-Food!A2:A""),0))),"""")"),"")</f>
        <v/>
      </c>
      <c r="E1157" s="15"/>
      <c r="F1157" s="15"/>
      <c r="G1157" s="36"/>
      <c r="H1157" s="23" t="str">
        <f>IFERROR(__xludf.DUMMYFUNCTION("iferror(iferror(iferror(index(IMPORTRANGE(""1NK5L1mviMn0j3D3uo53ASkIZOFRlLnqaCTnwzOG2_Wg"",""Direct Link!B2:B""),MATCH($C1157,IMPORTRANGE(""1NK5L1mviMn0j3D3uo53ASkIZOFRlLnqaCTnwzOG2_Wg"",""Direct Link!A2:A""),0)),XLOOKUP($C1157,IMPORTRANGE(""1NK5L1mviMn0j"&amp;"3D3uo53ASkIZOFRlLnqaCTnwzOG2_Wg"",""Direct links Without Sizes!A2:A""),IMPORTRANGE(""1NK5L1mviMn0j3D3uo53ASkIZOFRlLnqaCTnwzOG2_Wg"",""Direct links Without Sizes!B2:B""))),XLOOKUP($C1157,IMPORTRANGE(""1NK5L1mviMn0j3D3uo53ASkIZOFRlLnqaCTnwzOG2_Wg"",""Direct"&amp;" links Without Sizes!D2:D""),IMPORTRANGE(""1NK5L1mviMn0j3D3uo53ASkIZOFRlLnqaCTnwzOG2_Wg"",""Direct links Without Sizes!E2:E""))),"""")"),"")</f>
        <v/>
      </c>
      <c r="I1157" s="4"/>
      <c r="J1157" s="24" t="str">
        <f t="shared" si="1"/>
        <v/>
      </c>
      <c r="K1157" s="25"/>
      <c r="L1157" s="24" t="str">
        <f t="shared" si="2"/>
        <v/>
      </c>
      <c r="M1157" s="4"/>
      <c r="N1157" s="23"/>
      <c r="O1157" s="23"/>
      <c r="P1157" s="23"/>
      <c r="Q1157" s="4" t="str">
        <f t="shared" si="4"/>
        <v/>
      </c>
      <c r="R1157" s="20"/>
      <c r="S1157" s="20"/>
    </row>
    <row r="1158">
      <c r="A1158" s="4"/>
      <c r="B1158" s="4"/>
      <c r="C1158" s="37"/>
      <c r="D1158" s="7" t="str">
        <f>IFERROR(__xludf.DUMMYFUNCTION("iferror(iferror(INDEX(IMPORTRANGE(""12vtnxaE_Q1s4tyr10kZQx7ZF_xG0lBFae4jQEUtgsMU"",""All!B2:B""),MATCH($C1158,IMPORTRANGE(""12vtnxaE_Q1s4tyr10kZQx7ZF_xG0lBFae4jQEUtgsMU"",""All!A2:A""),0)),INDEX(IMPORTRANGE(""13KC70HngS4DDi8y9E5khtSpQEPG6owaQ9z4E-tR5mnY"""&amp;",""Non-Food!B2:B""),MATCH($C1158,IMPORTRANGE(""13KC70HngS4DDi8y9E5khtSpQEPG6owaQ9z4E-tR5mnY"",""Non-Food!A2:A""),0))),"""")"),"")</f>
        <v/>
      </c>
      <c r="E1158" s="15"/>
      <c r="F1158" s="15"/>
      <c r="G1158" s="36"/>
      <c r="H1158" s="23" t="str">
        <f>IFERROR(__xludf.DUMMYFUNCTION("iferror(iferror(iferror(index(IMPORTRANGE(""1NK5L1mviMn0j3D3uo53ASkIZOFRlLnqaCTnwzOG2_Wg"",""Direct Link!B2:B""),MATCH($C1158,IMPORTRANGE(""1NK5L1mviMn0j3D3uo53ASkIZOFRlLnqaCTnwzOG2_Wg"",""Direct Link!A2:A""),0)),XLOOKUP($C1158,IMPORTRANGE(""1NK5L1mviMn0j"&amp;"3D3uo53ASkIZOFRlLnqaCTnwzOG2_Wg"",""Direct links Without Sizes!A2:A""),IMPORTRANGE(""1NK5L1mviMn0j3D3uo53ASkIZOFRlLnqaCTnwzOG2_Wg"",""Direct links Without Sizes!B2:B""))),XLOOKUP($C1158,IMPORTRANGE(""1NK5L1mviMn0j3D3uo53ASkIZOFRlLnqaCTnwzOG2_Wg"",""Direct"&amp;" links Without Sizes!D2:D""),IMPORTRANGE(""1NK5L1mviMn0j3D3uo53ASkIZOFRlLnqaCTnwzOG2_Wg"",""Direct links Without Sizes!E2:E""))),"""")"),"")</f>
        <v/>
      </c>
      <c r="I1158" s="4"/>
      <c r="J1158" s="24" t="str">
        <f t="shared" si="1"/>
        <v/>
      </c>
      <c r="K1158" s="25"/>
      <c r="L1158" s="24" t="str">
        <f t="shared" si="2"/>
        <v/>
      </c>
      <c r="M1158" s="4"/>
      <c r="N1158" s="23"/>
      <c r="O1158" s="23"/>
      <c r="P1158" s="23"/>
      <c r="Q1158" s="4" t="str">
        <f t="shared" si="4"/>
        <v/>
      </c>
      <c r="R1158" s="20"/>
      <c r="S1158" s="20"/>
    </row>
    <row r="1159">
      <c r="A1159" s="4"/>
      <c r="B1159" s="4"/>
      <c r="C1159" s="37"/>
      <c r="D1159" s="7" t="str">
        <f>IFERROR(__xludf.DUMMYFUNCTION("iferror(iferror(INDEX(IMPORTRANGE(""12vtnxaE_Q1s4tyr10kZQx7ZF_xG0lBFae4jQEUtgsMU"",""All!B2:B""),MATCH($C1159,IMPORTRANGE(""12vtnxaE_Q1s4tyr10kZQx7ZF_xG0lBFae4jQEUtgsMU"",""All!A2:A""),0)),INDEX(IMPORTRANGE(""13KC70HngS4DDi8y9E5khtSpQEPG6owaQ9z4E-tR5mnY"""&amp;",""Non-Food!B2:B""),MATCH($C1159,IMPORTRANGE(""13KC70HngS4DDi8y9E5khtSpQEPG6owaQ9z4E-tR5mnY"",""Non-Food!A2:A""),0))),"""")"),"")</f>
        <v/>
      </c>
      <c r="E1159" s="15"/>
      <c r="F1159" s="15"/>
      <c r="G1159" s="36"/>
      <c r="H1159" s="23" t="str">
        <f>IFERROR(__xludf.DUMMYFUNCTION("iferror(iferror(iferror(index(IMPORTRANGE(""1NK5L1mviMn0j3D3uo53ASkIZOFRlLnqaCTnwzOG2_Wg"",""Direct Link!B2:B""),MATCH($C1159,IMPORTRANGE(""1NK5L1mviMn0j3D3uo53ASkIZOFRlLnqaCTnwzOG2_Wg"",""Direct Link!A2:A""),0)),XLOOKUP($C1159,IMPORTRANGE(""1NK5L1mviMn0j"&amp;"3D3uo53ASkIZOFRlLnqaCTnwzOG2_Wg"",""Direct links Without Sizes!A2:A""),IMPORTRANGE(""1NK5L1mviMn0j3D3uo53ASkIZOFRlLnqaCTnwzOG2_Wg"",""Direct links Without Sizes!B2:B""))),XLOOKUP($C1159,IMPORTRANGE(""1NK5L1mviMn0j3D3uo53ASkIZOFRlLnqaCTnwzOG2_Wg"",""Direct"&amp;" links Without Sizes!D2:D""),IMPORTRANGE(""1NK5L1mviMn0j3D3uo53ASkIZOFRlLnqaCTnwzOG2_Wg"",""Direct links Without Sizes!E2:E""))),"""")"),"")</f>
        <v/>
      </c>
      <c r="I1159" s="4"/>
      <c r="J1159" s="24" t="str">
        <f t="shared" si="1"/>
        <v/>
      </c>
      <c r="K1159" s="25"/>
      <c r="L1159" s="24" t="str">
        <f t="shared" si="2"/>
        <v/>
      </c>
      <c r="M1159" s="4"/>
      <c r="N1159" s="23"/>
      <c r="O1159" s="23"/>
      <c r="P1159" s="23"/>
      <c r="Q1159" s="4" t="str">
        <f t="shared" si="4"/>
        <v/>
      </c>
      <c r="R1159" s="20"/>
      <c r="S1159" s="20"/>
    </row>
    <row r="1160">
      <c r="A1160" s="4"/>
      <c r="B1160" s="4"/>
      <c r="C1160" s="37"/>
      <c r="D1160" s="7" t="str">
        <f>IFERROR(__xludf.DUMMYFUNCTION("iferror(iferror(INDEX(IMPORTRANGE(""12vtnxaE_Q1s4tyr10kZQx7ZF_xG0lBFae4jQEUtgsMU"",""All!B2:B""),MATCH($C1160,IMPORTRANGE(""12vtnxaE_Q1s4tyr10kZQx7ZF_xG0lBFae4jQEUtgsMU"",""All!A2:A""),0)),INDEX(IMPORTRANGE(""13KC70HngS4DDi8y9E5khtSpQEPG6owaQ9z4E-tR5mnY"""&amp;",""Non-Food!B2:B""),MATCH($C1160,IMPORTRANGE(""13KC70HngS4DDi8y9E5khtSpQEPG6owaQ9z4E-tR5mnY"",""Non-Food!A2:A""),0))),"""")"),"")</f>
        <v/>
      </c>
      <c r="E1160" s="15"/>
      <c r="F1160" s="15"/>
      <c r="G1160" s="36"/>
      <c r="H1160" s="23" t="str">
        <f>IFERROR(__xludf.DUMMYFUNCTION("iferror(iferror(iferror(index(IMPORTRANGE(""1NK5L1mviMn0j3D3uo53ASkIZOFRlLnqaCTnwzOG2_Wg"",""Direct Link!B2:B""),MATCH($C1160,IMPORTRANGE(""1NK5L1mviMn0j3D3uo53ASkIZOFRlLnqaCTnwzOG2_Wg"",""Direct Link!A2:A""),0)),XLOOKUP($C1160,IMPORTRANGE(""1NK5L1mviMn0j"&amp;"3D3uo53ASkIZOFRlLnqaCTnwzOG2_Wg"",""Direct links Without Sizes!A2:A""),IMPORTRANGE(""1NK5L1mviMn0j3D3uo53ASkIZOFRlLnqaCTnwzOG2_Wg"",""Direct links Without Sizes!B2:B""))),XLOOKUP($C1160,IMPORTRANGE(""1NK5L1mviMn0j3D3uo53ASkIZOFRlLnqaCTnwzOG2_Wg"",""Direct"&amp;" links Without Sizes!D2:D""),IMPORTRANGE(""1NK5L1mviMn0j3D3uo53ASkIZOFRlLnqaCTnwzOG2_Wg"",""Direct links Without Sizes!E2:E""))),"""")"),"")</f>
        <v/>
      </c>
      <c r="I1160" s="4"/>
      <c r="J1160" s="24" t="str">
        <f t="shared" si="1"/>
        <v/>
      </c>
      <c r="K1160" s="25"/>
      <c r="L1160" s="24" t="str">
        <f t="shared" si="2"/>
        <v/>
      </c>
      <c r="M1160" s="4"/>
      <c r="N1160" s="23"/>
      <c r="O1160" s="23"/>
      <c r="P1160" s="23"/>
      <c r="Q1160" s="4" t="str">
        <f t="shared" si="4"/>
        <v/>
      </c>
      <c r="R1160" s="20"/>
      <c r="S1160" s="20"/>
    </row>
    <row r="1161">
      <c r="A1161" s="4"/>
      <c r="B1161" s="4"/>
      <c r="C1161" s="37"/>
      <c r="D1161" s="7" t="str">
        <f>IFERROR(__xludf.DUMMYFUNCTION("iferror(iferror(INDEX(IMPORTRANGE(""12vtnxaE_Q1s4tyr10kZQx7ZF_xG0lBFae4jQEUtgsMU"",""All!B2:B""),MATCH($C1161,IMPORTRANGE(""12vtnxaE_Q1s4tyr10kZQx7ZF_xG0lBFae4jQEUtgsMU"",""All!A2:A""),0)),INDEX(IMPORTRANGE(""13KC70HngS4DDi8y9E5khtSpQEPG6owaQ9z4E-tR5mnY"""&amp;",""Non-Food!B2:B""),MATCH($C1161,IMPORTRANGE(""13KC70HngS4DDi8y9E5khtSpQEPG6owaQ9z4E-tR5mnY"",""Non-Food!A2:A""),0))),"""")"),"")</f>
        <v/>
      </c>
      <c r="E1161" s="15"/>
      <c r="F1161" s="15"/>
      <c r="G1161" s="36"/>
      <c r="H1161" s="23" t="str">
        <f>IFERROR(__xludf.DUMMYFUNCTION("iferror(iferror(iferror(index(IMPORTRANGE(""1NK5L1mviMn0j3D3uo53ASkIZOFRlLnqaCTnwzOG2_Wg"",""Direct Link!B2:B""),MATCH($C1161,IMPORTRANGE(""1NK5L1mviMn0j3D3uo53ASkIZOFRlLnqaCTnwzOG2_Wg"",""Direct Link!A2:A""),0)),XLOOKUP($C1161,IMPORTRANGE(""1NK5L1mviMn0j"&amp;"3D3uo53ASkIZOFRlLnqaCTnwzOG2_Wg"",""Direct links Without Sizes!A2:A""),IMPORTRANGE(""1NK5L1mviMn0j3D3uo53ASkIZOFRlLnqaCTnwzOG2_Wg"",""Direct links Without Sizes!B2:B""))),XLOOKUP($C1161,IMPORTRANGE(""1NK5L1mviMn0j3D3uo53ASkIZOFRlLnqaCTnwzOG2_Wg"",""Direct"&amp;" links Without Sizes!D2:D""),IMPORTRANGE(""1NK5L1mviMn0j3D3uo53ASkIZOFRlLnqaCTnwzOG2_Wg"",""Direct links Without Sizes!E2:E""))),"""")"),"")</f>
        <v/>
      </c>
      <c r="I1161" s="4"/>
      <c r="J1161" s="24" t="str">
        <f t="shared" si="1"/>
        <v/>
      </c>
      <c r="K1161" s="25"/>
      <c r="L1161" s="24" t="str">
        <f t="shared" si="2"/>
        <v/>
      </c>
      <c r="M1161" s="4"/>
      <c r="N1161" s="23"/>
      <c r="O1161" s="23"/>
      <c r="P1161" s="23"/>
      <c r="Q1161" s="4" t="str">
        <f t="shared" si="4"/>
        <v/>
      </c>
      <c r="R1161" s="20"/>
      <c r="S1161" s="20"/>
    </row>
    <row r="1162">
      <c r="A1162" s="4"/>
      <c r="B1162" s="4"/>
      <c r="C1162" s="37"/>
      <c r="D1162" s="7" t="str">
        <f>IFERROR(__xludf.DUMMYFUNCTION("iferror(iferror(INDEX(IMPORTRANGE(""12vtnxaE_Q1s4tyr10kZQx7ZF_xG0lBFae4jQEUtgsMU"",""All!B2:B""),MATCH($C1162,IMPORTRANGE(""12vtnxaE_Q1s4tyr10kZQx7ZF_xG0lBFae4jQEUtgsMU"",""All!A2:A""),0)),INDEX(IMPORTRANGE(""13KC70HngS4DDi8y9E5khtSpQEPG6owaQ9z4E-tR5mnY"""&amp;",""Non-Food!B2:B""),MATCH($C1162,IMPORTRANGE(""13KC70HngS4DDi8y9E5khtSpQEPG6owaQ9z4E-tR5mnY"",""Non-Food!A2:A""),0))),"""")"),"")</f>
        <v/>
      </c>
      <c r="E1162" s="15"/>
      <c r="F1162" s="15"/>
      <c r="G1162" s="36"/>
      <c r="H1162" s="23" t="str">
        <f>IFERROR(__xludf.DUMMYFUNCTION("iferror(iferror(iferror(index(IMPORTRANGE(""1NK5L1mviMn0j3D3uo53ASkIZOFRlLnqaCTnwzOG2_Wg"",""Direct Link!B2:B""),MATCH($C1162,IMPORTRANGE(""1NK5L1mviMn0j3D3uo53ASkIZOFRlLnqaCTnwzOG2_Wg"",""Direct Link!A2:A""),0)),XLOOKUP($C1162,IMPORTRANGE(""1NK5L1mviMn0j"&amp;"3D3uo53ASkIZOFRlLnqaCTnwzOG2_Wg"",""Direct links Without Sizes!A2:A""),IMPORTRANGE(""1NK5L1mviMn0j3D3uo53ASkIZOFRlLnqaCTnwzOG2_Wg"",""Direct links Without Sizes!B2:B""))),XLOOKUP($C1162,IMPORTRANGE(""1NK5L1mviMn0j3D3uo53ASkIZOFRlLnqaCTnwzOG2_Wg"",""Direct"&amp;" links Without Sizes!D2:D""),IMPORTRANGE(""1NK5L1mviMn0j3D3uo53ASkIZOFRlLnqaCTnwzOG2_Wg"",""Direct links Without Sizes!E2:E""))),"""")"),"")</f>
        <v/>
      </c>
      <c r="I1162" s="4"/>
      <c r="J1162" s="24" t="str">
        <f t="shared" si="1"/>
        <v/>
      </c>
      <c r="K1162" s="25"/>
      <c r="L1162" s="24" t="str">
        <f t="shared" si="2"/>
        <v/>
      </c>
      <c r="M1162" s="4"/>
      <c r="N1162" s="23"/>
      <c r="O1162" s="23"/>
      <c r="P1162" s="23"/>
      <c r="Q1162" s="4" t="str">
        <f t="shared" si="4"/>
        <v/>
      </c>
      <c r="R1162" s="20"/>
      <c r="S1162" s="20"/>
    </row>
    <row r="1163">
      <c r="A1163" s="4"/>
      <c r="B1163" s="4"/>
      <c r="C1163" s="37"/>
      <c r="D1163" s="7" t="str">
        <f>IFERROR(__xludf.DUMMYFUNCTION("iferror(iferror(INDEX(IMPORTRANGE(""12vtnxaE_Q1s4tyr10kZQx7ZF_xG0lBFae4jQEUtgsMU"",""All!B2:B""),MATCH($C1163,IMPORTRANGE(""12vtnxaE_Q1s4tyr10kZQx7ZF_xG0lBFae4jQEUtgsMU"",""All!A2:A""),0)),INDEX(IMPORTRANGE(""13KC70HngS4DDi8y9E5khtSpQEPG6owaQ9z4E-tR5mnY"""&amp;",""Non-Food!B2:B""),MATCH($C1163,IMPORTRANGE(""13KC70HngS4DDi8y9E5khtSpQEPG6owaQ9z4E-tR5mnY"",""Non-Food!A2:A""),0))),"""")"),"")</f>
        <v/>
      </c>
      <c r="E1163" s="15"/>
      <c r="F1163" s="15"/>
      <c r="G1163" s="36"/>
      <c r="H1163" s="23" t="str">
        <f>IFERROR(__xludf.DUMMYFUNCTION("iferror(iferror(iferror(index(IMPORTRANGE(""1NK5L1mviMn0j3D3uo53ASkIZOFRlLnqaCTnwzOG2_Wg"",""Direct Link!B2:B""),MATCH($C1163,IMPORTRANGE(""1NK5L1mviMn0j3D3uo53ASkIZOFRlLnqaCTnwzOG2_Wg"",""Direct Link!A2:A""),0)),XLOOKUP($C1163,IMPORTRANGE(""1NK5L1mviMn0j"&amp;"3D3uo53ASkIZOFRlLnqaCTnwzOG2_Wg"",""Direct links Without Sizes!A2:A""),IMPORTRANGE(""1NK5L1mviMn0j3D3uo53ASkIZOFRlLnqaCTnwzOG2_Wg"",""Direct links Without Sizes!B2:B""))),XLOOKUP($C1163,IMPORTRANGE(""1NK5L1mviMn0j3D3uo53ASkIZOFRlLnqaCTnwzOG2_Wg"",""Direct"&amp;" links Without Sizes!D2:D""),IMPORTRANGE(""1NK5L1mviMn0j3D3uo53ASkIZOFRlLnqaCTnwzOG2_Wg"",""Direct links Without Sizes!E2:E""))),"""")"),"")</f>
        <v/>
      </c>
      <c r="I1163" s="4"/>
      <c r="J1163" s="24" t="str">
        <f t="shared" si="1"/>
        <v/>
      </c>
      <c r="K1163" s="25"/>
      <c r="L1163" s="24" t="str">
        <f t="shared" si="2"/>
        <v/>
      </c>
      <c r="M1163" s="4"/>
      <c r="N1163" s="23"/>
      <c r="O1163" s="23"/>
      <c r="P1163" s="23"/>
      <c r="Q1163" s="4" t="str">
        <f t="shared" si="4"/>
        <v/>
      </c>
      <c r="R1163" s="20"/>
      <c r="S1163" s="20"/>
    </row>
    <row r="1164">
      <c r="A1164" s="4"/>
      <c r="B1164" s="4"/>
      <c r="C1164" s="37"/>
      <c r="D1164" s="7" t="str">
        <f>IFERROR(__xludf.DUMMYFUNCTION("iferror(iferror(INDEX(IMPORTRANGE(""12vtnxaE_Q1s4tyr10kZQx7ZF_xG0lBFae4jQEUtgsMU"",""All!B2:B""),MATCH($C1164,IMPORTRANGE(""12vtnxaE_Q1s4tyr10kZQx7ZF_xG0lBFae4jQEUtgsMU"",""All!A2:A""),0)),INDEX(IMPORTRANGE(""13KC70HngS4DDi8y9E5khtSpQEPG6owaQ9z4E-tR5mnY"""&amp;",""Non-Food!B2:B""),MATCH($C1164,IMPORTRANGE(""13KC70HngS4DDi8y9E5khtSpQEPG6owaQ9z4E-tR5mnY"",""Non-Food!A2:A""),0))),"""")"),"")</f>
        <v/>
      </c>
      <c r="E1164" s="15"/>
      <c r="F1164" s="15"/>
      <c r="G1164" s="36"/>
      <c r="H1164" s="23" t="str">
        <f>IFERROR(__xludf.DUMMYFUNCTION("iferror(iferror(iferror(index(IMPORTRANGE(""1NK5L1mviMn0j3D3uo53ASkIZOFRlLnqaCTnwzOG2_Wg"",""Direct Link!B2:B""),MATCH($C1164,IMPORTRANGE(""1NK5L1mviMn0j3D3uo53ASkIZOFRlLnqaCTnwzOG2_Wg"",""Direct Link!A2:A""),0)),XLOOKUP($C1164,IMPORTRANGE(""1NK5L1mviMn0j"&amp;"3D3uo53ASkIZOFRlLnqaCTnwzOG2_Wg"",""Direct links Without Sizes!A2:A""),IMPORTRANGE(""1NK5L1mviMn0j3D3uo53ASkIZOFRlLnqaCTnwzOG2_Wg"",""Direct links Without Sizes!B2:B""))),XLOOKUP($C1164,IMPORTRANGE(""1NK5L1mviMn0j3D3uo53ASkIZOFRlLnqaCTnwzOG2_Wg"",""Direct"&amp;" links Without Sizes!D2:D""),IMPORTRANGE(""1NK5L1mviMn0j3D3uo53ASkIZOFRlLnqaCTnwzOG2_Wg"",""Direct links Without Sizes!E2:E""))),"""")"),"")</f>
        <v/>
      </c>
      <c r="I1164" s="4"/>
      <c r="J1164" s="24" t="str">
        <f t="shared" si="1"/>
        <v/>
      </c>
      <c r="K1164" s="25"/>
      <c r="L1164" s="24" t="str">
        <f t="shared" si="2"/>
        <v/>
      </c>
      <c r="M1164" s="4"/>
      <c r="N1164" s="23"/>
      <c r="O1164" s="23"/>
      <c r="P1164" s="23"/>
      <c r="Q1164" s="4" t="str">
        <f t="shared" si="4"/>
        <v/>
      </c>
      <c r="R1164" s="20"/>
      <c r="S1164" s="20"/>
    </row>
    <row r="1165">
      <c r="A1165" s="4"/>
      <c r="B1165" s="4"/>
      <c r="C1165" s="37"/>
      <c r="D1165" s="7" t="str">
        <f>IFERROR(__xludf.DUMMYFUNCTION("iferror(iferror(INDEX(IMPORTRANGE(""12vtnxaE_Q1s4tyr10kZQx7ZF_xG0lBFae4jQEUtgsMU"",""All!B2:B""),MATCH($C1165,IMPORTRANGE(""12vtnxaE_Q1s4tyr10kZQx7ZF_xG0lBFae4jQEUtgsMU"",""All!A2:A""),0)),INDEX(IMPORTRANGE(""13KC70HngS4DDi8y9E5khtSpQEPG6owaQ9z4E-tR5mnY"""&amp;",""Non-Food!B2:B""),MATCH($C1165,IMPORTRANGE(""13KC70HngS4DDi8y9E5khtSpQEPG6owaQ9z4E-tR5mnY"",""Non-Food!A2:A""),0))),"""")"),"")</f>
        <v/>
      </c>
      <c r="E1165" s="15"/>
      <c r="F1165" s="15"/>
      <c r="G1165" s="36"/>
      <c r="H1165" s="23" t="str">
        <f>IFERROR(__xludf.DUMMYFUNCTION("iferror(iferror(iferror(index(IMPORTRANGE(""1NK5L1mviMn0j3D3uo53ASkIZOFRlLnqaCTnwzOG2_Wg"",""Direct Link!B2:B""),MATCH($C1165,IMPORTRANGE(""1NK5L1mviMn0j3D3uo53ASkIZOFRlLnqaCTnwzOG2_Wg"",""Direct Link!A2:A""),0)),XLOOKUP($C1165,IMPORTRANGE(""1NK5L1mviMn0j"&amp;"3D3uo53ASkIZOFRlLnqaCTnwzOG2_Wg"",""Direct links Without Sizes!A2:A""),IMPORTRANGE(""1NK5L1mviMn0j3D3uo53ASkIZOFRlLnqaCTnwzOG2_Wg"",""Direct links Without Sizes!B2:B""))),XLOOKUP($C1165,IMPORTRANGE(""1NK5L1mviMn0j3D3uo53ASkIZOFRlLnqaCTnwzOG2_Wg"",""Direct"&amp;" links Without Sizes!D2:D""),IMPORTRANGE(""1NK5L1mviMn0j3D3uo53ASkIZOFRlLnqaCTnwzOG2_Wg"",""Direct links Without Sizes!E2:E""))),"""")"),"")</f>
        <v/>
      </c>
      <c r="I1165" s="4"/>
      <c r="J1165" s="24" t="str">
        <f t="shared" si="1"/>
        <v/>
      </c>
      <c r="K1165" s="25"/>
      <c r="L1165" s="24" t="str">
        <f t="shared" si="2"/>
        <v/>
      </c>
      <c r="M1165" s="4"/>
      <c r="N1165" s="23"/>
      <c r="O1165" s="23"/>
      <c r="P1165" s="23"/>
      <c r="Q1165" s="4" t="str">
        <f t="shared" si="4"/>
        <v/>
      </c>
      <c r="R1165" s="20"/>
      <c r="S1165" s="20"/>
    </row>
    <row r="1166">
      <c r="A1166" s="4"/>
      <c r="B1166" s="4"/>
      <c r="C1166" s="37"/>
      <c r="D1166" s="7" t="str">
        <f>IFERROR(__xludf.DUMMYFUNCTION("iferror(iferror(INDEX(IMPORTRANGE(""12vtnxaE_Q1s4tyr10kZQx7ZF_xG0lBFae4jQEUtgsMU"",""All!B2:B""),MATCH($C1166,IMPORTRANGE(""12vtnxaE_Q1s4tyr10kZQx7ZF_xG0lBFae4jQEUtgsMU"",""All!A2:A""),0)),INDEX(IMPORTRANGE(""13KC70HngS4DDi8y9E5khtSpQEPG6owaQ9z4E-tR5mnY"""&amp;",""Non-Food!B2:B""),MATCH($C1166,IMPORTRANGE(""13KC70HngS4DDi8y9E5khtSpQEPG6owaQ9z4E-tR5mnY"",""Non-Food!A2:A""),0))),"""")"),"")</f>
        <v/>
      </c>
      <c r="E1166" s="15"/>
      <c r="F1166" s="15"/>
      <c r="G1166" s="36"/>
      <c r="H1166" s="23" t="str">
        <f>IFERROR(__xludf.DUMMYFUNCTION("iferror(iferror(iferror(index(IMPORTRANGE(""1NK5L1mviMn0j3D3uo53ASkIZOFRlLnqaCTnwzOG2_Wg"",""Direct Link!B2:B""),MATCH($C1166,IMPORTRANGE(""1NK5L1mviMn0j3D3uo53ASkIZOFRlLnqaCTnwzOG2_Wg"",""Direct Link!A2:A""),0)),XLOOKUP($C1166,IMPORTRANGE(""1NK5L1mviMn0j"&amp;"3D3uo53ASkIZOFRlLnqaCTnwzOG2_Wg"",""Direct links Without Sizes!A2:A""),IMPORTRANGE(""1NK5L1mviMn0j3D3uo53ASkIZOFRlLnqaCTnwzOG2_Wg"",""Direct links Without Sizes!B2:B""))),XLOOKUP($C1166,IMPORTRANGE(""1NK5L1mviMn0j3D3uo53ASkIZOFRlLnqaCTnwzOG2_Wg"",""Direct"&amp;" links Without Sizes!D2:D""),IMPORTRANGE(""1NK5L1mviMn0j3D3uo53ASkIZOFRlLnqaCTnwzOG2_Wg"",""Direct links Without Sizes!E2:E""))),"""")"),"")</f>
        <v/>
      </c>
      <c r="I1166" s="4"/>
      <c r="J1166" s="24" t="str">
        <f t="shared" si="1"/>
        <v/>
      </c>
      <c r="K1166" s="25"/>
      <c r="L1166" s="24" t="str">
        <f t="shared" si="2"/>
        <v/>
      </c>
      <c r="M1166" s="4"/>
      <c r="N1166" s="23"/>
      <c r="O1166" s="23"/>
      <c r="P1166" s="23"/>
      <c r="Q1166" s="4" t="str">
        <f t="shared" si="4"/>
        <v/>
      </c>
      <c r="R1166" s="20"/>
      <c r="S1166" s="20"/>
    </row>
    <row r="1167">
      <c r="A1167" s="4"/>
      <c r="B1167" s="4"/>
      <c r="C1167" s="37"/>
      <c r="D1167" s="7" t="str">
        <f>IFERROR(__xludf.DUMMYFUNCTION("iferror(iferror(INDEX(IMPORTRANGE(""12vtnxaE_Q1s4tyr10kZQx7ZF_xG0lBFae4jQEUtgsMU"",""All!B2:B""),MATCH($C1167,IMPORTRANGE(""12vtnxaE_Q1s4tyr10kZQx7ZF_xG0lBFae4jQEUtgsMU"",""All!A2:A""),0)),INDEX(IMPORTRANGE(""13KC70HngS4DDi8y9E5khtSpQEPG6owaQ9z4E-tR5mnY"""&amp;",""Non-Food!B2:B""),MATCH($C1167,IMPORTRANGE(""13KC70HngS4DDi8y9E5khtSpQEPG6owaQ9z4E-tR5mnY"",""Non-Food!A2:A""),0))),"""")"),"")</f>
        <v/>
      </c>
      <c r="E1167" s="15"/>
      <c r="F1167" s="15"/>
      <c r="G1167" s="36"/>
      <c r="H1167" s="23" t="str">
        <f>IFERROR(__xludf.DUMMYFUNCTION("iferror(iferror(iferror(index(IMPORTRANGE(""1NK5L1mviMn0j3D3uo53ASkIZOFRlLnqaCTnwzOG2_Wg"",""Direct Link!B2:B""),MATCH($C1167,IMPORTRANGE(""1NK5L1mviMn0j3D3uo53ASkIZOFRlLnqaCTnwzOG2_Wg"",""Direct Link!A2:A""),0)),XLOOKUP($C1167,IMPORTRANGE(""1NK5L1mviMn0j"&amp;"3D3uo53ASkIZOFRlLnqaCTnwzOG2_Wg"",""Direct links Without Sizes!A2:A""),IMPORTRANGE(""1NK5L1mviMn0j3D3uo53ASkIZOFRlLnqaCTnwzOG2_Wg"",""Direct links Without Sizes!B2:B""))),XLOOKUP($C1167,IMPORTRANGE(""1NK5L1mviMn0j3D3uo53ASkIZOFRlLnqaCTnwzOG2_Wg"",""Direct"&amp;" links Without Sizes!D2:D""),IMPORTRANGE(""1NK5L1mviMn0j3D3uo53ASkIZOFRlLnqaCTnwzOG2_Wg"",""Direct links Without Sizes!E2:E""))),"""")"),"")</f>
        <v/>
      </c>
      <c r="I1167" s="4"/>
      <c r="J1167" s="24" t="str">
        <f t="shared" si="1"/>
        <v/>
      </c>
      <c r="K1167" s="25"/>
      <c r="L1167" s="24" t="str">
        <f t="shared" si="2"/>
        <v/>
      </c>
      <c r="M1167" s="4"/>
      <c r="N1167" s="23"/>
      <c r="O1167" s="23"/>
      <c r="P1167" s="23"/>
      <c r="Q1167" s="4" t="str">
        <f t="shared" si="4"/>
        <v/>
      </c>
      <c r="R1167" s="20"/>
      <c r="S1167" s="20"/>
    </row>
    <row r="1168">
      <c r="A1168" s="4"/>
      <c r="B1168" s="4"/>
      <c r="C1168" s="37"/>
      <c r="D1168" s="7" t="str">
        <f>IFERROR(__xludf.DUMMYFUNCTION("iferror(iferror(INDEX(IMPORTRANGE(""12vtnxaE_Q1s4tyr10kZQx7ZF_xG0lBFae4jQEUtgsMU"",""All!B2:B""),MATCH($C1168,IMPORTRANGE(""12vtnxaE_Q1s4tyr10kZQx7ZF_xG0lBFae4jQEUtgsMU"",""All!A2:A""),0)),INDEX(IMPORTRANGE(""13KC70HngS4DDi8y9E5khtSpQEPG6owaQ9z4E-tR5mnY"""&amp;",""Non-Food!B2:B""),MATCH($C1168,IMPORTRANGE(""13KC70HngS4DDi8y9E5khtSpQEPG6owaQ9z4E-tR5mnY"",""Non-Food!A2:A""),0))),"""")"),"")</f>
        <v/>
      </c>
      <c r="E1168" s="15"/>
      <c r="F1168" s="15"/>
      <c r="G1168" s="36"/>
      <c r="H1168" s="23" t="str">
        <f>IFERROR(__xludf.DUMMYFUNCTION("iferror(iferror(iferror(index(IMPORTRANGE(""1NK5L1mviMn0j3D3uo53ASkIZOFRlLnqaCTnwzOG2_Wg"",""Direct Link!B2:B""),MATCH($C1168,IMPORTRANGE(""1NK5L1mviMn0j3D3uo53ASkIZOFRlLnqaCTnwzOG2_Wg"",""Direct Link!A2:A""),0)),XLOOKUP($C1168,IMPORTRANGE(""1NK5L1mviMn0j"&amp;"3D3uo53ASkIZOFRlLnqaCTnwzOG2_Wg"",""Direct links Without Sizes!A2:A""),IMPORTRANGE(""1NK5L1mviMn0j3D3uo53ASkIZOFRlLnqaCTnwzOG2_Wg"",""Direct links Without Sizes!B2:B""))),XLOOKUP($C1168,IMPORTRANGE(""1NK5L1mviMn0j3D3uo53ASkIZOFRlLnqaCTnwzOG2_Wg"",""Direct"&amp;" links Without Sizes!D2:D""),IMPORTRANGE(""1NK5L1mviMn0j3D3uo53ASkIZOFRlLnqaCTnwzOG2_Wg"",""Direct links Without Sizes!E2:E""))),"""")"),"")</f>
        <v/>
      </c>
      <c r="I1168" s="4"/>
      <c r="J1168" s="24" t="str">
        <f t="shared" si="1"/>
        <v/>
      </c>
      <c r="K1168" s="25"/>
      <c r="L1168" s="24" t="str">
        <f t="shared" si="2"/>
        <v/>
      </c>
      <c r="M1168" s="4"/>
      <c r="N1168" s="23"/>
      <c r="O1168" s="23"/>
      <c r="P1168" s="23"/>
      <c r="Q1168" s="4" t="str">
        <f t="shared" si="4"/>
        <v/>
      </c>
      <c r="R1168" s="20"/>
      <c r="S1168" s="20"/>
    </row>
    <row r="1169">
      <c r="A1169" s="4"/>
      <c r="B1169" s="4"/>
      <c r="C1169" s="37"/>
      <c r="D1169" s="7" t="str">
        <f>IFERROR(__xludf.DUMMYFUNCTION("iferror(iferror(INDEX(IMPORTRANGE(""12vtnxaE_Q1s4tyr10kZQx7ZF_xG0lBFae4jQEUtgsMU"",""All!B2:B""),MATCH($C1169,IMPORTRANGE(""12vtnxaE_Q1s4tyr10kZQx7ZF_xG0lBFae4jQEUtgsMU"",""All!A2:A""),0)),INDEX(IMPORTRANGE(""13KC70HngS4DDi8y9E5khtSpQEPG6owaQ9z4E-tR5mnY"""&amp;",""Non-Food!B2:B""),MATCH($C1169,IMPORTRANGE(""13KC70HngS4DDi8y9E5khtSpQEPG6owaQ9z4E-tR5mnY"",""Non-Food!A2:A""),0))),"""")"),"")</f>
        <v/>
      </c>
      <c r="E1169" s="15"/>
      <c r="F1169" s="15"/>
      <c r="G1169" s="36"/>
      <c r="H1169" s="23" t="str">
        <f>IFERROR(__xludf.DUMMYFUNCTION("iferror(iferror(iferror(index(IMPORTRANGE(""1NK5L1mviMn0j3D3uo53ASkIZOFRlLnqaCTnwzOG2_Wg"",""Direct Link!B2:B""),MATCH($C1169,IMPORTRANGE(""1NK5L1mviMn0j3D3uo53ASkIZOFRlLnqaCTnwzOG2_Wg"",""Direct Link!A2:A""),0)),XLOOKUP($C1169,IMPORTRANGE(""1NK5L1mviMn0j"&amp;"3D3uo53ASkIZOFRlLnqaCTnwzOG2_Wg"",""Direct links Without Sizes!A2:A""),IMPORTRANGE(""1NK5L1mviMn0j3D3uo53ASkIZOFRlLnqaCTnwzOG2_Wg"",""Direct links Without Sizes!B2:B""))),XLOOKUP($C1169,IMPORTRANGE(""1NK5L1mviMn0j3D3uo53ASkIZOFRlLnqaCTnwzOG2_Wg"",""Direct"&amp;" links Without Sizes!D2:D""),IMPORTRANGE(""1NK5L1mviMn0j3D3uo53ASkIZOFRlLnqaCTnwzOG2_Wg"",""Direct links Without Sizes!E2:E""))),"""")"),"")</f>
        <v/>
      </c>
      <c r="I1169" s="4"/>
      <c r="J1169" s="24" t="str">
        <f t="shared" si="1"/>
        <v/>
      </c>
      <c r="K1169" s="25"/>
      <c r="L1169" s="24" t="str">
        <f t="shared" si="2"/>
        <v/>
      </c>
      <c r="M1169" s="4"/>
      <c r="N1169" s="23"/>
      <c r="O1169" s="23"/>
      <c r="P1169" s="23"/>
      <c r="Q1169" s="4" t="str">
        <f t="shared" si="4"/>
        <v/>
      </c>
      <c r="R1169" s="20"/>
      <c r="S1169" s="20"/>
    </row>
    <row r="1170">
      <c r="A1170" s="4"/>
      <c r="B1170" s="4"/>
      <c r="C1170" s="37"/>
      <c r="D1170" s="7" t="str">
        <f>IFERROR(__xludf.DUMMYFUNCTION("iferror(iferror(INDEX(IMPORTRANGE(""12vtnxaE_Q1s4tyr10kZQx7ZF_xG0lBFae4jQEUtgsMU"",""All!B2:B""),MATCH($C1170,IMPORTRANGE(""12vtnxaE_Q1s4tyr10kZQx7ZF_xG0lBFae4jQEUtgsMU"",""All!A2:A""),0)),INDEX(IMPORTRANGE(""13KC70HngS4DDi8y9E5khtSpQEPG6owaQ9z4E-tR5mnY"""&amp;",""Non-Food!B2:B""),MATCH($C1170,IMPORTRANGE(""13KC70HngS4DDi8y9E5khtSpQEPG6owaQ9z4E-tR5mnY"",""Non-Food!A2:A""),0))),"""")"),"")</f>
        <v/>
      </c>
      <c r="E1170" s="15"/>
      <c r="F1170" s="15"/>
      <c r="G1170" s="36"/>
      <c r="H1170" s="23" t="str">
        <f>IFERROR(__xludf.DUMMYFUNCTION("iferror(iferror(iferror(index(IMPORTRANGE(""1NK5L1mviMn0j3D3uo53ASkIZOFRlLnqaCTnwzOG2_Wg"",""Direct Link!B2:B""),MATCH($C1170,IMPORTRANGE(""1NK5L1mviMn0j3D3uo53ASkIZOFRlLnqaCTnwzOG2_Wg"",""Direct Link!A2:A""),0)),XLOOKUP($C1170,IMPORTRANGE(""1NK5L1mviMn0j"&amp;"3D3uo53ASkIZOFRlLnqaCTnwzOG2_Wg"",""Direct links Without Sizes!A2:A""),IMPORTRANGE(""1NK5L1mviMn0j3D3uo53ASkIZOFRlLnqaCTnwzOG2_Wg"",""Direct links Without Sizes!B2:B""))),XLOOKUP($C1170,IMPORTRANGE(""1NK5L1mviMn0j3D3uo53ASkIZOFRlLnqaCTnwzOG2_Wg"",""Direct"&amp;" links Without Sizes!D2:D""),IMPORTRANGE(""1NK5L1mviMn0j3D3uo53ASkIZOFRlLnqaCTnwzOG2_Wg"",""Direct links Without Sizes!E2:E""))),"""")"),"")</f>
        <v/>
      </c>
      <c r="I1170" s="4"/>
      <c r="J1170" s="24" t="str">
        <f t="shared" si="1"/>
        <v/>
      </c>
      <c r="K1170" s="25"/>
      <c r="L1170" s="24" t="str">
        <f t="shared" si="2"/>
        <v/>
      </c>
      <c r="M1170" s="4"/>
      <c r="N1170" s="23"/>
      <c r="O1170" s="23"/>
      <c r="P1170" s="23"/>
      <c r="Q1170" s="4" t="str">
        <f t="shared" si="4"/>
        <v/>
      </c>
      <c r="R1170" s="20"/>
      <c r="S1170" s="20"/>
    </row>
    <row r="1171">
      <c r="A1171" s="4"/>
      <c r="B1171" s="4"/>
      <c r="C1171" s="37"/>
      <c r="D1171" s="7" t="str">
        <f>IFERROR(__xludf.DUMMYFUNCTION("iferror(iferror(INDEX(IMPORTRANGE(""12vtnxaE_Q1s4tyr10kZQx7ZF_xG0lBFae4jQEUtgsMU"",""All!B2:B""),MATCH($C1171,IMPORTRANGE(""12vtnxaE_Q1s4tyr10kZQx7ZF_xG0lBFae4jQEUtgsMU"",""All!A2:A""),0)),INDEX(IMPORTRANGE(""13KC70HngS4DDi8y9E5khtSpQEPG6owaQ9z4E-tR5mnY"""&amp;",""Non-Food!B2:B""),MATCH($C1171,IMPORTRANGE(""13KC70HngS4DDi8y9E5khtSpQEPG6owaQ9z4E-tR5mnY"",""Non-Food!A2:A""),0))),"""")"),"")</f>
        <v/>
      </c>
      <c r="E1171" s="15"/>
      <c r="F1171" s="15"/>
      <c r="G1171" s="36"/>
      <c r="H1171" s="23" t="str">
        <f>IFERROR(__xludf.DUMMYFUNCTION("iferror(iferror(iferror(index(IMPORTRANGE(""1NK5L1mviMn0j3D3uo53ASkIZOFRlLnqaCTnwzOG2_Wg"",""Direct Link!B2:B""),MATCH($C1171,IMPORTRANGE(""1NK5L1mviMn0j3D3uo53ASkIZOFRlLnqaCTnwzOG2_Wg"",""Direct Link!A2:A""),0)),XLOOKUP($C1171,IMPORTRANGE(""1NK5L1mviMn0j"&amp;"3D3uo53ASkIZOFRlLnqaCTnwzOG2_Wg"",""Direct links Without Sizes!A2:A""),IMPORTRANGE(""1NK5L1mviMn0j3D3uo53ASkIZOFRlLnqaCTnwzOG2_Wg"",""Direct links Without Sizes!B2:B""))),XLOOKUP($C1171,IMPORTRANGE(""1NK5L1mviMn0j3D3uo53ASkIZOFRlLnqaCTnwzOG2_Wg"",""Direct"&amp;" links Without Sizes!D2:D""),IMPORTRANGE(""1NK5L1mviMn0j3D3uo53ASkIZOFRlLnqaCTnwzOG2_Wg"",""Direct links Without Sizes!E2:E""))),"""")"),"")</f>
        <v/>
      </c>
      <c r="I1171" s="4"/>
      <c r="J1171" s="24" t="str">
        <f t="shared" si="1"/>
        <v/>
      </c>
      <c r="K1171" s="25"/>
      <c r="L1171" s="24" t="str">
        <f t="shared" si="2"/>
        <v/>
      </c>
      <c r="M1171" s="4"/>
      <c r="N1171" s="23"/>
      <c r="O1171" s="23"/>
      <c r="P1171" s="23"/>
      <c r="Q1171" s="4" t="str">
        <f t="shared" si="4"/>
        <v/>
      </c>
      <c r="R1171" s="20"/>
      <c r="S1171" s="20"/>
    </row>
    <row r="1172">
      <c r="A1172" s="4"/>
      <c r="B1172" s="4"/>
      <c r="C1172" s="37"/>
      <c r="D1172" s="7" t="str">
        <f>IFERROR(__xludf.DUMMYFUNCTION("iferror(iferror(INDEX(IMPORTRANGE(""12vtnxaE_Q1s4tyr10kZQx7ZF_xG0lBFae4jQEUtgsMU"",""All!B2:B""),MATCH($C1172,IMPORTRANGE(""12vtnxaE_Q1s4tyr10kZQx7ZF_xG0lBFae4jQEUtgsMU"",""All!A2:A""),0)),INDEX(IMPORTRANGE(""13KC70HngS4DDi8y9E5khtSpQEPG6owaQ9z4E-tR5mnY"""&amp;",""Non-Food!B2:B""),MATCH($C1172,IMPORTRANGE(""13KC70HngS4DDi8y9E5khtSpQEPG6owaQ9z4E-tR5mnY"",""Non-Food!A2:A""),0))),"""")"),"")</f>
        <v/>
      </c>
      <c r="E1172" s="15"/>
      <c r="F1172" s="15"/>
      <c r="G1172" s="36"/>
      <c r="H1172" s="23" t="str">
        <f>IFERROR(__xludf.DUMMYFUNCTION("iferror(iferror(iferror(index(IMPORTRANGE(""1NK5L1mviMn0j3D3uo53ASkIZOFRlLnqaCTnwzOG2_Wg"",""Direct Link!B2:B""),MATCH($C1172,IMPORTRANGE(""1NK5L1mviMn0j3D3uo53ASkIZOFRlLnqaCTnwzOG2_Wg"",""Direct Link!A2:A""),0)),XLOOKUP($C1172,IMPORTRANGE(""1NK5L1mviMn0j"&amp;"3D3uo53ASkIZOFRlLnqaCTnwzOG2_Wg"",""Direct links Without Sizes!A2:A""),IMPORTRANGE(""1NK5L1mviMn0j3D3uo53ASkIZOFRlLnqaCTnwzOG2_Wg"",""Direct links Without Sizes!B2:B""))),XLOOKUP($C1172,IMPORTRANGE(""1NK5L1mviMn0j3D3uo53ASkIZOFRlLnqaCTnwzOG2_Wg"",""Direct"&amp;" links Without Sizes!D2:D""),IMPORTRANGE(""1NK5L1mviMn0j3D3uo53ASkIZOFRlLnqaCTnwzOG2_Wg"",""Direct links Without Sizes!E2:E""))),"""")"),"")</f>
        <v/>
      </c>
      <c r="I1172" s="4"/>
      <c r="J1172" s="24" t="str">
        <f t="shared" si="1"/>
        <v/>
      </c>
      <c r="K1172" s="25"/>
      <c r="L1172" s="24" t="str">
        <f t="shared" si="2"/>
        <v/>
      </c>
      <c r="M1172" s="4"/>
      <c r="N1172" s="23"/>
      <c r="O1172" s="23"/>
      <c r="P1172" s="23"/>
      <c r="Q1172" s="4" t="str">
        <f t="shared" si="4"/>
        <v/>
      </c>
      <c r="R1172" s="20"/>
      <c r="S1172" s="20"/>
    </row>
    <row r="1173">
      <c r="A1173" s="4"/>
      <c r="B1173" s="4"/>
      <c r="C1173" s="37"/>
      <c r="D1173" s="7" t="str">
        <f>IFERROR(__xludf.DUMMYFUNCTION("iferror(iferror(INDEX(IMPORTRANGE(""12vtnxaE_Q1s4tyr10kZQx7ZF_xG0lBFae4jQEUtgsMU"",""All!B2:B""),MATCH($C1173,IMPORTRANGE(""12vtnxaE_Q1s4tyr10kZQx7ZF_xG0lBFae4jQEUtgsMU"",""All!A2:A""),0)),INDEX(IMPORTRANGE(""13KC70HngS4DDi8y9E5khtSpQEPG6owaQ9z4E-tR5mnY"""&amp;",""Non-Food!B2:B""),MATCH($C1173,IMPORTRANGE(""13KC70HngS4DDi8y9E5khtSpQEPG6owaQ9z4E-tR5mnY"",""Non-Food!A2:A""),0))),"""")"),"")</f>
        <v/>
      </c>
      <c r="E1173" s="15"/>
      <c r="F1173" s="15"/>
      <c r="G1173" s="36"/>
      <c r="H1173" s="23" t="str">
        <f>IFERROR(__xludf.DUMMYFUNCTION("iferror(iferror(iferror(index(IMPORTRANGE(""1NK5L1mviMn0j3D3uo53ASkIZOFRlLnqaCTnwzOG2_Wg"",""Direct Link!B2:B""),MATCH($C1173,IMPORTRANGE(""1NK5L1mviMn0j3D3uo53ASkIZOFRlLnqaCTnwzOG2_Wg"",""Direct Link!A2:A""),0)),XLOOKUP($C1173,IMPORTRANGE(""1NK5L1mviMn0j"&amp;"3D3uo53ASkIZOFRlLnqaCTnwzOG2_Wg"",""Direct links Without Sizes!A2:A""),IMPORTRANGE(""1NK5L1mviMn0j3D3uo53ASkIZOFRlLnqaCTnwzOG2_Wg"",""Direct links Without Sizes!B2:B""))),XLOOKUP($C1173,IMPORTRANGE(""1NK5L1mviMn0j3D3uo53ASkIZOFRlLnqaCTnwzOG2_Wg"",""Direct"&amp;" links Without Sizes!D2:D""),IMPORTRANGE(""1NK5L1mviMn0j3D3uo53ASkIZOFRlLnqaCTnwzOG2_Wg"",""Direct links Without Sizes!E2:E""))),"""")"),"")</f>
        <v/>
      </c>
      <c r="I1173" s="4"/>
      <c r="J1173" s="24" t="str">
        <f t="shared" si="1"/>
        <v/>
      </c>
      <c r="K1173" s="25"/>
      <c r="L1173" s="24" t="str">
        <f t="shared" si="2"/>
        <v/>
      </c>
      <c r="M1173" s="4"/>
      <c r="N1173" s="23"/>
      <c r="O1173" s="23"/>
      <c r="P1173" s="23"/>
      <c r="Q1173" s="4" t="str">
        <f t="shared" si="4"/>
        <v/>
      </c>
      <c r="R1173" s="20"/>
      <c r="S1173" s="20"/>
    </row>
    <row r="1174">
      <c r="A1174" s="4"/>
      <c r="B1174" s="4"/>
      <c r="C1174" s="37"/>
      <c r="D1174" s="7" t="str">
        <f>IFERROR(__xludf.DUMMYFUNCTION("iferror(iferror(INDEX(IMPORTRANGE(""12vtnxaE_Q1s4tyr10kZQx7ZF_xG0lBFae4jQEUtgsMU"",""All!B2:B""),MATCH($C1174,IMPORTRANGE(""12vtnxaE_Q1s4tyr10kZQx7ZF_xG0lBFae4jQEUtgsMU"",""All!A2:A""),0)),INDEX(IMPORTRANGE(""13KC70HngS4DDi8y9E5khtSpQEPG6owaQ9z4E-tR5mnY"""&amp;",""Non-Food!B2:B""),MATCH($C1174,IMPORTRANGE(""13KC70HngS4DDi8y9E5khtSpQEPG6owaQ9z4E-tR5mnY"",""Non-Food!A2:A""),0))),"""")"),"")</f>
        <v/>
      </c>
      <c r="E1174" s="15"/>
      <c r="F1174" s="15"/>
      <c r="G1174" s="36"/>
      <c r="H1174" s="23" t="str">
        <f>IFERROR(__xludf.DUMMYFUNCTION("iferror(iferror(iferror(index(IMPORTRANGE(""1NK5L1mviMn0j3D3uo53ASkIZOFRlLnqaCTnwzOG2_Wg"",""Direct Link!B2:B""),MATCH($C1174,IMPORTRANGE(""1NK5L1mviMn0j3D3uo53ASkIZOFRlLnqaCTnwzOG2_Wg"",""Direct Link!A2:A""),0)),XLOOKUP($C1174,IMPORTRANGE(""1NK5L1mviMn0j"&amp;"3D3uo53ASkIZOFRlLnqaCTnwzOG2_Wg"",""Direct links Without Sizes!A2:A""),IMPORTRANGE(""1NK5L1mviMn0j3D3uo53ASkIZOFRlLnqaCTnwzOG2_Wg"",""Direct links Without Sizes!B2:B""))),XLOOKUP($C1174,IMPORTRANGE(""1NK5L1mviMn0j3D3uo53ASkIZOFRlLnqaCTnwzOG2_Wg"",""Direct"&amp;" links Without Sizes!D2:D""),IMPORTRANGE(""1NK5L1mviMn0j3D3uo53ASkIZOFRlLnqaCTnwzOG2_Wg"",""Direct links Without Sizes!E2:E""))),"""")"),"")</f>
        <v/>
      </c>
      <c r="I1174" s="4"/>
      <c r="J1174" s="24" t="str">
        <f t="shared" si="1"/>
        <v/>
      </c>
      <c r="K1174" s="25"/>
      <c r="L1174" s="24" t="str">
        <f t="shared" si="2"/>
        <v/>
      </c>
      <c r="M1174" s="4"/>
      <c r="N1174" s="23"/>
      <c r="O1174" s="23"/>
      <c r="P1174" s="23"/>
      <c r="Q1174" s="4" t="str">
        <f t="shared" si="4"/>
        <v/>
      </c>
      <c r="R1174" s="20"/>
      <c r="S1174" s="20"/>
    </row>
    <row r="1175">
      <c r="A1175" s="4"/>
      <c r="B1175" s="4"/>
      <c r="C1175" s="37"/>
      <c r="D1175" s="7" t="str">
        <f>IFERROR(__xludf.DUMMYFUNCTION("iferror(iferror(INDEX(IMPORTRANGE(""12vtnxaE_Q1s4tyr10kZQx7ZF_xG0lBFae4jQEUtgsMU"",""All!B2:B""),MATCH($C1175,IMPORTRANGE(""12vtnxaE_Q1s4tyr10kZQx7ZF_xG0lBFae4jQEUtgsMU"",""All!A2:A""),0)),INDEX(IMPORTRANGE(""13KC70HngS4DDi8y9E5khtSpQEPG6owaQ9z4E-tR5mnY"""&amp;",""Non-Food!B2:B""),MATCH($C1175,IMPORTRANGE(""13KC70HngS4DDi8y9E5khtSpQEPG6owaQ9z4E-tR5mnY"",""Non-Food!A2:A""),0))),"""")"),"")</f>
        <v/>
      </c>
      <c r="E1175" s="15"/>
      <c r="F1175" s="15"/>
      <c r="G1175" s="36"/>
      <c r="H1175" s="23" t="str">
        <f>IFERROR(__xludf.DUMMYFUNCTION("iferror(iferror(iferror(index(IMPORTRANGE(""1NK5L1mviMn0j3D3uo53ASkIZOFRlLnqaCTnwzOG2_Wg"",""Direct Link!B2:B""),MATCH($C1175,IMPORTRANGE(""1NK5L1mviMn0j3D3uo53ASkIZOFRlLnqaCTnwzOG2_Wg"",""Direct Link!A2:A""),0)),XLOOKUP($C1175,IMPORTRANGE(""1NK5L1mviMn0j"&amp;"3D3uo53ASkIZOFRlLnqaCTnwzOG2_Wg"",""Direct links Without Sizes!A2:A""),IMPORTRANGE(""1NK5L1mviMn0j3D3uo53ASkIZOFRlLnqaCTnwzOG2_Wg"",""Direct links Without Sizes!B2:B""))),XLOOKUP($C1175,IMPORTRANGE(""1NK5L1mviMn0j3D3uo53ASkIZOFRlLnqaCTnwzOG2_Wg"",""Direct"&amp;" links Without Sizes!D2:D""),IMPORTRANGE(""1NK5L1mviMn0j3D3uo53ASkIZOFRlLnqaCTnwzOG2_Wg"",""Direct links Without Sizes!E2:E""))),"""")"),"")</f>
        <v/>
      </c>
      <c r="I1175" s="4"/>
      <c r="J1175" s="24" t="str">
        <f t="shared" si="1"/>
        <v/>
      </c>
      <c r="K1175" s="25"/>
      <c r="L1175" s="24" t="str">
        <f t="shared" si="2"/>
        <v/>
      </c>
      <c r="M1175" s="4"/>
      <c r="N1175" s="23"/>
      <c r="O1175" s="23"/>
      <c r="P1175" s="23"/>
      <c r="Q1175" s="4" t="str">
        <f t="shared" si="4"/>
        <v/>
      </c>
      <c r="R1175" s="20"/>
      <c r="S1175" s="20"/>
    </row>
    <row r="1176">
      <c r="A1176" s="4"/>
      <c r="B1176" s="4"/>
      <c r="C1176" s="38"/>
      <c r="D1176" s="7" t="str">
        <f>IFERROR(__xludf.DUMMYFUNCTION("iferror(iferror(INDEX(IMPORTRANGE(""12vtnxaE_Q1s4tyr10kZQx7ZF_xG0lBFae4jQEUtgsMU"",""All!B2:B""),MATCH($C1176,IMPORTRANGE(""12vtnxaE_Q1s4tyr10kZQx7ZF_xG0lBFae4jQEUtgsMU"",""All!A2:A""),0)),INDEX(IMPORTRANGE(""13KC70HngS4DDi8y9E5khtSpQEPG6owaQ9z4E-tR5mnY"""&amp;",""Non-Food!B2:B""),MATCH($C1176,IMPORTRANGE(""13KC70HngS4DDi8y9E5khtSpQEPG6owaQ9z4E-tR5mnY"",""Non-Food!A2:A""),0))),"""")"),"")</f>
        <v/>
      </c>
      <c r="E1176" s="15"/>
      <c r="F1176" s="15"/>
      <c r="G1176" s="36"/>
      <c r="H1176" s="23" t="str">
        <f>IFERROR(__xludf.DUMMYFUNCTION("iferror(iferror(iferror(index(IMPORTRANGE(""1NK5L1mviMn0j3D3uo53ASkIZOFRlLnqaCTnwzOG2_Wg"",""Direct Link!B2:B""),MATCH($C1176,IMPORTRANGE(""1NK5L1mviMn0j3D3uo53ASkIZOFRlLnqaCTnwzOG2_Wg"",""Direct Link!A2:A""),0)),XLOOKUP($C1176,IMPORTRANGE(""1NK5L1mviMn0j"&amp;"3D3uo53ASkIZOFRlLnqaCTnwzOG2_Wg"",""Direct links Without Sizes!A2:A""),IMPORTRANGE(""1NK5L1mviMn0j3D3uo53ASkIZOFRlLnqaCTnwzOG2_Wg"",""Direct links Without Sizes!B2:B""))),XLOOKUP($C1176,IMPORTRANGE(""1NK5L1mviMn0j3D3uo53ASkIZOFRlLnqaCTnwzOG2_Wg"",""Direct"&amp;" links Without Sizes!D2:D""),IMPORTRANGE(""1NK5L1mviMn0j3D3uo53ASkIZOFRlLnqaCTnwzOG2_Wg"",""Direct links Without Sizes!E2:E""))),"""")"),"")</f>
        <v/>
      </c>
      <c r="I1176" s="4"/>
      <c r="J1176" s="24" t="str">
        <f t="shared" si="1"/>
        <v/>
      </c>
      <c r="K1176" s="25"/>
      <c r="L1176" s="24" t="str">
        <f t="shared" si="2"/>
        <v/>
      </c>
      <c r="M1176" s="4"/>
      <c r="N1176" s="23"/>
      <c r="O1176" s="23"/>
      <c r="P1176" s="23"/>
      <c r="Q1176" s="4" t="str">
        <f t="shared" si="4"/>
        <v/>
      </c>
      <c r="R1176" s="20"/>
      <c r="S1176" s="20"/>
    </row>
    <row r="1177">
      <c r="A1177" s="4"/>
      <c r="B1177" s="4"/>
      <c r="C1177" s="37"/>
      <c r="D1177" s="7" t="str">
        <f>IFERROR(__xludf.DUMMYFUNCTION("iferror(iferror(INDEX(IMPORTRANGE(""12vtnxaE_Q1s4tyr10kZQx7ZF_xG0lBFae4jQEUtgsMU"",""All!B2:B""),MATCH($C1177,IMPORTRANGE(""12vtnxaE_Q1s4tyr10kZQx7ZF_xG0lBFae4jQEUtgsMU"",""All!A2:A""),0)),INDEX(IMPORTRANGE(""13KC70HngS4DDi8y9E5khtSpQEPG6owaQ9z4E-tR5mnY"""&amp;",""Non-Food!B2:B""),MATCH($C1177,IMPORTRANGE(""13KC70HngS4DDi8y9E5khtSpQEPG6owaQ9z4E-tR5mnY"",""Non-Food!A2:A""),0))),"""")"),"")</f>
        <v/>
      </c>
      <c r="E1177" s="15"/>
      <c r="F1177" s="15"/>
      <c r="G1177" s="36"/>
      <c r="H1177" s="23" t="str">
        <f>IFERROR(__xludf.DUMMYFUNCTION("iferror(iferror(iferror(index(IMPORTRANGE(""1NK5L1mviMn0j3D3uo53ASkIZOFRlLnqaCTnwzOG2_Wg"",""Direct Link!B2:B""),MATCH($C1177,IMPORTRANGE(""1NK5L1mviMn0j3D3uo53ASkIZOFRlLnqaCTnwzOG2_Wg"",""Direct Link!A2:A""),0)),XLOOKUP($C1177,IMPORTRANGE(""1NK5L1mviMn0j"&amp;"3D3uo53ASkIZOFRlLnqaCTnwzOG2_Wg"",""Direct links Without Sizes!A2:A""),IMPORTRANGE(""1NK5L1mviMn0j3D3uo53ASkIZOFRlLnqaCTnwzOG2_Wg"",""Direct links Without Sizes!B2:B""))),XLOOKUP($C1177,IMPORTRANGE(""1NK5L1mviMn0j3D3uo53ASkIZOFRlLnqaCTnwzOG2_Wg"",""Direct"&amp;" links Without Sizes!D2:D""),IMPORTRANGE(""1NK5L1mviMn0j3D3uo53ASkIZOFRlLnqaCTnwzOG2_Wg"",""Direct links Without Sizes!E2:E""))),"""")"),"")</f>
        <v/>
      </c>
      <c r="I1177" s="4"/>
      <c r="J1177" s="24" t="str">
        <f t="shared" si="1"/>
        <v/>
      </c>
      <c r="K1177" s="25"/>
      <c r="L1177" s="24" t="str">
        <f t="shared" si="2"/>
        <v/>
      </c>
      <c r="M1177" s="4"/>
      <c r="N1177" s="23"/>
      <c r="O1177" s="23"/>
      <c r="P1177" s="23"/>
      <c r="Q1177" s="4" t="str">
        <f t="shared" si="4"/>
        <v/>
      </c>
      <c r="R1177" s="20"/>
      <c r="S1177" s="20"/>
    </row>
    <row r="1178">
      <c r="A1178" s="4"/>
      <c r="B1178" s="4"/>
      <c r="C1178" s="37"/>
      <c r="D1178" s="7" t="str">
        <f>IFERROR(__xludf.DUMMYFUNCTION("iferror(iferror(INDEX(IMPORTRANGE(""12vtnxaE_Q1s4tyr10kZQx7ZF_xG0lBFae4jQEUtgsMU"",""All!B2:B""),MATCH($C1178,IMPORTRANGE(""12vtnxaE_Q1s4tyr10kZQx7ZF_xG0lBFae4jQEUtgsMU"",""All!A2:A""),0)),INDEX(IMPORTRANGE(""13KC70HngS4DDi8y9E5khtSpQEPG6owaQ9z4E-tR5mnY"""&amp;",""Non-Food!B2:B""),MATCH($C1178,IMPORTRANGE(""13KC70HngS4DDi8y9E5khtSpQEPG6owaQ9z4E-tR5mnY"",""Non-Food!A2:A""),0))),"""")"),"")</f>
        <v/>
      </c>
      <c r="E1178" s="15"/>
      <c r="F1178" s="15"/>
      <c r="G1178" s="36"/>
      <c r="H1178" s="23" t="str">
        <f>IFERROR(__xludf.DUMMYFUNCTION("iferror(iferror(iferror(index(IMPORTRANGE(""1NK5L1mviMn0j3D3uo53ASkIZOFRlLnqaCTnwzOG2_Wg"",""Direct Link!B2:B""),MATCH($C1178,IMPORTRANGE(""1NK5L1mviMn0j3D3uo53ASkIZOFRlLnqaCTnwzOG2_Wg"",""Direct Link!A2:A""),0)),XLOOKUP($C1178,IMPORTRANGE(""1NK5L1mviMn0j"&amp;"3D3uo53ASkIZOFRlLnqaCTnwzOG2_Wg"",""Direct links Without Sizes!A2:A""),IMPORTRANGE(""1NK5L1mviMn0j3D3uo53ASkIZOFRlLnqaCTnwzOG2_Wg"",""Direct links Without Sizes!B2:B""))),XLOOKUP($C1178,IMPORTRANGE(""1NK5L1mviMn0j3D3uo53ASkIZOFRlLnqaCTnwzOG2_Wg"",""Direct"&amp;" links Without Sizes!D2:D""),IMPORTRANGE(""1NK5L1mviMn0j3D3uo53ASkIZOFRlLnqaCTnwzOG2_Wg"",""Direct links Without Sizes!E2:E""))),"""")"),"")</f>
        <v/>
      </c>
      <c r="I1178" s="4"/>
      <c r="J1178" s="24" t="str">
        <f t="shared" si="1"/>
        <v/>
      </c>
      <c r="K1178" s="25"/>
      <c r="L1178" s="24" t="str">
        <f t="shared" si="2"/>
        <v/>
      </c>
      <c r="M1178" s="4"/>
      <c r="N1178" s="23"/>
      <c r="O1178" s="23"/>
      <c r="P1178" s="23"/>
      <c r="Q1178" s="4" t="str">
        <f t="shared" si="4"/>
        <v/>
      </c>
      <c r="R1178" s="20"/>
      <c r="S1178" s="20"/>
    </row>
    <row r="1179">
      <c r="A1179" s="4"/>
      <c r="B1179" s="4"/>
      <c r="C1179" s="37"/>
      <c r="D1179" s="7" t="str">
        <f>IFERROR(__xludf.DUMMYFUNCTION("iferror(iferror(INDEX(IMPORTRANGE(""12vtnxaE_Q1s4tyr10kZQx7ZF_xG0lBFae4jQEUtgsMU"",""All!B2:B""),MATCH($C1179,IMPORTRANGE(""12vtnxaE_Q1s4tyr10kZQx7ZF_xG0lBFae4jQEUtgsMU"",""All!A2:A""),0)),INDEX(IMPORTRANGE(""13KC70HngS4DDi8y9E5khtSpQEPG6owaQ9z4E-tR5mnY"""&amp;",""Non-Food!B2:B""),MATCH($C1179,IMPORTRANGE(""13KC70HngS4DDi8y9E5khtSpQEPG6owaQ9z4E-tR5mnY"",""Non-Food!A2:A""),0))),"""")"),"")</f>
        <v/>
      </c>
      <c r="E1179" s="15"/>
      <c r="F1179" s="15"/>
      <c r="G1179" s="36"/>
      <c r="H1179" s="23" t="str">
        <f>IFERROR(__xludf.DUMMYFUNCTION("iferror(iferror(iferror(index(IMPORTRANGE(""1NK5L1mviMn0j3D3uo53ASkIZOFRlLnqaCTnwzOG2_Wg"",""Direct Link!B2:B""),MATCH($C1179,IMPORTRANGE(""1NK5L1mviMn0j3D3uo53ASkIZOFRlLnqaCTnwzOG2_Wg"",""Direct Link!A2:A""),0)),XLOOKUP($C1179,IMPORTRANGE(""1NK5L1mviMn0j"&amp;"3D3uo53ASkIZOFRlLnqaCTnwzOG2_Wg"",""Direct links Without Sizes!A2:A""),IMPORTRANGE(""1NK5L1mviMn0j3D3uo53ASkIZOFRlLnqaCTnwzOG2_Wg"",""Direct links Without Sizes!B2:B""))),XLOOKUP($C1179,IMPORTRANGE(""1NK5L1mviMn0j3D3uo53ASkIZOFRlLnqaCTnwzOG2_Wg"",""Direct"&amp;" links Without Sizes!D2:D""),IMPORTRANGE(""1NK5L1mviMn0j3D3uo53ASkIZOFRlLnqaCTnwzOG2_Wg"",""Direct links Without Sizes!E2:E""))),"""")"),"")</f>
        <v/>
      </c>
      <c r="I1179" s="4"/>
      <c r="J1179" s="24" t="str">
        <f t="shared" si="1"/>
        <v/>
      </c>
      <c r="K1179" s="25"/>
      <c r="L1179" s="24" t="str">
        <f t="shared" si="2"/>
        <v/>
      </c>
      <c r="M1179" s="4"/>
      <c r="N1179" s="23"/>
      <c r="O1179" s="23"/>
      <c r="P1179" s="23"/>
      <c r="Q1179" s="4" t="str">
        <f t="shared" si="4"/>
        <v/>
      </c>
      <c r="R1179" s="20"/>
      <c r="S1179" s="20"/>
    </row>
    <row r="1180">
      <c r="A1180" s="4"/>
      <c r="B1180" s="4"/>
      <c r="C1180" s="37"/>
      <c r="D1180" s="7" t="str">
        <f>IFERROR(__xludf.DUMMYFUNCTION("iferror(iferror(INDEX(IMPORTRANGE(""12vtnxaE_Q1s4tyr10kZQx7ZF_xG0lBFae4jQEUtgsMU"",""All!B2:B""),MATCH($C1180,IMPORTRANGE(""12vtnxaE_Q1s4tyr10kZQx7ZF_xG0lBFae4jQEUtgsMU"",""All!A2:A""),0)),INDEX(IMPORTRANGE(""13KC70HngS4DDi8y9E5khtSpQEPG6owaQ9z4E-tR5mnY"""&amp;",""Non-Food!B2:B""),MATCH($C1180,IMPORTRANGE(""13KC70HngS4DDi8y9E5khtSpQEPG6owaQ9z4E-tR5mnY"",""Non-Food!A2:A""),0))),"""")"),"")</f>
        <v/>
      </c>
      <c r="E1180" s="15"/>
      <c r="F1180" s="15"/>
      <c r="G1180" s="36"/>
      <c r="H1180" s="23" t="str">
        <f>IFERROR(__xludf.DUMMYFUNCTION("iferror(iferror(iferror(index(IMPORTRANGE(""1NK5L1mviMn0j3D3uo53ASkIZOFRlLnqaCTnwzOG2_Wg"",""Direct Link!B2:B""),MATCH($C1180,IMPORTRANGE(""1NK5L1mviMn0j3D3uo53ASkIZOFRlLnqaCTnwzOG2_Wg"",""Direct Link!A2:A""),0)),XLOOKUP($C1180,IMPORTRANGE(""1NK5L1mviMn0j"&amp;"3D3uo53ASkIZOFRlLnqaCTnwzOG2_Wg"",""Direct links Without Sizes!A2:A""),IMPORTRANGE(""1NK5L1mviMn0j3D3uo53ASkIZOFRlLnqaCTnwzOG2_Wg"",""Direct links Without Sizes!B2:B""))),XLOOKUP($C1180,IMPORTRANGE(""1NK5L1mviMn0j3D3uo53ASkIZOFRlLnqaCTnwzOG2_Wg"",""Direct"&amp;" links Without Sizes!D2:D""),IMPORTRANGE(""1NK5L1mviMn0j3D3uo53ASkIZOFRlLnqaCTnwzOG2_Wg"",""Direct links Without Sizes!E2:E""))),"""")"),"")</f>
        <v/>
      </c>
      <c r="I1180" s="4"/>
      <c r="J1180" s="24" t="str">
        <f t="shared" si="1"/>
        <v/>
      </c>
      <c r="K1180" s="25"/>
      <c r="L1180" s="24" t="str">
        <f t="shared" si="2"/>
        <v/>
      </c>
      <c r="M1180" s="4"/>
      <c r="N1180" s="23"/>
      <c r="O1180" s="23"/>
      <c r="P1180" s="23"/>
      <c r="Q1180" s="4" t="str">
        <f t="shared" si="4"/>
        <v/>
      </c>
      <c r="R1180" s="20"/>
      <c r="S1180" s="20"/>
    </row>
    <row r="1181">
      <c r="A1181" s="4"/>
      <c r="B1181" s="4"/>
      <c r="C1181" s="37"/>
      <c r="D1181" s="7" t="str">
        <f>IFERROR(__xludf.DUMMYFUNCTION("iferror(iferror(INDEX(IMPORTRANGE(""12vtnxaE_Q1s4tyr10kZQx7ZF_xG0lBFae4jQEUtgsMU"",""All!B2:B""),MATCH($C1181,IMPORTRANGE(""12vtnxaE_Q1s4tyr10kZQx7ZF_xG0lBFae4jQEUtgsMU"",""All!A2:A""),0)),INDEX(IMPORTRANGE(""13KC70HngS4DDi8y9E5khtSpQEPG6owaQ9z4E-tR5mnY"""&amp;",""Non-Food!B2:B""),MATCH($C1181,IMPORTRANGE(""13KC70HngS4DDi8y9E5khtSpQEPG6owaQ9z4E-tR5mnY"",""Non-Food!A2:A""),0))),"""")"),"")</f>
        <v/>
      </c>
      <c r="E1181" s="15"/>
      <c r="F1181" s="15"/>
      <c r="G1181" s="36"/>
      <c r="H1181" s="23" t="str">
        <f>IFERROR(__xludf.DUMMYFUNCTION("iferror(iferror(iferror(index(IMPORTRANGE(""1NK5L1mviMn0j3D3uo53ASkIZOFRlLnqaCTnwzOG2_Wg"",""Direct Link!B2:B""),MATCH($C1181,IMPORTRANGE(""1NK5L1mviMn0j3D3uo53ASkIZOFRlLnqaCTnwzOG2_Wg"",""Direct Link!A2:A""),0)),XLOOKUP($C1181,IMPORTRANGE(""1NK5L1mviMn0j"&amp;"3D3uo53ASkIZOFRlLnqaCTnwzOG2_Wg"",""Direct links Without Sizes!A2:A""),IMPORTRANGE(""1NK5L1mviMn0j3D3uo53ASkIZOFRlLnqaCTnwzOG2_Wg"",""Direct links Without Sizes!B2:B""))),XLOOKUP($C1181,IMPORTRANGE(""1NK5L1mviMn0j3D3uo53ASkIZOFRlLnqaCTnwzOG2_Wg"",""Direct"&amp;" links Without Sizes!D2:D""),IMPORTRANGE(""1NK5L1mviMn0j3D3uo53ASkIZOFRlLnqaCTnwzOG2_Wg"",""Direct links Without Sizes!E2:E""))),"""")"),"")</f>
        <v/>
      </c>
      <c r="I1181" s="4"/>
      <c r="J1181" s="24" t="str">
        <f t="shared" si="1"/>
        <v/>
      </c>
      <c r="K1181" s="25"/>
      <c r="L1181" s="24" t="str">
        <f t="shared" si="2"/>
        <v/>
      </c>
      <c r="M1181" s="4"/>
      <c r="N1181" s="23"/>
      <c r="O1181" s="23"/>
      <c r="P1181" s="23"/>
      <c r="Q1181" s="4" t="str">
        <f t="shared" si="4"/>
        <v/>
      </c>
      <c r="R1181" s="20"/>
      <c r="S1181" s="20"/>
    </row>
    <row r="1182">
      <c r="A1182" s="4"/>
      <c r="B1182" s="4"/>
      <c r="C1182" s="37"/>
      <c r="D1182" s="7" t="str">
        <f>IFERROR(__xludf.DUMMYFUNCTION("iferror(iferror(INDEX(IMPORTRANGE(""12vtnxaE_Q1s4tyr10kZQx7ZF_xG0lBFae4jQEUtgsMU"",""All!B2:B""),MATCH($C1182,IMPORTRANGE(""12vtnxaE_Q1s4tyr10kZQx7ZF_xG0lBFae4jQEUtgsMU"",""All!A2:A""),0)),INDEX(IMPORTRANGE(""13KC70HngS4DDi8y9E5khtSpQEPG6owaQ9z4E-tR5mnY"""&amp;",""Non-Food!B2:B""),MATCH($C1182,IMPORTRANGE(""13KC70HngS4DDi8y9E5khtSpQEPG6owaQ9z4E-tR5mnY"",""Non-Food!A2:A""),0))),"""")"),"")</f>
        <v/>
      </c>
      <c r="E1182" s="15"/>
      <c r="F1182" s="15"/>
      <c r="G1182" s="36"/>
      <c r="H1182" s="23" t="str">
        <f>IFERROR(__xludf.DUMMYFUNCTION("iferror(iferror(iferror(index(IMPORTRANGE(""1NK5L1mviMn0j3D3uo53ASkIZOFRlLnqaCTnwzOG2_Wg"",""Direct Link!B2:B""),MATCH($C1182,IMPORTRANGE(""1NK5L1mviMn0j3D3uo53ASkIZOFRlLnqaCTnwzOG2_Wg"",""Direct Link!A2:A""),0)),XLOOKUP($C1182,IMPORTRANGE(""1NK5L1mviMn0j"&amp;"3D3uo53ASkIZOFRlLnqaCTnwzOG2_Wg"",""Direct links Without Sizes!A2:A""),IMPORTRANGE(""1NK5L1mviMn0j3D3uo53ASkIZOFRlLnqaCTnwzOG2_Wg"",""Direct links Without Sizes!B2:B""))),XLOOKUP($C1182,IMPORTRANGE(""1NK5L1mviMn0j3D3uo53ASkIZOFRlLnqaCTnwzOG2_Wg"",""Direct"&amp;" links Without Sizes!D2:D""),IMPORTRANGE(""1NK5L1mviMn0j3D3uo53ASkIZOFRlLnqaCTnwzOG2_Wg"",""Direct links Without Sizes!E2:E""))),"""")"),"")</f>
        <v/>
      </c>
      <c r="I1182" s="4"/>
      <c r="J1182" s="24" t="str">
        <f t="shared" si="1"/>
        <v/>
      </c>
      <c r="K1182" s="25"/>
      <c r="L1182" s="24" t="str">
        <f t="shared" si="2"/>
        <v/>
      </c>
      <c r="M1182" s="4"/>
      <c r="N1182" s="23"/>
      <c r="O1182" s="23"/>
      <c r="P1182" s="23"/>
      <c r="Q1182" s="4" t="str">
        <f t="shared" si="4"/>
        <v/>
      </c>
      <c r="R1182" s="20"/>
      <c r="S1182" s="20"/>
    </row>
    <row r="1183">
      <c r="A1183" s="4"/>
      <c r="B1183" s="4"/>
      <c r="C1183" s="37"/>
      <c r="D1183" s="7" t="str">
        <f>IFERROR(__xludf.DUMMYFUNCTION("iferror(iferror(INDEX(IMPORTRANGE(""12vtnxaE_Q1s4tyr10kZQx7ZF_xG0lBFae4jQEUtgsMU"",""All!B2:B""),MATCH($C1183,IMPORTRANGE(""12vtnxaE_Q1s4tyr10kZQx7ZF_xG0lBFae4jQEUtgsMU"",""All!A2:A""),0)),INDEX(IMPORTRANGE(""13KC70HngS4DDi8y9E5khtSpQEPG6owaQ9z4E-tR5mnY"""&amp;",""Non-Food!B2:B""),MATCH($C1183,IMPORTRANGE(""13KC70HngS4DDi8y9E5khtSpQEPG6owaQ9z4E-tR5mnY"",""Non-Food!A2:A""),0))),"""")"),"")</f>
        <v/>
      </c>
      <c r="E1183" s="15"/>
      <c r="F1183" s="15"/>
      <c r="G1183" s="36"/>
      <c r="H1183" s="23" t="str">
        <f>IFERROR(__xludf.DUMMYFUNCTION("iferror(iferror(iferror(index(IMPORTRANGE(""1NK5L1mviMn0j3D3uo53ASkIZOFRlLnqaCTnwzOG2_Wg"",""Direct Link!B2:B""),MATCH($C1183,IMPORTRANGE(""1NK5L1mviMn0j3D3uo53ASkIZOFRlLnqaCTnwzOG2_Wg"",""Direct Link!A2:A""),0)),XLOOKUP($C1183,IMPORTRANGE(""1NK5L1mviMn0j"&amp;"3D3uo53ASkIZOFRlLnqaCTnwzOG2_Wg"",""Direct links Without Sizes!A2:A""),IMPORTRANGE(""1NK5L1mviMn0j3D3uo53ASkIZOFRlLnqaCTnwzOG2_Wg"",""Direct links Without Sizes!B2:B""))),XLOOKUP($C1183,IMPORTRANGE(""1NK5L1mviMn0j3D3uo53ASkIZOFRlLnqaCTnwzOG2_Wg"",""Direct"&amp;" links Without Sizes!D2:D""),IMPORTRANGE(""1NK5L1mviMn0j3D3uo53ASkIZOFRlLnqaCTnwzOG2_Wg"",""Direct links Without Sizes!E2:E""))),"""")"),"")</f>
        <v/>
      </c>
      <c r="I1183" s="4"/>
      <c r="J1183" s="24" t="str">
        <f t="shared" si="1"/>
        <v/>
      </c>
      <c r="K1183" s="25"/>
      <c r="L1183" s="24" t="str">
        <f t="shared" si="2"/>
        <v/>
      </c>
      <c r="M1183" s="4"/>
      <c r="N1183" s="23"/>
      <c r="O1183" s="23"/>
      <c r="P1183" s="23"/>
      <c r="Q1183" s="4" t="str">
        <f t="shared" si="4"/>
        <v/>
      </c>
      <c r="R1183" s="20"/>
      <c r="S1183" s="20"/>
    </row>
    <row r="1184">
      <c r="A1184" s="4"/>
      <c r="B1184" s="4"/>
      <c r="C1184" s="37"/>
      <c r="D1184" s="7" t="str">
        <f>IFERROR(__xludf.DUMMYFUNCTION("iferror(iferror(INDEX(IMPORTRANGE(""12vtnxaE_Q1s4tyr10kZQx7ZF_xG0lBFae4jQEUtgsMU"",""All!B2:B""),MATCH($C1184,IMPORTRANGE(""12vtnxaE_Q1s4tyr10kZQx7ZF_xG0lBFae4jQEUtgsMU"",""All!A2:A""),0)),INDEX(IMPORTRANGE(""13KC70HngS4DDi8y9E5khtSpQEPG6owaQ9z4E-tR5mnY"""&amp;",""Non-Food!B2:B""),MATCH($C1184,IMPORTRANGE(""13KC70HngS4DDi8y9E5khtSpQEPG6owaQ9z4E-tR5mnY"",""Non-Food!A2:A""),0))),"""")"),"")</f>
        <v/>
      </c>
      <c r="E1184" s="15"/>
      <c r="F1184" s="15"/>
      <c r="G1184" s="36"/>
      <c r="H1184" s="23" t="str">
        <f>IFERROR(__xludf.DUMMYFUNCTION("iferror(iferror(iferror(index(IMPORTRANGE(""1NK5L1mviMn0j3D3uo53ASkIZOFRlLnqaCTnwzOG2_Wg"",""Direct Link!B2:B""),MATCH($C1184,IMPORTRANGE(""1NK5L1mviMn0j3D3uo53ASkIZOFRlLnqaCTnwzOG2_Wg"",""Direct Link!A2:A""),0)),XLOOKUP($C1184,IMPORTRANGE(""1NK5L1mviMn0j"&amp;"3D3uo53ASkIZOFRlLnqaCTnwzOG2_Wg"",""Direct links Without Sizes!A2:A""),IMPORTRANGE(""1NK5L1mviMn0j3D3uo53ASkIZOFRlLnqaCTnwzOG2_Wg"",""Direct links Without Sizes!B2:B""))),XLOOKUP($C1184,IMPORTRANGE(""1NK5L1mviMn0j3D3uo53ASkIZOFRlLnqaCTnwzOG2_Wg"",""Direct"&amp;" links Without Sizes!D2:D""),IMPORTRANGE(""1NK5L1mviMn0j3D3uo53ASkIZOFRlLnqaCTnwzOG2_Wg"",""Direct links Without Sizes!E2:E""))),"""")"),"")</f>
        <v/>
      </c>
      <c r="I1184" s="4"/>
      <c r="J1184" s="24" t="str">
        <f t="shared" si="1"/>
        <v/>
      </c>
      <c r="K1184" s="25"/>
      <c r="L1184" s="24" t="str">
        <f t="shared" si="2"/>
        <v/>
      </c>
      <c r="M1184" s="4"/>
      <c r="N1184" s="23"/>
      <c r="O1184" s="23"/>
      <c r="P1184" s="23"/>
      <c r="Q1184" s="4" t="str">
        <f t="shared" si="4"/>
        <v/>
      </c>
      <c r="R1184" s="20"/>
      <c r="S1184" s="20"/>
    </row>
    <row r="1185">
      <c r="A1185" s="4"/>
      <c r="B1185" s="4"/>
      <c r="C1185" s="37"/>
      <c r="D1185" s="7" t="str">
        <f>IFERROR(__xludf.DUMMYFUNCTION("iferror(iferror(INDEX(IMPORTRANGE(""12vtnxaE_Q1s4tyr10kZQx7ZF_xG0lBFae4jQEUtgsMU"",""All!B2:B""),MATCH($C1185,IMPORTRANGE(""12vtnxaE_Q1s4tyr10kZQx7ZF_xG0lBFae4jQEUtgsMU"",""All!A2:A""),0)),INDEX(IMPORTRANGE(""13KC70HngS4DDi8y9E5khtSpQEPG6owaQ9z4E-tR5mnY"""&amp;",""Non-Food!B2:B""),MATCH($C1185,IMPORTRANGE(""13KC70HngS4DDi8y9E5khtSpQEPG6owaQ9z4E-tR5mnY"",""Non-Food!A2:A""),0))),"""")"),"")</f>
        <v/>
      </c>
      <c r="E1185" s="15"/>
      <c r="F1185" s="15"/>
      <c r="G1185" s="36"/>
      <c r="H1185" s="23" t="str">
        <f>IFERROR(__xludf.DUMMYFUNCTION("iferror(iferror(iferror(index(IMPORTRANGE(""1NK5L1mviMn0j3D3uo53ASkIZOFRlLnqaCTnwzOG2_Wg"",""Direct Link!B2:B""),MATCH($C1185,IMPORTRANGE(""1NK5L1mviMn0j3D3uo53ASkIZOFRlLnqaCTnwzOG2_Wg"",""Direct Link!A2:A""),0)),XLOOKUP($C1185,IMPORTRANGE(""1NK5L1mviMn0j"&amp;"3D3uo53ASkIZOFRlLnqaCTnwzOG2_Wg"",""Direct links Without Sizes!A2:A""),IMPORTRANGE(""1NK5L1mviMn0j3D3uo53ASkIZOFRlLnqaCTnwzOG2_Wg"",""Direct links Without Sizes!B2:B""))),XLOOKUP($C1185,IMPORTRANGE(""1NK5L1mviMn0j3D3uo53ASkIZOFRlLnqaCTnwzOG2_Wg"",""Direct"&amp;" links Without Sizes!D2:D""),IMPORTRANGE(""1NK5L1mviMn0j3D3uo53ASkIZOFRlLnqaCTnwzOG2_Wg"",""Direct links Without Sizes!E2:E""))),"""")"),"")</f>
        <v/>
      </c>
      <c r="I1185" s="4"/>
      <c r="J1185" s="24" t="str">
        <f t="shared" si="1"/>
        <v/>
      </c>
      <c r="K1185" s="25"/>
      <c r="L1185" s="24" t="str">
        <f t="shared" si="2"/>
        <v/>
      </c>
      <c r="M1185" s="4"/>
      <c r="N1185" s="23"/>
      <c r="O1185" s="23"/>
      <c r="P1185" s="23"/>
      <c r="Q1185" s="4" t="str">
        <f t="shared" si="4"/>
        <v/>
      </c>
      <c r="R1185" s="20"/>
      <c r="S1185" s="20"/>
    </row>
    <row r="1186">
      <c r="A1186" s="4"/>
      <c r="B1186" s="4"/>
      <c r="C1186" s="37"/>
      <c r="D1186" s="7" t="str">
        <f>IFERROR(__xludf.DUMMYFUNCTION("iferror(iferror(INDEX(IMPORTRANGE(""12vtnxaE_Q1s4tyr10kZQx7ZF_xG0lBFae4jQEUtgsMU"",""All!B2:B""),MATCH($C1186,IMPORTRANGE(""12vtnxaE_Q1s4tyr10kZQx7ZF_xG0lBFae4jQEUtgsMU"",""All!A2:A""),0)),INDEX(IMPORTRANGE(""13KC70HngS4DDi8y9E5khtSpQEPG6owaQ9z4E-tR5mnY"""&amp;",""Non-Food!B2:B""),MATCH($C1186,IMPORTRANGE(""13KC70HngS4DDi8y9E5khtSpQEPG6owaQ9z4E-tR5mnY"",""Non-Food!A2:A""),0))),"""")"),"")</f>
        <v/>
      </c>
      <c r="E1186" s="15"/>
      <c r="F1186" s="15"/>
      <c r="G1186" s="36"/>
      <c r="H1186" s="23" t="str">
        <f>IFERROR(__xludf.DUMMYFUNCTION("iferror(iferror(iferror(index(IMPORTRANGE(""1NK5L1mviMn0j3D3uo53ASkIZOFRlLnqaCTnwzOG2_Wg"",""Direct Link!B2:B""),MATCH($C1186,IMPORTRANGE(""1NK5L1mviMn0j3D3uo53ASkIZOFRlLnqaCTnwzOG2_Wg"",""Direct Link!A2:A""),0)),XLOOKUP($C1186,IMPORTRANGE(""1NK5L1mviMn0j"&amp;"3D3uo53ASkIZOFRlLnqaCTnwzOG2_Wg"",""Direct links Without Sizes!A2:A""),IMPORTRANGE(""1NK5L1mviMn0j3D3uo53ASkIZOFRlLnqaCTnwzOG2_Wg"",""Direct links Without Sizes!B2:B""))),XLOOKUP($C1186,IMPORTRANGE(""1NK5L1mviMn0j3D3uo53ASkIZOFRlLnqaCTnwzOG2_Wg"",""Direct"&amp;" links Without Sizes!D2:D""),IMPORTRANGE(""1NK5L1mviMn0j3D3uo53ASkIZOFRlLnqaCTnwzOG2_Wg"",""Direct links Without Sizes!E2:E""))),"""")"),"")</f>
        <v/>
      </c>
      <c r="I1186" s="4"/>
      <c r="J1186" s="24" t="str">
        <f t="shared" si="1"/>
        <v/>
      </c>
      <c r="K1186" s="25"/>
      <c r="L1186" s="24" t="str">
        <f t="shared" si="2"/>
        <v/>
      </c>
      <c r="M1186" s="4"/>
      <c r="N1186" s="23"/>
      <c r="O1186" s="23"/>
      <c r="P1186" s="23"/>
      <c r="Q1186" s="4" t="str">
        <f t="shared" si="4"/>
        <v/>
      </c>
      <c r="R1186" s="20"/>
      <c r="S1186" s="20"/>
    </row>
    <row r="1187">
      <c r="A1187" s="4"/>
      <c r="B1187" s="4"/>
      <c r="C1187" s="37"/>
      <c r="D1187" s="7" t="str">
        <f>IFERROR(__xludf.DUMMYFUNCTION("iferror(iferror(INDEX(IMPORTRANGE(""12vtnxaE_Q1s4tyr10kZQx7ZF_xG0lBFae4jQEUtgsMU"",""All!B2:B""),MATCH($C1187,IMPORTRANGE(""12vtnxaE_Q1s4tyr10kZQx7ZF_xG0lBFae4jQEUtgsMU"",""All!A2:A""),0)),INDEX(IMPORTRANGE(""13KC70HngS4DDi8y9E5khtSpQEPG6owaQ9z4E-tR5mnY"""&amp;",""Non-Food!B2:B""),MATCH($C1187,IMPORTRANGE(""13KC70HngS4DDi8y9E5khtSpQEPG6owaQ9z4E-tR5mnY"",""Non-Food!A2:A""),0))),"""")"),"")</f>
        <v/>
      </c>
      <c r="E1187" s="15"/>
      <c r="F1187" s="15"/>
      <c r="G1187" s="36"/>
      <c r="H1187" s="23" t="str">
        <f>IFERROR(__xludf.DUMMYFUNCTION("iferror(iferror(iferror(index(IMPORTRANGE(""1NK5L1mviMn0j3D3uo53ASkIZOFRlLnqaCTnwzOG2_Wg"",""Direct Link!B2:B""),MATCH($C1187,IMPORTRANGE(""1NK5L1mviMn0j3D3uo53ASkIZOFRlLnqaCTnwzOG2_Wg"",""Direct Link!A2:A""),0)),XLOOKUP($C1187,IMPORTRANGE(""1NK5L1mviMn0j"&amp;"3D3uo53ASkIZOFRlLnqaCTnwzOG2_Wg"",""Direct links Without Sizes!A2:A""),IMPORTRANGE(""1NK5L1mviMn0j3D3uo53ASkIZOFRlLnqaCTnwzOG2_Wg"",""Direct links Without Sizes!B2:B""))),XLOOKUP($C1187,IMPORTRANGE(""1NK5L1mviMn0j3D3uo53ASkIZOFRlLnqaCTnwzOG2_Wg"",""Direct"&amp;" links Without Sizes!D2:D""),IMPORTRANGE(""1NK5L1mviMn0j3D3uo53ASkIZOFRlLnqaCTnwzOG2_Wg"",""Direct links Without Sizes!E2:E""))),"""")"),"")</f>
        <v/>
      </c>
      <c r="I1187" s="4"/>
      <c r="J1187" s="24" t="str">
        <f t="shared" si="1"/>
        <v/>
      </c>
      <c r="K1187" s="25"/>
      <c r="L1187" s="24" t="str">
        <f t="shared" si="2"/>
        <v/>
      </c>
      <c r="M1187" s="4"/>
      <c r="N1187" s="23"/>
      <c r="O1187" s="23"/>
      <c r="P1187" s="23"/>
      <c r="Q1187" s="4" t="str">
        <f t="shared" si="4"/>
        <v/>
      </c>
      <c r="R1187" s="20"/>
      <c r="S1187" s="20"/>
    </row>
    <row r="1188">
      <c r="A1188" s="4"/>
      <c r="B1188" s="4"/>
      <c r="C1188" s="37"/>
      <c r="D1188" s="7" t="str">
        <f>IFERROR(__xludf.DUMMYFUNCTION("iferror(iferror(INDEX(IMPORTRANGE(""12vtnxaE_Q1s4tyr10kZQx7ZF_xG0lBFae4jQEUtgsMU"",""All!B2:B""),MATCH($C1188,IMPORTRANGE(""12vtnxaE_Q1s4tyr10kZQx7ZF_xG0lBFae4jQEUtgsMU"",""All!A2:A""),0)),INDEX(IMPORTRANGE(""13KC70HngS4DDi8y9E5khtSpQEPG6owaQ9z4E-tR5mnY"""&amp;",""Non-Food!B2:B""),MATCH($C1188,IMPORTRANGE(""13KC70HngS4DDi8y9E5khtSpQEPG6owaQ9z4E-tR5mnY"",""Non-Food!A2:A""),0))),"""")"),"")</f>
        <v/>
      </c>
      <c r="E1188" s="15"/>
      <c r="F1188" s="15"/>
      <c r="G1188" s="36"/>
      <c r="H1188" s="23" t="str">
        <f>IFERROR(__xludf.DUMMYFUNCTION("iferror(iferror(iferror(index(IMPORTRANGE(""1NK5L1mviMn0j3D3uo53ASkIZOFRlLnqaCTnwzOG2_Wg"",""Direct Link!B2:B""),MATCH($C1188,IMPORTRANGE(""1NK5L1mviMn0j3D3uo53ASkIZOFRlLnqaCTnwzOG2_Wg"",""Direct Link!A2:A""),0)),XLOOKUP($C1188,IMPORTRANGE(""1NK5L1mviMn0j"&amp;"3D3uo53ASkIZOFRlLnqaCTnwzOG2_Wg"",""Direct links Without Sizes!A2:A""),IMPORTRANGE(""1NK5L1mviMn0j3D3uo53ASkIZOFRlLnqaCTnwzOG2_Wg"",""Direct links Without Sizes!B2:B""))),XLOOKUP($C1188,IMPORTRANGE(""1NK5L1mviMn0j3D3uo53ASkIZOFRlLnqaCTnwzOG2_Wg"",""Direct"&amp;" links Without Sizes!D2:D""),IMPORTRANGE(""1NK5L1mviMn0j3D3uo53ASkIZOFRlLnqaCTnwzOG2_Wg"",""Direct links Without Sizes!E2:E""))),"""")"),"")</f>
        <v/>
      </c>
      <c r="I1188" s="4"/>
      <c r="J1188" s="24" t="str">
        <f t="shared" si="1"/>
        <v/>
      </c>
      <c r="K1188" s="25"/>
      <c r="L1188" s="24" t="str">
        <f t="shared" si="2"/>
        <v/>
      </c>
      <c r="M1188" s="4"/>
      <c r="N1188" s="23"/>
      <c r="O1188" s="23"/>
      <c r="P1188" s="23"/>
      <c r="Q1188" s="4" t="str">
        <f t="shared" si="4"/>
        <v/>
      </c>
      <c r="R1188" s="20"/>
      <c r="S1188" s="20"/>
    </row>
    <row r="1189">
      <c r="A1189" s="4"/>
      <c r="B1189" s="4"/>
      <c r="C1189" s="37"/>
      <c r="D1189" s="7" t="str">
        <f>IFERROR(__xludf.DUMMYFUNCTION("iferror(iferror(INDEX(IMPORTRANGE(""12vtnxaE_Q1s4tyr10kZQx7ZF_xG0lBFae4jQEUtgsMU"",""All!B2:B""),MATCH($C1189,IMPORTRANGE(""12vtnxaE_Q1s4tyr10kZQx7ZF_xG0lBFae4jQEUtgsMU"",""All!A2:A""),0)),INDEX(IMPORTRANGE(""13KC70HngS4DDi8y9E5khtSpQEPG6owaQ9z4E-tR5mnY"""&amp;",""Non-Food!B2:B""),MATCH($C1189,IMPORTRANGE(""13KC70HngS4DDi8y9E5khtSpQEPG6owaQ9z4E-tR5mnY"",""Non-Food!A2:A""),0))),"""")"),"")</f>
        <v/>
      </c>
      <c r="E1189" s="15"/>
      <c r="F1189" s="15"/>
      <c r="G1189" s="36"/>
      <c r="H1189" s="23" t="str">
        <f>IFERROR(__xludf.DUMMYFUNCTION("iferror(iferror(iferror(index(IMPORTRANGE(""1NK5L1mviMn0j3D3uo53ASkIZOFRlLnqaCTnwzOG2_Wg"",""Direct Link!B2:B""),MATCH($C1189,IMPORTRANGE(""1NK5L1mviMn0j3D3uo53ASkIZOFRlLnqaCTnwzOG2_Wg"",""Direct Link!A2:A""),0)),XLOOKUP($C1189,IMPORTRANGE(""1NK5L1mviMn0j"&amp;"3D3uo53ASkIZOFRlLnqaCTnwzOG2_Wg"",""Direct links Without Sizes!A2:A""),IMPORTRANGE(""1NK5L1mviMn0j3D3uo53ASkIZOFRlLnqaCTnwzOG2_Wg"",""Direct links Without Sizes!B2:B""))),XLOOKUP($C1189,IMPORTRANGE(""1NK5L1mviMn0j3D3uo53ASkIZOFRlLnqaCTnwzOG2_Wg"",""Direct"&amp;" links Without Sizes!D2:D""),IMPORTRANGE(""1NK5L1mviMn0j3D3uo53ASkIZOFRlLnqaCTnwzOG2_Wg"",""Direct links Without Sizes!E2:E""))),"""")"),"")</f>
        <v/>
      </c>
      <c r="I1189" s="4"/>
      <c r="J1189" s="24" t="str">
        <f t="shared" si="1"/>
        <v/>
      </c>
      <c r="K1189" s="25"/>
      <c r="L1189" s="24" t="str">
        <f t="shared" si="2"/>
        <v/>
      </c>
      <c r="M1189" s="4"/>
      <c r="N1189" s="23"/>
      <c r="O1189" s="23"/>
      <c r="P1189" s="23"/>
      <c r="Q1189" s="4" t="str">
        <f t="shared" si="4"/>
        <v/>
      </c>
      <c r="R1189" s="20"/>
      <c r="S1189" s="20"/>
    </row>
    <row r="1190">
      <c r="A1190" s="4"/>
      <c r="B1190" s="4"/>
      <c r="C1190" s="37"/>
      <c r="D1190" s="7" t="str">
        <f>IFERROR(__xludf.DUMMYFUNCTION("iferror(iferror(INDEX(IMPORTRANGE(""12vtnxaE_Q1s4tyr10kZQx7ZF_xG0lBFae4jQEUtgsMU"",""All!B2:B""),MATCH($C1190,IMPORTRANGE(""12vtnxaE_Q1s4tyr10kZQx7ZF_xG0lBFae4jQEUtgsMU"",""All!A2:A""),0)),INDEX(IMPORTRANGE(""13KC70HngS4DDi8y9E5khtSpQEPG6owaQ9z4E-tR5mnY"""&amp;",""Non-Food!B2:B""),MATCH($C1190,IMPORTRANGE(""13KC70HngS4DDi8y9E5khtSpQEPG6owaQ9z4E-tR5mnY"",""Non-Food!A2:A""),0))),"""")"),"")</f>
        <v/>
      </c>
      <c r="E1190" s="15"/>
      <c r="F1190" s="15"/>
      <c r="G1190" s="36"/>
      <c r="H1190" s="23" t="str">
        <f>IFERROR(__xludf.DUMMYFUNCTION("iferror(iferror(iferror(index(IMPORTRANGE(""1NK5L1mviMn0j3D3uo53ASkIZOFRlLnqaCTnwzOG2_Wg"",""Direct Link!B2:B""),MATCH($C1190,IMPORTRANGE(""1NK5L1mviMn0j3D3uo53ASkIZOFRlLnqaCTnwzOG2_Wg"",""Direct Link!A2:A""),0)),XLOOKUP($C1190,IMPORTRANGE(""1NK5L1mviMn0j"&amp;"3D3uo53ASkIZOFRlLnqaCTnwzOG2_Wg"",""Direct links Without Sizes!A2:A""),IMPORTRANGE(""1NK5L1mviMn0j3D3uo53ASkIZOFRlLnqaCTnwzOG2_Wg"",""Direct links Without Sizes!B2:B""))),XLOOKUP($C1190,IMPORTRANGE(""1NK5L1mviMn0j3D3uo53ASkIZOFRlLnqaCTnwzOG2_Wg"",""Direct"&amp;" links Without Sizes!D2:D""),IMPORTRANGE(""1NK5L1mviMn0j3D3uo53ASkIZOFRlLnqaCTnwzOG2_Wg"",""Direct links Without Sizes!E2:E""))),"""")"),"")</f>
        <v/>
      </c>
      <c r="I1190" s="4"/>
      <c r="J1190" s="24" t="str">
        <f t="shared" si="1"/>
        <v/>
      </c>
      <c r="K1190" s="25"/>
      <c r="L1190" s="24" t="str">
        <f t="shared" si="2"/>
        <v/>
      </c>
      <c r="M1190" s="4"/>
      <c r="N1190" s="23"/>
      <c r="O1190" s="23"/>
      <c r="P1190" s="23"/>
      <c r="Q1190" s="4" t="str">
        <f t="shared" si="4"/>
        <v/>
      </c>
      <c r="R1190" s="20"/>
      <c r="S1190" s="20"/>
    </row>
    <row r="1191">
      <c r="A1191" s="4"/>
      <c r="B1191" s="4"/>
      <c r="C1191" s="37"/>
      <c r="D1191" s="7" t="str">
        <f>IFERROR(__xludf.DUMMYFUNCTION("iferror(iferror(INDEX(IMPORTRANGE(""12vtnxaE_Q1s4tyr10kZQx7ZF_xG0lBFae4jQEUtgsMU"",""All!B2:B""),MATCH($C1191,IMPORTRANGE(""12vtnxaE_Q1s4tyr10kZQx7ZF_xG0lBFae4jQEUtgsMU"",""All!A2:A""),0)),INDEX(IMPORTRANGE(""13KC70HngS4DDi8y9E5khtSpQEPG6owaQ9z4E-tR5mnY"""&amp;",""Non-Food!B2:B""),MATCH($C1191,IMPORTRANGE(""13KC70HngS4DDi8y9E5khtSpQEPG6owaQ9z4E-tR5mnY"",""Non-Food!A2:A""),0))),"""")"),"")</f>
        <v/>
      </c>
      <c r="E1191" s="15"/>
      <c r="F1191" s="15"/>
      <c r="G1191" s="36"/>
      <c r="H1191" s="23" t="str">
        <f>IFERROR(__xludf.DUMMYFUNCTION("iferror(iferror(iferror(index(IMPORTRANGE(""1NK5L1mviMn0j3D3uo53ASkIZOFRlLnqaCTnwzOG2_Wg"",""Direct Link!B2:B""),MATCH($C1191,IMPORTRANGE(""1NK5L1mviMn0j3D3uo53ASkIZOFRlLnqaCTnwzOG2_Wg"",""Direct Link!A2:A""),0)),XLOOKUP($C1191,IMPORTRANGE(""1NK5L1mviMn0j"&amp;"3D3uo53ASkIZOFRlLnqaCTnwzOG2_Wg"",""Direct links Without Sizes!A2:A""),IMPORTRANGE(""1NK5L1mviMn0j3D3uo53ASkIZOFRlLnqaCTnwzOG2_Wg"",""Direct links Without Sizes!B2:B""))),XLOOKUP($C1191,IMPORTRANGE(""1NK5L1mviMn0j3D3uo53ASkIZOFRlLnqaCTnwzOG2_Wg"",""Direct"&amp;" links Without Sizes!D2:D""),IMPORTRANGE(""1NK5L1mviMn0j3D3uo53ASkIZOFRlLnqaCTnwzOG2_Wg"",""Direct links Without Sizes!E2:E""))),"""")"),"")</f>
        <v/>
      </c>
      <c r="I1191" s="4"/>
      <c r="J1191" s="24" t="str">
        <f t="shared" si="1"/>
        <v/>
      </c>
      <c r="K1191" s="25"/>
      <c r="L1191" s="24" t="str">
        <f t="shared" si="2"/>
        <v/>
      </c>
      <c r="M1191" s="4"/>
      <c r="N1191" s="23"/>
      <c r="O1191" s="23"/>
      <c r="P1191" s="23"/>
      <c r="Q1191" s="4" t="str">
        <f t="shared" si="4"/>
        <v/>
      </c>
      <c r="R1191" s="20"/>
      <c r="S1191" s="20"/>
    </row>
    <row r="1192">
      <c r="A1192" s="4"/>
      <c r="B1192" s="4"/>
      <c r="C1192" s="37"/>
      <c r="D1192" s="7" t="str">
        <f>IFERROR(__xludf.DUMMYFUNCTION("iferror(iferror(INDEX(IMPORTRANGE(""12vtnxaE_Q1s4tyr10kZQx7ZF_xG0lBFae4jQEUtgsMU"",""All!B2:B""),MATCH($C1192,IMPORTRANGE(""12vtnxaE_Q1s4tyr10kZQx7ZF_xG0lBFae4jQEUtgsMU"",""All!A2:A""),0)),INDEX(IMPORTRANGE(""13KC70HngS4DDi8y9E5khtSpQEPG6owaQ9z4E-tR5mnY"""&amp;",""Non-Food!B2:B""),MATCH($C1192,IMPORTRANGE(""13KC70HngS4DDi8y9E5khtSpQEPG6owaQ9z4E-tR5mnY"",""Non-Food!A2:A""),0))),"""")"),"")</f>
        <v/>
      </c>
      <c r="E1192" s="15"/>
      <c r="F1192" s="15"/>
      <c r="G1192" s="36"/>
      <c r="H1192" s="23" t="str">
        <f>IFERROR(__xludf.DUMMYFUNCTION("iferror(iferror(iferror(index(IMPORTRANGE(""1NK5L1mviMn0j3D3uo53ASkIZOFRlLnqaCTnwzOG2_Wg"",""Direct Link!B2:B""),MATCH($C1192,IMPORTRANGE(""1NK5L1mviMn0j3D3uo53ASkIZOFRlLnqaCTnwzOG2_Wg"",""Direct Link!A2:A""),0)),XLOOKUP($C1192,IMPORTRANGE(""1NK5L1mviMn0j"&amp;"3D3uo53ASkIZOFRlLnqaCTnwzOG2_Wg"",""Direct links Without Sizes!A2:A""),IMPORTRANGE(""1NK5L1mviMn0j3D3uo53ASkIZOFRlLnqaCTnwzOG2_Wg"",""Direct links Without Sizes!B2:B""))),XLOOKUP($C1192,IMPORTRANGE(""1NK5L1mviMn0j3D3uo53ASkIZOFRlLnqaCTnwzOG2_Wg"",""Direct"&amp;" links Without Sizes!D2:D""),IMPORTRANGE(""1NK5L1mviMn0j3D3uo53ASkIZOFRlLnqaCTnwzOG2_Wg"",""Direct links Without Sizes!E2:E""))),"""")"),"")</f>
        <v/>
      </c>
      <c r="I1192" s="4"/>
      <c r="J1192" s="24" t="str">
        <f t="shared" si="1"/>
        <v/>
      </c>
      <c r="K1192" s="25"/>
      <c r="L1192" s="24" t="str">
        <f t="shared" si="2"/>
        <v/>
      </c>
      <c r="M1192" s="4"/>
      <c r="N1192" s="23"/>
      <c r="O1192" s="23"/>
      <c r="P1192" s="23"/>
      <c r="Q1192" s="4" t="str">
        <f t="shared" si="4"/>
        <v/>
      </c>
      <c r="R1192" s="20"/>
      <c r="S1192" s="20"/>
    </row>
    <row r="1193">
      <c r="A1193" s="4"/>
      <c r="B1193" s="4"/>
      <c r="C1193" s="37"/>
      <c r="D1193" s="7" t="str">
        <f>IFERROR(__xludf.DUMMYFUNCTION("iferror(iferror(INDEX(IMPORTRANGE(""12vtnxaE_Q1s4tyr10kZQx7ZF_xG0lBFae4jQEUtgsMU"",""All!B2:B""),MATCH($C1193,IMPORTRANGE(""12vtnxaE_Q1s4tyr10kZQx7ZF_xG0lBFae4jQEUtgsMU"",""All!A2:A""),0)),INDEX(IMPORTRANGE(""13KC70HngS4DDi8y9E5khtSpQEPG6owaQ9z4E-tR5mnY"""&amp;",""Non-Food!B2:B""),MATCH($C1193,IMPORTRANGE(""13KC70HngS4DDi8y9E5khtSpQEPG6owaQ9z4E-tR5mnY"",""Non-Food!A2:A""),0))),"""")"),"")</f>
        <v/>
      </c>
      <c r="E1193" s="15"/>
      <c r="F1193" s="15"/>
      <c r="G1193" s="36"/>
      <c r="H1193" s="23" t="str">
        <f>IFERROR(__xludf.DUMMYFUNCTION("iferror(iferror(iferror(index(IMPORTRANGE(""1NK5L1mviMn0j3D3uo53ASkIZOFRlLnqaCTnwzOG2_Wg"",""Direct Link!B2:B""),MATCH($C1193,IMPORTRANGE(""1NK5L1mviMn0j3D3uo53ASkIZOFRlLnqaCTnwzOG2_Wg"",""Direct Link!A2:A""),0)),XLOOKUP($C1193,IMPORTRANGE(""1NK5L1mviMn0j"&amp;"3D3uo53ASkIZOFRlLnqaCTnwzOG2_Wg"",""Direct links Without Sizes!A2:A""),IMPORTRANGE(""1NK5L1mviMn0j3D3uo53ASkIZOFRlLnqaCTnwzOG2_Wg"",""Direct links Without Sizes!B2:B""))),XLOOKUP($C1193,IMPORTRANGE(""1NK5L1mviMn0j3D3uo53ASkIZOFRlLnqaCTnwzOG2_Wg"",""Direct"&amp;" links Without Sizes!D2:D""),IMPORTRANGE(""1NK5L1mviMn0j3D3uo53ASkIZOFRlLnqaCTnwzOG2_Wg"",""Direct links Without Sizes!E2:E""))),"""")"),"")</f>
        <v/>
      </c>
      <c r="I1193" s="4"/>
      <c r="J1193" s="24" t="str">
        <f t="shared" si="1"/>
        <v/>
      </c>
      <c r="K1193" s="25"/>
      <c r="L1193" s="24" t="str">
        <f t="shared" si="2"/>
        <v/>
      </c>
      <c r="M1193" s="4"/>
      <c r="N1193" s="23"/>
      <c r="O1193" s="23"/>
      <c r="P1193" s="23"/>
      <c r="Q1193" s="4" t="str">
        <f t="shared" si="4"/>
        <v/>
      </c>
      <c r="R1193" s="20"/>
      <c r="S1193" s="20"/>
    </row>
    <row r="1194">
      <c r="A1194" s="4"/>
      <c r="B1194" s="4"/>
      <c r="C1194" s="37"/>
      <c r="D1194" s="7" t="str">
        <f>IFERROR(__xludf.DUMMYFUNCTION("iferror(iferror(INDEX(IMPORTRANGE(""12vtnxaE_Q1s4tyr10kZQx7ZF_xG0lBFae4jQEUtgsMU"",""All!B2:B""),MATCH($C1194,IMPORTRANGE(""12vtnxaE_Q1s4tyr10kZQx7ZF_xG0lBFae4jQEUtgsMU"",""All!A2:A""),0)),INDEX(IMPORTRANGE(""13KC70HngS4DDi8y9E5khtSpQEPG6owaQ9z4E-tR5mnY"""&amp;",""Non-Food!B2:B""),MATCH($C1194,IMPORTRANGE(""13KC70HngS4DDi8y9E5khtSpQEPG6owaQ9z4E-tR5mnY"",""Non-Food!A2:A""),0))),"""")"),"")</f>
        <v/>
      </c>
      <c r="E1194" s="15"/>
      <c r="F1194" s="15"/>
      <c r="G1194" s="36"/>
      <c r="H1194" s="23" t="str">
        <f>IFERROR(__xludf.DUMMYFUNCTION("iferror(iferror(iferror(index(IMPORTRANGE(""1NK5L1mviMn0j3D3uo53ASkIZOFRlLnqaCTnwzOG2_Wg"",""Direct Link!B2:B""),MATCH($C1194,IMPORTRANGE(""1NK5L1mviMn0j3D3uo53ASkIZOFRlLnqaCTnwzOG2_Wg"",""Direct Link!A2:A""),0)),XLOOKUP($C1194,IMPORTRANGE(""1NK5L1mviMn0j"&amp;"3D3uo53ASkIZOFRlLnqaCTnwzOG2_Wg"",""Direct links Without Sizes!A2:A""),IMPORTRANGE(""1NK5L1mviMn0j3D3uo53ASkIZOFRlLnqaCTnwzOG2_Wg"",""Direct links Without Sizes!B2:B""))),XLOOKUP($C1194,IMPORTRANGE(""1NK5L1mviMn0j3D3uo53ASkIZOFRlLnqaCTnwzOG2_Wg"",""Direct"&amp;" links Without Sizes!D2:D""),IMPORTRANGE(""1NK5L1mviMn0j3D3uo53ASkIZOFRlLnqaCTnwzOG2_Wg"",""Direct links Without Sizes!E2:E""))),"""")"),"")</f>
        <v/>
      </c>
      <c r="I1194" s="4"/>
      <c r="J1194" s="24" t="str">
        <f t="shared" si="1"/>
        <v/>
      </c>
      <c r="K1194" s="25"/>
      <c r="L1194" s="24" t="str">
        <f t="shared" si="2"/>
        <v/>
      </c>
      <c r="M1194" s="4"/>
      <c r="N1194" s="23"/>
      <c r="O1194" s="23"/>
      <c r="P1194" s="23"/>
      <c r="Q1194" s="4" t="str">
        <f t="shared" si="4"/>
        <v/>
      </c>
      <c r="R1194" s="20"/>
      <c r="S1194" s="20"/>
    </row>
    <row r="1195">
      <c r="A1195" s="4"/>
      <c r="B1195" s="4"/>
      <c r="C1195" s="37"/>
      <c r="D1195" s="7" t="str">
        <f>IFERROR(__xludf.DUMMYFUNCTION("iferror(iferror(INDEX(IMPORTRANGE(""12vtnxaE_Q1s4tyr10kZQx7ZF_xG0lBFae4jQEUtgsMU"",""All!B2:B""),MATCH($C1195,IMPORTRANGE(""12vtnxaE_Q1s4tyr10kZQx7ZF_xG0lBFae4jQEUtgsMU"",""All!A2:A""),0)),INDEX(IMPORTRANGE(""13KC70HngS4DDi8y9E5khtSpQEPG6owaQ9z4E-tR5mnY"""&amp;",""Non-Food!B2:B""),MATCH($C1195,IMPORTRANGE(""13KC70HngS4DDi8y9E5khtSpQEPG6owaQ9z4E-tR5mnY"",""Non-Food!A2:A""),0))),"""")"),"")</f>
        <v/>
      </c>
      <c r="E1195" s="15"/>
      <c r="F1195" s="15"/>
      <c r="G1195" s="36"/>
      <c r="H1195" s="23" t="str">
        <f>IFERROR(__xludf.DUMMYFUNCTION("iferror(iferror(iferror(index(IMPORTRANGE(""1NK5L1mviMn0j3D3uo53ASkIZOFRlLnqaCTnwzOG2_Wg"",""Direct Link!B2:B""),MATCH($C1195,IMPORTRANGE(""1NK5L1mviMn0j3D3uo53ASkIZOFRlLnqaCTnwzOG2_Wg"",""Direct Link!A2:A""),0)),XLOOKUP($C1195,IMPORTRANGE(""1NK5L1mviMn0j"&amp;"3D3uo53ASkIZOFRlLnqaCTnwzOG2_Wg"",""Direct links Without Sizes!A2:A""),IMPORTRANGE(""1NK5L1mviMn0j3D3uo53ASkIZOFRlLnqaCTnwzOG2_Wg"",""Direct links Without Sizes!B2:B""))),XLOOKUP($C1195,IMPORTRANGE(""1NK5L1mviMn0j3D3uo53ASkIZOFRlLnqaCTnwzOG2_Wg"",""Direct"&amp;" links Without Sizes!D2:D""),IMPORTRANGE(""1NK5L1mviMn0j3D3uo53ASkIZOFRlLnqaCTnwzOG2_Wg"",""Direct links Without Sizes!E2:E""))),"""")"),"")</f>
        <v/>
      </c>
      <c r="I1195" s="4"/>
      <c r="J1195" s="24" t="str">
        <f t="shared" si="1"/>
        <v/>
      </c>
      <c r="K1195" s="25"/>
      <c r="L1195" s="24" t="str">
        <f t="shared" si="2"/>
        <v/>
      </c>
      <c r="M1195" s="4"/>
      <c r="N1195" s="23"/>
      <c r="O1195" s="23"/>
      <c r="P1195" s="23"/>
      <c r="Q1195" s="4" t="str">
        <f t="shared" si="4"/>
        <v/>
      </c>
      <c r="R1195" s="20"/>
      <c r="S1195" s="20"/>
    </row>
    <row r="1196">
      <c r="A1196" s="4"/>
      <c r="B1196" s="4"/>
      <c r="C1196" s="37"/>
      <c r="D1196" s="7" t="str">
        <f>IFERROR(__xludf.DUMMYFUNCTION("iferror(iferror(INDEX(IMPORTRANGE(""12vtnxaE_Q1s4tyr10kZQx7ZF_xG0lBFae4jQEUtgsMU"",""All!B2:B""),MATCH($C1196,IMPORTRANGE(""12vtnxaE_Q1s4tyr10kZQx7ZF_xG0lBFae4jQEUtgsMU"",""All!A2:A""),0)),INDEX(IMPORTRANGE(""13KC70HngS4DDi8y9E5khtSpQEPG6owaQ9z4E-tR5mnY"""&amp;",""Non-Food!B2:B""),MATCH($C1196,IMPORTRANGE(""13KC70HngS4DDi8y9E5khtSpQEPG6owaQ9z4E-tR5mnY"",""Non-Food!A2:A""),0))),"""")"),"")</f>
        <v/>
      </c>
      <c r="E1196" s="15"/>
      <c r="F1196" s="15"/>
      <c r="G1196" s="36"/>
      <c r="H1196" s="23" t="str">
        <f>IFERROR(__xludf.DUMMYFUNCTION("iferror(iferror(iferror(index(IMPORTRANGE(""1NK5L1mviMn0j3D3uo53ASkIZOFRlLnqaCTnwzOG2_Wg"",""Direct Link!B2:B""),MATCH($C1196,IMPORTRANGE(""1NK5L1mviMn0j3D3uo53ASkIZOFRlLnqaCTnwzOG2_Wg"",""Direct Link!A2:A""),0)),XLOOKUP($C1196,IMPORTRANGE(""1NK5L1mviMn0j"&amp;"3D3uo53ASkIZOFRlLnqaCTnwzOG2_Wg"",""Direct links Without Sizes!A2:A""),IMPORTRANGE(""1NK5L1mviMn0j3D3uo53ASkIZOFRlLnqaCTnwzOG2_Wg"",""Direct links Without Sizes!B2:B""))),XLOOKUP($C1196,IMPORTRANGE(""1NK5L1mviMn0j3D3uo53ASkIZOFRlLnqaCTnwzOG2_Wg"",""Direct"&amp;" links Without Sizes!D2:D""),IMPORTRANGE(""1NK5L1mviMn0j3D3uo53ASkIZOFRlLnqaCTnwzOG2_Wg"",""Direct links Without Sizes!E2:E""))),"""")"),"")</f>
        <v/>
      </c>
      <c r="I1196" s="4"/>
      <c r="J1196" s="24" t="str">
        <f t="shared" si="1"/>
        <v/>
      </c>
      <c r="K1196" s="25"/>
      <c r="L1196" s="24" t="str">
        <f t="shared" si="2"/>
        <v/>
      </c>
      <c r="M1196" s="4"/>
      <c r="N1196" s="23"/>
      <c r="O1196" s="23"/>
      <c r="P1196" s="23"/>
      <c r="Q1196" s="4" t="str">
        <f t="shared" si="4"/>
        <v/>
      </c>
      <c r="R1196" s="20"/>
      <c r="S1196" s="20"/>
    </row>
    <row r="1197">
      <c r="A1197" s="4"/>
      <c r="B1197" s="4"/>
      <c r="C1197" s="37"/>
      <c r="D1197" s="7" t="str">
        <f>IFERROR(__xludf.DUMMYFUNCTION("iferror(iferror(INDEX(IMPORTRANGE(""12vtnxaE_Q1s4tyr10kZQx7ZF_xG0lBFae4jQEUtgsMU"",""All!B2:B""),MATCH($C1197,IMPORTRANGE(""12vtnxaE_Q1s4tyr10kZQx7ZF_xG0lBFae4jQEUtgsMU"",""All!A2:A""),0)),INDEX(IMPORTRANGE(""13KC70HngS4DDi8y9E5khtSpQEPG6owaQ9z4E-tR5mnY"""&amp;",""Non-Food!B2:B""),MATCH($C1197,IMPORTRANGE(""13KC70HngS4DDi8y9E5khtSpQEPG6owaQ9z4E-tR5mnY"",""Non-Food!A2:A""),0))),"""")"),"")</f>
        <v/>
      </c>
      <c r="E1197" s="15"/>
      <c r="F1197" s="15"/>
      <c r="G1197" s="36"/>
      <c r="H1197" s="23" t="str">
        <f>IFERROR(__xludf.DUMMYFUNCTION("iferror(iferror(iferror(index(IMPORTRANGE(""1NK5L1mviMn0j3D3uo53ASkIZOFRlLnqaCTnwzOG2_Wg"",""Direct Link!B2:B""),MATCH($C1197,IMPORTRANGE(""1NK5L1mviMn0j3D3uo53ASkIZOFRlLnqaCTnwzOG2_Wg"",""Direct Link!A2:A""),0)),XLOOKUP($C1197,IMPORTRANGE(""1NK5L1mviMn0j"&amp;"3D3uo53ASkIZOFRlLnqaCTnwzOG2_Wg"",""Direct links Without Sizes!A2:A""),IMPORTRANGE(""1NK5L1mviMn0j3D3uo53ASkIZOFRlLnqaCTnwzOG2_Wg"",""Direct links Without Sizes!B2:B""))),XLOOKUP($C1197,IMPORTRANGE(""1NK5L1mviMn0j3D3uo53ASkIZOFRlLnqaCTnwzOG2_Wg"",""Direct"&amp;" links Without Sizes!D2:D""),IMPORTRANGE(""1NK5L1mviMn0j3D3uo53ASkIZOFRlLnqaCTnwzOG2_Wg"",""Direct links Without Sizes!E2:E""))),"""")"),"")</f>
        <v/>
      </c>
      <c r="I1197" s="4"/>
      <c r="J1197" s="24" t="str">
        <f t="shared" si="1"/>
        <v/>
      </c>
      <c r="K1197" s="25"/>
      <c r="L1197" s="24" t="str">
        <f t="shared" si="2"/>
        <v/>
      </c>
      <c r="M1197" s="4"/>
      <c r="N1197" s="23"/>
      <c r="O1197" s="23"/>
      <c r="P1197" s="23"/>
      <c r="Q1197" s="4" t="str">
        <f t="shared" si="4"/>
        <v/>
      </c>
      <c r="R1197" s="20"/>
      <c r="S1197" s="20"/>
    </row>
    <row r="1198">
      <c r="A1198" s="4"/>
      <c r="B1198" s="4"/>
      <c r="C1198" s="37"/>
      <c r="D1198" s="7" t="str">
        <f>IFERROR(__xludf.DUMMYFUNCTION("iferror(iferror(INDEX(IMPORTRANGE(""12vtnxaE_Q1s4tyr10kZQx7ZF_xG0lBFae4jQEUtgsMU"",""All!B2:B""),MATCH($C1198,IMPORTRANGE(""12vtnxaE_Q1s4tyr10kZQx7ZF_xG0lBFae4jQEUtgsMU"",""All!A2:A""),0)),INDEX(IMPORTRANGE(""13KC70HngS4DDi8y9E5khtSpQEPG6owaQ9z4E-tR5mnY"""&amp;",""Non-Food!B2:B""),MATCH($C1198,IMPORTRANGE(""13KC70HngS4DDi8y9E5khtSpQEPG6owaQ9z4E-tR5mnY"",""Non-Food!A2:A""),0))),"""")"),"")</f>
        <v/>
      </c>
      <c r="E1198" s="15"/>
      <c r="F1198" s="15"/>
      <c r="G1198" s="36"/>
      <c r="H1198" s="23" t="str">
        <f>IFERROR(__xludf.DUMMYFUNCTION("iferror(iferror(iferror(index(IMPORTRANGE(""1NK5L1mviMn0j3D3uo53ASkIZOFRlLnqaCTnwzOG2_Wg"",""Direct Link!B2:B""),MATCH($C1198,IMPORTRANGE(""1NK5L1mviMn0j3D3uo53ASkIZOFRlLnqaCTnwzOG2_Wg"",""Direct Link!A2:A""),0)),XLOOKUP($C1198,IMPORTRANGE(""1NK5L1mviMn0j"&amp;"3D3uo53ASkIZOFRlLnqaCTnwzOG2_Wg"",""Direct links Without Sizes!A2:A""),IMPORTRANGE(""1NK5L1mviMn0j3D3uo53ASkIZOFRlLnqaCTnwzOG2_Wg"",""Direct links Without Sizes!B2:B""))),XLOOKUP($C1198,IMPORTRANGE(""1NK5L1mviMn0j3D3uo53ASkIZOFRlLnqaCTnwzOG2_Wg"",""Direct"&amp;" links Without Sizes!D2:D""),IMPORTRANGE(""1NK5L1mviMn0j3D3uo53ASkIZOFRlLnqaCTnwzOG2_Wg"",""Direct links Without Sizes!E2:E""))),"""")"),"")</f>
        <v/>
      </c>
      <c r="I1198" s="4"/>
      <c r="J1198" s="24" t="str">
        <f t="shared" si="1"/>
        <v/>
      </c>
      <c r="K1198" s="25"/>
      <c r="L1198" s="24" t="str">
        <f t="shared" si="2"/>
        <v/>
      </c>
      <c r="M1198" s="4"/>
      <c r="N1198" s="23"/>
      <c r="O1198" s="23"/>
      <c r="P1198" s="23"/>
      <c r="Q1198" s="4" t="str">
        <f t="shared" si="4"/>
        <v/>
      </c>
      <c r="R1198" s="20"/>
      <c r="S1198" s="20"/>
    </row>
    <row r="1199">
      <c r="A1199" s="4"/>
      <c r="B1199" s="4"/>
      <c r="C1199" s="37"/>
      <c r="D1199" s="7" t="str">
        <f>IFERROR(__xludf.DUMMYFUNCTION("iferror(iferror(INDEX(IMPORTRANGE(""12vtnxaE_Q1s4tyr10kZQx7ZF_xG0lBFae4jQEUtgsMU"",""All!B2:B""),MATCH($C1199,IMPORTRANGE(""12vtnxaE_Q1s4tyr10kZQx7ZF_xG0lBFae4jQEUtgsMU"",""All!A2:A""),0)),INDEX(IMPORTRANGE(""13KC70HngS4DDi8y9E5khtSpQEPG6owaQ9z4E-tR5mnY"""&amp;",""Non-Food!B2:B""),MATCH($C1199,IMPORTRANGE(""13KC70HngS4DDi8y9E5khtSpQEPG6owaQ9z4E-tR5mnY"",""Non-Food!A2:A""),0))),"""")"),"")</f>
        <v/>
      </c>
      <c r="E1199" s="15"/>
      <c r="F1199" s="15"/>
      <c r="G1199" s="36"/>
      <c r="H1199" s="23" t="str">
        <f>IFERROR(__xludf.DUMMYFUNCTION("iferror(iferror(iferror(index(IMPORTRANGE(""1NK5L1mviMn0j3D3uo53ASkIZOFRlLnqaCTnwzOG2_Wg"",""Direct Link!B2:B""),MATCH($C1199,IMPORTRANGE(""1NK5L1mviMn0j3D3uo53ASkIZOFRlLnqaCTnwzOG2_Wg"",""Direct Link!A2:A""),0)),XLOOKUP($C1199,IMPORTRANGE(""1NK5L1mviMn0j"&amp;"3D3uo53ASkIZOFRlLnqaCTnwzOG2_Wg"",""Direct links Without Sizes!A2:A""),IMPORTRANGE(""1NK5L1mviMn0j3D3uo53ASkIZOFRlLnqaCTnwzOG2_Wg"",""Direct links Without Sizes!B2:B""))),XLOOKUP($C1199,IMPORTRANGE(""1NK5L1mviMn0j3D3uo53ASkIZOFRlLnqaCTnwzOG2_Wg"",""Direct"&amp;" links Without Sizes!D2:D""),IMPORTRANGE(""1NK5L1mviMn0j3D3uo53ASkIZOFRlLnqaCTnwzOG2_Wg"",""Direct links Without Sizes!E2:E""))),"""")"),"")</f>
        <v/>
      </c>
      <c r="I1199" s="4"/>
      <c r="J1199" s="24" t="str">
        <f t="shared" si="1"/>
        <v/>
      </c>
      <c r="K1199" s="25"/>
      <c r="L1199" s="24" t="str">
        <f t="shared" si="2"/>
        <v/>
      </c>
      <c r="M1199" s="4"/>
      <c r="N1199" s="23"/>
      <c r="O1199" s="23"/>
      <c r="P1199" s="23"/>
      <c r="Q1199" s="4" t="str">
        <f t="shared" si="4"/>
        <v/>
      </c>
      <c r="R1199" s="20"/>
      <c r="S1199" s="20"/>
    </row>
    <row r="1200">
      <c r="A1200" s="4"/>
      <c r="B1200" s="4"/>
      <c r="C1200" s="37"/>
      <c r="D1200" s="7" t="str">
        <f>IFERROR(__xludf.DUMMYFUNCTION("iferror(iferror(INDEX(IMPORTRANGE(""12vtnxaE_Q1s4tyr10kZQx7ZF_xG0lBFae4jQEUtgsMU"",""All!B2:B""),MATCH($C1200,IMPORTRANGE(""12vtnxaE_Q1s4tyr10kZQx7ZF_xG0lBFae4jQEUtgsMU"",""All!A2:A""),0)),INDEX(IMPORTRANGE(""13KC70HngS4DDi8y9E5khtSpQEPG6owaQ9z4E-tR5mnY"""&amp;",""Non-Food!B2:B""),MATCH($C1200,IMPORTRANGE(""13KC70HngS4DDi8y9E5khtSpQEPG6owaQ9z4E-tR5mnY"",""Non-Food!A2:A""),0))),"""")"),"")</f>
        <v/>
      </c>
      <c r="E1200" s="15"/>
      <c r="F1200" s="15"/>
      <c r="G1200" s="36"/>
      <c r="H1200" s="23" t="str">
        <f>IFERROR(__xludf.DUMMYFUNCTION("iferror(iferror(iferror(index(IMPORTRANGE(""1NK5L1mviMn0j3D3uo53ASkIZOFRlLnqaCTnwzOG2_Wg"",""Direct Link!B2:B""),MATCH($C1200,IMPORTRANGE(""1NK5L1mviMn0j3D3uo53ASkIZOFRlLnqaCTnwzOG2_Wg"",""Direct Link!A2:A""),0)),XLOOKUP($C1200,IMPORTRANGE(""1NK5L1mviMn0j"&amp;"3D3uo53ASkIZOFRlLnqaCTnwzOG2_Wg"",""Direct links Without Sizes!A2:A""),IMPORTRANGE(""1NK5L1mviMn0j3D3uo53ASkIZOFRlLnqaCTnwzOG2_Wg"",""Direct links Without Sizes!B2:B""))),XLOOKUP($C1200,IMPORTRANGE(""1NK5L1mviMn0j3D3uo53ASkIZOFRlLnqaCTnwzOG2_Wg"",""Direct"&amp;" links Without Sizes!D2:D""),IMPORTRANGE(""1NK5L1mviMn0j3D3uo53ASkIZOFRlLnqaCTnwzOG2_Wg"",""Direct links Without Sizes!E2:E""))),"""")"),"")</f>
        <v/>
      </c>
      <c r="I1200" s="4"/>
      <c r="J1200" s="24" t="str">
        <f t="shared" si="1"/>
        <v/>
      </c>
      <c r="K1200" s="25"/>
      <c r="L1200" s="24" t="str">
        <f t="shared" si="2"/>
        <v/>
      </c>
      <c r="M1200" s="4"/>
      <c r="N1200" s="23"/>
      <c r="O1200" s="23"/>
      <c r="P1200" s="23"/>
      <c r="Q1200" s="4" t="str">
        <f t="shared" si="4"/>
        <v/>
      </c>
      <c r="R1200" s="20"/>
      <c r="S1200" s="20"/>
    </row>
    <row r="1201">
      <c r="A1201" s="4"/>
      <c r="B1201" s="4"/>
      <c r="C1201" s="37"/>
      <c r="D1201" s="7" t="str">
        <f>IFERROR(__xludf.DUMMYFUNCTION("iferror(iferror(INDEX(IMPORTRANGE(""12vtnxaE_Q1s4tyr10kZQx7ZF_xG0lBFae4jQEUtgsMU"",""All!B2:B""),MATCH($C1201,IMPORTRANGE(""12vtnxaE_Q1s4tyr10kZQx7ZF_xG0lBFae4jQEUtgsMU"",""All!A2:A""),0)),INDEX(IMPORTRANGE(""13KC70HngS4DDi8y9E5khtSpQEPG6owaQ9z4E-tR5mnY"""&amp;",""Non-Food!B2:B""),MATCH($C1201,IMPORTRANGE(""13KC70HngS4DDi8y9E5khtSpQEPG6owaQ9z4E-tR5mnY"",""Non-Food!A2:A""),0))),"""")"),"")</f>
        <v/>
      </c>
      <c r="E1201" s="15"/>
      <c r="F1201" s="15"/>
      <c r="G1201" s="36"/>
      <c r="H1201" s="23" t="str">
        <f>IFERROR(__xludf.DUMMYFUNCTION("iferror(iferror(iferror(index(IMPORTRANGE(""1NK5L1mviMn0j3D3uo53ASkIZOFRlLnqaCTnwzOG2_Wg"",""Direct Link!B2:B""),MATCH($C1201,IMPORTRANGE(""1NK5L1mviMn0j3D3uo53ASkIZOFRlLnqaCTnwzOG2_Wg"",""Direct Link!A2:A""),0)),XLOOKUP($C1201,IMPORTRANGE(""1NK5L1mviMn0j"&amp;"3D3uo53ASkIZOFRlLnqaCTnwzOG2_Wg"",""Direct links Without Sizes!A2:A""),IMPORTRANGE(""1NK5L1mviMn0j3D3uo53ASkIZOFRlLnqaCTnwzOG2_Wg"",""Direct links Without Sizes!B2:B""))),XLOOKUP($C1201,IMPORTRANGE(""1NK5L1mviMn0j3D3uo53ASkIZOFRlLnqaCTnwzOG2_Wg"",""Direct"&amp;" links Without Sizes!D2:D""),IMPORTRANGE(""1NK5L1mviMn0j3D3uo53ASkIZOFRlLnqaCTnwzOG2_Wg"",""Direct links Without Sizes!E2:E""))),"""")"),"")</f>
        <v/>
      </c>
      <c r="I1201" s="4"/>
      <c r="J1201" s="24" t="str">
        <f t="shared" si="1"/>
        <v/>
      </c>
      <c r="K1201" s="25"/>
      <c r="L1201" s="24" t="str">
        <f t="shared" si="2"/>
        <v/>
      </c>
      <c r="M1201" s="4"/>
      <c r="N1201" s="23"/>
      <c r="O1201" s="23"/>
      <c r="P1201" s="23"/>
      <c r="Q1201" s="4" t="str">
        <f t="shared" si="4"/>
        <v/>
      </c>
      <c r="R1201" s="20"/>
      <c r="S1201" s="20"/>
    </row>
    <row r="1202">
      <c r="A1202" s="4"/>
      <c r="B1202" s="4"/>
      <c r="C1202" s="37"/>
      <c r="D1202" s="7" t="str">
        <f>IFERROR(__xludf.DUMMYFUNCTION("iferror(iferror(INDEX(IMPORTRANGE(""12vtnxaE_Q1s4tyr10kZQx7ZF_xG0lBFae4jQEUtgsMU"",""All!B2:B""),MATCH($C1202,IMPORTRANGE(""12vtnxaE_Q1s4tyr10kZQx7ZF_xG0lBFae4jQEUtgsMU"",""All!A2:A""),0)),INDEX(IMPORTRANGE(""13KC70HngS4DDi8y9E5khtSpQEPG6owaQ9z4E-tR5mnY"""&amp;",""Non-Food!B2:B""),MATCH($C1202,IMPORTRANGE(""13KC70HngS4DDi8y9E5khtSpQEPG6owaQ9z4E-tR5mnY"",""Non-Food!A2:A""),0))),"""")"),"")</f>
        <v/>
      </c>
      <c r="E1202" s="15"/>
      <c r="F1202" s="15"/>
      <c r="G1202" s="36"/>
      <c r="H1202" s="23" t="str">
        <f>IFERROR(__xludf.DUMMYFUNCTION("iferror(iferror(iferror(index(IMPORTRANGE(""1NK5L1mviMn0j3D3uo53ASkIZOFRlLnqaCTnwzOG2_Wg"",""Direct Link!B2:B""),MATCH($C1202,IMPORTRANGE(""1NK5L1mviMn0j3D3uo53ASkIZOFRlLnqaCTnwzOG2_Wg"",""Direct Link!A2:A""),0)),XLOOKUP($C1202,IMPORTRANGE(""1NK5L1mviMn0j"&amp;"3D3uo53ASkIZOFRlLnqaCTnwzOG2_Wg"",""Direct links Without Sizes!A2:A""),IMPORTRANGE(""1NK5L1mviMn0j3D3uo53ASkIZOFRlLnqaCTnwzOG2_Wg"",""Direct links Without Sizes!B2:B""))),XLOOKUP($C1202,IMPORTRANGE(""1NK5L1mviMn0j3D3uo53ASkIZOFRlLnqaCTnwzOG2_Wg"",""Direct"&amp;" links Without Sizes!D2:D""),IMPORTRANGE(""1NK5L1mviMn0j3D3uo53ASkIZOFRlLnqaCTnwzOG2_Wg"",""Direct links Without Sizes!E2:E""))),"""")"),"")</f>
        <v/>
      </c>
      <c r="I1202" s="4"/>
      <c r="J1202" s="24" t="str">
        <f t="shared" si="1"/>
        <v/>
      </c>
      <c r="K1202" s="25"/>
      <c r="L1202" s="24" t="str">
        <f t="shared" si="2"/>
        <v/>
      </c>
      <c r="M1202" s="4"/>
      <c r="N1202" s="23"/>
      <c r="O1202" s="23"/>
      <c r="P1202" s="23"/>
      <c r="Q1202" s="4" t="str">
        <f t="shared" si="4"/>
        <v/>
      </c>
      <c r="R1202" s="20"/>
      <c r="S1202" s="20"/>
    </row>
    <row r="1203">
      <c r="A1203" s="4"/>
      <c r="B1203" s="4"/>
      <c r="C1203" s="37"/>
      <c r="D1203" s="7" t="str">
        <f>IFERROR(__xludf.DUMMYFUNCTION("iferror(iferror(INDEX(IMPORTRANGE(""12vtnxaE_Q1s4tyr10kZQx7ZF_xG0lBFae4jQEUtgsMU"",""All!B2:B""),MATCH($C1203,IMPORTRANGE(""12vtnxaE_Q1s4tyr10kZQx7ZF_xG0lBFae4jQEUtgsMU"",""All!A2:A""),0)),INDEX(IMPORTRANGE(""13KC70HngS4DDi8y9E5khtSpQEPG6owaQ9z4E-tR5mnY"""&amp;",""Non-Food!B2:B""),MATCH($C1203,IMPORTRANGE(""13KC70HngS4DDi8y9E5khtSpQEPG6owaQ9z4E-tR5mnY"",""Non-Food!A2:A""),0))),"""")"),"")</f>
        <v/>
      </c>
      <c r="E1203" s="15"/>
      <c r="F1203" s="15"/>
      <c r="G1203" s="36"/>
      <c r="H1203" s="23" t="str">
        <f>IFERROR(__xludf.DUMMYFUNCTION("iferror(iferror(iferror(index(IMPORTRANGE(""1NK5L1mviMn0j3D3uo53ASkIZOFRlLnqaCTnwzOG2_Wg"",""Direct Link!B2:B""),MATCH($C1203,IMPORTRANGE(""1NK5L1mviMn0j3D3uo53ASkIZOFRlLnqaCTnwzOG2_Wg"",""Direct Link!A2:A""),0)),XLOOKUP($C1203,IMPORTRANGE(""1NK5L1mviMn0j"&amp;"3D3uo53ASkIZOFRlLnqaCTnwzOG2_Wg"",""Direct links Without Sizes!A2:A""),IMPORTRANGE(""1NK5L1mviMn0j3D3uo53ASkIZOFRlLnqaCTnwzOG2_Wg"",""Direct links Without Sizes!B2:B""))),XLOOKUP($C1203,IMPORTRANGE(""1NK5L1mviMn0j3D3uo53ASkIZOFRlLnqaCTnwzOG2_Wg"",""Direct"&amp;" links Without Sizes!D2:D""),IMPORTRANGE(""1NK5L1mviMn0j3D3uo53ASkIZOFRlLnqaCTnwzOG2_Wg"",""Direct links Without Sizes!E2:E""))),"""")"),"")</f>
        <v/>
      </c>
      <c r="I1203" s="4"/>
      <c r="J1203" s="24" t="str">
        <f t="shared" si="1"/>
        <v/>
      </c>
      <c r="K1203" s="25"/>
      <c r="L1203" s="24" t="str">
        <f t="shared" si="2"/>
        <v/>
      </c>
      <c r="M1203" s="4"/>
      <c r="N1203" s="23"/>
      <c r="O1203" s="23"/>
      <c r="P1203" s="23"/>
      <c r="Q1203" s="4" t="str">
        <f t="shared" si="4"/>
        <v/>
      </c>
      <c r="R1203" s="20"/>
      <c r="S1203" s="20"/>
    </row>
    <row r="1204">
      <c r="A1204" s="4"/>
      <c r="B1204" s="4"/>
      <c r="C1204" s="37"/>
      <c r="D1204" s="7" t="str">
        <f>IFERROR(__xludf.DUMMYFUNCTION("iferror(iferror(INDEX(IMPORTRANGE(""12vtnxaE_Q1s4tyr10kZQx7ZF_xG0lBFae4jQEUtgsMU"",""All!B2:B""),MATCH($C1204,IMPORTRANGE(""12vtnxaE_Q1s4tyr10kZQx7ZF_xG0lBFae4jQEUtgsMU"",""All!A2:A""),0)),INDEX(IMPORTRANGE(""13KC70HngS4DDi8y9E5khtSpQEPG6owaQ9z4E-tR5mnY"""&amp;",""Non-Food!B2:B""),MATCH($C1204,IMPORTRANGE(""13KC70HngS4DDi8y9E5khtSpQEPG6owaQ9z4E-tR5mnY"",""Non-Food!A2:A""),0))),"""")"),"")</f>
        <v/>
      </c>
      <c r="E1204" s="15"/>
      <c r="F1204" s="15"/>
      <c r="G1204" s="36"/>
      <c r="H1204" s="23" t="str">
        <f>IFERROR(__xludf.DUMMYFUNCTION("iferror(iferror(iferror(index(IMPORTRANGE(""1NK5L1mviMn0j3D3uo53ASkIZOFRlLnqaCTnwzOG2_Wg"",""Direct Link!B2:B""),MATCH($C1204,IMPORTRANGE(""1NK5L1mviMn0j3D3uo53ASkIZOFRlLnqaCTnwzOG2_Wg"",""Direct Link!A2:A""),0)),XLOOKUP($C1204,IMPORTRANGE(""1NK5L1mviMn0j"&amp;"3D3uo53ASkIZOFRlLnqaCTnwzOG2_Wg"",""Direct links Without Sizes!A2:A""),IMPORTRANGE(""1NK5L1mviMn0j3D3uo53ASkIZOFRlLnqaCTnwzOG2_Wg"",""Direct links Without Sizes!B2:B""))),XLOOKUP($C1204,IMPORTRANGE(""1NK5L1mviMn0j3D3uo53ASkIZOFRlLnqaCTnwzOG2_Wg"",""Direct"&amp;" links Without Sizes!D2:D""),IMPORTRANGE(""1NK5L1mviMn0j3D3uo53ASkIZOFRlLnqaCTnwzOG2_Wg"",""Direct links Without Sizes!E2:E""))),"""")"),"")</f>
        <v/>
      </c>
      <c r="I1204" s="4"/>
      <c r="J1204" s="24" t="str">
        <f t="shared" si="1"/>
        <v/>
      </c>
      <c r="K1204" s="25"/>
      <c r="L1204" s="24" t="str">
        <f t="shared" si="2"/>
        <v/>
      </c>
      <c r="M1204" s="4"/>
      <c r="N1204" s="23"/>
      <c r="O1204" s="23"/>
      <c r="P1204" s="23"/>
      <c r="Q1204" s="4" t="str">
        <f t="shared" si="4"/>
        <v/>
      </c>
      <c r="R1204" s="20"/>
      <c r="S1204" s="20"/>
    </row>
    <row r="1205">
      <c r="A1205" s="4"/>
      <c r="B1205" s="4"/>
      <c r="C1205" s="37"/>
      <c r="D1205" s="7" t="str">
        <f>IFERROR(__xludf.DUMMYFUNCTION("iferror(iferror(INDEX(IMPORTRANGE(""12vtnxaE_Q1s4tyr10kZQx7ZF_xG0lBFae4jQEUtgsMU"",""All!B2:B""),MATCH($C1205,IMPORTRANGE(""12vtnxaE_Q1s4tyr10kZQx7ZF_xG0lBFae4jQEUtgsMU"",""All!A2:A""),0)),INDEX(IMPORTRANGE(""13KC70HngS4DDi8y9E5khtSpQEPG6owaQ9z4E-tR5mnY"""&amp;",""Non-Food!B2:B""),MATCH($C1205,IMPORTRANGE(""13KC70HngS4DDi8y9E5khtSpQEPG6owaQ9z4E-tR5mnY"",""Non-Food!A2:A""),0))),"""")"),"")</f>
        <v/>
      </c>
      <c r="E1205" s="15"/>
      <c r="F1205" s="15"/>
      <c r="G1205" s="36"/>
      <c r="H1205" s="23" t="str">
        <f>IFERROR(__xludf.DUMMYFUNCTION("iferror(iferror(iferror(index(IMPORTRANGE(""1NK5L1mviMn0j3D3uo53ASkIZOFRlLnqaCTnwzOG2_Wg"",""Direct Link!B2:B""),MATCH($C1205,IMPORTRANGE(""1NK5L1mviMn0j3D3uo53ASkIZOFRlLnqaCTnwzOG2_Wg"",""Direct Link!A2:A""),0)),XLOOKUP($C1205,IMPORTRANGE(""1NK5L1mviMn0j"&amp;"3D3uo53ASkIZOFRlLnqaCTnwzOG2_Wg"",""Direct links Without Sizes!A2:A""),IMPORTRANGE(""1NK5L1mviMn0j3D3uo53ASkIZOFRlLnqaCTnwzOG2_Wg"",""Direct links Without Sizes!B2:B""))),XLOOKUP($C1205,IMPORTRANGE(""1NK5L1mviMn0j3D3uo53ASkIZOFRlLnqaCTnwzOG2_Wg"",""Direct"&amp;" links Without Sizes!D2:D""),IMPORTRANGE(""1NK5L1mviMn0j3D3uo53ASkIZOFRlLnqaCTnwzOG2_Wg"",""Direct links Without Sizes!E2:E""))),"""")"),"")</f>
        <v/>
      </c>
      <c r="I1205" s="4"/>
      <c r="J1205" s="24" t="str">
        <f t="shared" si="1"/>
        <v/>
      </c>
      <c r="K1205" s="25"/>
      <c r="L1205" s="24" t="str">
        <f t="shared" si="2"/>
        <v/>
      </c>
      <c r="M1205" s="4"/>
      <c r="N1205" s="23"/>
      <c r="O1205" s="23"/>
      <c r="P1205" s="23"/>
      <c r="Q1205" s="4" t="str">
        <f t="shared" si="4"/>
        <v/>
      </c>
      <c r="R1205" s="20"/>
      <c r="S1205" s="20"/>
    </row>
    <row r="1206">
      <c r="A1206" s="4"/>
      <c r="B1206" s="4"/>
      <c r="C1206" s="37"/>
      <c r="D1206" s="7" t="str">
        <f>IFERROR(__xludf.DUMMYFUNCTION("iferror(iferror(INDEX(IMPORTRANGE(""12vtnxaE_Q1s4tyr10kZQx7ZF_xG0lBFae4jQEUtgsMU"",""All!B2:B""),MATCH($C1206,IMPORTRANGE(""12vtnxaE_Q1s4tyr10kZQx7ZF_xG0lBFae4jQEUtgsMU"",""All!A2:A""),0)),INDEX(IMPORTRANGE(""13KC70HngS4DDi8y9E5khtSpQEPG6owaQ9z4E-tR5mnY"""&amp;",""Non-Food!B2:B""),MATCH($C1206,IMPORTRANGE(""13KC70HngS4DDi8y9E5khtSpQEPG6owaQ9z4E-tR5mnY"",""Non-Food!A2:A""),0))),"""")"),"")</f>
        <v/>
      </c>
      <c r="E1206" s="15"/>
      <c r="F1206" s="15"/>
      <c r="G1206" s="36"/>
      <c r="H1206" s="23" t="str">
        <f>IFERROR(__xludf.DUMMYFUNCTION("iferror(iferror(iferror(index(IMPORTRANGE(""1NK5L1mviMn0j3D3uo53ASkIZOFRlLnqaCTnwzOG2_Wg"",""Direct Link!B2:B""),MATCH($C1206,IMPORTRANGE(""1NK5L1mviMn0j3D3uo53ASkIZOFRlLnqaCTnwzOG2_Wg"",""Direct Link!A2:A""),0)),XLOOKUP($C1206,IMPORTRANGE(""1NK5L1mviMn0j"&amp;"3D3uo53ASkIZOFRlLnqaCTnwzOG2_Wg"",""Direct links Without Sizes!A2:A""),IMPORTRANGE(""1NK5L1mviMn0j3D3uo53ASkIZOFRlLnqaCTnwzOG2_Wg"",""Direct links Without Sizes!B2:B""))),XLOOKUP($C1206,IMPORTRANGE(""1NK5L1mviMn0j3D3uo53ASkIZOFRlLnqaCTnwzOG2_Wg"",""Direct"&amp;" links Without Sizes!D2:D""),IMPORTRANGE(""1NK5L1mviMn0j3D3uo53ASkIZOFRlLnqaCTnwzOG2_Wg"",""Direct links Without Sizes!E2:E""))),"""")"),"")</f>
        <v/>
      </c>
      <c r="I1206" s="4"/>
      <c r="J1206" s="24" t="str">
        <f t="shared" si="1"/>
        <v/>
      </c>
      <c r="K1206" s="25"/>
      <c r="L1206" s="24" t="str">
        <f t="shared" si="2"/>
        <v/>
      </c>
      <c r="M1206" s="4"/>
      <c r="N1206" s="23"/>
      <c r="O1206" s="23"/>
      <c r="P1206" s="23"/>
      <c r="Q1206" s="4" t="str">
        <f t="shared" si="4"/>
        <v/>
      </c>
      <c r="R1206" s="20"/>
      <c r="S1206" s="20"/>
    </row>
    <row r="1207">
      <c r="A1207" s="4"/>
      <c r="B1207" s="4"/>
      <c r="C1207" s="37"/>
      <c r="D1207" s="7" t="str">
        <f>IFERROR(__xludf.DUMMYFUNCTION("iferror(iferror(INDEX(IMPORTRANGE(""12vtnxaE_Q1s4tyr10kZQx7ZF_xG0lBFae4jQEUtgsMU"",""All!B2:B""),MATCH($C1207,IMPORTRANGE(""12vtnxaE_Q1s4tyr10kZQx7ZF_xG0lBFae4jQEUtgsMU"",""All!A2:A""),0)),INDEX(IMPORTRANGE(""13KC70HngS4DDi8y9E5khtSpQEPG6owaQ9z4E-tR5mnY"""&amp;",""Non-Food!B2:B""),MATCH($C1207,IMPORTRANGE(""13KC70HngS4DDi8y9E5khtSpQEPG6owaQ9z4E-tR5mnY"",""Non-Food!A2:A""),0))),"""")"),"")</f>
        <v/>
      </c>
      <c r="E1207" s="15"/>
      <c r="F1207" s="15"/>
      <c r="G1207" s="36"/>
      <c r="H1207" s="23" t="str">
        <f>IFERROR(__xludf.DUMMYFUNCTION("iferror(iferror(iferror(index(IMPORTRANGE(""1NK5L1mviMn0j3D3uo53ASkIZOFRlLnqaCTnwzOG2_Wg"",""Direct Link!B2:B""),MATCH($C1207,IMPORTRANGE(""1NK5L1mviMn0j3D3uo53ASkIZOFRlLnqaCTnwzOG2_Wg"",""Direct Link!A2:A""),0)),XLOOKUP($C1207,IMPORTRANGE(""1NK5L1mviMn0j"&amp;"3D3uo53ASkIZOFRlLnqaCTnwzOG2_Wg"",""Direct links Without Sizes!A2:A""),IMPORTRANGE(""1NK5L1mviMn0j3D3uo53ASkIZOFRlLnqaCTnwzOG2_Wg"",""Direct links Without Sizes!B2:B""))),XLOOKUP($C1207,IMPORTRANGE(""1NK5L1mviMn0j3D3uo53ASkIZOFRlLnqaCTnwzOG2_Wg"",""Direct"&amp;" links Without Sizes!D2:D""),IMPORTRANGE(""1NK5L1mviMn0j3D3uo53ASkIZOFRlLnqaCTnwzOG2_Wg"",""Direct links Without Sizes!E2:E""))),"""")"),"")</f>
        <v/>
      </c>
      <c r="I1207" s="4"/>
      <c r="J1207" s="24" t="str">
        <f t="shared" si="1"/>
        <v/>
      </c>
      <c r="K1207" s="25"/>
      <c r="L1207" s="24" t="str">
        <f t="shared" si="2"/>
        <v/>
      </c>
      <c r="M1207" s="4"/>
      <c r="N1207" s="23"/>
      <c r="O1207" s="23"/>
      <c r="P1207" s="23"/>
      <c r="Q1207" s="4" t="str">
        <f t="shared" si="4"/>
        <v/>
      </c>
      <c r="R1207" s="20"/>
      <c r="S1207" s="20"/>
    </row>
    <row r="1208">
      <c r="A1208" s="4"/>
      <c r="B1208" s="4"/>
      <c r="C1208" s="37"/>
      <c r="D1208" s="7" t="str">
        <f>IFERROR(__xludf.DUMMYFUNCTION("iferror(iferror(INDEX(IMPORTRANGE(""12vtnxaE_Q1s4tyr10kZQx7ZF_xG0lBFae4jQEUtgsMU"",""All!B2:B""),MATCH($C1208,IMPORTRANGE(""12vtnxaE_Q1s4tyr10kZQx7ZF_xG0lBFae4jQEUtgsMU"",""All!A2:A""),0)),INDEX(IMPORTRANGE(""13KC70HngS4DDi8y9E5khtSpQEPG6owaQ9z4E-tR5mnY"""&amp;",""Non-Food!B2:B""),MATCH($C1208,IMPORTRANGE(""13KC70HngS4DDi8y9E5khtSpQEPG6owaQ9z4E-tR5mnY"",""Non-Food!A2:A""),0))),"""")"),"")</f>
        <v/>
      </c>
      <c r="E1208" s="15"/>
      <c r="F1208" s="15"/>
      <c r="G1208" s="36"/>
      <c r="H1208" s="23" t="str">
        <f>IFERROR(__xludf.DUMMYFUNCTION("iferror(iferror(iferror(index(IMPORTRANGE(""1NK5L1mviMn0j3D3uo53ASkIZOFRlLnqaCTnwzOG2_Wg"",""Direct Link!B2:B""),MATCH($C1208,IMPORTRANGE(""1NK5L1mviMn0j3D3uo53ASkIZOFRlLnqaCTnwzOG2_Wg"",""Direct Link!A2:A""),0)),XLOOKUP($C1208,IMPORTRANGE(""1NK5L1mviMn0j"&amp;"3D3uo53ASkIZOFRlLnqaCTnwzOG2_Wg"",""Direct links Without Sizes!A2:A""),IMPORTRANGE(""1NK5L1mviMn0j3D3uo53ASkIZOFRlLnqaCTnwzOG2_Wg"",""Direct links Without Sizes!B2:B""))),XLOOKUP($C1208,IMPORTRANGE(""1NK5L1mviMn0j3D3uo53ASkIZOFRlLnqaCTnwzOG2_Wg"",""Direct"&amp;" links Without Sizes!D2:D""),IMPORTRANGE(""1NK5L1mviMn0j3D3uo53ASkIZOFRlLnqaCTnwzOG2_Wg"",""Direct links Without Sizes!E2:E""))),"""")"),"")</f>
        <v/>
      </c>
      <c r="I1208" s="4"/>
      <c r="J1208" s="24" t="str">
        <f t="shared" si="1"/>
        <v/>
      </c>
      <c r="K1208" s="25"/>
      <c r="L1208" s="24" t="str">
        <f t="shared" si="2"/>
        <v/>
      </c>
      <c r="M1208" s="4"/>
      <c r="N1208" s="23"/>
      <c r="O1208" s="23"/>
      <c r="P1208" s="23"/>
      <c r="Q1208" s="4" t="str">
        <f t="shared" si="4"/>
        <v/>
      </c>
      <c r="R1208" s="20"/>
      <c r="S1208" s="20"/>
    </row>
    <row r="1209">
      <c r="A1209" s="4"/>
      <c r="B1209" s="4"/>
      <c r="C1209" s="37"/>
      <c r="D1209" s="7" t="str">
        <f>IFERROR(__xludf.DUMMYFUNCTION("iferror(iferror(INDEX(IMPORTRANGE(""12vtnxaE_Q1s4tyr10kZQx7ZF_xG0lBFae4jQEUtgsMU"",""All!B2:B""),MATCH($C1209,IMPORTRANGE(""12vtnxaE_Q1s4tyr10kZQx7ZF_xG0lBFae4jQEUtgsMU"",""All!A2:A""),0)),INDEX(IMPORTRANGE(""13KC70HngS4DDi8y9E5khtSpQEPG6owaQ9z4E-tR5mnY"""&amp;",""Non-Food!B2:B""),MATCH($C1209,IMPORTRANGE(""13KC70HngS4DDi8y9E5khtSpQEPG6owaQ9z4E-tR5mnY"",""Non-Food!A2:A""),0))),"""")"),"")</f>
        <v/>
      </c>
      <c r="E1209" s="15"/>
      <c r="F1209" s="15"/>
      <c r="G1209" s="36"/>
      <c r="H1209" s="23" t="str">
        <f>IFERROR(__xludf.DUMMYFUNCTION("iferror(iferror(iferror(index(IMPORTRANGE(""1NK5L1mviMn0j3D3uo53ASkIZOFRlLnqaCTnwzOG2_Wg"",""Direct Link!B2:B""),MATCH($C1209,IMPORTRANGE(""1NK5L1mviMn0j3D3uo53ASkIZOFRlLnqaCTnwzOG2_Wg"",""Direct Link!A2:A""),0)),XLOOKUP($C1209,IMPORTRANGE(""1NK5L1mviMn0j"&amp;"3D3uo53ASkIZOFRlLnqaCTnwzOG2_Wg"",""Direct links Without Sizes!A2:A""),IMPORTRANGE(""1NK5L1mviMn0j3D3uo53ASkIZOFRlLnqaCTnwzOG2_Wg"",""Direct links Without Sizes!B2:B""))),XLOOKUP($C1209,IMPORTRANGE(""1NK5L1mviMn0j3D3uo53ASkIZOFRlLnqaCTnwzOG2_Wg"",""Direct"&amp;" links Without Sizes!D2:D""),IMPORTRANGE(""1NK5L1mviMn0j3D3uo53ASkIZOFRlLnqaCTnwzOG2_Wg"",""Direct links Without Sizes!E2:E""))),"""")"),"")</f>
        <v/>
      </c>
      <c r="I1209" s="4"/>
      <c r="J1209" s="24" t="str">
        <f t="shared" si="1"/>
        <v/>
      </c>
      <c r="K1209" s="25"/>
      <c r="L1209" s="24" t="str">
        <f t="shared" si="2"/>
        <v/>
      </c>
      <c r="M1209" s="4"/>
      <c r="N1209" s="23"/>
      <c r="O1209" s="23"/>
      <c r="P1209" s="23"/>
      <c r="Q1209" s="4" t="str">
        <f t="shared" si="4"/>
        <v/>
      </c>
      <c r="R1209" s="20"/>
      <c r="S1209" s="20"/>
    </row>
    <row r="1210">
      <c r="A1210" s="4"/>
      <c r="B1210" s="4"/>
      <c r="C1210" s="37"/>
      <c r="D1210" s="7" t="str">
        <f>IFERROR(__xludf.DUMMYFUNCTION("iferror(iferror(INDEX(IMPORTRANGE(""12vtnxaE_Q1s4tyr10kZQx7ZF_xG0lBFae4jQEUtgsMU"",""All!B2:B""),MATCH($C1210,IMPORTRANGE(""12vtnxaE_Q1s4tyr10kZQx7ZF_xG0lBFae4jQEUtgsMU"",""All!A2:A""),0)),INDEX(IMPORTRANGE(""13KC70HngS4DDi8y9E5khtSpQEPG6owaQ9z4E-tR5mnY"""&amp;",""Non-Food!B2:B""),MATCH($C1210,IMPORTRANGE(""13KC70HngS4DDi8y9E5khtSpQEPG6owaQ9z4E-tR5mnY"",""Non-Food!A2:A""),0))),"""")"),"")</f>
        <v/>
      </c>
      <c r="E1210" s="15"/>
      <c r="F1210" s="15"/>
      <c r="G1210" s="36"/>
      <c r="H1210" s="23" t="str">
        <f>IFERROR(__xludf.DUMMYFUNCTION("iferror(iferror(iferror(index(IMPORTRANGE(""1NK5L1mviMn0j3D3uo53ASkIZOFRlLnqaCTnwzOG2_Wg"",""Direct Link!B2:B""),MATCH($C1210,IMPORTRANGE(""1NK5L1mviMn0j3D3uo53ASkIZOFRlLnqaCTnwzOG2_Wg"",""Direct Link!A2:A""),0)),XLOOKUP($C1210,IMPORTRANGE(""1NK5L1mviMn0j"&amp;"3D3uo53ASkIZOFRlLnqaCTnwzOG2_Wg"",""Direct links Without Sizes!A2:A""),IMPORTRANGE(""1NK5L1mviMn0j3D3uo53ASkIZOFRlLnqaCTnwzOG2_Wg"",""Direct links Without Sizes!B2:B""))),XLOOKUP($C1210,IMPORTRANGE(""1NK5L1mviMn0j3D3uo53ASkIZOFRlLnqaCTnwzOG2_Wg"",""Direct"&amp;" links Without Sizes!D2:D""),IMPORTRANGE(""1NK5L1mviMn0j3D3uo53ASkIZOFRlLnqaCTnwzOG2_Wg"",""Direct links Without Sizes!E2:E""))),"""")"),"")</f>
        <v/>
      </c>
      <c r="I1210" s="4"/>
      <c r="J1210" s="24" t="str">
        <f t="shared" si="1"/>
        <v/>
      </c>
      <c r="K1210" s="25"/>
      <c r="L1210" s="24" t="str">
        <f t="shared" si="2"/>
        <v/>
      </c>
      <c r="M1210" s="4"/>
      <c r="N1210" s="23"/>
      <c r="O1210" s="23"/>
      <c r="P1210" s="23"/>
      <c r="Q1210" s="4" t="str">
        <f t="shared" si="4"/>
        <v/>
      </c>
      <c r="R1210" s="20"/>
      <c r="S1210" s="20"/>
    </row>
    <row r="1211">
      <c r="A1211" s="4"/>
      <c r="B1211" s="4"/>
      <c r="C1211" s="37"/>
      <c r="D1211" s="7" t="str">
        <f>IFERROR(__xludf.DUMMYFUNCTION("iferror(iferror(INDEX(IMPORTRANGE(""12vtnxaE_Q1s4tyr10kZQx7ZF_xG0lBFae4jQEUtgsMU"",""All!B2:B""),MATCH($C1211,IMPORTRANGE(""12vtnxaE_Q1s4tyr10kZQx7ZF_xG0lBFae4jQEUtgsMU"",""All!A2:A""),0)),INDEX(IMPORTRANGE(""13KC70HngS4DDi8y9E5khtSpQEPG6owaQ9z4E-tR5mnY"""&amp;",""Non-Food!B2:B""),MATCH($C1211,IMPORTRANGE(""13KC70HngS4DDi8y9E5khtSpQEPG6owaQ9z4E-tR5mnY"",""Non-Food!A2:A""),0))),"""")"),"")</f>
        <v/>
      </c>
      <c r="E1211" s="15"/>
      <c r="F1211" s="15"/>
      <c r="G1211" s="36"/>
      <c r="H1211" s="23" t="str">
        <f>IFERROR(__xludf.DUMMYFUNCTION("iferror(iferror(iferror(index(IMPORTRANGE(""1NK5L1mviMn0j3D3uo53ASkIZOFRlLnqaCTnwzOG2_Wg"",""Direct Link!B2:B""),MATCH($C1211,IMPORTRANGE(""1NK5L1mviMn0j3D3uo53ASkIZOFRlLnqaCTnwzOG2_Wg"",""Direct Link!A2:A""),0)),XLOOKUP($C1211,IMPORTRANGE(""1NK5L1mviMn0j"&amp;"3D3uo53ASkIZOFRlLnqaCTnwzOG2_Wg"",""Direct links Without Sizes!A2:A""),IMPORTRANGE(""1NK5L1mviMn0j3D3uo53ASkIZOFRlLnqaCTnwzOG2_Wg"",""Direct links Without Sizes!B2:B""))),XLOOKUP($C1211,IMPORTRANGE(""1NK5L1mviMn0j3D3uo53ASkIZOFRlLnqaCTnwzOG2_Wg"",""Direct"&amp;" links Without Sizes!D2:D""),IMPORTRANGE(""1NK5L1mviMn0j3D3uo53ASkIZOFRlLnqaCTnwzOG2_Wg"",""Direct links Without Sizes!E2:E""))),"""")"),"")</f>
        <v/>
      </c>
      <c r="I1211" s="4"/>
      <c r="J1211" s="24" t="str">
        <f t="shared" si="1"/>
        <v/>
      </c>
      <c r="K1211" s="25"/>
      <c r="L1211" s="24" t="str">
        <f t="shared" si="2"/>
        <v/>
      </c>
      <c r="M1211" s="4"/>
      <c r="N1211" s="23"/>
      <c r="O1211" s="23"/>
      <c r="P1211" s="23"/>
      <c r="Q1211" s="4" t="str">
        <f t="shared" si="4"/>
        <v/>
      </c>
      <c r="R1211" s="20"/>
      <c r="S1211" s="20"/>
    </row>
    <row r="1212">
      <c r="A1212" s="4"/>
      <c r="B1212" s="4"/>
      <c r="C1212" s="37"/>
      <c r="D1212" s="7" t="str">
        <f>IFERROR(__xludf.DUMMYFUNCTION("iferror(iferror(INDEX(IMPORTRANGE(""12vtnxaE_Q1s4tyr10kZQx7ZF_xG0lBFae4jQEUtgsMU"",""All!B2:B""),MATCH($C1212,IMPORTRANGE(""12vtnxaE_Q1s4tyr10kZQx7ZF_xG0lBFae4jQEUtgsMU"",""All!A2:A""),0)),INDEX(IMPORTRANGE(""13KC70HngS4DDi8y9E5khtSpQEPG6owaQ9z4E-tR5mnY"""&amp;",""Non-Food!B2:B""),MATCH($C1212,IMPORTRANGE(""13KC70HngS4DDi8y9E5khtSpQEPG6owaQ9z4E-tR5mnY"",""Non-Food!A2:A""),0))),"""")"),"")</f>
        <v/>
      </c>
      <c r="E1212" s="15"/>
      <c r="F1212" s="15"/>
      <c r="G1212" s="36"/>
      <c r="H1212" s="23" t="str">
        <f>IFERROR(__xludf.DUMMYFUNCTION("iferror(iferror(iferror(index(IMPORTRANGE(""1NK5L1mviMn0j3D3uo53ASkIZOFRlLnqaCTnwzOG2_Wg"",""Direct Link!B2:B""),MATCH($C1212,IMPORTRANGE(""1NK5L1mviMn0j3D3uo53ASkIZOFRlLnqaCTnwzOG2_Wg"",""Direct Link!A2:A""),0)),XLOOKUP($C1212,IMPORTRANGE(""1NK5L1mviMn0j"&amp;"3D3uo53ASkIZOFRlLnqaCTnwzOG2_Wg"",""Direct links Without Sizes!A2:A""),IMPORTRANGE(""1NK5L1mviMn0j3D3uo53ASkIZOFRlLnqaCTnwzOG2_Wg"",""Direct links Without Sizes!B2:B""))),XLOOKUP($C1212,IMPORTRANGE(""1NK5L1mviMn0j3D3uo53ASkIZOFRlLnqaCTnwzOG2_Wg"",""Direct"&amp;" links Without Sizes!D2:D""),IMPORTRANGE(""1NK5L1mviMn0j3D3uo53ASkIZOFRlLnqaCTnwzOG2_Wg"",""Direct links Without Sizes!E2:E""))),"""")"),"")</f>
        <v/>
      </c>
      <c r="I1212" s="4"/>
      <c r="J1212" s="24" t="str">
        <f t="shared" si="1"/>
        <v/>
      </c>
      <c r="K1212" s="25"/>
      <c r="L1212" s="24" t="str">
        <f t="shared" si="2"/>
        <v/>
      </c>
      <c r="M1212" s="4"/>
      <c r="N1212" s="23"/>
      <c r="O1212" s="23"/>
      <c r="P1212" s="23"/>
      <c r="Q1212" s="4" t="str">
        <f t="shared" si="4"/>
        <v/>
      </c>
      <c r="R1212" s="20"/>
      <c r="S1212" s="20"/>
    </row>
    <row r="1213">
      <c r="A1213" s="4"/>
      <c r="B1213" s="4"/>
      <c r="C1213" s="37"/>
      <c r="D1213" s="7" t="str">
        <f>IFERROR(__xludf.DUMMYFUNCTION("iferror(iferror(INDEX(IMPORTRANGE(""12vtnxaE_Q1s4tyr10kZQx7ZF_xG0lBFae4jQEUtgsMU"",""All!B2:B""),MATCH($C1213,IMPORTRANGE(""12vtnxaE_Q1s4tyr10kZQx7ZF_xG0lBFae4jQEUtgsMU"",""All!A2:A""),0)),INDEX(IMPORTRANGE(""13KC70HngS4DDi8y9E5khtSpQEPG6owaQ9z4E-tR5mnY"""&amp;",""Non-Food!B2:B""),MATCH($C1213,IMPORTRANGE(""13KC70HngS4DDi8y9E5khtSpQEPG6owaQ9z4E-tR5mnY"",""Non-Food!A2:A""),0))),"""")"),"")</f>
        <v/>
      </c>
      <c r="E1213" s="15"/>
      <c r="F1213" s="15"/>
      <c r="G1213" s="36"/>
      <c r="H1213" s="23" t="str">
        <f>IFERROR(__xludf.DUMMYFUNCTION("iferror(iferror(iferror(index(IMPORTRANGE(""1NK5L1mviMn0j3D3uo53ASkIZOFRlLnqaCTnwzOG2_Wg"",""Direct Link!B2:B""),MATCH($C1213,IMPORTRANGE(""1NK5L1mviMn0j3D3uo53ASkIZOFRlLnqaCTnwzOG2_Wg"",""Direct Link!A2:A""),0)),XLOOKUP($C1213,IMPORTRANGE(""1NK5L1mviMn0j"&amp;"3D3uo53ASkIZOFRlLnqaCTnwzOG2_Wg"",""Direct links Without Sizes!A2:A""),IMPORTRANGE(""1NK5L1mviMn0j3D3uo53ASkIZOFRlLnqaCTnwzOG2_Wg"",""Direct links Without Sizes!B2:B""))),XLOOKUP($C1213,IMPORTRANGE(""1NK5L1mviMn0j3D3uo53ASkIZOFRlLnqaCTnwzOG2_Wg"",""Direct"&amp;" links Without Sizes!D2:D""),IMPORTRANGE(""1NK5L1mviMn0j3D3uo53ASkIZOFRlLnqaCTnwzOG2_Wg"",""Direct links Without Sizes!E2:E""))),"""")"),"")</f>
        <v/>
      </c>
      <c r="I1213" s="4"/>
      <c r="J1213" s="24" t="str">
        <f t="shared" si="1"/>
        <v/>
      </c>
      <c r="K1213" s="25"/>
      <c r="L1213" s="24" t="str">
        <f t="shared" si="2"/>
        <v/>
      </c>
      <c r="M1213" s="4"/>
      <c r="N1213" s="23"/>
      <c r="O1213" s="23"/>
      <c r="P1213" s="23"/>
      <c r="Q1213" s="4" t="str">
        <f t="shared" si="4"/>
        <v/>
      </c>
      <c r="R1213" s="20"/>
      <c r="S1213" s="20"/>
    </row>
    <row r="1214">
      <c r="A1214" s="4"/>
      <c r="B1214" s="4"/>
      <c r="C1214" s="37"/>
      <c r="D1214" s="7" t="str">
        <f>IFERROR(__xludf.DUMMYFUNCTION("iferror(iferror(INDEX(IMPORTRANGE(""12vtnxaE_Q1s4tyr10kZQx7ZF_xG0lBFae4jQEUtgsMU"",""All!B2:B""),MATCH($C1214,IMPORTRANGE(""12vtnxaE_Q1s4tyr10kZQx7ZF_xG0lBFae4jQEUtgsMU"",""All!A2:A""),0)),INDEX(IMPORTRANGE(""13KC70HngS4DDi8y9E5khtSpQEPG6owaQ9z4E-tR5mnY"""&amp;",""Non-Food!B2:B""),MATCH($C1214,IMPORTRANGE(""13KC70HngS4DDi8y9E5khtSpQEPG6owaQ9z4E-tR5mnY"",""Non-Food!A2:A""),0))),"""")"),"")</f>
        <v/>
      </c>
      <c r="E1214" s="15"/>
      <c r="F1214" s="15"/>
      <c r="G1214" s="36"/>
      <c r="H1214" s="23" t="str">
        <f>IFERROR(__xludf.DUMMYFUNCTION("iferror(iferror(iferror(index(IMPORTRANGE(""1NK5L1mviMn0j3D3uo53ASkIZOFRlLnqaCTnwzOG2_Wg"",""Direct Link!B2:B""),MATCH($C1214,IMPORTRANGE(""1NK5L1mviMn0j3D3uo53ASkIZOFRlLnqaCTnwzOG2_Wg"",""Direct Link!A2:A""),0)),XLOOKUP($C1214,IMPORTRANGE(""1NK5L1mviMn0j"&amp;"3D3uo53ASkIZOFRlLnqaCTnwzOG2_Wg"",""Direct links Without Sizes!A2:A""),IMPORTRANGE(""1NK5L1mviMn0j3D3uo53ASkIZOFRlLnqaCTnwzOG2_Wg"",""Direct links Without Sizes!B2:B""))),XLOOKUP($C1214,IMPORTRANGE(""1NK5L1mviMn0j3D3uo53ASkIZOFRlLnqaCTnwzOG2_Wg"",""Direct"&amp;" links Without Sizes!D2:D""),IMPORTRANGE(""1NK5L1mviMn0j3D3uo53ASkIZOFRlLnqaCTnwzOG2_Wg"",""Direct links Without Sizes!E2:E""))),"""")"),"")</f>
        <v/>
      </c>
      <c r="I1214" s="4"/>
      <c r="J1214" s="24" t="str">
        <f t="shared" si="1"/>
        <v/>
      </c>
      <c r="K1214" s="25"/>
      <c r="L1214" s="24" t="str">
        <f t="shared" si="2"/>
        <v/>
      </c>
      <c r="M1214" s="4"/>
      <c r="N1214" s="23"/>
      <c r="O1214" s="23"/>
      <c r="P1214" s="23"/>
      <c r="Q1214" s="4" t="str">
        <f t="shared" si="4"/>
        <v/>
      </c>
      <c r="R1214" s="20"/>
      <c r="S1214" s="20"/>
    </row>
    <row r="1215">
      <c r="A1215" s="4"/>
      <c r="B1215" s="4"/>
      <c r="C1215" s="37"/>
      <c r="D1215" s="7" t="str">
        <f>IFERROR(__xludf.DUMMYFUNCTION("iferror(iferror(INDEX(IMPORTRANGE(""12vtnxaE_Q1s4tyr10kZQx7ZF_xG0lBFae4jQEUtgsMU"",""All!B2:B""),MATCH($C1215,IMPORTRANGE(""12vtnxaE_Q1s4tyr10kZQx7ZF_xG0lBFae4jQEUtgsMU"",""All!A2:A""),0)),INDEX(IMPORTRANGE(""13KC70HngS4DDi8y9E5khtSpQEPG6owaQ9z4E-tR5mnY"""&amp;",""Non-Food!B2:B""),MATCH($C1215,IMPORTRANGE(""13KC70HngS4DDi8y9E5khtSpQEPG6owaQ9z4E-tR5mnY"",""Non-Food!A2:A""),0))),"""")"),"")</f>
        <v/>
      </c>
      <c r="E1215" s="15"/>
      <c r="F1215" s="15"/>
      <c r="G1215" s="36"/>
      <c r="H1215" s="23" t="str">
        <f>IFERROR(__xludf.DUMMYFUNCTION("iferror(iferror(iferror(index(IMPORTRANGE(""1NK5L1mviMn0j3D3uo53ASkIZOFRlLnqaCTnwzOG2_Wg"",""Direct Link!B2:B""),MATCH($C1215,IMPORTRANGE(""1NK5L1mviMn0j3D3uo53ASkIZOFRlLnqaCTnwzOG2_Wg"",""Direct Link!A2:A""),0)),XLOOKUP($C1215,IMPORTRANGE(""1NK5L1mviMn0j"&amp;"3D3uo53ASkIZOFRlLnqaCTnwzOG2_Wg"",""Direct links Without Sizes!A2:A""),IMPORTRANGE(""1NK5L1mviMn0j3D3uo53ASkIZOFRlLnqaCTnwzOG2_Wg"",""Direct links Without Sizes!B2:B""))),XLOOKUP($C1215,IMPORTRANGE(""1NK5L1mviMn0j3D3uo53ASkIZOFRlLnqaCTnwzOG2_Wg"",""Direct"&amp;" links Without Sizes!D2:D""),IMPORTRANGE(""1NK5L1mviMn0j3D3uo53ASkIZOFRlLnqaCTnwzOG2_Wg"",""Direct links Without Sizes!E2:E""))),"""")"),"")</f>
        <v/>
      </c>
      <c r="I1215" s="4"/>
      <c r="J1215" s="24" t="str">
        <f t="shared" si="1"/>
        <v/>
      </c>
      <c r="K1215" s="25"/>
      <c r="L1215" s="24" t="str">
        <f t="shared" si="2"/>
        <v/>
      </c>
      <c r="M1215" s="4"/>
      <c r="N1215" s="23"/>
      <c r="O1215" s="23"/>
      <c r="P1215" s="23"/>
      <c r="Q1215" s="4" t="str">
        <f t="shared" si="4"/>
        <v/>
      </c>
      <c r="R1215" s="20"/>
      <c r="S1215" s="20"/>
    </row>
    <row r="1216">
      <c r="A1216" s="4"/>
      <c r="B1216" s="4"/>
      <c r="C1216" s="37"/>
      <c r="D1216" s="7" t="str">
        <f>IFERROR(__xludf.DUMMYFUNCTION("iferror(iferror(INDEX(IMPORTRANGE(""12vtnxaE_Q1s4tyr10kZQx7ZF_xG0lBFae4jQEUtgsMU"",""All!B2:B""),MATCH($C1216,IMPORTRANGE(""12vtnxaE_Q1s4tyr10kZQx7ZF_xG0lBFae4jQEUtgsMU"",""All!A2:A""),0)),INDEX(IMPORTRANGE(""13KC70HngS4DDi8y9E5khtSpQEPG6owaQ9z4E-tR5mnY"""&amp;",""Non-Food!B2:B""),MATCH($C1216,IMPORTRANGE(""13KC70HngS4DDi8y9E5khtSpQEPG6owaQ9z4E-tR5mnY"",""Non-Food!A2:A""),0))),"""")"),"")</f>
        <v/>
      </c>
      <c r="E1216" s="15"/>
      <c r="F1216" s="15"/>
      <c r="G1216" s="36"/>
      <c r="H1216" s="23" t="str">
        <f>IFERROR(__xludf.DUMMYFUNCTION("iferror(iferror(iferror(index(IMPORTRANGE(""1NK5L1mviMn0j3D3uo53ASkIZOFRlLnqaCTnwzOG2_Wg"",""Direct Link!B2:B""),MATCH($C1216,IMPORTRANGE(""1NK5L1mviMn0j3D3uo53ASkIZOFRlLnqaCTnwzOG2_Wg"",""Direct Link!A2:A""),0)),XLOOKUP($C1216,IMPORTRANGE(""1NK5L1mviMn0j"&amp;"3D3uo53ASkIZOFRlLnqaCTnwzOG2_Wg"",""Direct links Without Sizes!A2:A""),IMPORTRANGE(""1NK5L1mviMn0j3D3uo53ASkIZOFRlLnqaCTnwzOG2_Wg"",""Direct links Without Sizes!B2:B""))),XLOOKUP($C1216,IMPORTRANGE(""1NK5L1mviMn0j3D3uo53ASkIZOFRlLnqaCTnwzOG2_Wg"",""Direct"&amp;" links Without Sizes!D2:D""),IMPORTRANGE(""1NK5L1mviMn0j3D3uo53ASkIZOFRlLnqaCTnwzOG2_Wg"",""Direct links Without Sizes!E2:E""))),"""")"),"")</f>
        <v/>
      </c>
      <c r="I1216" s="4"/>
      <c r="J1216" s="24" t="str">
        <f t="shared" si="1"/>
        <v/>
      </c>
      <c r="K1216" s="25"/>
      <c r="L1216" s="24" t="str">
        <f t="shared" si="2"/>
        <v/>
      </c>
      <c r="M1216" s="4"/>
      <c r="N1216" s="23"/>
      <c r="O1216" s="23"/>
      <c r="P1216" s="23"/>
      <c r="Q1216" s="4" t="str">
        <f t="shared" si="4"/>
        <v/>
      </c>
      <c r="R1216" s="20"/>
      <c r="S1216" s="20"/>
    </row>
    <row r="1217">
      <c r="A1217" s="4"/>
      <c r="B1217" s="4"/>
      <c r="C1217" s="37"/>
      <c r="D1217" s="7" t="str">
        <f>IFERROR(__xludf.DUMMYFUNCTION("iferror(iferror(INDEX(IMPORTRANGE(""12vtnxaE_Q1s4tyr10kZQx7ZF_xG0lBFae4jQEUtgsMU"",""All!B2:B""),MATCH($C1217,IMPORTRANGE(""12vtnxaE_Q1s4tyr10kZQx7ZF_xG0lBFae4jQEUtgsMU"",""All!A2:A""),0)),INDEX(IMPORTRANGE(""13KC70HngS4DDi8y9E5khtSpQEPG6owaQ9z4E-tR5mnY"""&amp;",""Non-Food!B2:B""),MATCH($C1217,IMPORTRANGE(""13KC70HngS4DDi8y9E5khtSpQEPG6owaQ9z4E-tR5mnY"",""Non-Food!A2:A""),0))),"""")"),"")</f>
        <v/>
      </c>
      <c r="E1217" s="15"/>
      <c r="F1217" s="15"/>
      <c r="G1217" s="36"/>
      <c r="H1217" s="23" t="str">
        <f>IFERROR(__xludf.DUMMYFUNCTION("iferror(iferror(iferror(index(IMPORTRANGE(""1NK5L1mviMn0j3D3uo53ASkIZOFRlLnqaCTnwzOG2_Wg"",""Direct Link!B2:B""),MATCH($C1217,IMPORTRANGE(""1NK5L1mviMn0j3D3uo53ASkIZOFRlLnqaCTnwzOG2_Wg"",""Direct Link!A2:A""),0)),XLOOKUP($C1217,IMPORTRANGE(""1NK5L1mviMn0j"&amp;"3D3uo53ASkIZOFRlLnqaCTnwzOG2_Wg"",""Direct links Without Sizes!A2:A""),IMPORTRANGE(""1NK5L1mviMn0j3D3uo53ASkIZOFRlLnqaCTnwzOG2_Wg"",""Direct links Without Sizes!B2:B""))),XLOOKUP($C1217,IMPORTRANGE(""1NK5L1mviMn0j3D3uo53ASkIZOFRlLnqaCTnwzOG2_Wg"",""Direct"&amp;" links Without Sizes!D2:D""),IMPORTRANGE(""1NK5L1mviMn0j3D3uo53ASkIZOFRlLnqaCTnwzOG2_Wg"",""Direct links Without Sizes!E2:E""))),"""")"),"")</f>
        <v/>
      </c>
      <c r="I1217" s="4"/>
      <c r="J1217" s="24" t="str">
        <f t="shared" si="1"/>
        <v/>
      </c>
      <c r="K1217" s="25"/>
      <c r="L1217" s="24" t="str">
        <f t="shared" si="2"/>
        <v/>
      </c>
      <c r="M1217" s="4"/>
      <c r="N1217" s="23"/>
      <c r="O1217" s="23"/>
      <c r="P1217" s="23"/>
      <c r="Q1217" s="4" t="str">
        <f t="shared" si="4"/>
        <v/>
      </c>
      <c r="R1217" s="20"/>
      <c r="S1217" s="20"/>
    </row>
    <row r="1218">
      <c r="A1218" s="4"/>
      <c r="B1218" s="4"/>
      <c r="C1218" s="37"/>
      <c r="D1218" s="7" t="str">
        <f>IFERROR(__xludf.DUMMYFUNCTION("iferror(iferror(INDEX(IMPORTRANGE(""12vtnxaE_Q1s4tyr10kZQx7ZF_xG0lBFae4jQEUtgsMU"",""All!B2:B""),MATCH($C1218,IMPORTRANGE(""12vtnxaE_Q1s4tyr10kZQx7ZF_xG0lBFae4jQEUtgsMU"",""All!A2:A""),0)),INDEX(IMPORTRANGE(""13KC70HngS4DDi8y9E5khtSpQEPG6owaQ9z4E-tR5mnY"""&amp;",""Non-Food!B2:B""),MATCH($C1218,IMPORTRANGE(""13KC70HngS4DDi8y9E5khtSpQEPG6owaQ9z4E-tR5mnY"",""Non-Food!A2:A""),0))),"""")"),"")</f>
        <v/>
      </c>
      <c r="E1218" s="15"/>
      <c r="F1218" s="15"/>
      <c r="G1218" s="36"/>
      <c r="H1218" s="23" t="str">
        <f>IFERROR(__xludf.DUMMYFUNCTION("iferror(iferror(iferror(index(IMPORTRANGE(""1NK5L1mviMn0j3D3uo53ASkIZOFRlLnqaCTnwzOG2_Wg"",""Direct Link!B2:B""),MATCH($C1218,IMPORTRANGE(""1NK5L1mviMn0j3D3uo53ASkIZOFRlLnqaCTnwzOG2_Wg"",""Direct Link!A2:A""),0)),XLOOKUP($C1218,IMPORTRANGE(""1NK5L1mviMn0j"&amp;"3D3uo53ASkIZOFRlLnqaCTnwzOG2_Wg"",""Direct links Without Sizes!A2:A""),IMPORTRANGE(""1NK5L1mviMn0j3D3uo53ASkIZOFRlLnqaCTnwzOG2_Wg"",""Direct links Without Sizes!B2:B""))),XLOOKUP($C1218,IMPORTRANGE(""1NK5L1mviMn0j3D3uo53ASkIZOFRlLnqaCTnwzOG2_Wg"",""Direct"&amp;" links Without Sizes!D2:D""),IMPORTRANGE(""1NK5L1mviMn0j3D3uo53ASkIZOFRlLnqaCTnwzOG2_Wg"",""Direct links Without Sizes!E2:E""))),"""")"),"")</f>
        <v/>
      </c>
      <c r="I1218" s="4"/>
      <c r="J1218" s="24" t="str">
        <f t="shared" si="1"/>
        <v/>
      </c>
      <c r="K1218" s="25"/>
      <c r="L1218" s="24" t="str">
        <f t="shared" si="2"/>
        <v/>
      </c>
      <c r="M1218" s="4"/>
      <c r="N1218" s="23"/>
      <c r="O1218" s="23"/>
      <c r="P1218" s="23"/>
      <c r="Q1218" s="4" t="str">
        <f t="shared" si="4"/>
        <v/>
      </c>
      <c r="R1218" s="20"/>
      <c r="S1218" s="20"/>
    </row>
    <row r="1219">
      <c r="A1219" s="4"/>
      <c r="B1219" s="4"/>
      <c r="C1219" s="37"/>
      <c r="D1219" s="7" t="str">
        <f>IFERROR(__xludf.DUMMYFUNCTION("iferror(iferror(INDEX(IMPORTRANGE(""12vtnxaE_Q1s4tyr10kZQx7ZF_xG0lBFae4jQEUtgsMU"",""All!B2:B""),MATCH($C1219,IMPORTRANGE(""12vtnxaE_Q1s4tyr10kZQx7ZF_xG0lBFae4jQEUtgsMU"",""All!A2:A""),0)),INDEX(IMPORTRANGE(""13KC70HngS4DDi8y9E5khtSpQEPG6owaQ9z4E-tR5mnY"""&amp;",""Non-Food!B2:B""),MATCH($C1219,IMPORTRANGE(""13KC70HngS4DDi8y9E5khtSpQEPG6owaQ9z4E-tR5mnY"",""Non-Food!A2:A""),0))),"""")"),"")</f>
        <v/>
      </c>
      <c r="E1219" s="15"/>
      <c r="F1219" s="15"/>
      <c r="G1219" s="36"/>
      <c r="H1219" s="23" t="str">
        <f>IFERROR(__xludf.DUMMYFUNCTION("iferror(iferror(iferror(index(IMPORTRANGE(""1NK5L1mviMn0j3D3uo53ASkIZOFRlLnqaCTnwzOG2_Wg"",""Direct Link!B2:B""),MATCH($C1219,IMPORTRANGE(""1NK5L1mviMn0j3D3uo53ASkIZOFRlLnqaCTnwzOG2_Wg"",""Direct Link!A2:A""),0)),XLOOKUP($C1219,IMPORTRANGE(""1NK5L1mviMn0j"&amp;"3D3uo53ASkIZOFRlLnqaCTnwzOG2_Wg"",""Direct links Without Sizes!A2:A""),IMPORTRANGE(""1NK5L1mviMn0j3D3uo53ASkIZOFRlLnqaCTnwzOG2_Wg"",""Direct links Without Sizes!B2:B""))),XLOOKUP($C1219,IMPORTRANGE(""1NK5L1mviMn0j3D3uo53ASkIZOFRlLnqaCTnwzOG2_Wg"",""Direct"&amp;" links Without Sizes!D2:D""),IMPORTRANGE(""1NK5L1mviMn0j3D3uo53ASkIZOFRlLnqaCTnwzOG2_Wg"",""Direct links Without Sizes!E2:E""))),"""")"),"")</f>
        <v/>
      </c>
      <c r="I1219" s="4"/>
      <c r="J1219" s="24" t="str">
        <f t="shared" si="1"/>
        <v/>
      </c>
      <c r="K1219" s="25"/>
      <c r="L1219" s="24" t="str">
        <f t="shared" si="2"/>
        <v/>
      </c>
      <c r="M1219" s="4"/>
      <c r="N1219" s="23"/>
      <c r="O1219" s="23"/>
      <c r="P1219" s="23"/>
      <c r="Q1219" s="4" t="str">
        <f t="shared" si="4"/>
        <v/>
      </c>
      <c r="R1219" s="20"/>
      <c r="S1219" s="20"/>
    </row>
    <row r="1220">
      <c r="A1220" s="4"/>
      <c r="B1220" s="4"/>
      <c r="C1220" s="37"/>
      <c r="D1220" s="7" t="str">
        <f>IFERROR(__xludf.DUMMYFUNCTION("iferror(iferror(INDEX(IMPORTRANGE(""12vtnxaE_Q1s4tyr10kZQx7ZF_xG0lBFae4jQEUtgsMU"",""All!B2:B""),MATCH($C1220,IMPORTRANGE(""12vtnxaE_Q1s4tyr10kZQx7ZF_xG0lBFae4jQEUtgsMU"",""All!A2:A""),0)),INDEX(IMPORTRANGE(""13KC70HngS4DDi8y9E5khtSpQEPG6owaQ9z4E-tR5mnY"""&amp;",""Non-Food!B2:B""),MATCH($C1220,IMPORTRANGE(""13KC70HngS4DDi8y9E5khtSpQEPG6owaQ9z4E-tR5mnY"",""Non-Food!A2:A""),0))),"""")"),"")</f>
        <v/>
      </c>
      <c r="E1220" s="15"/>
      <c r="F1220" s="15"/>
      <c r="G1220" s="36"/>
      <c r="H1220" s="23" t="str">
        <f>IFERROR(__xludf.DUMMYFUNCTION("iferror(iferror(iferror(index(IMPORTRANGE(""1NK5L1mviMn0j3D3uo53ASkIZOFRlLnqaCTnwzOG2_Wg"",""Direct Link!B2:B""),MATCH($C1220,IMPORTRANGE(""1NK5L1mviMn0j3D3uo53ASkIZOFRlLnqaCTnwzOG2_Wg"",""Direct Link!A2:A""),0)),XLOOKUP($C1220,IMPORTRANGE(""1NK5L1mviMn0j"&amp;"3D3uo53ASkIZOFRlLnqaCTnwzOG2_Wg"",""Direct links Without Sizes!A2:A""),IMPORTRANGE(""1NK5L1mviMn0j3D3uo53ASkIZOFRlLnqaCTnwzOG2_Wg"",""Direct links Without Sizes!B2:B""))),XLOOKUP($C1220,IMPORTRANGE(""1NK5L1mviMn0j3D3uo53ASkIZOFRlLnqaCTnwzOG2_Wg"",""Direct"&amp;" links Without Sizes!D2:D""),IMPORTRANGE(""1NK5L1mviMn0j3D3uo53ASkIZOFRlLnqaCTnwzOG2_Wg"",""Direct links Without Sizes!E2:E""))),"""")"),"")</f>
        <v/>
      </c>
      <c r="I1220" s="4"/>
      <c r="J1220" s="24" t="str">
        <f t="shared" si="1"/>
        <v/>
      </c>
      <c r="K1220" s="25"/>
      <c r="L1220" s="24" t="str">
        <f t="shared" si="2"/>
        <v/>
      </c>
      <c r="M1220" s="4"/>
      <c r="N1220" s="23"/>
      <c r="O1220" s="23"/>
      <c r="P1220" s="23"/>
      <c r="Q1220" s="4" t="str">
        <f t="shared" si="4"/>
        <v/>
      </c>
      <c r="R1220" s="20"/>
      <c r="S1220" s="20"/>
    </row>
    <row r="1221">
      <c r="A1221" s="4"/>
      <c r="B1221" s="4"/>
      <c r="C1221" s="37"/>
      <c r="D1221" s="7" t="str">
        <f>IFERROR(__xludf.DUMMYFUNCTION("iferror(iferror(INDEX(IMPORTRANGE(""12vtnxaE_Q1s4tyr10kZQx7ZF_xG0lBFae4jQEUtgsMU"",""All!B2:B""),MATCH($C1221,IMPORTRANGE(""12vtnxaE_Q1s4tyr10kZQx7ZF_xG0lBFae4jQEUtgsMU"",""All!A2:A""),0)),INDEX(IMPORTRANGE(""13KC70HngS4DDi8y9E5khtSpQEPG6owaQ9z4E-tR5mnY"""&amp;",""Non-Food!B2:B""),MATCH($C1221,IMPORTRANGE(""13KC70HngS4DDi8y9E5khtSpQEPG6owaQ9z4E-tR5mnY"",""Non-Food!A2:A""),0))),"""")"),"")</f>
        <v/>
      </c>
      <c r="E1221" s="15"/>
      <c r="F1221" s="15"/>
      <c r="G1221" s="36"/>
      <c r="H1221" s="23" t="str">
        <f>IFERROR(__xludf.DUMMYFUNCTION("iferror(iferror(iferror(index(IMPORTRANGE(""1NK5L1mviMn0j3D3uo53ASkIZOFRlLnqaCTnwzOG2_Wg"",""Direct Link!B2:B""),MATCH($C1221,IMPORTRANGE(""1NK5L1mviMn0j3D3uo53ASkIZOFRlLnqaCTnwzOG2_Wg"",""Direct Link!A2:A""),0)),XLOOKUP($C1221,IMPORTRANGE(""1NK5L1mviMn0j"&amp;"3D3uo53ASkIZOFRlLnqaCTnwzOG2_Wg"",""Direct links Without Sizes!A2:A""),IMPORTRANGE(""1NK5L1mviMn0j3D3uo53ASkIZOFRlLnqaCTnwzOG2_Wg"",""Direct links Without Sizes!B2:B""))),XLOOKUP($C1221,IMPORTRANGE(""1NK5L1mviMn0j3D3uo53ASkIZOFRlLnqaCTnwzOG2_Wg"",""Direct"&amp;" links Without Sizes!D2:D""),IMPORTRANGE(""1NK5L1mviMn0j3D3uo53ASkIZOFRlLnqaCTnwzOG2_Wg"",""Direct links Without Sizes!E2:E""))),"""")"),"")</f>
        <v/>
      </c>
      <c r="I1221" s="4"/>
      <c r="J1221" s="24" t="str">
        <f t="shared" si="1"/>
        <v/>
      </c>
      <c r="K1221" s="25"/>
      <c r="L1221" s="24" t="str">
        <f t="shared" si="2"/>
        <v/>
      </c>
      <c r="M1221" s="4"/>
      <c r="N1221" s="23"/>
      <c r="O1221" s="23"/>
      <c r="P1221" s="23"/>
      <c r="Q1221" s="4" t="str">
        <f t="shared" si="4"/>
        <v/>
      </c>
      <c r="R1221" s="20"/>
      <c r="S1221" s="20"/>
    </row>
    <row r="1222">
      <c r="A1222" s="4"/>
      <c r="B1222" s="4"/>
      <c r="C1222" s="37"/>
      <c r="D1222" s="7" t="str">
        <f>IFERROR(__xludf.DUMMYFUNCTION("iferror(iferror(INDEX(IMPORTRANGE(""12vtnxaE_Q1s4tyr10kZQx7ZF_xG0lBFae4jQEUtgsMU"",""All!B2:B""),MATCH($C1222,IMPORTRANGE(""12vtnxaE_Q1s4tyr10kZQx7ZF_xG0lBFae4jQEUtgsMU"",""All!A2:A""),0)),INDEX(IMPORTRANGE(""13KC70HngS4DDi8y9E5khtSpQEPG6owaQ9z4E-tR5mnY"""&amp;",""Non-Food!B2:B""),MATCH($C1222,IMPORTRANGE(""13KC70HngS4DDi8y9E5khtSpQEPG6owaQ9z4E-tR5mnY"",""Non-Food!A2:A""),0))),"""")"),"")</f>
        <v/>
      </c>
      <c r="E1222" s="15"/>
      <c r="F1222" s="15"/>
      <c r="G1222" s="36"/>
      <c r="H1222" s="23" t="str">
        <f>IFERROR(__xludf.DUMMYFUNCTION("iferror(iferror(iferror(index(IMPORTRANGE(""1NK5L1mviMn0j3D3uo53ASkIZOFRlLnqaCTnwzOG2_Wg"",""Direct Link!B2:B""),MATCH($C1222,IMPORTRANGE(""1NK5L1mviMn0j3D3uo53ASkIZOFRlLnqaCTnwzOG2_Wg"",""Direct Link!A2:A""),0)),XLOOKUP($C1222,IMPORTRANGE(""1NK5L1mviMn0j"&amp;"3D3uo53ASkIZOFRlLnqaCTnwzOG2_Wg"",""Direct links Without Sizes!A2:A""),IMPORTRANGE(""1NK5L1mviMn0j3D3uo53ASkIZOFRlLnqaCTnwzOG2_Wg"",""Direct links Without Sizes!B2:B""))),XLOOKUP($C1222,IMPORTRANGE(""1NK5L1mviMn0j3D3uo53ASkIZOFRlLnqaCTnwzOG2_Wg"",""Direct"&amp;" links Without Sizes!D2:D""),IMPORTRANGE(""1NK5L1mviMn0j3D3uo53ASkIZOFRlLnqaCTnwzOG2_Wg"",""Direct links Without Sizes!E2:E""))),"""")"),"")</f>
        <v/>
      </c>
      <c r="I1222" s="4"/>
      <c r="J1222" s="24" t="str">
        <f t="shared" si="1"/>
        <v/>
      </c>
      <c r="K1222" s="25"/>
      <c r="L1222" s="24" t="str">
        <f t="shared" si="2"/>
        <v/>
      </c>
      <c r="M1222" s="4"/>
      <c r="N1222" s="23"/>
      <c r="O1222" s="23"/>
      <c r="P1222" s="23"/>
      <c r="Q1222" s="4" t="str">
        <f t="shared" si="4"/>
        <v/>
      </c>
      <c r="R1222" s="20"/>
      <c r="S1222" s="20"/>
    </row>
    <row r="1223">
      <c r="A1223" s="4"/>
      <c r="B1223" s="4"/>
      <c r="C1223" s="37"/>
      <c r="D1223" s="7" t="str">
        <f>IFERROR(__xludf.DUMMYFUNCTION("iferror(iferror(INDEX(IMPORTRANGE(""12vtnxaE_Q1s4tyr10kZQx7ZF_xG0lBFae4jQEUtgsMU"",""All!B2:B""),MATCH($C1223,IMPORTRANGE(""12vtnxaE_Q1s4tyr10kZQx7ZF_xG0lBFae4jQEUtgsMU"",""All!A2:A""),0)),INDEX(IMPORTRANGE(""13KC70HngS4DDi8y9E5khtSpQEPG6owaQ9z4E-tR5mnY"""&amp;",""Non-Food!B2:B""),MATCH($C1223,IMPORTRANGE(""13KC70HngS4DDi8y9E5khtSpQEPG6owaQ9z4E-tR5mnY"",""Non-Food!A2:A""),0))),"""")"),"")</f>
        <v/>
      </c>
      <c r="E1223" s="15"/>
      <c r="F1223" s="15"/>
      <c r="G1223" s="36"/>
      <c r="H1223" s="23" t="str">
        <f>IFERROR(__xludf.DUMMYFUNCTION("iferror(iferror(iferror(index(IMPORTRANGE(""1NK5L1mviMn0j3D3uo53ASkIZOFRlLnqaCTnwzOG2_Wg"",""Direct Link!B2:B""),MATCH($C1223,IMPORTRANGE(""1NK5L1mviMn0j3D3uo53ASkIZOFRlLnqaCTnwzOG2_Wg"",""Direct Link!A2:A""),0)),XLOOKUP($C1223,IMPORTRANGE(""1NK5L1mviMn0j"&amp;"3D3uo53ASkIZOFRlLnqaCTnwzOG2_Wg"",""Direct links Without Sizes!A2:A""),IMPORTRANGE(""1NK5L1mviMn0j3D3uo53ASkIZOFRlLnqaCTnwzOG2_Wg"",""Direct links Without Sizes!B2:B""))),XLOOKUP($C1223,IMPORTRANGE(""1NK5L1mviMn0j3D3uo53ASkIZOFRlLnqaCTnwzOG2_Wg"",""Direct"&amp;" links Without Sizes!D2:D""),IMPORTRANGE(""1NK5L1mviMn0j3D3uo53ASkIZOFRlLnqaCTnwzOG2_Wg"",""Direct links Without Sizes!E2:E""))),"""")"),"")</f>
        <v/>
      </c>
      <c r="I1223" s="4"/>
      <c r="J1223" s="24" t="str">
        <f t="shared" si="1"/>
        <v/>
      </c>
      <c r="K1223" s="25"/>
      <c r="L1223" s="24" t="str">
        <f t="shared" si="2"/>
        <v/>
      </c>
      <c r="M1223" s="4"/>
      <c r="N1223" s="23"/>
      <c r="O1223" s="23"/>
      <c r="P1223" s="23"/>
      <c r="Q1223" s="4" t="str">
        <f t="shared" si="4"/>
        <v/>
      </c>
      <c r="R1223" s="20"/>
      <c r="S1223" s="20"/>
    </row>
    <row r="1224">
      <c r="A1224" s="4"/>
      <c r="B1224" s="4"/>
      <c r="C1224" s="37"/>
      <c r="D1224" s="7" t="str">
        <f>IFERROR(__xludf.DUMMYFUNCTION("iferror(iferror(INDEX(IMPORTRANGE(""12vtnxaE_Q1s4tyr10kZQx7ZF_xG0lBFae4jQEUtgsMU"",""All!B2:B""),MATCH($C1224,IMPORTRANGE(""12vtnxaE_Q1s4tyr10kZQx7ZF_xG0lBFae4jQEUtgsMU"",""All!A2:A""),0)),INDEX(IMPORTRANGE(""13KC70HngS4DDi8y9E5khtSpQEPG6owaQ9z4E-tR5mnY"""&amp;",""Non-Food!B2:B""),MATCH($C1224,IMPORTRANGE(""13KC70HngS4DDi8y9E5khtSpQEPG6owaQ9z4E-tR5mnY"",""Non-Food!A2:A""),0))),"""")"),"")</f>
        <v/>
      </c>
      <c r="E1224" s="15"/>
      <c r="F1224" s="15"/>
      <c r="G1224" s="36"/>
      <c r="H1224" s="23" t="str">
        <f>IFERROR(__xludf.DUMMYFUNCTION("iferror(iferror(iferror(index(IMPORTRANGE(""1NK5L1mviMn0j3D3uo53ASkIZOFRlLnqaCTnwzOG2_Wg"",""Direct Link!B2:B""),MATCH($C1224,IMPORTRANGE(""1NK5L1mviMn0j3D3uo53ASkIZOFRlLnqaCTnwzOG2_Wg"",""Direct Link!A2:A""),0)),XLOOKUP($C1224,IMPORTRANGE(""1NK5L1mviMn0j"&amp;"3D3uo53ASkIZOFRlLnqaCTnwzOG2_Wg"",""Direct links Without Sizes!A2:A""),IMPORTRANGE(""1NK5L1mviMn0j3D3uo53ASkIZOFRlLnqaCTnwzOG2_Wg"",""Direct links Without Sizes!B2:B""))),XLOOKUP($C1224,IMPORTRANGE(""1NK5L1mviMn0j3D3uo53ASkIZOFRlLnqaCTnwzOG2_Wg"",""Direct"&amp;" links Without Sizes!D2:D""),IMPORTRANGE(""1NK5L1mviMn0j3D3uo53ASkIZOFRlLnqaCTnwzOG2_Wg"",""Direct links Without Sizes!E2:E""))),"""")"),"")</f>
        <v/>
      </c>
      <c r="I1224" s="4"/>
      <c r="J1224" s="24" t="str">
        <f t="shared" si="1"/>
        <v/>
      </c>
      <c r="K1224" s="25"/>
      <c r="L1224" s="24" t="str">
        <f t="shared" si="2"/>
        <v/>
      </c>
      <c r="M1224" s="4"/>
      <c r="N1224" s="23"/>
      <c r="O1224" s="23"/>
      <c r="P1224" s="23"/>
      <c r="Q1224" s="4" t="str">
        <f t="shared" si="4"/>
        <v/>
      </c>
      <c r="R1224" s="20"/>
      <c r="S1224" s="20"/>
    </row>
    <row r="1225">
      <c r="A1225" s="4"/>
      <c r="B1225" s="4"/>
      <c r="C1225" s="37"/>
      <c r="D1225" s="7" t="str">
        <f>IFERROR(__xludf.DUMMYFUNCTION("iferror(iferror(INDEX(IMPORTRANGE(""12vtnxaE_Q1s4tyr10kZQx7ZF_xG0lBFae4jQEUtgsMU"",""All!B2:B""),MATCH($C1225,IMPORTRANGE(""12vtnxaE_Q1s4tyr10kZQx7ZF_xG0lBFae4jQEUtgsMU"",""All!A2:A""),0)),INDEX(IMPORTRANGE(""13KC70HngS4DDi8y9E5khtSpQEPG6owaQ9z4E-tR5mnY"""&amp;",""Non-Food!B2:B""),MATCH($C1225,IMPORTRANGE(""13KC70HngS4DDi8y9E5khtSpQEPG6owaQ9z4E-tR5mnY"",""Non-Food!A2:A""),0))),"""")"),"")</f>
        <v/>
      </c>
      <c r="E1225" s="15"/>
      <c r="F1225" s="15"/>
      <c r="G1225" s="36"/>
      <c r="H1225" s="23" t="str">
        <f>IFERROR(__xludf.DUMMYFUNCTION("iferror(iferror(iferror(index(IMPORTRANGE(""1NK5L1mviMn0j3D3uo53ASkIZOFRlLnqaCTnwzOG2_Wg"",""Direct Link!B2:B""),MATCH($C1225,IMPORTRANGE(""1NK5L1mviMn0j3D3uo53ASkIZOFRlLnqaCTnwzOG2_Wg"",""Direct Link!A2:A""),0)),XLOOKUP($C1225,IMPORTRANGE(""1NK5L1mviMn0j"&amp;"3D3uo53ASkIZOFRlLnqaCTnwzOG2_Wg"",""Direct links Without Sizes!A2:A""),IMPORTRANGE(""1NK5L1mviMn0j3D3uo53ASkIZOFRlLnqaCTnwzOG2_Wg"",""Direct links Without Sizes!B2:B""))),XLOOKUP($C1225,IMPORTRANGE(""1NK5L1mviMn0j3D3uo53ASkIZOFRlLnqaCTnwzOG2_Wg"",""Direct"&amp;" links Without Sizes!D2:D""),IMPORTRANGE(""1NK5L1mviMn0j3D3uo53ASkIZOFRlLnqaCTnwzOG2_Wg"",""Direct links Without Sizes!E2:E""))),"""")"),"")</f>
        <v/>
      </c>
      <c r="I1225" s="4"/>
      <c r="J1225" s="24" t="str">
        <f t="shared" si="1"/>
        <v/>
      </c>
      <c r="K1225" s="25"/>
      <c r="L1225" s="24" t="str">
        <f t="shared" si="2"/>
        <v/>
      </c>
      <c r="M1225" s="4"/>
      <c r="N1225" s="23"/>
      <c r="O1225" s="23"/>
      <c r="P1225" s="23"/>
      <c r="Q1225" s="4" t="str">
        <f t="shared" si="4"/>
        <v/>
      </c>
      <c r="R1225" s="20"/>
      <c r="S1225" s="20"/>
    </row>
    <row r="1226">
      <c r="A1226" s="4"/>
      <c r="B1226" s="4"/>
      <c r="C1226" s="37"/>
      <c r="D1226" s="7" t="str">
        <f>IFERROR(__xludf.DUMMYFUNCTION("iferror(iferror(INDEX(IMPORTRANGE(""12vtnxaE_Q1s4tyr10kZQx7ZF_xG0lBFae4jQEUtgsMU"",""All!B2:B""),MATCH($C1226,IMPORTRANGE(""12vtnxaE_Q1s4tyr10kZQx7ZF_xG0lBFae4jQEUtgsMU"",""All!A2:A""),0)),INDEX(IMPORTRANGE(""13KC70HngS4DDi8y9E5khtSpQEPG6owaQ9z4E-tR5mnY"""&amp;",""Non-Food!B2:B""),MATCH($C1226,IMPORTRANGE(""13KC70HngS4DDi8y9E5khtSpQEPG6owaQ9z4E-tR5mnY"",""Non-Food!A2:A""),0))),"""")"),"")</f>
        <v/>
      </c>
      <c r="E1226" s="15"/>
      <c r="F1226" s="15"/>
      <c r="G1226" s="36"/>
      <c r="H1226" s="23" t="str">
        <f>IFERROR(__xludf.DUMMYFUNCTION("iferror(iferror(iferror(index(IMPORTRANGE(""1NK5L1mviMn0j3D3uo53ASkIZOFRlLnqaCTnwzOG2_Wg"",""Direct Link!B2:B""),MATCH($C1226,IMPORTRANGE(""1NK5L1mviMn0j3D3uo53ASkIZOFRlLnqaCTnwzOG2_Wg"",""Direct Link!A2:A""),0)),XLOOKUP($C1226,IMPORTRANGE(""1NK5L1mviMn0j"&amp;"3D3uo53ASkIZOFRlLnqaCTnwzOG2_Wg"",""Direct links Without Sizes!A2:A""),IMPORTRANGE(""1NK5L1mviMn0j3D3uo53ASkIZOFRlLnqaCTnwzOG2_Wg"",""Direct links Without Sizes!B2:B""))),XLOOKUP($C1226,IMPORTRANGE(""1NK5L1mviMn0j3D3uo53ASkIZOFRlLnqaCTnwzOG2_Wg"",""Direct"&amp;" links Without Sizes!D2:D""),IMPORTRANGE(""1NK5L1mviMn0j3D3uo53ASkIZOFRlLnqaCTnwzOG2_Wg"",""Direct links Without Sizes!E2:E""))),"""")"),"")</f>
        <v/>
      </c>
      <c r="I1226" s="4"/>
      <c r="J1226" s="24" t="str">
        <f t="shared" si="1"/>
        <v/>
      </c>
      <c r="K1226" s="25"/>
      <c r="L1226" s="24" t="str">
        <f t="shared" si="2"/>
        <v/>
      </c>
      <c r="M1226" s="4"/>
      <c r="N1226" s="23"/>
      <c r="O1226" s="23"/>
      <c r="P1226" s="23"/>
      <c r="Q1226" s="4" t="str">
        <f t="shared" si="4"/>
        <v/>
      </c>
      <c r="R1226" s="20"/>
      <c r="S1226" s="20"/>
    </row>
    <row r="1227">
      <c r="A1227" s="4"/>
      <c r="B1227" s="4"/>
      <c r="C1227" s="37"/>
      <c r="D1227" s="7" t="str">
        <f>IFERROR(__xludf.DUMMYFUNCTION("iferror(iferror(INDEX(IMPORTRANGE(""12vtnxaE_Q1s4tyr10kZQx7ZF_xG0lBFae4jQEUtgsMU"",""All!B2:B""),MATCH($C1227,IMPORTRANGE(""12vtnxaE_Q1s4tyr10kZQx7ZF_xG0lBFae4jQEUtgsMU"",""All!A2:A""),0)),INDEX(IMPORTRANGE(""13KC70HngS4DDi8y9E5khtSpQEPG6owaQ9z4E-tR5mnY"""&amp;",""Non-Food!B2:B""),MATCH($C1227,IMPORTRANGE(""13KC70HngS4DDi8y9E5khtSpQEPG6owaQ9z4E-tR5mnY"",""Non-Food!A2:A""),0))),"""")"),"")</f>
        <v/>
      </c>
      <c r="E1227" s="15"/>
      <c r="F1227" s="15"/>
      <c r="G1227" s="36"/>
      <c r="H1227" s="23" t="str">
        <f>IFERROR(__xludf.DUMMYFUNCTION("iferror(iferror(iferror(index(IMPORTRANGE(""1NK5L1mviMn0j3D3uo53ASkIZOFRlLnqaCTnwzOG2_Wg"",""Direct Link!B2:B""),MATCH($C1227,IMPORTRANGE(""1NK5L1mviMn0j3D3uo53ASkIZOFRlLnqaCTnwzOG2_Wg"",""Direct Link!A2:A""),0)),XLOOKUP($C1227,IMPORTRANGE(""1NK5L1mviMn0j"&amp;"3D3uo53ASkIZOFRlLnqaCTnwzOG2_Wg"",""Direct links Without Sizes!A2:A""),IMPORTRANGE(""1NK5L1mviMn0j3D3uo53ASkIZOFRlLnqaCTnwzOG2_Wg"",""Direct links Without Sizes!B2:B""))),XLOOKUP($C1227,IMPORTRANGE(""1NK5L1mviMn0j3D3uo53ASkIZOFRlLnqaCTnwzOG2_Wg"",""Direct"&amp;" links Without Sizes!D2:D""),IMPORTRANGE(""1NK5L1mviMn0j3D3uo53ASkIZOFRlLnqaCTnwzOG2_Wg"",""Direct links Without Sizes!E2:E""))),"""")"),"")</f>
        <v/>
      </c>
      <c r="I1227" s="4"/>
      <c r="J1227" s="24" t="str">
        <f t="shared" si="1"/>
        <v/>
      </c>
      <c r="K1227" s="25"/>
      <c r="L1227" s="24" t="str">
        <f t="shared" si="2"/>
        <v/>
      </c>
      <c r="M1227" s="4"/>
      <c r="N1227" s="23"/>
      <c r="O1227" s="23"/>
      <c r="P1227" s="23"/>
      <c r="Q1227" s="4" t="str">
        <f t="shared" si="4"/>
        <v/>
      </c>
      <c r="R1227" s="20"/>
      <c r="S1227" s="20"/>
    </row>
    <row r="1228">
      <c r="A1228" s="4"/>
      <c r="B1228" s="4"/>
      <c r="C1228" s="37"/>
      <c r="D1228" s="7" t="str">
        <f>IFERROR(__xludf.DUMMYFUNCTION("iferror(iferror(INDEX(IMPORTRANGE(""12vtnxaE_Q1s4tyr10kZQx7ZF_xG0lBFae4jQEUtgsMU"",""All!B2:B""),MATCH($C1228,IMPORTRANGE(""12vtnxaE_Q1s4tyr10kZQx7ZF_xG0lBFae4jQEUtgsMU"",""All!A2:A""),0)),INDEX(IMPORTRANGE(""13KC70HngS4DDi8y9E5khtSpQEPG6owaQ9z4E-tR5mnY"""&amp;",""Non-Food!B2:B""),MATCH($C1228,IMPORTRANGE(""13KC70HngS4DDi8y9E5khtSpQEPG6owaQ9z4E-tR5mnY"",""Non-Food!A2:A""),0))),"""")"),"")</f>
        <v/>
      </c>
      <c r="E1228" s="15"/>
      <c r="F1228" s="15"/>
      <c r="G1228" s="36"/>
      <c r="H1228" s="23" t="str">
        <f>IFERROR(__xludf.DUMMYFUNCTION("iferror(iferror(iferror(index(IMPORTRANGE(""1NK5L1mviMn0j3D3uo53ASkIZOFRlLnqaCTnwzOG2_Wg"",""Direct Link!B2:B""),MATCH($C1228,IMPORTRANGE(""1NK5L1mviMn0j3D3uo53ASkIZOFRlLnqaCTnwzOG2_Wg"",""Direct Link!A2:A""),0)),XLOOKUP($C1228,IMPORTRANGE(""1NK5L1mviMn0j"&amp;"3D3uo53ASkIZOFRlLnqaCTnwzOG2_Wg"",""Direct links Without Sizes!A2:A""),IMPORTRANGE(""1NK5L1mviMn0j3D3uo53ASkIZOFRlLnqaCTnwzOG2_Wg"",""Direct links Without Sizes!B2:B""))),XLOOKUP($C1228,IMPORTRANGE(""1NK5L1mviMn0j3D3uo53ASkIZOFRlLnqaCTnwzOG2_Wg"",""Direct"&amp;" links Without Sizes!D2:D""),IMPORTRANGE(""1NK5L1mviMn0j3D3uo53ASkIZOFRlLnqaCTnwzOG2_Wg"",""Direct links Without Sizes!E2:E""))),"""")"),"")</f>
        <v/>
      </c>
      <c r="I1228" s="4"/>
      <c r="J1228" s="24" t="str">
        <f t="shared" si="1"/>
        <v/>
      </c>
      <c r="K1228" s="25"/>
      <c r="L1228" s="24" t="str">
        <f t="shared" si="2"/>
        <v/>
      </c>
      <c r="M1228" s="4"/>
      <c r="N1228" s="23"/>
      <c r="O1228" s="23"/>
      <c r="P1228" s="23"/>
      <c r="Q1228" s="4" t="str">
        <f t="shared" si="4"/>
        <v/>
      </c>
      <c r="R1228" s="20"/>
      <c r="S1228" s="20"/>
    </row>
    <row r="1229">
      <c r="A1229" s="4"/>
      <c r="B1229" s="4"/>
      <c r="C1229" s="37"/>
      <c r="D1229" s="7" t="str">
        <f>IFERROR(__xludf.DUMMYFUNCTION("iferror(iferror(INDEX(IMPORTRANGE(""12vtnxaE_Q1s4tyr10kZQx7ZF_xG0lBFae4jQEUtgsMU"",""All!B2:B""),MATCH($C1229,IMPORTRANGE(""12vtnxaE_Q1s4tyr10kZQx7ZF_xG0lBFae4jQEUtgsMU"",""All!A2:A""),0)),INDEX(IMPORTRANGE(""13KC70HngS4DDi8y9E5khtSpQEPG6owaQ9z4E-tR5mnY"""&amp;",""Non-Food!B2:B""),MATCH($C1229,IMPORTRANGE(""13KC70HngS4DDi8y9E5khtSpQEPG6owaQ9z4E-tR5mnY"",""Non-Food!A2:A""),0))),"""")"),"")</f>
        <v/>
      </c>
      <c r="E1229" s="15"/>
      <c r="F1229" s="15"/>
      <c r="G1229" s="36"/>
      <c r="H1229" s="23" t="str">
        <f>IFERROR(__xludf.DUMMYFUNCTION("iferror(iferror(iferror(index(IMPORTRANGE(""1NK5L1mviMn0j3D3uo53ASkIZOFRlLnqaCTnwzOG2_Wg"",""Direct Link!B2:B""),MATCH($C1229,IMPORTRANGE(""1NK5L1mviMn0j3D3uo53ASkIZOFRlLnqaCTnwzOG2_Wg"",""Direct Link!A2:A""),0)),XLOOKUP($C1229,IMPORTRANGE(""1NK5L1mviMn0j"&amp;"3D3uo53ASkIZOFRlLnqaCTnwzOG2_Wg"",""Direct links Without Sizes!A2:A""),IMPORTRANGE(""1NK5L1mviMn0j3D3uo53ASkIZOFRlLnqaCTnwzOG2_Wg"",""Direct links Without Sizes!B2:B""))),XLOOKUP($C1229,IMPORTRANGE(""1NK5L1mviMn0j3D3uo53ASkIZOFRlLnqaCTnwzOG2_Wg"",""Direct"&amp;" links Without Sizes!D2:D""),IMPORTRANGE(""1NK5L1mviMn0j3D3uo53ASkIZOFRlLnqaCTnwzOG2_Wg"",""Direct links Without Sizes!E2:E""))),"""")"),"")</f>
        <v/>
      </c>
      <c r="I1229" s="4"/>
      <c r="J1229" s="24" t="str">
        <f t="shared" si="1"/>
        <v/>
      </c>
      <c r="K1229" s="25"/>
      <c r="L1229" s="24" t="str">
        <f t="shared" si="2"/>
        <v/>
      </c>
      <c r="M1229" s="4"/>
      <c r="N1229" s="23"/>
      <c r="O1229" s="23"/>
      <c r="P1229" s="23"/>
      <c r="Q1229" s="4" t="str">
        <f t="shared" si="4"/>
        <v/>
      </c>
      <c r="R1229" s="20"/>
      <c r="S1229" s="20"/>
    </row>
    <row r="1230">
      <c r="A1230" s="4"/>
      <c r="B1230" s="4"/>
      <c r="C1230" s="37"/>
      <c r="D1230" s="7" t="str">
        <f>IFERROR(__xludf.DUMMYFUNCTION("iferror(iferror(INDEX(IMPORTRANGE(""12vtnxaE_Q1s4tyr10kZQx7ZF_xG0lBFae4jQEUtgsMU"",""All!B2:B""),MATCH($C1230,IMPORTRANGE(""12vtnxaE_Q1s4tyr10kZQx7ZF_xG0lBFae4jQEUtgsMU"",""All!A2:A""),0)),INDEX(IMPORTRANGE(""13KC70HngS4DDi8y9E5khtSpQEPG6owaQ9z4E-tR5mnY"""&amp;",""Non-Food!B2:B""),MATCH($C1230,IMPORTRANGE(""13KC70HngS4DDi8y9E5khtSpQEPG6owaQ9z4E-tR5mnY"",""Non-Food!A2:A""),0))),"""")"),"")</f>
        <v/>
      </c>
      <c r="E1230" s="15"/>
      <c r="F1230" s="15"/>
      <c r="G1230" s="36"/>
      <c r="H1230" s="23" t="str">
        <f>IFERROR(__xludf.DUMMYFUNCTION("iferror(iferror(iferror(index(IMPORTRANGE(""1NK5L1mviMn0j3D3uo53ASkIZOFRlLnqaCTnwzOG2_Wg"",""Direct Link!B2:B""),MATCH($C1230,IMPORTRANGE(""1NK5L1mviMn0j3D3uo53ASkIZOFRlLnqaCTnwzOG2_Wg"",""Direct Link!A2:A""),0)),XLOOKUP($C1230,IMPORTRANGE(""1NK5L1mviMn0j"&amp;"3D3uo53ASkIZOFRlLnqaCTnwzOG2_Wg"",""Direct links Without Sizes!A2:A""),IMPORTRANGE(""1NK5L1mviMn0j3D3uo53ASkIZOFRlLnqaCTnwzOG2_Wg"",""Direct links Without Sizes!B2:B""))),XLOOKUP($C1230,IMPORTRANGE(""1NK5L1mviMn0j3D3uo53ASkIZOFRlLnqaCTnwzOG2_Wg"",""Direct"&amp;" links Without Sizes!D2:D""),IMPORTRANGE(""1NK5L1mviMn0j3D3uo53ASkIZOFRlLnqaCTnwzOG2_Wg"",""Direct links Without Sizes!E2:E""))),"""")"),"")</f>
        <v/>
      </c>
      <c r="I1230" s="4"/>
      <c r="J1230" s="24" t="str">
        <f t="shared" si="1"/>
        <v/>
      </c>
      <c r="K1230" s="25"/>
      <c r="L1230" s="24" t="str">
        <f t="shared" si="2"/>
        <v/>
      </c>
      <c r="M1230" s="4"/>
      <c r="N1230" s="23"/>
      <c r="O1230" s="23"/>
      <c r="P1230" s="23"/>
      <c r="Q1230" s="4" t="str">
        <f t="shared" si="4"/>
        <v/>
      </c>
      <c r="R1230" s="20"/>
      <c r="S1230" s="20"/>
    </row>
    <row r="1231">
      <c r="A1231" s="4"/>
      <c r="B1231" s="4"/>
      <c r="C1231" s="37"/>
      <c r="D1231" s="7" t="str">
        <f>IFERROR(__xludf.DUMMYFUNCTION("iferror(iferror(INDEX(IMPORTRANGE(""12vtnxaE_Q1s4tyr10kZQx7ZF_xG0lBFae4jQEUtgsMU"",""All!B2:B""),MATCH($C1231,IMPORTRANGE(""12vtnxaE_Q1s4tyr10kZQx7ZF_xG0lBFae4jQEUtgsMU"",""All!A2:A""),0)),INDEX(IMPORTRANGE(""13KC70HngS4DDi8y9E5khtSpQEPG6owaQ9z4E-tR5mnY"""&amp;",""Non-Food!B2:B""),MATCH($C1231,IMPORTRANGE(""13KC70HngS4DDi8y9E5khtSpQEPG6owaQ9z4E-tR5mnY"",""Non-Food!A2:A""),0))),"""")"),"")</f>
        <v/>
      </c>
      <c r="E1231" s="15"/>
      <c r="F1231" s="15"/>
      <c r="G1231" s="36"/>
      <c r="H1231" s="23" t="str">
        <f>IFERROR(__xludf.DUMMYFUNCTION("iferror(iferror(iferror(index(IMPORTRANGE(""1NK5L1mviMn0j3D3uo53ASkIZOFRlLnqaCTnwzOG2_Wg"",""Direct Link!B2:B""),MATCH($C1231,IMPORTRANGE(""1NK5L1mviMn0j3D3uo53ASkIZOFRlLnqaCTnwzOG2_Wg"",""Direct Link!A2:A""),0)),XLOOKUP($C1231,IMPORTRANGE(""1NK5L1mviMn0j"&amp;"3D3uo53ASkIZOFRlLnqaCTnwzOG2_Wg"",""Direct links Without Sizes!A2:A""),IMPORTRANGE(""1NK5L1mviMn0j3D3uo53ASkIZOFRlLnqaCTnwzOG2_Wg"",""Direct links Without Sizes!B2:B""))),XLOOKUP($C1231,IMPORTRANGE(""1NK5L1mviMn0j3D3uo53ASkIZOFRlLnqaCTnwzOG2_Wg"",""Direct"&amp;" links Without Sizes!D2:D""),IMPORTRANGE(""1NK5L1mviMn0j3D3uo53ASkIZOFRlLnqaCTnwzOG2_Wg"",""Direct links Without Sizes!E2:E""))),"""")"),"")</f>
        <v/>
      </c>
      <c r="I1231" s="4"/>
      <c r="J1231" s="24" t="str">
        <f t="shared" si="1"/>
        <v/>
      </c>
      <c r="K1231" s="25"/>
      <c r="L1231" s="24" t="str">
        <f t="shared" si="2"/>
        <v/>
      </c>
      <c r="M1231" s="4"/>
      <c r="N1231" s="23"/>
      <c r="O1231" s="23"/>
      <c r="P1231" s="23"/>
      <c r="Q1231" s="4" t="str">
        <f t="shared" si="4"/>
        <v/>
      </c>
      <c r="R1231" s="20"/>
      <c r="S1231" s="20"/>
    </row>
    <row r="1232">
      <c r="A1232" s="4"/>
      <c r="B1232" s="4"/>
      <c r="C1232" s="37"/>
      <c r="D1232" s="7" t="str">
        <f>IFERROR(__xludf.DUMMYFUNCTION("iferror(iferror(INDEX(IMPORTRANGE(""12vtnxaE_Q1s4tyr10kZQx7ZF_xG0lBFae4jQEUtgsMU"",""All!B2:B""),MATCH($C1232,IMPORTRANGE(""12vtnxaE_Q1s4tyr10kZQx7ZF_xG0lBFae4jQEUtgsMU"",""All!A2:A""),0)),INDEX(IMPORTRANGE(""13KC70HngS4DDi8y9E5khtSpQEPG6owaQ9z4E-tR5mnY"""&amp;",""Non-Food!B2:B""),MATCH($C1232,IMPORTRANGE(""13KC70HngS4DDi8y9E5khtSpQEPG6owaQ9z4E-tR5mnY"",""Non-Food!A2:A""),0))),"""")"),"")</f>
        <v/>
      </c>
      <c r="E1232" s="15"/>
      <c r="F1232" s="15"/>
      <c r="G1232" s="36"/>
      <c r="H1232" s="23" t="str">
        <f>IFERROR(__xludf.DUMMYFUNCTION("iferror(iferror(iferror(index(IMPORTRANGE(""1NK5L1mviMn0j3D3uo53ASkIZOFRlLnqaCTnwzOG2_Wg"",""Direct Link!B2:B""),MATCH($C1232,IMPORTRANGE(""1NK5L1mviMn0j3D3uo53ASkIZOFRlLnqaCTnwzOG2_Wg"",""Direct Link!A2:A""),0)),XLOOKUP($C1232,IMPORTRANGE(""1NK5L1mviMn0j"&amp;"3D3uo53ASkIZOFRlLnqaCTnwzOG2_Wg"",""Direct links Without Sizes!A2:A""),IMPORTRANGE(""1NK5L1mviMn0j3D3uo53ASkIZOFRlLnqaCTnwzOG2_Wg"",""Direct links Without Sizes!B2:B""))),XLOOKUP($C1232,IMPORTRANGE(""1NK5L1mviMn0j3D3uo53ASkIZOFRlLnqaCTnwzOG2_Wg"",""Direct"&amp;" links Without Sizes!D2:D""),IMPORTRANGE(""1NK5L1mviMn0j3D3uo53ASkIZOFRlLnqaCTnwzOG2_Wg"",""Direct links Without Sizes!E2:E""))),"""")"),"")</f>
        <v/>
      </c>
      <c r="I1232" s="4"/>
      <c r="J1232" s="24" t="str">
        <f t="shared" si="1"/>
        <v/>
      </c>
      <c r="K1232" s="25"/>
      <c r="L1232" s="24" t="str">
        <f t="shared" si="2"/>
        <v/>
      </c>
      <c r="M1232" s="4"/>
      <c r="N1232" s="23"/>
      <c r="O1232" s="23"/>
      <c r="P1232" s="23"/>
      <c r="Q1232" s="4" t="str">
        <f t="shared" si="4"/>
        <v/>
      </c>
      <c r="R1232" s="20"/>
      <c r="S1232" s="20"/>
    </row>
    <row r="1233">
      <c r="A1233" s="4"/>
      <c r="B1233" s="4"/>
      <c r="C1233" s="37"/>
      <c r="D1233" s="7" t="str">
        <f>IFERROR(__xludf.DUMMYFUNCTION("iferror(iferror(INDEX(IMPORTRANGE(""12vtnxaE_Q1s4tyr10kZQx7ZF_xG0lBFae4jQEUtgsMU"",""All!B2:B""),MATCH($C1233,IMPORTRANGE(""12vtnxaE_Q1s4tyr10kZQx7ZF_xG0lBFae4jQEUtgsMU"",""All!A2:A""),0)),INDEX(IMPORTRANGE(""13KC70HngS4DDi8y9E5khtSpQEPG6owaQ9z4E-tR5mnY"""&amp;",""Non-Food!B2:B""),MATCH($C1233,IMPORTRANGE(""13KC70HngS4DDi8y9E5khtSpQEPG6owaQ9z4E-tR5mnY"",""Non-Food!A2:A""),0))),"""")"),"")</f>
        <v/>
      </c>
      <c r="E1233" s="15"/>
      <c r="F1233" s="15"/>
      <c r="G1233" s="36"/>
      <c r="H1233" s="23" t="str">
        <f>IFERROR(__xludf.DUMMYFUNCTION("iferror(iferror(iferror(index(IMPORTRANGE(""1NK5L1mviMn0j3D3uo53ASkIZOFRlLnqaCTnwzOG2_Wg"",""Direct Link!B2:B""),MATCH($C1233,IMPORTRANGE(""1NK5L1mviMn0j3D3uo53ASkIZOFRlLnqaCTnwzOG2_Wg"",""Direct Link!A2:A""),0)),XLOOKUP($C1233,IMPORTRANGE(""1NK5L1mviMn0j"&amp;"3D3uo53ASkIZOFRlLnqaCTnwzOG2_Wg"",""Direct links Without Sizes!A2:A""),IMPORTRANGE(""1NK5L1mviMn0j3D3uo53ASkIZOFRlLnqaCTnwzOG2_Wg"",""Direct links Without Sizes!B2:B""))),XLOOKUP($C1233,IMPORTRANGE(""1NK5L1mviMn0j3D3uo53ASkIZOFRlLnqaCTnwzOG2_Wg"",""Direct"&amp;" links Without Sizes!D2:D""),IMPORTRANGE(""1NK5L1mviMn0j3D3uo53ASkIZOFRlLnqaCTnwzOG2_Wg"",""Direct links Without Sizes!E2:E""))),"""")"),"")</f>
        <v/>
      </c>
      <c r="I1233" s="4"/>
      <c r="J1233" s="24" t="str">
        <f t="shared" si="1"/>
        <v/>
      </c>
      <c r="K1233" s="25"/>
      <c r="L1233" s="24" t="str">
        <f t="shared" si="2"/>
        <v/>
      </c>
      <c r="M1233" s="4"/>
      <c r="N1233" s="23"/>
      <c r="O1233" s="23"/>
      <c r="P1233" s="23"/>
      <c r="Q1233" s="4" t="str">
        <f t="shared" si="4"/>
        <v/>
      </c>
      <c r="R1233" s="20"/>
      <c r="S1233" s="20"/>
    </row>
    <row r="1234">
      <c r="A1234" s="4"/>
      <c r="B1234" s="4"/>
      <c r="C1234" s="37"/>
      <c r="D1234" s="7" t="str">
        <f>IFERROR(__xludf.DUMMYFUNCTION("iferror(iferror(INDEX(IMPORTRANGE(""12vtnxaE_Q1s4tyr10kZQx7ZF_xG0lBFae4jQEUtgsMU"",""All!B2:B""),MATCH($C1234,IMPORTRANGE(""12vtnxaE_Q1s4tyr10kZQx7ZF_xG0lBFae4jQEUtgsMU"",""All!A2:A""),0)),INDEX(IMPORTRANGE(""13KC70HngS4DDi8y9E5khtSpQEPG6owaQ9z4E-tR5mnY"""&amp;",""Non-Food!B2:B""),MATCH($C1234,IMPORTRANGE(""13KC70HngS4DDi8y9E5khtSpQEPG6owaQ9z4E-tR5mnY"",""Non-Food!A2:A""),0))),"""")"),"")</f>
        <v/>
      </c>
      <c r="E1234" s="15"/>
      <c r="F1234" s="15"/>
      <c r="G1234" s="36"/>
      <c r="H1234" s="23" t="str">
        <f>IFERROR(__xludf.DUMMYFUNCTION("iferror(iferror(iferror(index(IMPORTRANGE(""1NK5L1mviMn0j3D3uo53ASkIZOFRlLnqaCTnwzOG2_Wg"",""Direct Link!B2:B""),MATCH($C1234,IMPORTRANGE(""1NK5L1mviMn0j3D3uo53ASkIZOFRlLnqaCTnwzOG2_Wg"",""Direct Link!A2:A""),0)),XLOOKUP($C1234,IMPORTRANGE(""1NK5L1mviMn0j"&amp;"3D3uo53ASkIZOFRlLnqaCTnwzOG2_Wg"",""Direct links Without Sizes!A2:A""),IMPORTRANGE(""1NK5L1mviMn0j3D3uo53ASkIZOFRlLnqaCTnwzOG2_Wg"",""Direct links Without Sizes!B2:B""))),XLOOKUP($C1234,IMPORTRANGE(""1NK5L1mviMn0j3D3uo53ASkIZOFRlLnqaCTnwzOG2_Wg"",""Direct"&amp;" links Without Sizes!D2:D""),IMPORTRANGE(""1NK5L1mviMn0j3D3uo53ASkIZOFRlLnqaCTnwzOG2_Wg"",""Direct links Without Sizes!E2:E""))),"""")"),"")</f>
        <v/>
      </c>
      <c r="I1234" s="4"/>
      <c r="J1234" s="24" t="str">
        <f t="shared" si="1"/>
        <v/>
      </c>
      <c r="K1234" s="25"/>
      <c r="L1234" s="24" t="str">
        <f t="shared" si="2"/>
        <v/>
      </c>
      <c r="M1234" s="4"/>
      <c r="N1234" s="23"/>
      <c r="O1234" s="23"/>
      <c r="P1234" s="23"/>
      <c r="Q1234" s="4" t="str">
        <f t="shared" si="4"/>
        <v/>
      </c>
      <c r="R1234" s="20"/>
      <c r="S1234" s="20"/>
    </row>
    <row r="1235">
      <c r="A1235" s="4"/>
      <c r="B1235" s="4"/>
      <c r="C1235" s="37"/>
      <c r="D1235" s="7" t="str">
        <f>IFERROR(__xludf.DUMMYFUNCTION("iferror(iferror(INDEX(IMPORTRANGE(""12vtnxaE_Q1s4tyr10kZQx7ZF_xG0lBFae4jQEUtgsMU"",""All!B2:B""),MATCH($C1235,IMPORTRANGE(""12vtnxaE_Q1s4tyr10kZQx7ZF_xG0lBFae4jQEUtgsMU"",""All!A2:A""),0)),INDEX(IMPORTRANGE(""13KC70HngS4DDi8y9E5khtSpQEPG6owaQ9z4E-tR5mnY"""&amp;",""Non-Food!B2:B""),MATCH($C1235,IMPORTRANGE(""13KC70HngS4DDi8y9E5khtSpQEPG6owaQ9z4E-tR5mnY"",""Non-Food!A2:A""),0))),"""")"),"")</f>
        <v/>
      </c>
      <c r="E1235" s="15"/>
      <c r="F1235" s="15"/>
      <c r="G1235" s="36"/>
      <c r="H1235" s="23" t="str">
        <f>IFERROR(__xludf.DUMMYFUNCTION("iferror(iferror(iferror(index(IMPORTRANGE(""1NK5L1mviMn0j3D3uo53ASkIZOFRlLnqaCTnwzOG2_Wg"",""Direct Link!B2:B""),MATCH($C1235,IMPORTRANGE(""1NK5L1mviMn0j3D3uo53ASkIZOFRlLnqaCTnwzOG2_Wg"",""Direct Link!A2:A""),0)),XLOOKUP($C1235,IMPORTRANGE(""1NK5L1mviMn0j"&amp;"3D3uo53ASkIZOFRlLnqaCTnwzOG2_Wg"",""Direct links Without Sizes!A2:A""),IMPORTRANGE(""1NK5L1mviMn0j3D3uo53ASkIZOFRlLnqaCTnwzOG2_Wg"",""Direct links Without Sizes!B2:B""))),XLOOKUP($C1235,IMPORTRANGE(""1NK5L1mviMn0j3D3uo53ASkIZOFRlLnqaCTnwzOG2_Wg"",""Direct"&amp;" links Without Sizes!D2:D""),IMPORTRANGE(""1NK5L1mviMn0j3D3uo53ASkIZOFRlLnqaCTnwzOG2_Wg"",""Direct links Without Sizes!E2:E""))),"""")"),"")</f>
        <v/>
      </c>
      <c r="I1235" s="4"/>
      <c r="J1235" s="24" t="str">
        <f t="shared" si="1"/>
        <v/>
      </c>
      <c r="K1235" s="25"/>
      <c r="L1235" s="24" t="str">
        <f t="shared" si="2"/>
        <v/>
      </c>
      <c r="M1235" s="4"/>
      <c r="N1235" s="23"/>
      <c r="O1235" s="23"/>
      <c r="P1235" s="23"/>
      <c r="Q1235" s="4" t="str">
        <f t="shared" si="4"/>
        <v/>
      </c>
      <c r="R1235" s="20"/>
      <c r="S1235" s="20"/>
    </row>
    <row r="1236">
      <c r="A1236" s="4"/>
      <c r="B1236" s="4"/>
      <c r="C1236" s="37"/>
      <c r="D1236" s="7" t="str">
        <f>IFERROR(__xludf.DUMMYFUNCTION("iferror(iferror(INDEX(IMPORTRANGE(""12vtnxaE_Q1s4tyr10kZQx7ZF_xG0lBFae4jQEUtgsMU"",""All!B2:B""),MATCH($C1236,IMPORTRANGE(""12vtnxaE_Q1s4tyr10kZQx7ZF_xG0lBFae4jQEUtgsMU"",""All!A2:A""),0)),INDEX(IMPORTRANGE(""13KC70HngS4DDi8y9E5khtSpQEPG6owaQ9z4E-tR5mnY"""&amp;",""Non-Food!B2:B""),MATCH($C1236,IMPORTRANGE(""13KC70HngS4DDi8y9E5khtSpQEPG6owaQ9z4E-tR5mnY"",""Non-Food!A2:A""),0))),"""")"),"")</f>
        <v/>
      </c>
      <c r="E1236" s="15"/>
      <c r="F1236" s="15"/>
      <c r="G1236" s="36"/>
      <c r="H1236" s="23" t="str">
        <f>IFERROR(__xludf.DUMMYFUNCTION("iferror(iferror(iferror(index(IMPORTRANGE(""1NK5L1mviMn0j3D3uo53ASkIZOFRlLnqaCTnwzOG2_Wg"",""Direct Link!B2:B""),MATCH($C1236,IMPORTRANGE(""1NK5L1mviMn0j3D3uo53ASkIZOFRlLnqaCTnwzOG2_Wg"",""Direct Link!A2:A""),0)),XLOOKUP($C1236,IMPORTRANGE(""1NK5L1mviMn0j"&amp;"3D3uo53ASkIZOFRlLnqaCTnwzOG2_Wg"",""Direct links Without Sizes!A2:A""),IMPORTRANGE(""1NK5L1mviMn0j3D3uo53ASkIZOFRlLnqaCTnwzOG2_Wg"",""Direct links Without Sizes!B2:B""))),XLOOKUP($C1236,IMPORTRANGE(""1NK5L1mviMn0j3D3uo53ASkIZOFRlLnqaCTnwzOG2_Wg"",""Direct"&amp;" links Without Sizes!D2:D""),IMPORTRANGE(""1NK5L1mviMn0j3D3uo53ASkIZOFRlLnqaCTnwzOG2_Wg"",""Direct links Without Sizes!E2:E""))),"""")"),"")</f>
        <v/>
      </c>
      <c r="I1236" s="4"/>
      <c r="J1236" s="24" t="str">
        <f t="shared" si="1"/>
        <v/>
      </c>
      <c r="K1236" s="25"/>
      <c r="L1236" s="24" t="str">
        <f t="shared" si="2"/>
        <v/>
      </c>
      <c r="M1236" s="4"/>
      <c r="N1236" s="23"/>
      <c r="O1236" s="23"/>
      <c r="P1236" s="23"/>
      <c r="Q1236" s="4" t="str">
        <f t="shared" si="4"/>
        <v/>
      </c>
      <c r="R1236" s="20"/>
      <c r="S1236" s="20"/>
    </row>
    <row r="1237">
      <c r="A1237" s="4"/>
      <c r="B1237" s="4"/>
      <c r="C1237" s="37"/>
      <c r="D1237" s="7" t="str">
        <f>IFERROR(__xludf.DUMMYFUNCTION("iferror(iferror(INDEX(IMPORTRANGE(""12vtnxaE_Q1s4tyr10kZQx7ZF_xG0lBFae4jQEUtgsMU"",""All!B2:B""),MATCH($C1237,IMPORTRANGE(""12vtnxaE_Q1s4tyr10kZQx7ZF_xG0lBFae4jQEUtgsMU"",""All!A2:A""),0)),INDEX(IMPORTRANGE(""13KC70HngS4DDi8y9E5khtSpQEPG6owaQ9z4E-tR5mnY"""&amp;",""Non-Food!B2:B""),MATCH($C1237,IMPORTRANGE(""13KC70HngS4DDi8y9E5khtSpQEPG6owaQ9z4E-tR5mnY"",""Non-Food!A2:A""),0))),"""")"),"")</f>
        <v/>
      </c>
      <c r="E1237" s="15"/>
      <c r="F1237" s="15"/>
      <c r="G1237" s="36"/>
      <c r="H1237" s="23" t="str">
        <f>IFERROR(__xludf.DUMMYFUNCTION("iferror(iferror(iferror(index(IMPORTRANGE(""1NK5L1mviMn0j3D3uo53ASkIZOFRlLnqaCTnwzOG2_Wg"",""Direct Link!B2:B""),MATCH($C1237,IMPORTRANGE(""1NK5L1mviMn0j3D3uo53ASkIZOFRlLnqaCTnwzOG2_Wg"",""Direct Link!A2:A""),0)),XLOOKUP($C1237,IMPORTRANGE(""1NK5L1mviMn0j"&amp;"3D3uo53ASkIZOFRlLnqaCTnwzOG2_Wg"",""Direct links Without Sizes!A2:A""),IMPORTRANGE(""1NK5L1mviMn0j3D3uo53ASkIZOFRlLnqaCTnwzOG2_Wg"",""Direct links Without Sizes!B2:B""))),XLOOKUP($C1237,IMPORTRANGE(""1NK5L1mviMn0j3D3uo53ASkIZOFRlLnqaCTnwzOG2_Wg"",""Direct"&amp;" links Without Sizes!D2:D""),IMPORTRANGE(""1NK5L1mviMn0j3D3uo53ASkIZOFRlLnqaCTnwzOG2_Wg"",""Direct links Without Sizes!E2:E""))),"""")"),"")</f>
        <v/>
      </c>
      <c r="I1237" s="4"/>
      <c r="J1237" s="24" t="str">
        <f t="shared" si="1"/>
        <v/>
      </c>
      <c r="K1237" s="25"/>
      <c r="L1237" s="24" t="str">
        <f t="shared" si="2"/>
        <v/>
      </c>
      <c r="M1237" s="4"/>
      <c r="N1237" s="23"/>
      <c r="O1237" s="23"/>
      <c r="P1237" s="23"/>
      <c r="Q1237" s="4" t="str">
        <f t="shared" si="4"/>
        <v/>
      </c>
      <c r="R1237" s="20"/>
      <c r="S1237" s="20"/>
    </row>
    <row r="1238">
      <c r="A1238" s="4"/>
      <c r="B1238" s="4"/>
      <c r="C1238" s="37"/>
      <c r="D1238" s="7" t="str">
        <f>IFERROR(__xludf.DUMMYFUNCTION("iferror(iferror(INDEX(IMPORTRANGE(""12vtnxaE_Q1s4tyr10kZQx7ZF_xG0lBFae4jQEUtgsMU"",""All!B2:B""),MATCH($C1238,IMPORTRANGE(""12vtnxaE_Q1s4tyr10kZQx7ZF_xG0lBFae4jQEUtgsMU"",""All!A2:A""),0)),INDEX(IMPORTRANGE(""13KC70HngS4DDi8y9E5khtSpQEPG6owaQ9z4E-tR5mnY"""&amp;",""Non-Food!B2:B""),MATCH($C1238,IMPORTRANGE(""13KC70HngS4DDi8y9E5khtSpQEPG6owaQ9z4E-tR5mnY"",""Non-Food!A2:A""),0))),"""")"),"")</f>
        <v/>
      </c>
      <c r="E1238" s="15"/>
      <c r="F1238" s="15"/>
      <c r="G1238" s="36"/>
      <c r="H1238" s="23" t="str">
        <f>IFERROR(__xludf.DUMMYFUNCTION("iferror(iferror(iferror(index(IMPORTRANGE(""1NK5L1mviMn0j3D3uo53ASkIZOFRlLnqaCTnwzOG2_Wg"",""Direct Link!B2:B""),MATCH($C1238,IMPORTRANGE(""1NK5L1mviMn0j3D3uo53ASkIZOFRlLnqaCTnwzOG2_Wg"",""Direct Link!A2:A""),0)),XLOOKUP($C1238,IMPORTRANGE(""1NK5L1mviMn0j"&amp;"3D3uo53ASkIZOFRlLnqaCTnwzOG2_Wg"",""Direct links Without Sizes!A2:A""),IMPORTRANGE(""1NK5L1mviMn0j3D3uo53ASkIZOFRlLnqaCTnwzOG2_Wg"",""Direct links Without Sizes!B2:B""))),XLOOKUP($C1238,IMPORTRANGE(""1NK5L1mviMn0j3D3uo53ASkIZOFRlLnqaCTnwzOG2_Wg"",""Direct"&amp;" links Without Sizes!D2:D""),IMPORTRANGE(""1NK5L1mviMn0j3D3uo53ASkIZOFRlLnqaCTnwzOG2_Wg"",""Direct links Without Sizes!E2:E""))),"""")"),"")</f>
        <v/>
      </c>
      <c r="I1238" s="4"/>
      <c r="J1238" s="24" t="str">
        <f t="shared" si="1"/>
        <v/>
      </c>
      <c r="K1238" s="25"/>
      <c r="L1238" s="24" t="str">
        <f t="shared" si="2"/>
        <v/>
      </c>
      <c r="M1238" s="4"/>
      <c r="N1238" s="23"/>
      <c r="O1238" s="23"/>
      <c r="P1238" s="23"/>
      <c r="Q1238" s="4" t="str">
        <f t="shared" si="4"/>
        <v/>
      </c>
      <c r="R1238" s="20"/>
      <c r="S1238" s="20"/>
    </row>
    <row r="1239">
      <c r="A1239" s="4"/>
      <c r="B1239" s="4"/>
      <c r="C1239" s="37"/>
      <c r="D1239" s="7" t="str">
        <f>IFERROR(__xludf.DUMMYFUNCTION("iferror(iferror(INDEX(IMPORTRANGE(""12vtnxaE_Q1s4tyr10kZQx7ZF_xG0lBFae4jQEUtgsMU"",""All!B2:B""),MATCH($C1239,IMPORTRANGE(""12vtnxaE_Q1s4tyr10kZQx7ZF_xG0lBFae4jQEUtgsMU"",""All!A2:A""),0)),INDEX(IMPORTRANGE(""13KC70HngS4DDi8y9E5khtSpQEPG6owaQ9z4E-tR5mnY"""&amp;",""Non-Food!B2:B""),MATCH($C1239,IMPORTRANGE(""13KC70HngS4DDi8y9E5khtSpQEPG6owaQ9z4E-tR5mnY"",""Non-Food!A2:A""),0))),"""")"),"")</f>
        <v/>
      </c>
      <c r="E1239" s="15"/>
      <c r="F1239" s="15"/>
      <c r="G1239" s="36"/>
      <c r="H1239" s="23" t="str">
        <f>IFERROR(__xludf.DUMMYFUNCTION("iferror(iferror(iferror(index(IMPORTRANGE(""1NK5L1mviMn0j3D3uo53ASkIZOFRlLnqaCTnwzOG2_Wg"",""Direct Link!B2:B""),MATCH($C1239,IMPORTRANGE(""1NK5L1mviMn0j3D3uo53ASkIZOFRlLnqaCTnwzOG2_Wg"",""Direct Link!A2:A""),0)),XLOOKUP($C1239,IMPORTRANGE(""1NK5L1mviMn0j"&amp;"3D3uo53ASkIZOFRlLnqaCTnwzOG2_Wg"",""Direct links Without Sizes!A2:A""),IMPORTRANGE(""1NK5L1mviMn0j3D3uo53ASkIZOFRlLnqaCTnwzOG2_Wg"",""Direct links Without Sizes!B2:B""))),XLOOKUP($C1239,IMPORTRANGE(""1NK5L1mviMn0j3D3uo53ASkIZOFRlLnqaCTnwzOG2_Wg"",""Direct"&amp;" links Without Sizes!D2:D""),IMPORTRANGE(""1NK5L1mviMn0j3D3uo53ASkIZOFRlLnqaCTnwzOG2_Wg"",""Direct links Without Sizes!E2:E""))),"""")"),"")</f>
        <v/>
      </c>
      <c r="I1239" s="4"/>
      <c r="J1239" s="24" t="str">
        <f t="shared" si="1"/>
        <v/>
      </c>
      <c r="K1239" s="25"/>
      <c r="L1239" s="24" t="str">
        <f t="shared" si="2"/>
        <v/>
      </c>
      <c r="M1239" s="4"/>
      <c r="N1239" s="23"/>
      <c r="O1239" s="23"/>
      <c r="P1239" s="23"/>
      <c r="Q1239" s="4" t="str">
        <f t="shared" si="4"/>
        <v/>
      </c>
      <c r="R1239" s="20"/>
      <c r="S1239" s="20"/>
    </row>
    <row r="1240">
      <c r="A1240" s="4"/>
      <c r="B1240" s="4"/>
      <c r="C1240" s="37"/>
      <c r="D1240" s="7" t="str">
        <f>IFERROR(__xludf.DUMMYFUNCTION("iferror(iferror(INDEX(IMPORTRANGE(""12vtnxaE_Q1s4tyr10kZQx7ZF_xG0lBFae4jQEUtgsMU"",""All!B2:B""),MATCH($C1240,IMPORTRANGE(""12vtnxaE_Q1s4tyr10kZQx7ZF_xG0lBFae4jQEUtgsMU"",""All!A2:A""),0)),INDEX(IMPORTRANGE(""13KC70HngS4DDi8y9E5khtSpQEPG6owaQ9z4E-tR5mnY"""&amp;",""Non-Food!B2:B""),MATCH($C1240,IMPORTRANGE(""13KC70HngS4DDi8y9E5khtSpQEPG6owaQ9z4E-tR5mnY"",""Non-Food!A2:A""),0))),"""")"),"")</f>
        <v/>
      </c>
      <c r="E1240" s="15"/>
      <c r="F1240" s="15"/>
      <c r="G1240" s="36"/>
      <c r="H1240" s="23" t="str">
        <f>IFERROR(__xludf.DUMMYFUNCTION("iferror(iferror(iferror(index(IMPORTRANGE(""1NK5L1mviMn0j3D3uo53ASkIZOFRlLnqaCTnwzOG2_Wg"",""Direct Link!B2:B""),MATCH($C1240,IMPORTRANGE(""1NK5L1mviMn0j3D3uo53ASkIZOFRlLnqaCTnwzOG2_Wg"",""Direct Link!A2:A""),0)),XLOOKUP($C1240,IMPORTRANGE(""1NK5L1mviMn0j"&amp;"3D3uo53ASkIZOFRlLnqaCTnwzOG2_Wg"",""Direct links Without Sizes!A2:A""),IMPORTRANGE(""1NK5L1mviMn0j3D3uo53ASkIZOFRlLnqaCTnwzOG2_Wg"",""Direct links Without Sizes!B2:B""))),XLOOKUP($C1240,IMPORTRANGE(""1NK5L1mviMn0j3D3uo53ASkIZOFRlLnqaCTnwzOG2_Wg"",""Direct"&amp;" links Without Sizes!D2:D""),IMPORTRANGE(""1NK5L1mviMn0j3D3uo53ASkIZOFRlLnqaCTnwzOG2_Wg"",""Direct links Without Sizes!E2:E""))),"""")"),"")</f>
        <v/>
      </c>
      <c r="I1240" s="4"/>
      <c r="J1240" s="24" t="str">
        <f t="shared" si="1"/>
        <v/>
      </c>
      <c r="K1240" s="25"/>
      <c r="L1240" s="24" t="str">
        <f t="shared" si="2"/>
        <v/>
      </c>
      <c r="M1240" s="4"/>
      <c r="N1240" s="23"/>
      <c r="O1240" s="23"/>
      <c r="P1240" s="23"/>
      <c r="Q1240" s="4" t="str">
        <f t="shared" si="4"/>
        <v/>
      </c>
      <c r="R1240" s="20"/>
      <c r="S1240" s="20"/>
    </row>
    <row r="1241">
      <c r="A1241" s="4"/>
      <c r="B1241" s="4"/>
      <c r="C1241" s="37"/>
      <c r="D1241" s="7" t="str">
        <f>IFERROR(__xludf.DUMMYFUNCTION("iferror(iferror(INDEX(IMPORTRANGE(""12vtnxaE_Q1s4tyr10kZQx7ZF_xG0lBFae4jQEUtgsMU"",""All!B2:B""),MATCH($C1241,IMPORTRANGE(""12vtnxaE_Q1s4tyr10kZQx7ZF_xG0lBFae4jQEUtgsMU"",""All!A2:A""),0)),INDEX(IMPORTRANGE(""13KC70HngS4DDi8y9E5khtSpQEPG6owaQ9z4E-tR5mnY"""&amp;",""Non-Food!B2:B""),MATCH($C1241,IMPORTRANGE(""13KC70HngS4DDi8y9E5khtSpQEPG6owaQ9z4E-tR5mnY"",""Non-Food!A2:A""),0))),"""")"),"")</f>
        <v/>
      </c>
      <c r="E1241" s="15"/>
      <c r="F1241" s="15"/>
      <c r="G1241" s="36"/>
      <c r="H1241" s="23" t="str">
        <f>IFERROR(__xludf.DUMMYFUNCTION("iferror(iferror(iferror(index(IMPORTRANGE(""1NK5L1mviMn0j3D3uo53ASkIZOFRlLnqaCTnwzOG2_Wg"",""Direct Link!B2:B""),MATCH($C1241,IMPORTRANGE(""1NK5L1mviMn0j3D3uo53ASkIZOFRlLnqaCTnwzOG2_Wg"",""Direct Link!A2:A""),0)),XLOOKUP($C1241,IMPORTRANGE(""1NK5L1mviMn0j"&amp;"3D3uo53ASkIZOFRlLnqaCTnwzOG2_Wg"",""Direct links Without Sizes!A2:A""),IMPORTRANGE(""1NK5L1mviMn0j3D3uo53ASkIZOFRlLnqaCTnwzOG2_Wg"",""Direct links Without Sizes!B2:B""))),XLOOKUP($C1241,IMPORTRANGE(""1NK5L1mviMn0j3D3uo53ASkIZOFRlLnqaCTnwzOG2_Wg"",""Direct"&amp;" links Without Sizes!D2:D""),IMPORTRANGE(""1NK5L1mviMn0j3D3uo53ASkIZOFRlLnqaCTnwzOG2_Wg"",""Direct links Without Sizes!E2:E""))),"""")"),"")</f>
        <v/>
      </c>
      <c r="I1241" s="4"/>
      <c r="J1241" s="24" t="str">
        <f t="shared" si="1"/>
        <v/>
      </c>
      <c r="K1241" s="25"/>
      <c r="L1241" s="24" t="str">
        <f t="shared" si="2"/>
        <v/>
      </c>
      <c r="M1241" s="4"/>
      <c r="N1241" s="23"/>
      <c r="O1241" s="23"/>
      <c r="P1241" s="23"/>
      <c r="Q1241" s="4" t="str">
        <f t="shared" si="4"/>
        <v/>
      </c>
      <c r="R1241" s="20"/>
      <c r="S1241" s="20"/>
    </row>
    <row r="1242">
      <c r="A1242" s="4"/>
      <c r="B1242" s="4"/>
      <c r="C1242" s="37"/>
      <c r="D1242" s="7" t="str">
        <f>IFERROR(__xludf.DUMMYFUNCTION("iferror(iferror(INDEX(IMPORTRANGE(""12vtnxaE_Q1s4tyr10kZQx7ZF_xG0lBFae4jQEUtgsMU"",""All!B2:B""),MATCH($C1242,IMPORTRANGE(""12vtnxaE_Q1s4tyr10kZQx7ZF_xG0lBFae4jQEUtgsMU"",""All!A2:A""),0)),INDEX(IMPORTRANGE(""13KC70HngS4DDi8y9E5khtSpQEPG6owaQ9z4E-tR5mnY"""&amp;",""Non-Food!B2:B""),MATCH($C1242,IMPORTRANGE(""13KC70HngS4DDi8y9E5khtSpQEPG6owaQ9z4E-tR5mnY"",""Non-Food!A2:A""),0))),"""")"),"")</f>
        <v/>
      </c>
      <c r="E1242" s="15"/>
      <c r="F1242" s="15"/>
      <c r="G1242" s="36"/>
      <c r="H1242" s="23" t="str">
        <f>IFERROR(__xludf.DUMMYFUNCTION("iferror(iferror(iferror(index(IMPORTRANGE(""1NK5L1mviMn0j3D3uo53ASkIZOFRlLnqaCTnwzOG2_Wg"",""Direct Link!B2:B""),MATCH($C1242,IMPORTRANGE(""1NK5L1mviMn0j3D3uo53ASkIZOFRlLnqaCTnwzOG2_Wg"",""Direct Link!A2:A""),0)),XLOOKUP($C1242,IMPORTRANGE(""1NK5L1mviMn0j"&amp;"3D3uo53ASkIZOFRlLnqaCTnwzOG2_Wg"",""Direct links Without Sizes!A2:A""),IMPORTRANGE(""1NK5L1mviMn0j3D3uo53ASkIZOFRlLnqaCTnwzOG2_Wg"",""Direct links Without Sizes!B2:B""))),XLOOKUP($C1242,IMPORTRANGE(""1NK5L1mviMn0j3D3uo53ASkIZOFRlLnqaCTnwzOG2_Wg"",""Direct"&amp;" links Without Sizes!D2:D""),IMPORTRANGE(""1NK5L1mviMn0j3D3uo53ASkIZOFRlLnqaCTnwzOG2_Wg"",""Direct links Without Sizes!E2:E""))),"""")"),"")</f>
        <v/>
      </c>
      <c r="I1242" s="4"/>
      <c r="J1242" s="24" t="str">
        <f t="shared" si="1"/>
        <v/>
      </c>
      <c r="K1242" s="25"/>
      <c r="L1242" s="24" t="str">
        <f t="shared" si="2"/>
        <v/>
      </c>
      <c r="M1242" s="4"/>
      <c r="N1242" s="23"/>
      <c r="O1242" s="23"/>
      <c r="P1242" s="23"/>
      <c r="Q1242" s="4" t="str">
        <f t="shared" si="4"/>
        <v/>
      </c>
      <c r="R1242" s="20"/>
      <c r="S1242" s="20"/>
    </row>
    <row r="1243">
      <c r="A1243" s="4"/>
      <c r="B1243" s="4"/>
      <c r="C1243" s="37"/>
      <c r="D1243" s="7" t="str">
        <f>IFERROR(__xludf.DUMMYFUNCTION("iferror(iferror(INDEX(IMPORTRANGE(""12vtnxaE_Q1s4tyr10kZQx7ZF_xG0lBFae4jQEUtgsMU"",""All!B2:B""),MATCH($C1243,IMPORTRANGE(""12vtnxaE_Q1s4tyr10kZQx7ZF_xG0lBFae4jQEUtgsMU"",""All!A2:A""),0)),INDEX(IMPORTRANGE(""13KC70HngS4DDi8y9E5khtSpQEPG6owaQ9z4E-tR5mnY"""&amp;",""Non-Food!B2:B""),MATCH($C1243,IMPORTRANGE(""13KC70HngS4DDi8y9E5khtSpQEPG6owaQ9z4E-tR5mnY"",""Non-Food!A2:A""),0))),"""")"),"")</f>
        <v/>
      </c>
      <c r="E1243" s="15"/>
      <c r="F1243" s="15"/>
      <c r="G1243" s="36"/>
      <c r="H1243" s="23" t="str">
        <f>IFERROR(__xludf.DUMMYFUNCTION("iferror(iferror(iferror(index(IMPORTRANGE(""1NK5L1mviMn0j3D3uo53ASkIZOFRlLnqaCTnwzOG2_Wg"",""Direct Link!B2:B""),MATCH($C1243,IMPORTRANGE(""1NK5L1mviMn0j3D3uo53ASkIZOFRlLnqaCTnwzOG2_Wg"",""Direct Link!A2:A""),0)),XLOOKUP($C1243,IMPORTRANGE(""1NK5L1mviMn0j"&amp;"3D3uo53ASkIZOFRlLnqaCTnwzOG2_Wg"",""Direct links Without Sizes!A2:A""),IMPORTRANGE(""1NK5L1mviMn0j3D3uo53ASkIZOFRlLnqaCTnwzOG2_Wg"",""Direct links Without Sizes!B2:B""))),XLOOKUP($C1243,IMPORTRANGE(""1NK5L1mviMn0j3D3uo53ASkIZOFRlLnqaCTnwzOG2_Wg"",""Direct"&amp;" links Without Sizes!D2:D""),IMPORTRANGE(""1NK5L1mviMn0j3D3uo53ASkIZOFRlLnqaCTnwzOG2_Wg"",""Direct links Without Sizes!E2:E""))),"""")"),"")</f>
        <v/>
      </c>
      <c r="I1243" s="4"/>
      <c r="J1243" s="24" t="str">
        <f t="shared" si="1"/>
        <v/>
      </c>
      <c r="K1243" s="25"/>
      <c r="L1243" s="24" t="str">
        <f t="shared" si="2"/>
        <v/>
      </c>
      <c r="M1243" s="4"/>
      <c r="N1243" s="23"/>
      <c r="O1243" s="23"/>
      <c r="P1243" s="23"/>
      <c r="Q1243" s="4" t="str">
        <f t="shared" si="4"/>
        <v/>
      </c>
      <c r="R1243" s="20"/>
      <c r="S1243" s="20"/>
    </row>
    <row r="1244">
      <c r="A1244" s="4"/>
      <c r="B1244" s="4"/>
      <c r="C1244" s="37"/>
      <c r="D1244" s="7" t="str">
        <f>IFERROR(__xludf.DUMMYFUNCTION("iferror(iferror(INDEX(IMPORTRANGE(""12vtnxaE_Q1s4tyr10kZQx7ZF_xG0lBFae4jQEUtgsMU"",""All!B2:B""),MATCH($C1244,IMPORTRANGE(""12vtnxaE_Q1s4tyr10kZQx7ZF_xG0lBFae4jQEUtgsMU"",""All!A2:A""),0)),INDEX(IMPORTRANGE(""13KC70HngS4DDi8y9E5khtSpQEPG6owaQ9z4E-tR5mnY"""&amp;",""Non-Food!B2:B""),MATCH($C1244,IMPORTRANGE(""13KC70HngS4DDi8y9E5khtSpQEPG6owaQ9z4E-tR5mnY"",""Non-Food!A2:A""),0))),"""")"),"")</f>
        <v/>
      </c>
      <c r="E1244" s="15"/>
      <c r="F1244" s="15"/>
      <c r="G1244" s="36"/>
      <c r="H1244" s="23" t="str">
        <f>IFERROR(__xludf.DUMMYFUNCTION("iferror(iferror(iferror(index(IMPORTRANGE(""1NK5L1mviMn0j3D3uo53ASkIZOFRlLnqaCTnwzOG2_Wg"",""Direct Link!B2:B""),MATCH($C1244,IMPORTRANGE(""1NK5L1mviMn0j3D3uo53ASkIZOFRlLnqaCTnwzOG2_Wg"",""Direct Link!A2:A""),0)),XLOOKUP($C1244,IMPORTRANGE(""1NK5L1mviMn0j"&amp;"3D3uo53ASkIZOFRlLnqaCTnwzOG2_Wg"",""Direct links Without Sizes!A2:A""),IMPORTRANGE(""1NK5L1mviMn0j3D3uo53ASkIZOFRlLnqaCTnwzOG2_Wg"",""Direct links Without Sizes!B2:B""))),XLOOKUP($C1244,IMPORTRANGE(""1NK5L1mviMn0j3D3uo53ASkIZOFRlLnqaCTnwzOG2_Wg"",""Direct"&amp;" links Without Sizes!D2:D""),IMPORTRANGE(""1NK5L1mviMn0j3D3uo53ASkIZOFRlLnqaCTnwzOG2_Wg"",""Direct links Without Sizes!E2:E""))),"""")"),"")</f>
        <v/>
      </c>
      <c r="I1244" s="4"/>
      <c r="J1244" s="24" t="str">
        <f t="shared" si="1"/>
        <v/>
      </c>
      <c r="K1244" s="25"/>
      <c r="L1244" s="24" t="str">
        <f t="shared" si="2"/>
        <v/>
      </c>
      <c r="M1244" s="4"/>
      <c r="N1244" s="23"/>
      <c r="O1244" s="23"/>
      <c r="P1244" s="23"/>
      <c r="Q1244" s="4" t="str">
        <f t="shared" si="4"/>
        <v/>
      </c>
      <c r="R1244" s="20"/>
      <c r="S1244" s="20"/>
    </row>
    <row r="1245">
      <c r="A1245" s="4"/>
      <c r="B1245" s="4"/>
      <c r="C1245" s="37"/>
      <c r="D1245" s="7" t="str">
        <f>IFERROR(__xludf.DUMMYFUNCTION("iferror(iferror(INDEX(IMPORTRANGE(""12vtnxaE_Q1s4tyr10kZQx7ZF_xG0lBFae4jQEUtgsMU"",""All!B2:B""),MATCH($C1245,IMPORTRANGE(""12vtnxaE_Q1s4tyr10kZQx7ZF_xG0lBFae4jQEUtgsMU"",""All!A2:A""),0)),INDEX(IMPORTRANGE(""13KC70HngS4DDi8y9E5khtSpQEPG6owaQ9z4E-tR5mnY"""&amp;",""Non-Food!B2:B""),MATCH($C1245,IMPORTRANGE(""13KC70HngS4DDi8y9E5khtSpQEPG6owaQ9z4E-tR5mnY"",""Non-Food!A2:A""),0))),"""")"),"")</f>
        <v/>
      </c>
      <c r="E1245" s="15"/>
      <c r="F1245" s="15"/>
      <c r="G1245" s="36"/>
      <c r="H1245" s="23" t="str">
        <f>IFERROR(__xludf.DUMMYFUNCTION("iferror(iferror(iferror(index(IMPORTRANGE(""1NK5L1mviMn0j3D3uo53ASkIZOFRlLnqaCTnwzOG2_Wg"",""Direct Link!B2:B""),MATCH($C1245,IMPORTRANGE(""1NK5L1mviMn0j3D3uo53ASkIZOFRlLnqaCTnwzOG2_Wg"",""Direct Link!A2:A""),0)),XLOOKUP($C1245,IMPORTRANGE(""1NK5L1mviMn0j"&amp;"3D3uo53ASkIZOFRlLnqaCTnwzOG2_Wg"",""Direct links Without Sizes!A2:A""),IMPORTRANGE(""1NK5L1mviMn0j3D3uo53ASkIZOFRlLnqaCTnwzOG2_Wg"",""Direct links Without Sizes!B2:B""))),XLOOKUP($C1245,IMPORTRANGE(""1NK5L1mviMn0j3D3uo53ASkIZOFRlLnqaCTnwzOG2_Wg"",""Direct"&amp;" links Without Sizes!D2:D""),IMPORTRANGE(""1NK5L1mviMn0j3D3uo53ASkIZOFRlLnqaCTnwzOG2_Wg"",""Direct links Without Sizes!E2:E""))),"""")"),"")</f>
        <v/>
      </c>
      <c r="I1245" s="4"/>
      <c r="J1245" s="24" t="str">
        <f t="shared" si="1"/>
        <v/>
      </c>
      <c r="K1245" s="25"/>
      <c r="L1245" s="24" t="str">
        <f t="shared" si="2"/>
        <v/>
      </c>
      <c r="M1245" s="4"/>
      <c r="N1245" s="23"/>
      <c r="O1245" s="23"/>
      <c r="P1245" s="23"/>
      <c r="Q1245" s="4" t="str">
        <f t="shared" si="4"/>
        <v/>
      </c>
      <c r="R1245" s="20"/>
      <c r="S1245" s="20"/>
    </row>
    <row r="1246">
      <c r="A1246" s="4"/>
      <c r="B1246" s="4"/>
      <c r="C1246" s="37"/>
      <c r="D1246" s="7" t="str">
        <f>IFERROR(__xludf.DUMMYFUNCTION("iferror(iferror(INDEX(IMPORTRANGE(""12vtnxaE_Q1s4tyr10kZQx7ZF_xG0lBFae4jQEUtgsMU"",""All!B2:B""),MATCH($C1246,IMPORTRANGE(""12vtnxaE_Q1s4tyr10kZQx7ZF_xG0lBFae4jQEUtgsMU"",""All!A2:A""),0)),INDEX(IMPORTRANGE(""13KC70HngS4DDi8y9E5khtSpQEPG6owaQ9z4E-tR5mnY"""&amp;",""Non-Food!B2:B""),MATCH($C1246,IMPORTRANGE(""13KC70HngS4DDi8y9E5khtSpQEPG6owaQ9z4E-tR5mnY"",""Non-Food!A2:A""),0))),"""")"),"")</f>
        <v/>
      </c>
      <c r="E1246" s="15"/>
      <c r="F1246" s="15"/>
      <c r="G1246" s="36"/>
      <c r="H1246" s="23" t="str">
        <f>IFERROR(__xludf.DUMMYFUNCTION("iferror(iferror(iferror(index(IMPORTRANGE(""1NK5L1mviMn0j3D3uo53ASkIZOFRlLnqaCTnwzOG2_Wg"",""Direct Link!B2:B""),MATCH($C1246,IMPORTRANGE(""1NK5L1mviMn0j3D3uo53ASkIZOFRlLnqaCTnwzOG2_Wg"",""Direct Link!A2:A""),0)),XLOOKUP($C1246,IMPORTRANGE(""1NK5L1mviMn0j"&amp;"3D3uo53ASkIZOFRlLnqaCTnwzOG2_Wg"",""Direct links Without Sizes!A2:A""),IMPORTRANGE(""1NK5L1mviMn0j3D3uo53ASkIZOFRlLnqaCTnwzOG2_Wg"",""Direct links Without Sizes!B2:B""))),XLOOKUP($C1246,IMPORTRANGE(""1NK5L1mviMn0j3D3uo53ASkIZOFRlLnqaCTnwzOG2_Wg"",""Direct"&amp;" links Without Sizes!D2:D""),IMPORTRANGE(""1NK5L1mviMn0j3D3uo53ASkIZOFRlLnqaCTnwzOG2_Wg"",""Direct links Without Sizes!E2:E""))),"""")"),"")</f>
        <v/>
      </c>
      <c r="I1246" s="4"/>
      <c r="J1246" s="24" t="str">
        <f t="shared" si="1"/>
        <v/>
      </c>
      <c r="K1246" s="25"/>
      <c r="L1246" s="24" t="str">
        <f t="shared" si="2"/>
        <v/>
      </c>
      <c r="M1246" s="4"/>
      <c r="N1246" s="23"/>
      <c r="O1246" s="23"/>
      <c r="P1246" s="23"/>
      <c r="Q1246" s="4" t="str">
        <f t="shared" si="4"/>
        <v/>
      </c>
      <c r="R1246" s="20"/>
      <c r="S1246" s="20"/>
    </row>
    <row r="1247">
      <c r="A1247" s="4"/>
      <c r="B1247" s="4"/>
      <c r="C1247" s="37"/>
      <c r="D1247" s="7" t="str">
        <f>IFERROR(__xludf.DUMMYFUNCTION("iferror(iferror(INDEX(IMPORTRANGE(""12vtnxaE_Q1s4tyr10kZQx7ZF_xG0lBFae4jQEUtgsMU"",""All!B2:B""),MATCH($C1247,IMPORTRANGE(""12vtnxaE_Q1s4tyr10kZQx7ZF_xG0lBFae4jQEUtgsMU"",""All!A2:A""),0)),INDEX(IMPORTRANGE(""13KC70HngS4DDi8y9E5khtSpQEPG6owaQ9z4E-tR5mnY"""&amp;",""Non-Food!B2:B""),MATCH($C1247,IMPORTRANGE(""13KC70HngS4DDi8y9E5khtSpQEPG6owaQ9z4E-tR5mnY"",""Non-Food!A2:A""),0))),"""")"),"")</f>
        <v/>
      </c>
      <c r="E1247" s="15"/>
      <c r="F1247" s="15"/>
      <c r="G1247" s="36"/>
      <c r="H1247" s="23" t="str">
        <f>IFERROR(__xludf.DUMMYFUNCTION("iferror(iferror(iferror(index(IMPORTRANGE(""1NK5L1mviMn0j3D3uo53ASkIZOFRlLnqaCTnwzOG2_Wg"",""Direct Link!B2:B""),MATCH($C1247,IMPORTRANGE(""1NK5L1mviMn0j3D3uo53ASkIZOFRlLnqaCTnwzOG2_Wg"",""Direct Link!A2:A""),0)),XLOOKUP($C1247,IMPORTRANGE(""1NK5L1mviMn0j"&amp;"3D3uo53ASkIZOFRlLnqaCTnwzOG2_Wg"",""Direct links Without Sizes!A2:A""),IMPORTRANGE(""1NK5L1mviMn0j3D3uo53ASkIZOFRlLnqaCTnwzOG2_Wg"",""Direct links Without Sizes!B2:B""))),XLOOKUP($C1247,IMPORTRANGE(""1NK5L1mviMn0j3D3uo53ASkIZOFRlLnqaCTnwzOG2_Wg"",""Direct"&amp;" links Without Sizes!D2:D""),IMPORTRANGE(""1NK5L1mviMn0j3D3uo53ASkIZOFRlLnqaCTnwzOG2_Wg"",""Direct links Without Sizes!E2:E""))),"""")"),"")</f>
        <v/>
      </c>
      <c r="I1247" s="4"/>
      <c r="J1247" s="24" t="str">
        <f t="shared" si="1"/>
        <v/>
      </c>
      <c r="K1247" s="25"/>
      <c r="L1247" s="24" t="str">
        <f t="shared" si="2"/>
        <v/>
      </c>
      <c r="M1247" s="4"/>
      <c r="N1247" s="23"/>
      <c r="O1247" s="23"/>
      <c r="P1247" s="23"/>
      <c r="Q1247" s="4" t="str">
        <f t="shared" si="4"/>
        <v/>
      </c>
      <c r="R1247" s="20"/>
      <c r="S1247" s="20"/>
    </row>
    <row r="1248">
      <c r="A1248" s="4"/>
      <c r="B1248" s="4"/>
      <c r="C1248" s="37"/>
      <c r="D1248" s="7" t="str">
        <f>IFERROR(__xludf.DUMMYFUNCTION("iferror(iferror(INDEX(IMPORTRANGE(""12vtnxaE_Q1s4tyr10kZQx7ZF_xG0lBFae4jQEUtgsMU"",""All!B2:B""),MATCH($C1248,IMPORTRANGE(""12vtnxaE_Q1s4tyr10kZQx7ZF_xG0lBFae4jQEUtgsMU"",""All!A2:A""),0)),INDEX(IMPORTRANGE(""13KC70HngS4DDi8y9E5khtSpQEPG6owaQ9z4E-tR5mnY"""&amp;",""Non-Food!B2:B""),MATCH($C1248,IMPORTRANGE(""13KC70HngS4DDi8y9E5khtSpQEPG6owaQ9z4E-tR5mnY"",""Non-Food!A2:A""),0))),"""")"),"")</f>
        <v/>
      </c>
      <c r="E1248" s="15"/>
      <c r="F1248" s="15"/>
      <c r="G1248" s="36"/>
      <c r="H1248" s="23" t="str">
        <f>IFERROR(__xludf.DUMMYFUNCTION("iferror(iferror(iferror(index(IMPORTRANGE(""1NK5L1mviMn0j3D3uo53ASkIZOFRlLnqaCTnwzOG2_Wg"",""Direct Link!B2:B""),MATCH($C1248,IMPORTRANGE(""1NK5L1mviMn0j3D3uo53ASkIZOFRlLnqaCTnwzOG2_Wg"",""Direct Link!A2:A""),0)),XLOOKUP($C1248,IMPORTRANGE(""1NK5L1mviMn0j"&amp;"3D3uo53ASkIZOFRlLnqaCTnwzOG2_Wg"",""Direct links Without Sizes!A2:A""),IMPORTRANGE(""1NK5L1mviMn0j3D3uo53ASkIZOFRlLnqaCTnwzOG2_Wg"",""Direct links Without Sizes!B2:B""))),XLOOKUP($C1248,IMPORTRANGE(""1NK5L1mviMn0j3D3uo53ASkIZOFRlLnqaCTnwzOG2_Wg"",""Direct"&amp;" links Without Sizes!D2:D""),IMPORTRANGE(""1NK5L1mviMn0j3D3uo53ASkIZOFRlLnqaCTnwzOG2_Wg"",""Direct links Without Sizes!E2:E""))),"""")"),"")</f>
        <v/>
      </c>
      <c r="I1248" s="4"/>
      <c r="J1248" s="24" t="str">
        <f t="shared" si="1"/>
        <v/>
      </c>
      <c r="K1248" s="25"/>
      <c r="L1248" s="24" t="str">
        <f t="shared" si="2"/>
        <v/>
      </c>
      <c r="M1248" s="4"/>
      <c r="N1248" s="23"/>
      <c r="O1248" s="23"/>
      <c r="P1248" s="23"/>
      <c r="Q1248" s="4" t="str">
        <f t="shared" si="4"/>
        <v/>
      </c>
      <c r="R1248" s="20"/>
      <c r="S1248" s="20"/>
    </row>
    <row r="1249">
      <c r="A1249" s="4"/>
      <c r="B1249" s="4"/>
      <c r="C1249" s="37"/>
      <c r="D1249" s="7" t="str">
        <f>IFERROR(__xludf.DUMMYFUNCTION("iferror(iferror(INDEX(IMPORTRANGE(""12vtnxaE_Q1s4tyr10kZQx7ZF_xG0lBFae4jQEUtgsMU"",""All!B2:B""),MATCH($C1249,IMPORTRANGE(""12vtnxaE_Q1s4tyr10kZQx7ZF_xG0lBFae4jQEUtgsMU"",""All!A2:A""),0)),INDEX(IMPORTRANGE(""13KC70HngS4DDi8y9E5khtSpQEPG6owaQ9z4E-tR5mnY"""&amp;",""Non-Food!B2:B""),MATCH($C1249,IMPORTRANGE(""13KC70HngS4DDi8y9E5khtSpQEPG6owaQ9z4E-tR5mnY"",""Non-Food!A2:A""),0))),"""")"),"")</f>
        <v/>
      </c>
      <c r="E1249" s="15"/>
      <c r="F1249" s="15"/>
      <c r="G1249" s="36"/>
      <c r="H1249" s="23" t="str">
        <f>IFERROR(__xludf.DUMMYFUNCTION("iferror(iferror(iferror(index(IMPORTRANGE(""1NK5L1mviMn0j3D3uo53ASkIZOFRlLnqaCTnwzOG2_Wg"",""Direct Link!B2:B""),MATCH($C1249,IMPORTRANGE(""1NK5L1mviMn0j3D3uo53ASkIZOFRlLnqaCTnwzOG2_Wg"",""Direct Link!A2:A""),0)),XLOOKUP($C1249,IMPORTRANGE(""1NK5L1mviMn0j"&amp;"3D3uo53ASkIZOFRlLnqaCTnwzOG2_Wg"",""Direct links Without Sizes!A2:A""),IMPORTRANGE(""1NK5L1mviMn0j3D3uo53ASkIZOFRlLnqaCTnwzOG2_Wg"",""Direct links Without Sizes!B2:B""))),XLOOKUP($C1249,IMPORTRANGE(""1NK5L1mviMn0j3D3uo53ASkIZOFRlLnqaCTnwzOG2_Wg"",""Direct"&amp;" links Without Sizes!D2:D""),IMPORTRANGE(""1NK5L1mviMn0j3D3uo53ASkIZOFRlLnqaCTnwzOG2_Wg"",""Direct links Without Sizes!E2:E""))),"""")"),"")</f>
        <v/>
      </c>
      <c r="I1249" s="4"/>
      <c r="J1249" s="24" t="str">
        <f t="shared" si="1"/>
        <v/>
      </c>
      <c r="K1249" s="25"/>
      <c r="L1249" s="24" t="str">
        <f t="shared" si="2"/>
        <v/>
      </c>
      <c r="M1249" s="4"/>
      <c r="N1249" s="23"/>
      <c r="O1249" s="23"/>
      <c r="P1249" s="23"/>
      <c r="Q1249" s="4" t="str">
        <f t="shared" si="4"/>
        <v/>
      </c>
      <c r="R1249" s="20"/>
      <c r="S1249" s="20"/>
    </row>
    <row r="1250">
      <c r="A1250" s="4"/>
      <c r="B1250" s="4"/>
      <c r="C1250" s="37"/>
      <c r="D1250" s="7" t="str">
        <f>IFERROR(__xludf.DUMMYFUNCTION("iferror(iferror(INDEX(IMPORTRANGE(""12vtnxaE_Q1s4tyr10kZQx7ZF_xG0lBFae4jQEUtgsMU"",""All!B2:B""),MATCH($C1250,IMPORTRANGE(""12vtnxaE_Q1s4tyr10kZQx7ZF_xG0lBFae4jQEUtgsMU"",""All!A2:A""),0)),INDEX(IMPORTRANGE(""13KC70HngS4DDi8y9E5khtSpQEPG6owaQ9z4E-tR5mnY"""&amp;",""Non-Food!B2:B""),MATCH($C1250,IMPORTRANGE(""13KC70HngS4DDi8y9E5khtSpQEPG6owaQ9z4E-tR5mnY"",""Non-Food!A2:A""),0))),"""")"),"")</f>
        <v/>
      </c>
      <c r="E1250" s="15"/>
      <c r="F1250" s="15"/>
      <c r="G1250" s="36"/>
      <c r="H1250" s="23" t="str">
        <f>IFERROR(__xludf.DUMMYFUNCTION("iferror(iferror(iferror(index(IMPORTRANGE(""1NK5L1mviMn0j3D3uo53ASkIZOFRlLnqaCTnwzOG2_Wg"",""Direct Link!B2:B""),MATCH($C1250,IMPORTRANGE(""1NK5L1mviMn0j3D3uo53ASkIZOFRlLnqaCTnwzOG2_Wg"",""Direct Link!A2:A""),0)),XLOOKUP($C1250,IMPORTRANGE(""1NK5L1mviMn0j"&amp;"3D3uo53ASkIZOFRlLnqaCTnwzOG2_Wg"",""Direct links Without Sizes!A2:A""),IMPORTRANGE(""1NK5L1mviMn0j3D3uo53ASkIZOFRlLnqaCTnwzOG2_Wg"",""Direct links Without Sizes!B2:B""))),XLOOKUP($C1250,IMPORTRANGE(""1NK5L1mviMn0j3D3uo53ASkIZOFRlLnqaCTnwzOG2_Wg"",""Direct"&amp;" links Without Sizes!D2:D""),IMPORTRANGE(""1NK5L1mviMn0j3D3uo53ASkIZOFRlLnqaCTnwzOG2_Wg"",""Direct links Without Sizes!E2:E""))),"""")"),"")</f>
        <v/>
      </c>
      <c r="I1250" s="4"/>
      <c r="J1250" s="24" t="str">
        <f t="shared" si="1"/>
        <v/>
      </c>
      <c r="K1250" s="25"/>
      <c r="L1250" s="24" t="str">
        <f t="shared" si="2"/>
        <v/>
      </c>
      <c r="M1250" s="4"/>
      <c r="N1250" s="23"/>
      <c r="O1250" s="23"/>
      <c r="P1250" s="23"/>
      <c r="Q1250" s="4" t="str">
        <f t="shared" si="4"/>
        <v/>
      </c>
      <c r="R1250" s="20"/>
      <c r="S1250" s="20"/>
    </row>
    <row r="1251">
      <c r="A1251" s="4"/>
      <c r="B1251" s="4"/>
      <c r="C1251" s="37"/>
      <c r="D1251" s="7" t="str">
        <f>IFERROR(__xludf.DUMMYFUNCTION("iferror(iferror(INDEX(IMPORTRANGE(""12vtnxaE_Q1s4tyr10kZQx7ZF_xG0lBFae4jQEUtgsMU"",""All!B2:B""),MATCH($C1251,IMPORTRANGE(""12vtnxaE_Q1s4tyr10kZQx7ZF_xG0lBFae4jQEUtgsMU"",""All!A2:A""),0)),INDEX(IMPORTRANGE(""13KC70HngS4DDi8y9E5khtSpQEPG6owaQ9z4E-tR5mnY"""&amp;",""Non-Food!B2:B""),MATCH($C1251,IMPORTRANGE(""13KC70HngS4DDi8y9E5khtSpQEPG6owaQ9z4E-tR5mnY"",""Non-Food!A2:A""),0))),"""")"),"")</f>
        <v/>
      </c>
      <c r="E1251" s="15"/>
      <c r="F1251" s="15"/>
      <c r="G1251" s="36"/>
      <c r="H1251" s="23" t="str">
        <f>IFERROR(__xludf.DUMMYFUNCTION("iferror(iferror(iferror(index(IMPORTRANGE(""1NK5L1mviMn0j3D3uo53ASkIZOFRlLnqaCTnwzOG2_Wg"",""Direct Link!B2:B""),MATCH($C1251,IMPORTRANGE(""1NK5L1mviMn0j3D3uo53ASkIZOFRlLnqaCTnwzOG2_Wg"",""Direct Link!A2:A""),0)),XLOOKUP($C1251,IMPORTRANGE(""1NK5L1mviMn0j"&amp;"3D3uo53ASkIZOFRlLnqaCTnwzOG2_Wg"",""Direct links Without Sizes!A2:A""),IMPORTRANGE(""1NK5L1mviMn0j3D3uo53ASkIZOFRlLnqaCTnwzOG2_Wg"",""Direct links Without Sizes!B2:B""))),XLOOKUP($C1251,IMPORTRANGE(""1NK5L1mviMn0j3D3uo53ASkIZOFRlLnqaCTnwzOG2_Wg"",""Direct"&amp;" links Without Sizes!D2:D""),IMPORTRANGE(""1NK5L1mviMn0j3D3uo53ASkIZOFRlLnqaCTnwzOG2_Wg"",""Direct links Without Sizes!E2:E""))),"""")"),"")</f>
        <v/>
      </c>
      <c r="I1251" s="4"/>
      <c r="J1251" s="24" t="str">
        <f t="shared" si="1"/>
        <v/>
      </c>
      <c r="K1251" s="25"/>
      <c r="L1251" s="24" t="str">
        <f t="shared" si="2"/>
        <v/>
      </c>
      <c r="M1251" s="4"/>
      <c r="N1251" s="23"/>
      <c r="O1251" s="23"/>
      <c r="P1251" s="23"/>
      <c r="Q1251" s="4" t="str">
        <f t="shared" si="4"/>
        <v/>
      </c>
      <c r="R1251" s="20"/>
      <c r="S1251" s="20"/>
    </row>
    <row r="1252">
      <c r="A1252" s="4"/>
      <c r="B1252" s="4"/>
      <c r="C1252" s="37"/>
      <c r="D1252" s="7" t="str">
        <f>IFERROR(__xludf.DUMMYFUNCTION("iferror(iferror(INDEX(IMPORTRANGE(""12vtnxaE_Q1s4tyr10kZQx7ZF_xG0lBFae4jQEUtgsMU"",""All!B2:B""),MATCH($C1252,IMPORTRANGE(""12vtnxaE_Q1s4tyr10kZQx7ZF_xG0lBFae4jQEUtgsMU"",""All!A2:A""),0)),INDEX(IMPORTRANGE(""13KC70HngS4DDi8y9E5khtSpQEPG6owaQ9z4E-tR5mnY"""&amp;",""Non-Food!B2:B""),MATCH($C1252,IMPORTRANGE(""13KC70HngS4DDi8y9E5khtSpQEPG6owaQ9z4E-tR5mnY"",""Non-Food!A2:A""),0))),"""")"),"")</f>
        <v/>
      </c>
      <c r="E1252" s="15"/>
      <c r="F1252" s="15"/>
      <c r="G1252" s="36"/>
      <c r="H1252" s="23" t="str">
        <f>IFERROR(__xludf.DUMMYFUNCTION("iferror(iferror(iferror(index(IMPORTRANGE(""1NK5L1mviMn0j3D3uo53ASkIZOFRlLnqaCTnwzOG2_Wg"",""Direct Link!B2:B""),MATCH($C1252,IMPORTRANGE(""1NK5L1mviMn0j3D3uo53ASkIZOFRlLnqaCTnwzOG2_Wg"",""Direct Link!A2:A""),0)),XLOOKUP($C1252,IMPORTRANGE(""1NK5L1mviMn0j"&amp;"3D3uo53ASkIZOFRlLnqaCTnwzOG2_Wg"",""Direct links Without Sizes!A2:A""),IMPORTRANGE(""1NK5L1mviMn0j3D3uo53ASkIZOFRlLnqaCTnwzOG2_Wg"",""Direct links Without Sizes!B2:B""))),XLOOKUP($C1252,IMPORTRANGE(""1NK5L1mviMn0j3D3uo53ASkIZOFRlLnqaCTnwzOG2_Wg"",""Direct"&amp;" links Without Sizes!D2:D""),IMPORTRANGE(""1NK5L1mviMn0j3D3uo53ASkIZOFRlLnqaCTnwzOG2_Wg"",""Direct links Without Sizes!E2:E""))),"""")"),"")</f>
        <v/>
      </c>
      <c r="I1252" s="4"/>
      <c r="J1252" s="24" t="str">
        <f t="shared" si="1"/>
        <v/>
      </c>
      <c r="K1252" s="25"/>
      <c r="L1252" s="24" t="str">
        <f t="shared" si="2"/>
        <v/>
      </c>
      <c r="M1252" s="4"/>
      <c r="N1252" s="23"/>
      <c r="O1252" s="23"/>
      <c r="P1252" s="23"/>
      <c r="Q1252" s="4" t="str">
        <f t="shared" si="4"/>
        <v/>
      </c>
      <c r="R1252" s="20"/>
      <c r="S1252" s="20"/>
    </row>
    <row r="1253">
      <c r="A1253" s="4"/>
      <c r="B1253" s="4"/>
      <c r="C1253" s="37"/>
      <c r="D1253" s="7" t="str">
        <f>IFERROR(__xludf.DUMMYFUNCTION("iferror(iferror(INDEX(IMPORTRANGE(""12vtnxaE_Q1s4tyr10kZQx7ZF_xG0lBFae4jQEUtgsMU"",""All!B2:B""),MATCH($C1253,IMPORTRANGE(""12vtnxaE_Q1s4tyr10kZQx7ZF_xG0lBFae4jQEUtgsMU"",""All!A2:A""),0)),INDEX(IMPORTRANGE(""13KC70HngS4DDi8y9E5khtSpQEPG6owaQ9z4E-tR5mnY"""&amp;",""Non-Food!B2:B""),MATCH($C1253,IMPORTRANGE(""13KC70HngS4DDi8y9E5khtSpQEPG6owaQ9z4E-tR5mnY"",""Non-Food!A2:A""),0))),"""")"),"")</f>
        <v/>
      </c>
      <c r="E1253" s="15"/>
      <c r="F1253" s="15"/>
      <c r="G1253" s="36"/>
      <c r="H1253" s="23" t="str">
        <f>IFERROR(__xludf.DUMMYFUNCTION("iferror(iferror(iferror(index(IMPORTRANGE(""1NK5L1mviMn0j3D3uo53ASkIZOFRlLnqaCTnwzOG2_Wg"",""Direct Link!B2:B""),MATCH($C1253,IMPORTRANGE(""1NK5L1mviMn0j3D3uo53ASkIZOFRlLnqaCTnwzOG2_Wg"",""Direct Link!A2:A""),0)),XLOOKUP($C1253,IMPORTRANGE(""1NK5L1mviMn0j"&amp;"3D3uo53ASkIZOFRlLnqaCTnwzOG2_Wg"",""Direct links Without Sizes!A2:A""),IMPORTRANGE(""1NK5L1mviMn0j3D3uo53ASkIZOFRlLnqaCTnwzOG2_Wg"",""Direct links Without Sizes!B2:B""))),XLOOKUP($C1253,IMPORTRANGE(""1NK5L1mviMn0j3D3uo53ASkIZOFRlLnqaCTnwzOG2_Wg"",""Direct"&amp;" links Without Sizes!D2:D""),IMPORTRANGE(""1NK5L1mviMn0j3D3uo53ASkIZOFRlLnqaCTnwzOG2_Wg"",""Direct links Without Sizes!E2:E""))),"""")"),"")</f>
        <v/>
      </c>
      <c r="I1253" s="4"/>
      <c r="J1253" s="24" t="str">
        <f t="shared" si="1"/>
        <v/>
      </c>
      <c r="K1253" s="25"/>
      <c r="L1253" s="24" t="str">
        <f t="shared" si="2"/>
        <v/>
      </c>
      <c r="M1253" s="4"/>
      <c r="N1253" s="23"/>
      <c r="O1253" s="23"/>
      <c r="P1253" s="23"/>
      <c r="Q1253" s="4" t="str">
        <f t="shared" si="4"/>
        <v/>
      </c>
      <c r="R1253" s="20"/>
      <c r="S1253" s="20"/>
    </row>
    <row r="1254">
      <c r="A1254" s="4"/>
      <c r="B1254" s="4"/>
      <c r="C1254" s="37"/>
      <c r="D1254" s="7" t="str">
        <f>IFERROR(__xludf.DUMMYFUNCTION("iferror(iferror(INDEX(IMPORTRANGE(""12vtnxaE_Q1s4tyr10kZQx7ZF_xG0lBFae4jQEUtgsMU"",""All!B2:B""),MATCH($C1254,IMPORTRANGE(""12vtnxaE_Q1s4tyr10kZQx7ZF_xG0lBFae4jQEUtgsMU"",""All!A2:A""),0)),INDEX(IMPORTRANGE(""13KC70HngS4DDi8y9E5khtSpQEPG6owaQ9z4E-tR5mnY"""&amp;",""Non-Food!B2:B""),MATCH($C1254,IMPORTRANGE(""13KC70HngS4DDi8y9E5khtSpQEPG6owaQ9z4E-tR5mnY"",""Non-Food!A2:A""),0))),"""")"),"")</f>
        <v/>
      </c>
      <c r="E1254" s="15"/>
      <c r="F1254" s="15"/>
      <c r="G1254" s="36"/>
      <c r="H1254" s="23" t="str">
        <f>IFERROR(__xludf.DUMMYFUNCTION("iferror(iferror(iferror(index(IMPORTRANGE(""1NK5L1mviMn0j3D3uo53ASkIZOFRlLnqaCTnwzOG2_Wg"",""Direct Link!B2:B""),MATCH($C1254,IMPORTRANGE(""1NK5L1mviMn0j3D3uo53ASkIZOFRlLnqaCTnwzOG2_Wg"",""Direct Link!A2:A""),0)),XLOOKUP($C1254,IMPORTRANGE(""1NK5L1mviMn0j"&amp;"3D3uo53ASkIZOFRlLnqaCTnwzOG2_Wg"",""Direct links Without Sizes!A2:A""),IMPORTRANGE(""1NK5L1mviMn0j3D3uo53ASkIZOFRlLnqaCTnwzOG2_Wg"",""Direct links Without Sizes!B2:B""))),XLOOKUP($C1254,IMPORTRANGE(""1NK5L1mviMn0j3D3uo53ASkIZOFRlLnqaCTnwzOG2_Wg"",""Direct"&amp;" links Without Sizes!D2:D""),IMPORTRANGE(""1NK5L1mviMn0j3D3uo53ASkIZOFRlLnqaCTnwzOG2_Wg"",""Direct links Without Sizes!E2:E""))),"""")"),"")</f>
        <v/>
      </c>
      <c r="I1254" s="4"/>
      <c r="J1254" s="24" t="str">
        <f t="shared" si="1"/>
        <v/>
      </c>
      <c r="K1254" s="25"/>
      <c r="L1254" s="24" t="str">
        <f t="shared" si="2"/>
        <v/>
      </c>
      <c r="M1254" s="4"/>
      <c r="N1254" s="23"/>
      <c r="O1254" s="23"/>
      <c r="P1254" s="23"/>
      <c r="Q1254" s="4" t="str">
        <f t="shared" si="4"/>
        <v/>
      </c>
      <c r="R1254" s="20"/>
      <c r="S1254" s="20"/>
    </row>
    <row r="1255">
      <c r="A1255" s="4"/>
      <c r="B1255" s="4"/>
      <c r="C1255" s="37"/>
      <c r="D1255" s="7" t="str">
        <f>IFERROR(__xludf.DUMMYFUNCTION("iferror(iferror(INDEX(IMPORTRANGE(""12vtnxaE_Q1s4tyr10kZQx7ZF_xG0lBFae4jQEUtgsMU"",""All!B2:B""),MATCH($C1255,IMPORTRANGE(""12vtnxaE_Q1s4tyr10kZQx7ZF_xG0lBFae4jQEUtgsMU"",""All!A2:A""),0)),INDEX(IMPORTRANGE(""13KC70HngS4DDi8y9E5khtSpQEPG6owaQ9z4E-tR5mnY"""&amp;",""Non-Food!B2:B""),MATCH($C1255,IMPORTRANGE(""13KC70HngS4DDi8y9E5khtSpQEPG6owaQ9z4E-tR5mnY"",""Non-Food!A2:A""),0))),"""")"),"")</f>
        <v/>
      </c>
      <c r="E1255" s="15"/>
      <c r="F1255" s="15"/>
      <c r="G1255" s="36"/>
      <c r="H1255" s="23" t="str">
        <f>IFERROR(__xludf.DUMMYFUNCTION("iferror(iferror(iferror(index(IMPORTRANGE(""1NK5L1mviMn0j3D3uo53ASkIZOFRlLnqaCTnwzOG2_Wg"",""Direct Link!B2:B""),MATCH($C1255,IMPORTRANGE(""1NK5L1mviMn0j3D3uo53ASkIZOFRlLnqaCTnwzOG2_Wg"",""Direct Link!A2:A""),0)),XLOOKUP($C1255,IMPORTRANGE(""1NK5L1mviMn0j"&amp;"3D3uo53ASkIZOFRlLnqaCTnwzOG2_Wg"",""Direct links Without Sizes!A2:A""),IMPORTRANGE(""1NK5L1mviMn0j3D3uo53ASkIZOFRlLnqaCTnwzOG2_Wg"",""Direct links Without Sizes!B2:B""))),XLOOKUP($C1255,IMPORTRANGE(""1NK5L1mviMn0j3D3uo53ASkIZOFRlLnqaCTnwzOG2_Wg"",""Direct"&amp;" links Without Sizes!D2:D""),IMPORTRANGE(""1NK5L1mviMn0j3D3uo53ASkIZOFRlLnqaCTnwzOG2_Wg"",""Direct links Without Sizes!E2:E""))),"""")"),"")</f>
        <v/>
      </c>
      <c r="I1255" s="4"/>
      <c r="J1255" s="24" t="str">
        <f t="shared" si="1"/>
        <v/>
      </c>
      <c r="K1255" s="25"/>
      <c r="L1255" s="24" t="str">
        <f t="shared" si="2"/>
        <v/>
      </c>
      <c r="M1255" s="4"/>
      <c r="N1255" s="23"/>
      <c r="O1255" s="23"/>
      <c r="P1255" s="23"/>
      <c r="Q1255" s="4" t="str">
        <f t="shared" si="4"/>
        <v/>
      </c>
      <c r="R1255" s="20"/>
      <c r="S1255" s="20"/>
    </row>
    <row r="1256">
      <c r="A1256" s="4"/>
      <c r="B1256" s="4"/>
      <c r="C1256" s="37"/>
      <c r="D1256" s="7" t="str">
        <f>IFERROR(__xludf.DUMMYFUNCTION("iferror(iferror(INDEX(IMPORTRANGE(""12vtnxaE_Q1s4tyr10kZQx7ZF_xG0lBFae4jQEUtgsMU"",""All!B2:B""),MATCH($C1256,IMPORTRANGE(""12vtnxaE_Q1s4tyr10kZQx7ZF_xG0lBFae4jQEUtgsMU"",""All!A2:A""),0)),INDEX(IMPORTRANGE(""13KC70HngS4DDi8y9E5khtSpQEPG6owaQ9z4E-tR5mnY"""&amp;",""Non-Food!B2:B""),MATCH($C1256,IMPORTRANGE(""13KC70HngS4DDi8y9E5khtSpQEPG6owaQ9z4E-tR5mnY"",""Non-Food!A2:A""),0))),"""")"),"")</f>
        <v/>
      </c>
      <c r="E1256" s="15"/>
      <c r="F1256" s="15"/>
      <c r="G1256" s="36"/>
      <c r="H1256" s="23" t="str">
        <f>IFERROR(__xludf.DUMMYFUNCTION("iferror(iferror(iferror(index(IMPORTRANGE(""1NK5L1mviMn0j3D3uo53ASkIZOFRlLnqaCTnwzOG2_Wg"",""Direct Link!B2:B""),MATCH($C1256,IMPORTRANGE(""1NK5L1mviMn0j3D3uo53ASkIZOFRlLnqaCTnwzOG2_Wg"",""Direct Link!A2:A""),0)),XLOOKUP($C1256,IMPORTRANGE(""1NK5L1mviMn0j"&amp;"3D3uo53ASkIZOFRlLnqaCTnwzOG2_Wg"",""Direct links Without Sizes!A2:A""),IMPORTRANGE(""1NK5L1mviMn0j3D3uo53ASkIZOFRlLnqaCTnwzOG2_Wg"",""Direct links Without Sizes!B2:B""))),XLOOKUP($C1256,IMPORTRANGE(""1NK5L1mviMn0j3D3uo53ASkIZOFRlLnqaCTnwzOG2_Wg"",""Direct"&amp;" links Without Sizes!D2:D""),IMPORTRANGE(""1NK5L1mviMn0j3D3uo53ASkIZOFRlLnqaCTnwzOG2_Wg"",""Direct links Without Sizes!E2:E""))),"""")"),"")</f>
        <v/>
      </c>
      <c r="I1256" s="4"/>
      <c r="J1256" s="24" t="str">
        <f t="shared" si="1"/>
        <v/>
      </c>
      <c r="K1256" s="25"/>
      <c r="L1256" s="24" t="str">
        <f t="shared" si="2"/>
        <v/>
      </c>
      <c r="M1256" s="4"/>
      <c r="N1256" s="23"/>
      <c r="O1256" s="23"/>
      <c r="P1256" s="23"/>
      <c r="Q1256" s="4" t="str">
        <f t="shared" si="4"/>
        <v/>
      </c>
      <c r="R1256" s="20"/>
      <c r="S1256" s="20"/>
    </row>
    <row r="1257">
      <c r="A1257" s="4"/>
      <c r="B1257" s="4"/>
      <c r="C1257" s="37"/>
      <c r="D1257" s="7" t="str">
        <f>IFERROR(__xludf.DUMMYFUNCTION("iferror(iferror(INDEX(IMPORTRANGE(""12vtnxaE_Q1s4tyr10kZQx7ZF_xG0lBFae4jQEUtgsMU"",""All!B2:B""),MATCH($C1257,IMPORTRANGE(""12vtnxaE_Q1s4tyr10kZQx7ZF_xG0lBFae4jQEUtgsMU"",""All!A2:A""),0)),INDEX(IMPORTRANGE(""13KC70HngS4DDi8y9E5khtSpQEPG6owaQ9z4E-tR5mnY"""&amp;",""Non-Food!B2:B""),MATCH($C1257,IMPORTRANGE(""13KC70HngS4DDi8y9E5khtSpQEPG6owaQ9z4E-tR5mnY"",""Non-Food!A2:A""),0))),"""")"),"")</f>
        <v/>
      </c>
      <c r="E1257" s="15"/>
      <c r="F1257" s="15"/>
      <c r="G1257" s="36"/>
      <c r="H1257" s="23" t="str">
        <f>IFERROR(__xludf.DUMMYFUNCTION("iferror(iferror(iferror(index(IMPORTRANGE(""1NK5L1mviMn0j3D3uo53ASkIZOFRlLnqaCTnwzOG2_Wg"",""Direct Link!B2:B""),MATCH($C1257,IMPORTRANGE(""1NK5L1mviMn0j3D3uo53ASkIZOFRlLnqaCTnwzOG2_Wg"",""Direct Link!A2:A""),0)),XLOOKUP($C1257,IMPORTRANGE(""1NK5L1mviMn0j"&amp;"3D3uo53ASkIZOFRlLnqaCTnwzOG2_Wg"",""Direct links Without Sizes!A2:A""),IMPORTRANGE(""1NK5L1mviMn0j3D3uo53ASkIZOFRlLnqaCTnwzOG2_Wg"",""Direct links Without Sizes!B2:B""))),XLOOKUP($C1257,IMPORTRANGE(""1NK5L1mviMn0j3D3uo53ASkIZOFRlLnqaCTnwzOG2_Wg"",""Direct"&amp;" links Without Sizes!D2:D""),IMPORTRANGE(""1NK5L1mviMn0j3D3uo53ASkIZOFRlLnqaCTnwzOG2_Wg"",""Direct links Without Sizes!E2:E""))),"""")"),"")</f>
        <v/>
      </c>
      <c r="I1257" s="4"/>
      <c r="J1257" s="24" t="str">
        <f t="shared" si="1"/>
        <v/>
      </c>
      <c r="K1257" s="25"/>
      <c r="L1257" s="24" t="str">
        <f t="shared" si="2"/>
        <v/>
      </c>
      <c r="M1257" s="4"/>
      <c r="N1257" s="23"/>
      <c r="O1257" s="23"/>
      <c r="P1257" s="23"/>
      <c r="Q1257" s="4" t="str">
        <f t="shared" si="4"/>
        <v/>
      </c>
      <c r="R1257" s="20"/>
      <c r="S1257" s="20"/>
    </row>
    <row r="1258">
      <c r="A1258" s="4"/>
      <c r="B1258" s="4"/>
      <c r="C1258" s="37"/>
      <c r="D1258" s="7" t="str">
        <f>IFERROR(__xludf.DUMMYFUNCTION("iferror(iferror(INDEX(IMPORTRANGE(""12vtnxaE_Q1s4tyr10kZQx7ZF_xG0lBFae4jQEUtgsMU"",""All!B2:B""),MATCH($C1258,IMPORTRANGE(""12vtnxaE_Q1s4tyr10kZQx7ZF_xG0lBFae4jQEUtgsMU"",""All!A2:A""),0)),INDEX(IMPORTRANGE(""13KC70HngS4DDi8y9E5khtSpQEPG6owaQ9z4E-tR5mnY"""&amp;",""Non-Food!B2:B""),MATCH($C1258,IMPORTRANGE(""13KC70HngS4DDi8y9E5khtSpQEPG6owaQ9z4E-tR5mnY"",""Non-Food!A2:A""),0))),"""")"),"")</f>
        <v/>
      </c>
      <c r="E1258" s="15"/>
      <c r="F1258" s="15"/>
      <c r="G1258" s="36"/>
      <c r="H1258" s="23" t="str">
        <f>IFERROR(__xludf.DUMMYFUNCTION("iferror(iferror(iferror(index(IMPORTRANGE(""1NK5L1mviMn0j3D3uo53ASkIZOFRlLnqaCTnwzOG2_Wg"",""Direct Link!B2:B""),MATCH($C1258,IMPORTRANGE(""1NK5L1mviMn0j3D3uo53ASkIZOFRlLnqaCTnwzOG2_Wg"",""Direct Link!A2:A""),0)),XLOOKUP($C1258,IMPORTRANGE(""1NK5L1mviMn0j"&amp;"3D3uo53ASkIZOFRlLnqaCTnwzOG2_Wg"",""Direct links Without Sizes!A2:A""),IMPORTRANGE(""1NK5L1mviMn0j3D3uo53ASkIZOFRlLnqaCTnwzOG2_Wg"",""Direct links Without Sizes!B2:B""))),XLOOKUP($C1258,IMPORTRANGE(""1NK5L1mviMn0j3D3uo53ASkIZOFRlLnqaCTnwzOG2_Wg"",""Direct"&amp;" links Without Sizes!D2:D""),IMPORTRANGE(""1NK5L1mviMn0j3D3uo53ASkIZOFRlLnqaCTnwzOG2_Wg"",""Direct links Without Sizes!E2:E""))),"""")"),"")</f>
        <v/>
      </c>
      <c r="I1258" s="4"/>
      <c r="J1258" s="24" t="str">
        <f t="shared" si="1"/>
        <v/>
      </c>
      <c r="K1258" s="25"/>
      <c r="L1258" s="24" t="str">
        <f t="shared" si="2"/>
        <v/>
      </c>
      <c r="M1258" s="4"/>
      <c r="N1258" s="23"/>
      <c r="O1258" s="23"/>
      <c r="P1258" s="23"/>
      <c r="Q1258" s="4" t="str">
        <f t="shared" si="4"/>
        <v/>
      </c>
      <c r="R1258" s="20"/>
      <c r="S1258" s="20"/>
    </row>
    <row r="1259">
      <c r="A1259" s="4"/>
      <c r="B1259" s="4"/>
      <c r="C1259" s="37"/>
      <c r="D1259" s="7" t="str">
        <f>IFERROR(__xludf.DUMMYFUNCTION("iferror(iferror(INDEX(IMPORTRANGE(""12vtnxaE_Q1s4tyr10kZQx7ZF_xG0lBFae4jQEUtgsMU"",""All!B2:B""),MATCH($C1259,IMPORTRANGE(""12vtnxaE_Q1s4tyr10kZQx7ZF_xG0lBFae4jQEUtgsMU"",""All!A2:A""),0)),INDEX(IMPORTRANGE(""13KC70HngS4DDi8y9E5khtSpQEPG6owaQ9z4E-tR5mnY"""&amp;",""Non-Food!B2:B""),MATCH($C1259,IMPORTRANGE(""13KC70HngS4DDi8y9E5khtSpQEPG6owaQ9z4E-tR5mnY"",""Non-Food!A2:A""),0))),"""")"),"")</f>
        <v/>
      </c>
      <c r="E1259" s="15"/>
      <c r="F1259" s="15"/>
      <c r="G1259" s="36"/>
      <c r="H1259" s="23" t="str">
        <f>IFERROR(__xludf.DUMMYFUNCTION("iferror(iferror(iferror(index(IMPORTRANGE(""1NK5L1mviMn0j3D3uo53ASkIZOFRlLnqaCTnwzOG2_Wg"",""Direct Link!B2:B""),MATCH($C1259,IMPORTRANGE(""1NK5L1mviMn0j3D3uo53ASkIZOFRlLnqaCTnwzOG2_Wg"",""Direct Link!A2:A""),0)),XLOOKUP($C1259,IMPORTRANGE(""1NK5L1mviMn0j"&amp;"3D3uo53ASkIZOFRlLnqaCTnwzOG2_Wg"",""Direct links Without Sizes!A2:A""),IMPORTRANGE(""1NK5L1mviMn0j3D3uo53ASkIZOFRlLnqaCTnwzOG2_Wg"",""Direct links Without Sizes!B2:B""))),XLOOKUP($C1259,IMPORTRANGE(""1NK5L1mviMn0j3D3uo53ASkIZOFRlLnqaCTnwzOG2_Wg"",""Direct"&amp;" links Without Sizes!D2:D""),IMPORTRANGE(""1NK5L1mviMn0j3D3uo53ASkIZOFRlLnqaCTnwzOG2_Wg"",""Direct links Without Sizes!E2:E""))),"""")"),"")</f>
        <v/>
      </c>
      <c r="I1259" s="4"/>
      <c r="J1259" s="24" t="str">
        <f t="shared" si="1"/>
        <v/>
      </c>
      <c r="K1259" s="25"/>
      <c r="L1259" s="24" t="str">
        <f t="shared" si="2"/>
        <v/>
      </c>
      <c r="M1259" s="4"/>
      <c r="N1259" s="23"/>
      <c r="O1259" s="23"/>
      <c r="P1259" s="23"/>
      <c r="Q1259" s="4" t="str">
        <f t="shared" si="4"/>
        <v/>
      </c>
      <c r="R1259" s="20"/>
      <c r="S1259" s="20"/>
    </row>
    <row r="1260">
      <c r="A1260" s="4"/>
      <c r="B1260" s="4"/>
      <c r="C1260" s="37"/>
      <c r="D1260" s="7" t="str">
        <f>IFERROR(__xludf.DUMMYFUNCTION("iferror(iferror(INDEX(IMPORTRANGE(""12vtnxaE_Q1s4tyr10kZQx7ZF_xG0lBFae4jQEUtgsMU"",""All!B2:B""),MATCH($C1260,IMPORTRANGE(""12vtnxaE_Q1s4tyr10kZQx7ZF_xG0lBFae4jQEUtgsMU"",""All!A2:A""),0)),INDEX(IMPORTRANGE(""13KC70HngS4DDi8y9E5khtSpQEPG6owaQ9z4E-tR5mnY"""&amp;",""Non-Food!B2:B""),MATCH($C1260,IMPORTRANGE(""13KC70HngS4DDi8y9E5khtSpQEPG6owaQ9z4E-tR5mnY"",""Non-Food!A2:A""),0))),"""")"),"")</f>
        <v/>
      </c>
      <c r="E1260" s="15"/>
      <c r="F1260" s="15"/>
      <c r="G1260" s="36"/>
      <c r="H1260" s="23" t="str">
        <f>IFERROR(__xludf.DUMMYFUNCTION("iferror(iferror(iferror(index(IMPORTRANGE(""1NK5L1mviMn0j3D3uo53ASkIZOFRlLnqaCTnwzOG2_Wg"",""Direct Link!B2:B""),MATCH($C1260,IMPORTRANGE(""1NK5L1mviMn0j3D3uo53ASkIZOFRlLnqaCTnwzOG2_Wg"",""Direct Link!A2:A""),0)),XLOOKUP($C1260,IMPORTRANGE(""1NK5L1mviMn0j"&amp;"3D3uo53ASkIZOFRlLnqaCTnwzOG2_Wg"",""Direct links Without Sizes!A2:A""),IMPORTRANGE(""1NK5L1mviMn0j3D3uo53ASkIZOFRlLnqaCTnwzOG2_Wg"",""Direct links Without Sizes!B2:B""))),XLOOKUP($C1260,IMPORTRANGE(""1NK5L1mviMn0j3D3uo53ASkIZOFRlLnqaCTnwzOG2_Wg"",""Direct"&amp;" links Without Sizes!D2:D""),IMPORTRANGE(""1NK5L1mviMn0j3D3uo53ASkIZOFRlLnqaCTnwzOG2_Wg"",""Direct links Without Sizes!E2:E""))),"""")"),"")</f>
        <v/>
      </c>
      <c r="I1260" s="4"/>
      <c r="J1260" s="24" t="str">
        <f t="shared" si="1"/>
        <v/>
      </c>
      <c r="K1260" s="25"/>
      <c r="L1260" s="24" t="str">
        <f t="shared" si="2"/>
        <v/>
      </c>
      <c r="M1260" s="4"/>
      <c r="N1260" s="23"/>
      <c r="O1260" s="23"/>
      <c r="P1260" s="23"/>
      <c r="Q1260" s="4" t="str">
        <f t="shared" si="4"/>
        <v/>
      </c>
      <c r="R1260" s="20"/>
      <c r="S1260" s="20"/>
    </row>
    <row r="1261">
      <c r="A1261" s="4"/>
      <c r="B1261" s="4"/>
      <c r="C1261" s="37"/>
      <c r="D1261" s="7" t="str">
        <f>IFERROR(__xludf.DUMMYFUNCTION("iferror(iferror(INDEX(IMPORTRANGE(""12vtnxaE_Q1s4tyr10kZQx7ZF_xG0lBFae4jQEUtgsMU"",""All!B2:B""),MATCH($C1261,IMPORTRANGE(""12vtnxaE_Q1s4tyr10kZQx7ZF_xG0lBFae4jQEUtgsMU"",""All!A2:A""),0)),INDEX(IMPORTRANGE(""13KC70HngS4DDi8y9E5khtSpQEPG6owaQ9z4E-tR5mnY"""&amp;",""Non-Food!B2:B""),MATCH($C1261,IMPORTRANGE(""13KC70HngS4DDi8y9E5khtSpQEPG6owaQ9z4E-tR5mnY"",""Non-Food!A2:A""),0))),"""")"),"")</f>
        <v/>
      </c>
      <c r="E1261" s="15"/>
      <c r="F1261" s="15"/>
      <c r="G1261" s="36"/>
      <c r="H1261" s="23" t="str">
        <f>IFERROR(__xludf.DUMMYFUNCTION("iferror(iferror(iferror(index(IMPORTRANGE(""1NK5L1mviMn0j3D3uo53ASkIZOFRlLnqaCTnwzOG2_Wg"",""Direct Link!B2:B""),MATCH($C1261,IMPORTRANGE(""1NK5L1mviMn0j3D3uo53ASkIZOFRlLnqaCTnwzOG2_Wg"",""Direct Link!A2:A""),0)),XLOOKUP($C1261,IMPORTRANGE(""1NK5L1mviMn0j"&amp;"3D3uo53ASkIZOFRlLnqaCTnwzOG2_Wg"",""Direct links Without Sizes!A2:A""),IMPORTRANGE(""1NK5L1mviMn0j3D3uo53ASkIZOFRlLnqaCTnwzOG2_Wg"",""Direct links Without Sizes!B2:B""))),XLOOKUP($C1261,IMPORTRANGE(""1NK5L1mviMn0j3D3uo53ASkIZOFRlLnqaCTnwzOG2_Wg"",""Direct"&amp;" links Without Sizes!D2:D""),IMPORTRANGE(""1NK5L1mviMn0j3D3uo53ASkIZOFRlLnqaCTnwzOG2_Wg"",""Direct links Without Sizes!E2:E""))),"""")"),"")</f>
        <v/>
      </c>
      <c r="I1261" s="4"/>
      <c r="J1261" s="24" t="str">
        <f t="shared" si="1"/>
        <v/>
      </c>
      <c r="K1261" s="25"/>
      <c r="L1261" s="24" t="str">
        <f t="shared" si="2"/>
        <v/>
      </c>
      <c r="M1261" s="4"/>
      <c r="N1261" s="23"/>
      <c r="O1261" s="23"/>
      <c r="P1261" s="23"/>
      <c r="Q1261" s="4" t="str">
        <f t="shared" si="4"/>
        <v/>
      </c>
      <c r="R1261" s="20"/>
      <c r="S1261" s="20"/>
    </row>
    <row r="1262">
      <c r="A1262" s="4"/>
      <c r="B1262" s="4"/>
      <c r="C1262" s="37"/>
      <c r="D1262" s="7" t="str">
        <f>IFERROR(__xludf.DUMMYFUNCTION("iferror(iferror(INDEX(IMPORTRANGE(""12vtnxaE_Q1s4tyr10kZQx7ZF_xG0lBFae4jQEUtgsMU"",""All!B2:B""),MATCH($C1262,IMPORTRANGE(""12vtnxaE_Q1s4tyr10kZQx7ZF_xG0lBFae4jQEUtgsMU"",""All!A2:A""),0)),INDEX(IMPORTRANGE(""13KC70HngS4DDi8y9E5khtSpQEPG6owaQ9z4E-tR5mnY"""&amp;",""Non-Food!B2:B""),MATCH($C1262,IMPORTRANGE(""13KC70HngS4DDi8y9E5khtSpQEPG6owaQ9z4E-tR5mnY"",""Non-Food!A2:A""),0))),"""")"),"")</f>
        <v/>
      </c>
      <c r="E1262" s="15"/>
      <c r="F1262" s="15"/>
      <c r="G1262" s="36"/>
      <c r="H1262" s="23" t="str">
        <f>IFERROR(__xludf.DUMMYFUNCTION("iferror(iferror(iferror(index(IMPORTRANGE(""1NK5L1mviMn0j3D3uo53ASkIZOFRlLnqaCTnwzOG2_Wg"",""Direct Link!B2:B""),MATCH($C1262,IMPORTRANGE(""1NK5L1mviMn0j3D3uo53ASkIZOFRlLnqaCTnwzOG2_Wg"",""Direct Link!A2:A""),0)),XLOOKUP($C1262,IMPORTRANGE(""1NK5L1mviMn0j"&amp;"3D3uo53ASkIZOFRlLnqaCTnwzOG2_Wg"",""Direct links Without Sizes!A2:A""),IMPORTRANGE(""1NK5L1mviMn0j3D3uo53ASkIZOFRlLnqaCTnwzOG2_Wg"",""Direct links Without Sizes!B2:B""))),XLOOKUP($C1262,IMPORTRANGE(""1NK5L1mviMn0j3D3uo53ASkIZOFRlLnqaCTnwzOG2_Wg"",""Direct"&amp;" links Without Sizes!D2:D""),IMPORTRANGE(""1NK5L1mviMn0j3D3uo53ASkIZOFRlLnqaCTnwzOG2_Wg"",""Direct links Without Sizes!E2:E""))),"""")"),"")</f>
        <v/>
      </c>
      <c r="I1262" s="4"/>
      <c r="J1262" s="24" t="str">
        <f t="shared" si="1"/>
        <v/>
      </c>
      <c r="K1262" s="25"/>
      <c r="L1262" s="24" t="str">
        <f t="shared" si="2"/>
        <v/>
      </c>
      <c r="M1262" s="4"/>
      <c r="N1262" s="23"/>
      <c r="O1262" s="23"/>
      <c r="P1262" s="23"/>
      <c r="Q1262" s="4" t="str">
        <f t="shared" si="4"/>
        <v/>
      </c>
      <c r="R1262" s="20"/>
      <c r="S1262" s="20"/>
    </row>
    <row r="1263">
      <c r="A1263" s="4"/>
      <c r="B1263" s="4"/>
      <c r="C1263" s="37"/>
      <c r="D1263" s="7" t="str">
        <f>IFERROR(__xludf.DUMMYFUNCTION("iferror(iferror(INDEX(IMPORTRANGE(""12vtnxaE_Q1s4tyr10kZQx7ZF_xG0lBFae4jQEUtgsMU"",""All!B2:B""),MATCH($C1263,IMPORTRANGE(""12vtnxaE_Q1s4tyr10kZQx7ZF_xG0lBFae4jQEUtgsMU"",""All!A2:A""),0)),INDEX(IMPORTRANGE(""13KC70HngS4DDi8y9E5khtSpQEPG6owaQ9z4E-tR5mnY"""&amp;",""Non-Food!B2:B""),MATCH($C1263,IMPORTRANGE(""13KC70HngS4DDi8y9E5khtSpQEPG6owaQ9z4E-tR5mnY"",""Non-Food!A2:A""),0))),"""")"),"")</f>
        <v/>
      </c>
      <c r="E1263" s="15"/>
      <c r="F1263" s="15"/>
      <c r="G1263" s="36"/>
      <c r="H1263" s="23" t="str">
        <f>IFERROR(__xludf.DUMMYFUNCTION("iferror(iferror(iferror(index(IMPORTRANGE(""1NK5L1mviMn0j3D3uo53ASkIZOFRlLnqaCTnwzOG2_Wg"",""Direct Link!B2:B""),MATCH($C1263,IMPORTRANGE(""1NK5L1mviMn0j3D3uo53ASkIZOFRlLnqaCTnwzOG2_Wg"",""Direct Link!A2:A""),0)),XLOOKUP($C1263,IMPORTRANGE(""1NK5L1mviMn0j"&amp;"3D3uo53ASkIZOFRlLnqaCTnwzOG2_Wg"",""Direct links Without Sizes!A2:A""),IMPORTRANGE(""1NK5L1mviMn0j3D3uo53ASkIZOFRlLnqaCTnwzOG2_Wg"",""Direct links Without Sizes!B2:B""))),XLOOKUP($C1263,IMPORTRANGE(""1NK5L1mviMn0j3D3uo53ASkIZOFRlLnqaCTnwzOG2_Wg"",""Direct"&amp;" links Without Sizes!D2:D""),IMPORTRANGE(""1NK5L1mviMn0j3D3uo53ASkIZOFRlLnqaCTnwzOG2_Wg"",""Direct links Without Sizes!E2:E""))),"""")"),"")</f>
        <v/>
      </c>
      <c r="I1263" s="4"/>
      <c r="J1263" s="24" t="str">
        <f t="shared" si="1"/>
        <v/>
      </c>
      <c r="K1263" s="25"/>
      <c r="L1263" s="24" t="str">
        <f t="shared" si="2"/>
        <v/>
      </c>
      <c r="M1263" s="4"/>
      <c r="N1263" s="23"/>
      <c r="O1263" s="23"/>
      <c r="P1263" s="23"/>
      <c r="Q1263" s="4" t="str">
        <f t="shared" si="4"/>
        <v/>
      </c>
      <c r="R1263" s="20"/>
      <c r="S1263" s="20"/>
    </row>
    <row r="1264">
      <c r="A1264" s="4"/>
      <c r="B1264" s="4"/>
      <c r="C1264" s="37"/>
      <c r="D1264" s="7" t="str">
        <f>IFERROR(__xludf.DUMMYFUNCTION("iferror(iferror(INDEX(IMPORTRANGE(""12vtnxaE_Q1s4tyr10kZQx7ZF_xG0lBFae4jQEUtgsMU"",""All!B2:B""),MATCH($C1264,IMPORTRANGE(""12vtnxaE_Q1s4tyr10kZQx7ZF_xG0lBFae4jQEUtgsMU"",""All!A2:A""),0)),INDEX(IMPORTRANGE(""13KC70HngS4DDi8y9E5khtSpQEPG6owaQ9z4E-tR5mnY"""&amp;",""Non-Food!B2:B""),MATCH($C1264,IMPORTRANGE(""13KC70HngS4DDi8y9E5khtSpQEPG6owaQ9z4E-tR5mnY"",""Non-Food!A2:A""),0))),"""")"),"")</f>
        <v/>
      </c>
      <c r="E1264" s="15"/>
      <c r="F1264" s="15"/>
      <c r="G1264" s="36"/>
      <c r="H1264" s="23" t="str">
        <f>IFERROR(__xludf.DUMMYFUNCTION("iferror(iferror(iferror(index(IMPORTRANGE(""1NK5L1mviMn0j3D3uo53ASkIZOFRlLnqaCTnwzOG2_Wg"",""Direct Link!B2:B""),MATCH($C1264,IMPORTRANGE(""1NK5L1mviMn0j3D3uo53ASkIZOFRlLnqaCTnwzOG2_Wg"",""Direct Link!A2:A""),0)),XLOOKUP($C1264,IMPORTRANGE(""1NK5L1mviMn0j"&amp;"3D3uo53ASkIZOFRlLnqaCTnwzOG2_Wg"",""Direct links Without Sizes!A2:A""),IMPORTRANGE(""1NK5L1mviMn0j3D3uo53ASkIZOFRlLnqaCTnwzOG2_Wg"",""Direct links Without Sizes!B2:B""))),XLOOKUP($C1264,IMPORTRANGE(""1NK5L1mviMn0j3D3uo53ASkIZOFRlLnqaCTnwzOG2_Wg"",""Direct"&amp;" links Without Sizes!D2:D""),IMPORTRANGE(""1NK5L1mviMn0j3D3uo53ASkIZOFRlLnqaCTnwzOG2_Wg"",""Direct links Without Sizes!E2:E""))),"""")"),"")</f>
        <v/>
      </c>
      <c r="I1264" s="4"/>
      <c r="J1264" s="24" t="str">
        <f t="shared" si="1"/>
        <v/>
      </c>
      <c r="K1264" s="25"/>
      <c r="L1264" s="24" t="str">
        <f t="shared" si="2"/>
        <v/>
      </c>
      <c r="M1264" s="4"/>
      <c r="N1264" s="23"/>
      <c r="O1264" s="23"/>
      <c r="P1264" s="23"/>
      <c r="Q1264" s="4" t="str">
        <f t="shared" si="4"/>
        <v/>
      </c>
      <c r="R1264" s="20"/>
      <c r="S1264" s="20"/>
    </row>
    <row r="1265">
      <c r="A1265" s="4"/>
      <c r="B1265" s="4"/>
      <c r="C1265" s="37"/>
      <c r="D1265" s="7" t="str">
        <f>IFERROR(__xludf.DUMMYFUNCTION("iferror(iferror(INDEX(IMPORTRANGE(""12vtnxaE_Q1s4tyr10kZQx7ZF_xG0lBFae4jQEUtgsMU"",""All!B2:B""),MATCH($C1265,IMPORTRANGE(""12vtnxaE_Q1s4tyr10kZQx7ZF_xG0lBFae4jQEUtgsMU"",""All!A2:A""),0)),INDEX(IMPORTRANGE(""13KC70HngS4DDi8y9E5khtSpQEPG6owaQ9z4E-tR5mnY"""&amp;",""Non-Food!B2:B""),MATCH($C1265,IMPORTRANGE(""13KC70HngS4DDi8y9E5khtSpQEPG6owaQ9z4E-tR5mnY"",""Non-Food!A2:A""),0))),"""")"),"")</f>
        <v/>
      </c>
      <c r="E1265" s="15"/>
      <c r="F1265" s="15"/>
      <c r="G1265" s="36"/>
      <c r="H1265" s="23" t="str">
        <f>IFERROR(__xludf.DUMMYFUNCTION("iferror(iferror(iferror(index(IMPORTRANGE(""1NK5L1mviMn0j3D3uo53ASkIZOFRlLnqaCTnwzOG2_Wg"",""Direct Link!B2:B""),MATCH($C1265,IMPORTRANGE(""1NK5L1mviMn0j3D3uo53ASkIZOFRlLnqaCTnwzOG2_Wg"",""Direct Link!A2:A""),0)),XLOOKUP($C1265,IMPORTRANGE(""1NK5L1mviMn0j"&amp;"3D3uo53ASkIZOFRlLnqaCTnwzOG2_Wg"",""Direct links Without Sizes!A2:A""),IMPORTRANGE(""1NK5L1mviMn0j3D3uo53ASkIZOFRlLnqaCTnwzOG2_Wg"",""Direct links Without Sizes!B2:B""))),XLOOKUP($C1265,IMPORTRANGE(""1NK5L1mviMn0j3D3uo53ASkIZOFRlLnqaCTnwzOG2_Wg"",""Direct"&amp;" links Without Sizes!D2:D""),IMPORTRANGE(""1NK5L1mviMn0j3D3uo53ASkIZOFRlLnqaCTnwzOG2_Wg"",""Direct links Without Sizes!E2:E""))),"""")"),"")</f>
        <v/>
      </c>
      <c r="I1265" s="4"/>
      <c r="J1265" s="24" t="str">
        <f t="shared" si="1"/>
        <v/>
      </c>
      <c r="K1265" s="25"/>
      <c r="L1265" s="24" t="str">
        <f t="shared" si="2"/>
        <v/>
      </c>
      <c r="M1265" s="4"/>
      <c r="N1265" s="23"/>
      <c r="O1265" s="23"/>
      <c r="P1265" s="23"/>
      <c r="Q1265" s="4" t="str">
        <f t="shared" si="4"/>
        <v/>
      </c>
      <c r="R1265" s="20"/>
      <c r="S1265" s="20"/>
    </row>
    <row r="1266">
      <c r="A1266" s="4"/>
      <c r="B1266" s="4"/>
      <c r="C1266" s="37"/>
      <c r="D1266" s="7" t="str">
        <f>IFERROR(__xludf.DUMMYFUNCTION("iferror(iferror(INDEX(IMPORTRANGE(""12vtnxaE_Q1s4tyr10kZQx7ZF_xG0lBFae4jQEUtgsMU"",""All!B2:B""),MATCH($C1266,IMPORTRANGE(""12vtnxaE_Q1s4tyr10kZQx7ZF_xG0lBFae4jQEUtgsMU"",""All!A2:A""),0)),INDEX(IMPORTRANGE(""13KC70HngS4DDi8y9E5khtSpQEPG6owaQ9z4E-tR5mnY"""&amp;",""Non-Food!B2:B""),MATCH($C1266,IMPORTRANGE(""13KC70HngS4DDi8y9E5khtSpQEPG6owaQ9z4E-tR5mnY"",""Non-Food!A2:A""),0))),"""")"),"")</f>
        <v/>
      </c>
      <c r="E1266" s="15"/>
      <c r="F1266" s="15"/>
      <c r="G1266" s="36"/>
      <c r="H1266" s="23" t="str">
        <f>IFERROR(__xludf.DUMMYFUNCTION("iferror(iferror(iferror(index(IMPORTRANGE(""1NK5L1mviMn0j3D3uo53ASkIZOFRlLnqaCTnwzOG2_Wg"",""Direct Link!B2:B""),MATCH($C1266,IMPORTRANGE(""1NK5L1mviMn0j3D3uo53ASkIZOFRlLnqaCTnwzOG2_Wg"",""Direct Link!A2:A""),0)),XLOOKUP($C1266,IMPORTRANGE(""1NK5L1mviMn0j"&amp;"3D3uo53ASkIZOFRlLnqaCTnwzOG2_Wg"",""Direct links Without Sizes!A2:A""),IMPORTRANGE(""1NK5L1mviMn0j3D3uo53ASkIZOFRlLnqaCTnwzOG2_Wg"",""Direct links Without Sizes!B2:B""))),XLOOKUP($C1266,IMPORTRANGE(""1NK5L1mviMn0j3D3uo53ASkIZOFRlLnqaCTnwzOG2_Wg"",""Direct"&amp;" links Without Sizes!D2:D""),IMPORTRANGE(""1NK5L1mviMn0j3D3uo53ASkIZOFRlLnqaCTnwzOG2_Wg"",""Direct links Without Sizes!E2:E""))),"""")"),"")</f>
        <v/>
      </c>
      <c r="I1266" s="4"/>
      <c r="J1266" s="24" t="str">
        <f t="shared" si="1"/>
        <v/>
      </c>
      <c r="K1266" s="25"/>
      <c r="L1266" s="24" t="str">
        <f t="shared" si="2"/>
        <v/>
      </c>
      <c r="M1266" s="4"/>
      <c r="N1266" s="23"/>
      <c r="O1266" s="23"/>
      <c r="P1266" s="23"/>
      <c r="Q1266" s="4" t="str">
        <f t="shared" si="4"/>
        <v/>
      </c>
      <c r="R1266" s="20"/>
      <c r="S1266" s="20"/>
    </row>
    <row r="1267">
      <c r="A1267" s="4"/>
      <c r="B1267" s="4"/>
      <c r="C1267" s="37"/>
      <c r="D1267" s="7" t="str">
        <f>IFERROR(__xludf.DUMMYFUNCTION("iferror(iferror(INDEX(IMPORTRANGE(""12vtnxaE_Q1s4tyr10kZQx7ZF_xG0lBFae4jQEUtgsMU"",""All!B2:B""),MATCH($C1267,IMPORTRANGE(""12vtnxaE_Q1s4tyr10kZQx7ZF_xG0lBFae4jQEUtgsMU"",""All!A2:A""),0)),INDEX(IMPORTRANGE(""13KC70HngS4DDi8y9E5khtSpQEPG6owaQ9z4E-tR5mnY"""&amp;",""Non-Food!B2:B""),MATCH($C1267,IMPORTRANGE(""13KC70HngS4DDi8y9E5khtSpQEPG6owaQ9z4E-tR5mnY"",""Non-Food!A2:A""),0))),"""")"),"")</f>
        <v/>
      </c>
      <c r="E1267" s="15"/>
      <c r="F1267" s="15"/>
      <c r="G1267" s="36"/>
      <c r="H1267" s="23" t="str">
        <f>IFERROR(__xludf.DUMMYFUNCTION("iferror(iferror(iferror(index(IMPORTRANGE(""1NK5L1mviMn0j3D3uo53ASkIZOFRlLnqaCTnwzOG2_Wg"",""Direct Link!B2:B""),MATCH($C1267,IMPORTRANGE(""1NK5L1mviMn0j3D3uo53ASkIZOFRlLnqaCTnwzOG2_Wg"",""Direct Link!A2:A""),0)),XLOOKUP($C1267,IMPORTRANGE(""1NK5L1mviMn0j"&amp;"3D3uo53ASkIZOFRlLnqaCTnwzOG2_Wg"",""Direct links Without Sizes!A2:A""),IMPORTRANGE(""1NK5L1mviMn0j3D3uo53ASkIZOFRlLnqaCTnwzOG2_Wg"",""Direct links Without Sizes!B2:B""))),XLOOKUP($C1267,IMPORTRANGE(""1NK5L1mviMn0j3D3uo53ASkIZOFRlLnqaCTnwzOG2_Wg"",""Direct"&amp;" links Without Sizes!D2:D""),IMPORTRANGE(""1NK5L1mviMn0j3D3uo53ASkIZOFRlLnqaCTnwzOG2_Wg"",""Direct links Without Sizes!E2:E""))),"""")"),"")</f>
        <v/>
      </c>
      <c r="I1267" s="4"/>
      <c r="J1267" s="24" t="str">
        <f t="shared" si="1"/>
        <v/>
      </c>
      <c r="K1267" s="25"/>
      <c r="L1267" s="24" t="str">
        <f t="shared" si="2"/>
        <v/>
      </c>
      <c r="M1267" s="4"/>
      <c r="N1267" s="23"/>
      <c r="O1267" s="23"/>
      <c r="P1267" s="23"/>
      <c r="Q1267" s="4" t="str">
        <f t="shared" si="4"/>
        <v/>
      </c>
      <c r="R1267" s="20"/>
      <c r="S1267" s="20"/>
    </row>
    <row r="1268">
      <c r="A1268" s="4"/>
      <c r="B1268" s="4"/>
      <c r="C1268" s="37"/>
      <c r="D1268" s="7" t="str">
        <f>IFERROR(__xludf.DUMMYFUNCTION("iferror(iferror(INDEX(IMPORTRANGE(""12vtnxaE_Q1s4tyr10kZQx7ZF_xG0lBFae4jQEUtgsMU"",""All!B2:B""),MATCH($C1268,IMPORTRANGE(""12vtnxaE_Q1s4tyr10kZQx7ZF_xG0lBFae4jQEUtgsMU"",""All!A2:A""),0)),INDEX(IMPORTRANGE(""13KC70HngS4DDi8y9E5khtSpQEPG6owaQ9z4E-tR5mnY"""&amp;",""Non-Food!B2:B""),MATCH($C1268,IMPORTRANGE(""13KC70HngS4DDi8y9E5khtSpQEPG6owaQ9z4E-tR5mnY"",""Non-Food!A2:A""),0))),"""")"),"")</f>
        <v/>
      </c>
      <c r="E1268" s="15"/>
      <c r="F1268" s="15"/>
      <c r="G1268" s="36"/>
      <c r="H1268" s="23" t="str">
        <f>IFERROR(__xludf.DUMMYFUNCTION("iferror(iferror(iferror(index(IMPORTRANGE(""1NK5L1mviMn0j3D3uo53ASkIZOFRlLnqaCTnwzOG2_Wg"",""Direct Link!B2:B""),MATCH($C1268,IMPORTRANGE(""1NK5L1mviMn0j3D3uo53ASkIZOFRlLnqaCTnwzOG2_Wg"",""Direct Link!A2:A""),0)),XLOOKUP($C1268,IMPORTRANGE(""1NK5L1mviMn0j"&amp;"3D3uo53ASkIZOFRlLnqaCTnwzOG2_Wg"",""Direct links Without Sizes!A2:A""),IMPORTRANGE(""1NK5L1mviMn0j3D3uo53ASkIZOFRlLnqaCTnwzOG2_Wg"",""Direct links Without Sizes!B2:B""))),XLOOKUP($C1268,IMPORTRANGE(""1NK5L1mviMn0j3D3uo53ASkIZOFRlLnqaCTnwzOG2_Wg"",""Direct"&amp;" links Without Sizes!D2:D""),IMPORTRANGE(""1NK5L1mviMn0j3D3uo53ASkIZOFRlLnqaCTnwzOG2_Wg"",""Direct links Without Sizes!E2:E""))),"""")"),"")</f>
        <v/>
      </c>
      <c r="I1268" s="4"/>
      <c r="J1268" s="24" t="str">
        <f t="shared" si="1"/>
        <v/>
      </c>
      <c r="K1268" s="25"/>
      <c r="L1268" s="24" t="str">
        <f t="shared" si="2"/>
        <v/>
      </c>
      <c r="M1268" s="4"/>
      <c r="N1268" s="23"/>
      <c r="O1268" s="23"/>
      <c r="P1268" s="23"/>
      <c r="Q1268" s="4" t="str">
        <f t="shared" si="4"/>
        <v/>
      </c>
      <c r="R1268" s="20"/>
      <c r="S1268" s="20"/>
    </row>
    <row r="1269">
      <c r="A1269" s="4"/>
      <c r="B1269" s="4"/>
      <c r="C1269" s="37"/>
      <c r="D1269" s="7" t="str">
        <f>IFERROR(__xludf.DUMMYFUNCTION("iferror(iferror(INDEX(IMPORTRANGE(""12vtnxaE_Q1s4tyr10kZQx7ZF_xG0lBFae4jQEUtgsMU"",""All!B2:B""),MATCH($C1269,IMPORTRANGE(""12vtnxaE_Q1s4tyr10kZQx7ZF_xG0lBFae4jQEUtgsMU"",""All!A2:A""),0)),INDEX(IMPORTRANGE(""13KC70HngS4DDi8y9E5khtSpQEPG6owaQ9z4E-tR5mnY"""&amp;",""Non-Food!B2:B""),MATCH($C1269,IMPORTRANGE(""13KC70HngS4DDi8y9E5khtSpQEPG6owaQ9z4E-tR5mnY"",""Non-Food!A2:A""),0))),"""")"),"")</f>
        <v/>
      </c>
      <c r="E1269" s="15"/>
      <c r="F1269" s="15"/>
      <c r="G1269" s="36"/>
      <c r="H1269" s="23" t="str">
        <f>IFERROR(__xludf.DUMMYFUNCTION("iferror(iferror(iferror(index(IMPORTRANGE(""1NK5L1mviMn0j3D3uo53ASkIZOFRlLnqaCTnwzOG2_Wg"",""Direct Link!B2:B""),MATCH($C1269,IMPORTRANGE(""1NK5L1mviMn0j3D3uo53ASkIZOFRlLnqaCTnwzOG2_Wg"",""Direct Link!A2:A""),0)),XLOOKUP($C1269,IMPORTRANGE(""1NK5L1mviMn0j"&amp;"3D3uo53ASkIZOFRlLnqaCTnwzOG2_Wg"",""Direct links Without Sizes!A2:A""),IMPORTRANGE(""1NK5L1mviMn0j3D3uo53ASkIZOFRlLnqaCTnwzOG2_Wg"",""Direct links Without Sizes!B2:B""))),XLOOKUP($C1269,IMPORTRANGE(""1NK5L1mviMn0j3D3uo53ASkIZOFRlLnqaCTnwzOG2_Wg"",""Direct"&amp;" links Without Sizes!D2:D""),IMPORTRANGE(""1NK5L1mviMn0j3D3uo53ASkIZOFRlLnqaCTnwzOG2_Wg"",""Direct links Without Sizes!E2:E""))),"""")"),"")</f>
        <v/>
      </c>
      <c r="I1269" s="4"/>
      <c r="J1269" s="24" t="str">
        <f t="shared" si="1"/>
        <v/>
      </c>
      <c r="K1269" s="25"/>
      <c r="L1269" s="24" t="str">
        <f t="shared" si="2"/>
        <v/>
      </c>
      <c r="M1269" s="4"/>
      <c r="N1269" s="23"/>
      <c r="O1269" s="23"/>
      <c r="P1269" s="23"/>
      <c r="Q1269" s="4" t="str">
        <f t="shared" si="4"/>
        <v/>
      </c>
      <c r="R1269" s="20"/>
      <c r="S1269" s="20"/>
    </row>
    <row r="1270">
      <c r="A1270" s="4"/>
      <c r="B1270" s="4"/>
      <c r="C1270" s="37"/>
      <c r="D1270" s="7" t="str">
        <f>IFERROR(__xludf.DUMMYFUNCTION("iferror(iferror(INDEX(IMPORTRANGE(""12vtnxaE_Q1s4tyr10kZQx7ZF_xG0lBFae4jQEUtgsMU"",""All!B2:B""),MATCH($C1270,IMPORTRANGE(""12vtnxaE_Q1s4tyr10kZQx7ZF_xG0lBFae4jQEUtgsMU"",""All!A2:A""),0)),INDEX(IMPORTRANGE(""13KC70HngS4DDi8y9E5khtSpQEPG6owaQ9z4E-tR5mnY"""&amp;",""Non-Food!B2:B""),MATCH($C1270,IMPORTRANGE(""13KC70HngS4DDi8y9E5khtSpQEPG6owaQ9z4E-tR5mnY"",""Non-Food!A2:A""),0))),"""")"),"")</f>
        <v/>
      </c>
      <c r="E1270" s="15"/>
      <c r="F1270" s="15"/>
      <c r="G1270" s="36"/>
      <c r="H1270" s="23" t="str">
        <f>IFERROR(__xludf.DUMMYFUNCTION("iferror(iferror(iferror(index(IMPORTRANGE(""1NK5L1mviMn0j3D3uo53ASkIZOFRlLnqaCTnwzOG2_Wg"",""Direct Link!B2:B""),MATCH($C1270,IMPORTRANGE(""1NK5L1mviMn0j3D3uo53ASkIZOFRlLnqaCTnwzOG2_Wg"",""Direct Link!A2:A""),0)),XLOOKUP($C1270,IMPORTRANGE(""1NK5L1mviMn0j"&amp;"3D3uo53ASkIZOFRlLnqaCTnwzOG2_Wg"",""Direct links Without Sizes!A2:A""),IMPORTRANGE(""1NK5L1mviMn0j3D3uo53ASkIZOFRlLnqaCTnwzOG2_Wg"",""Direct links Without Sizes!B2:B""))),XLOOKUP($C1270,IMPORTRANGE(""1NK5L1mviMn0j3D3uo53ASkIZOFRlLnqaCTnwzOG2_Wg"",""Direct"&amp;" links Without Sizes!D2:D""),IMPORTRANGE(""1NK5L1mviMn0j3D3uo53ASkIZOFRlLnqaCTnwzOG2_Wg"",""Direct links Without Sizes!E2:E""))),"""")"),"")</f>
        <v/>
      </c>
      <c r="I1270" s="4"/>
      <c r="J1270" s="24" t="str">
        <f t="shared" si="1"/>
        <v/>
      </c>
      <c r="K1270" s="25"/>
      <c r="L1270" s="24" t="str">
        <f t="shared" si="2"/>
        <v/>
      </c>
      <c r="M1270" s="4"/>
      <c r="N1270" s="23"/>
      <c r="O1270" s="23"/>
      <c r="P1270" s="23"/>
      <c r="Q1270" s="4" t="str">
        <f t="shared" si="4"/>
        <v/>
      </c>
      <c r="R1270" s="20"/>
      <c r="S1270" s="20"/>
    </row>
    <row r="1271">
      <c r="A1271" s="4"/>
      <c r="B1271" s="4"/>
      <c r="C1271" s="37"/>
      <c r="D1271" s="7" t="str">
        <f>IFERROR(__xludf.DUMMYFUNCTION("iferror(iferror(INDEX(IMPORTRANGE(""12vtnxaE_Q1s4tyr10kZQx7ZF_xG0lBFae4jQEUtgsMU"",""All!B2:B""),MATCH($C1271,IMPORTRANGE(""12vtnxaE_Q1s4tyr10kZQx7ZF_xG0lBFae4jQEUtgsMU"",""All!A2:A""),0)),INDEX(IMPORTRANGE(""13KC70HngS4DDi8y9E5khtSpQEPG6owaQ9z4E-tR5mnY"""&amp;",""Non-Food!B2:B""),MATCH($C1271,IMPORTRANGE(""13KC70HngS4DDi8y9E5khtSpQEPG6owaQ9z4E-tR5mnY"",""Non-Food!A2:A""),0))),"""")"),"")</f>
        <v/>
      </c>
      <c r="E1271" s="15"/>
      <c r="F1271" s="15"/>
      <c r="G1271" s="36"/>
      <c r="H1271" s="23" t="str">
        <f>IFERROR(__xludf.DUMMYFUNCTION("iferror(iferror(iferror(index(IMPORTRANGE(""1NK5L1mviMn0j3D3uo53ASkIZOFRlLnqaCTnwzOG2_Wg"",""Direct Link!B2:B""),MATCH($C1271,IMPORTRANGE(""1NK5L1mviMn0j3D3uo53ASkIZOFRlLnqaCTnwzOG2_Wg"",""Direct Link!A2:A""),0)),XLOOKUP($C1271,IMPORTRANGE(""1NK5L1mviMn0j"&amp;"3D3uo53ASkIZOFRlLnqaCTnwzOG2_Wg"",""Direct links Without Sizes!A2:A""),IMPORTRANGE(""1NK5L1mviMn0j3D3uo53ASkIZOFRlLnqaCTnwzOG2_Wg"",""Direct links Without Sizes!B2:B""))),XLOOKUP($C1271,IMPORTRANGE(""1NK5L1mviMn0j3D3uo53ASkIZOFRlLnqaCTnwzOG2_Wg"",""Direct"&amp;" links Without Sizes!D2:D""),IMPORTRANGE(""1NK5L1mviMn0j3D3uo53ASkIZOFRlLnqaCTnwzOG2_Wg"",""Direct links Without Sizes!E2:E""))),"""")"),"")</f>
        <v/>
      </c>
      <c r="I1271" s="4"/>
      <c r="J1271" s="24" t="str">
        <f t="shared" si="1"/>
        <v/>
      </c>
      <c r="K1271" s="25"/>
      <c r="L1271" s="24" t="str">
        <f t="shared" si="2"/>
        <v/>
      </c>
      <c r="M1271" s="4"/>
      <c r="N1271" s="23"/>
      <c r="O1271" s="23"/>
      <c r="P1271" s="23"/>
      <c r="Q1271" s="4" t="str">
        <f t="shared" si="4"/>
        <v/>
      </c>
      <c r="R1271" s="20"/>
      <c r="S1271" s="20"/>
    </row>
    <row r="1272">
      <c r="A1272" s="4"/>
      <c r="B1272" s="4"/>
      <c r="C1272" s="37"/>
      <c r="D1272" s="7" t="str">
        <f>IFERROR(__xludf.DUMMYFUNCTION("iferror(iferror(INDEX(IMPORTRANGE(""12vtnxaE_Q1s4tyr10kZQx7ZF_xG0lBFae4jQEUtgsMU"",""All!B2:B""),MATCH($C1272,IMPORTRANGE(""12vtnxaE_Q1s4tyr10kZQx7ZF_xG0lBFae4jQEUtgsMU"",""All!A2:A""),0)),INDEX(IMPORTRANGE(""13KC70HngS4DDi8y9E5khtSpQEPG6owaQ9z4E-tR5mnY"""&amp;",""Non-Food!B2:B""),MATCH($C1272,IMPORTRANGE(""13KC70HngS4DDi8y9E5khtSpQEPG6owaQ9z4E-tR5mnY"",""Non-Food!A2:A""),0))),"""")"),"")</f>
        <v/>
      </c>
      <c r="E1272" s="15"/>
      <c r="F1272" s="15"/>
      <c r="G1272" s="36"/>
      <c r="H1272" s="23" t="str">
        <f>IFERROR(__xludf.DUMMYFUNCTION("iferror(iferror(iferror(index(IMPORTRANGE(""1NK5L1mviMn0j3D3uo53ASkIZOFRlLnqaCTnwzOG2_Wg"",""Direct Link!B2:B""),MATCH($C1272,IMPORTRANGE(""1NK5L1mviMn0j3D3uo53ASkIZOFRlLnqaCTnwzOG2_Wg"",""Direct Link!A2:A""),0)),XLOOKUP($C1272,IMPORTRANGE(""1NK5L1mviMn0j"&amp;"3D3uo53ASkIZOFRlLnqaCTnwzOG2_Wg"",""Direct links Without Sizes!A2:A""),IMPORTRANGE(""1NK5L1mviMn0j3D3uo53ASkIZOFRlLnqaCTnwzOG2_Wg"",""Direct links Without Sizes!B2:B""))),XLOOKUP($C1272,IMPORTRANGE(""1NK5L1mviMn0j3D3uo53ASkIZOFRlLnqaCTnwzOG2_Wg"",""Direct"&amp;" links Without Sizes!D2:D""),IMPORTRANGE(""1NK5L1mviMn0j3D3uo53ASkIZOFRlLnqaCTnwzOG2_Wg"",""Direct links Without Sizes!E2:E""))),"""")"),"")</f>
        <v/>
      </c>
      <c r="I1272" s="4"/>
      <c r="J1272" s="24" t="str">
        <f t="shared" si="1"/>
        <v/>
      </c>
      <c r="K1272" s="25"/>
      <c r="L1272" s="24" t="str">
        <f t="shared" si="2"/>
        <v/>
      </c>
      <c r="M1272" s="4"/>
      <c r="N1272" s="23"/>
      <c r="O1272" s="23"/>
      <c r="P1272" s="23"/>
      <c r="Q1272" s="4" t="str">
        <f t="shared" si="4"/>
        <v/>
      </c>
      <c r="R1272" s="20"/>
      <c r="S1272" s="20"/>
    </row>
    <row r="1273">
      <c r="A1273" s="4"/>
      <c r="B1273" s="4"/>
      <c r="C1273" s="37"/>
      <c r="D1273" s="7" t="str">
        <f>IFERROR(__xludf.DUMMYFUNCTION("iferror(iferror(INDEX(IMPORTRANGE(""12vtnxaE_Q1s4tyr10kZQx7ZF_xG0lBFae4jQEUtgsMU"",""All!B2:B""),MATCH($C1273,IMPORTRANGE(""12vtnxaE_Q1s4tyr10kZQx7ZF_xG0lBFae4jQEUtgsMU"",""All!A2:A""),0)),INDEX(IMPORTRANGE(""13KC70HngS4DDi8y9E5khtSpQEPG6owaQ9z4E-tR5mnY"""&amp;",""Non-Food!B2:B""),MATCH($C1273,IMPORTRANGE(""13KC70HngS4DDi8y9E5khtSpQEPG6owaQ9z4E-tR5mnY"",""Non-Food!A2:A""),0))),"""")"),"")</f>
        <v/>
      </c>
      <c r="E1273" s="15"/>
      <c r="F1273" s="15"/>
      <c r="G1273" s="36"/>
      <c r="H1273" s="23" t="str">
        <f>IFERROR(__xludf.DUMMYFUNCTION("iferror(iferror(iferror(index(IMPORTRANGE(""1NK5L1mviMn0j3D3uo53ASkIZOFRlLnqaCTnwzOG2_Wg"",""Direct Link!B2:B""),MATCH($C1273,IMPORTRANGE(""1NK5L1mviMn0j3D3uo53ASkIZOFRlLnqaCTnwzOG2_Wg"",""Direct Link!A2:A""),0)),XLOOKUP($C1273,IMPORTRANGE(""1NK5L1mviMn0j"&amp;"3D3uo53ASkIZOFRlLnqaCTnwzOG2_Wg"",""Direct links Without Sizes!A2:A""),IMPORTRANGE(""1NK5L1mviMn0j3D3uo53ASkIZOFRlLnqaCTnwzOG2_Wg"",""Direct links Without Sizes!B2:B""))),XLOOKUP($C1273,IMPORTRANGE(""1NK5L1mviMn0j3D3uo53ASkIZOFRlLnqaCTnwzOG2_Wg"",""Direct"&amp;" links Without Sizes!D2:D""),IMPORTRANGE(""1NK5L1mviMn0j3D3uo53ASkIZOFRlLnqaCTnwzOG2_Wg"",""Direct links Without Sizes!E2:E""))),"""")"),"")</f>
        <v/>
      </c>
      <c r="I1273" s="4"/>
      <c r="J1273" s="24" t="str">
        <f t="shared" si="1"/>
        <v/>
      </c>
      <c r="K1273" s="25"/>
      <c r="L1273" s="24" t="str">
        <f t="shared" si="2"/>
        <v/>
      </c>
      <c r="M1273" s="4"/>
      <c r="N1273" s="23"/>
      <c r="O1273" s="23"/>
      <c r="P1273" s="23"/>
      <c r="Q1273" s="4" t="str">
        <f t="shared" si="4"/>
        <v/>
      </c>
      <c r="R1273" s="20"/>
      <c r="S1273" s="20"/>
    </row>
    <row r="1274">
      <c r="A1274" s="4"/>
      <c r="B1274" s="4"/>
      <c r="C1274" s="37"/>
      <c r="D1274" s="7" t="str">
        <f>IFERROR(__xludf.DUMMYFUNCTION("iferror(iferror(INDEX(IMPORTRANGE(""12vtnxaE_Q1s4tyr10kZQx7ZF_xG0lBFae4jQEUtgsMU"",""All!B2:B""),MATCH($C1274,IMPORTRANGE(""12vtnxaE_Q1s4tyr10kZQx7ZF_xG0lBFae4jQEUtgsMU"",""All!A2:A""),0)),INDEX(IMPORTRANGE(""13KC70HngS4DDi8y9E5khtSpQEPG6owaQ9z4E-tR5mnY"""&amp;",""Non-Food!B2:B""),MATCH($C1274,IMPORTRANGE(""13KC70HngS4DDi8y9E5khtSpQEPG6owaQ9z4E-tR5mnY"",""Non-Food!A2:A""),0))),"""")"),"")</f>
        <v/>
      </c>
      <c r="E1274" s="15"/>
      <c r="F1274" s="15"/>
      <c r="G1274" s="36"/>
      <c r="H1274" s="23" t="str">
        <f>IFERROR(__xludf.DUMMYFUNCTION("iferror(iferror(iferror(index(IMPORTRANGE(""1NK5L1mviMn0j3D3uo53ASkIZOFRlLnqaCTnwzOG2_Wg"",""Direct Link!B2:B""),MATCH($C1274,IMPORTRANGE(""1NK5L1mviMn0j3D3uo53ASkIZOFRlLnqaCTnwzOG2_Wg"",""Direct Link!A2:A""),0)),XLOOKUP($C1274,IMPORTRANGE(""1NK5L1mviMn0j"&amp;"3D3uo53ASkIZOFRlLnqaCTnwzOG2_Wg"",""Direct links Without Sizes!A2:A""),IMPORTRANGE(""1NK5L1mviMn0j3D3uo53ASkIZOFRlLnqaCTnwzOG2_Wg"",""Direct links Without Sizes!B2:B""))),XLOOKUP($C1274,IMPORTRANGE(""1NK5L1mviMn0j3D3uo53ASkIZOFRlLnqaCTnwzOG2_Wg"",""Direct"&amp;" links Without Sizes!D2:D""),IMPORTRANGE(""1NK5L1mviMn0j3D3uo53ASkIZOFRlLnqaCTnwzOG2_Wg"",""Direct links Without Sizes!E2:E""))),"""")"),"")</f>
        <v/>
      </c>
      <c r="I1274" s="4"/>
      <c r="J1274" s="24" t="str">
        <f t="shared" si="1"/>
        <v/>
      </c>
      <c r="K1274" s="25"/>
      <c r="L1274" s="24" t="str">
        <f t="shared" si="2"/>
        <v/>
      </c>
      <c r="M1274" s="4"/>
      <c r="N1274" s="23"/>
      <c r="O1274" s="23"/>
      <c r="P1274" s="23"/>
      <c r="Q1274" s="4" t="str">
        <f t="shared" si="4"/>
        <v/>
      </c>
      <c r="R1274" s="20"/>
      <c r="S1274" s="20"/>
    </row>
    <row r="1275">
      <c r="A1275" s="4"/>
      <c r="B1275" s="4"/>
      <c r="C1275" s="37"/>
      <c r="D1275" s="7" t="str">
        <f>IFERROR(__xludf.DUMMYFUNCTION("iferror(iferror(INDEX(IMPORTRANGE(""12vtnxaE_Q1s4tyr10kZQx7ZF_xG0lBFae4jQEUtgsMU"",""All!B2:B""),MATCH($C1275,IMPORTRANGE(""12vtnxaE_Q1s4tyr10kZQx7ZF_xG0lBFae4jQEUtgsMU"",""All!A2:A""),0)),INDEX(IMPORTRANGE(""13KC70HngS4DDi8y9E5khtSpQEPG6owaQ9z4E-tR5mnY"""&amp;",""Non-Food!B2:B""),MATCH($C1275,IMPORTRANGE(""13KC70HngS4DDi8y9E5khtSpQEPG6owaQ9z4E-tR5mnY"",""Non-Food!A2:A""),0))),"""")"),"")</f>
        <v/>
      </c>
      <c r="E1275" s="15"/>
      <c r="F1275" s="15"/>
      <c r="G1275" s="36"/>
      <c r="H1275" s="23" t="str">
        <f>IFERROR(__xludf.DUMMYFUNCTION("iferror(iferror(iferror(index(IMPORTRANGE(""1NK5L1mviMn0j3D3uo53ASkIZOFRlLnqaCTnwzOG2_Wg"",""Direct Link!B2:B""),MATCH($C1275,IMPORTRANGE(""1NK5L1mviMn0j3D3uo53ASkIZOFRlLnqaCTnwzOG2_Wg"",""Direct Link!A2:A""),0)),XLOOKUP($C1275,IMPORTRANGE(""1NK5L1mviMn0j"&amp;"3D3uo53ASkIZOFRlLnqaCTnwzOG2_Wg"",""Direct links Without Sizes!A2:A""),IMPORTRANGE(""1NK5L1mviMn0j3D3uo53ASkIZOFRlLnqaCTnwzOG2_Wg"",""Direct links Without Sizes!B2:B""))),XLOOKUP($C1275,IMPORTRANGE(""1NK5L1mviMn0j3D3uo53ASkIZOFRlLnqaCTnwzOG2_Wg"",""Direct"&amp;" links Without Sizes!D2:D""),IMPORTRANGE(""1NK5L1mviMn0j3D3uo53ASkIZOFRlLnqaCTnwzOG2_Wg"",""Direct links Without Sizes!E2:E""))),"""")"),"")</f>
        <v/>
      </c>
      <c r="I1275" s="4"/>
      <c r="J1275" s="24" t="str">
        <f t="shared" si="1"/>
        <v/>
      </c>
      <c r="K1275" s="25"/>
      <c r="L1275" s="24" t="str">
        <f t="shared" si="2"/>
        <v/>
      </c>
      <c r="M1275" s="4"/>
      <c r="N1275" s="23"/>
      <c r="O1275" s="23"/>
      <c r="P1275" s="23"/>
      <c r="Q1275" s="4" t="str">
        <f t="shared" si="4"/>
        <v/>
      </c>
      <c r="R1275" s="20"/>
      <c r="S1275" s="20"/>
    </row>
    <row r="1276">
      <c r="A1276" s="4"/>
      <c r="B1276" s="4"/>
      <c r="C1276" s="37"/>
      <c r="D1276" s="7" t="str">
        <f>IFERROR(__xludf.DUMMYFUNCTION("iferror(iferror(INDEX(IMPORTRANGE(""12vtnxaE_Q1s4tyr10kZQx7ZF_xG0lBFae4jQEUtgsMU"",""All!B2:B""),MATCH($C1276,IMPORTRANGE(""12vtnxaE_Q1s4tyr10kZQx7ZF_xG0lBFae4jQEUtgsMU"",""All!A2:A""),0)),INDEX(IMPORTRANGE(""13KC70HngS4DDi8y9E5khtSpQEPG6owaQ9z4E-tR5mnY"""&amp;",""Non-Food!B2:B""),MATCH($C1276,IMPORTRANGE(""13KC70HngS4DDi8y9E5khtSpQEPG6owaQ9z4E-tR5mnY"",""Non-Food!A2:A""),0))),"""")"),"")</f>
        <v/>
      </c>
      <c r="E1276" s="15"/>
      <c r="F1276" s="15"/>
      <c r="G1276" s="36"/>
      <c r="H1276" s="23" t="str">
        <f>IFERROR(__xludf.DUMMYFUNCTION("iferror(iferror(iferror(index(IMPORTRANGE(""1NK5L1mviMn0j3D3uo53ASkIZOFRlLnqaCTnwzOG2_Wg"",""Direct Link!B2:B""),MATCH($C1276,IMPORTRANGE(""1NK5L1mviMn0j3D3uo53ASkIZOFRlLnqaCTnwzOG2_Wg"",""Direct Link!A2:A""),0)),XLOOKUP($C1276,IMPORTRANGE(""1NK5L1mviMn0j"&amp;"3D3uo53ASkIZOFRlLnqaCTnwzOG2_Wg"",""Direct links Without Sizes!A2:A""),IMPORTRANGE(""1NK5L1mviMn0j3D3uo53ASkIZOFRlLnqaCTnwzOG2_Wg"",""Direct links Without Sizes!B2:B""))),XLOOKUP($C1276,IMPORTRANGE(""1NK5L1mviMn0j3D3uo53ASkIZOFRlLnqaCTnwzOG2_Wg"",""Direct"&amp;" links Without Sizes!D2:D""),IMPORTRANGE(""1NK5L1mviMn0j3D3uo53ASkIZOFRlLnqaCTnwzOG2_Wg"",""Direct links Without Sizes!E2:E""))),"""")"),"")</f>
        <v/>
      </c>
      <c r="I1276" s="4"/>
      <c r="J1276" s="24" t="str">
        <f t="shared" si="1"/>
        <v/>
      </c>
      <c r="K1276" s="25"/>
      <c r="L1276" s="24" t="str">
        <f t="shared" si="2"/>
        <v/>
      </c>
      <c r="M1276" s="4"/>
      <c r="N1276" s="23"/>
      <c r="O1276" s="23"/>
      <c r="P1276" s="23"/>
      <c r="Q1276" s="4" t="str">
        <f t="shared" si="4"/>
        <v/>
      </c>
      <c r="R1276" s="20"/>
      <c r="S1276" s="20"/>
    </row>
    <row r="1277">
      <c r="A1277" s="4"/>
      <c r="B1277" s="4"/>
      <c r="C1277" s="37"/>
      <c r="D1277" s="7" t="str">
        <f>IFERROR(__xludf.DUMMYFUNCTION("iferror(iferror(INDEX(IMPORTRANGE(""12vtnxaE_Q1s4tyr10kZQx7ZF_xG0lBFae4jQEUtgsMU"",""All!B2:B""),MATCH($C1277,IMPORTRANGE(""12vtnxaE_Q1s4tyr10kZQx7ZF_xG0lBFae4jQEUtgsMU"",""All!A2:A""),0)),INDEX(IMPORTRANGE(""13KC70HngS4DDi8y9E5khtSpQEPG6owaQ9z4E-tR5mnY"""&amp;",""Non-Food!B2:B""),MATCH($C1277,IMPORTRANGE(""13KC70HngS4DDi8y9E5khtSpQEPG6owaQ9z4E-tR5mnY"",""Non-Food!A2:A""),0))),"""")"),"")</f>
        <v/>
      </c>
      <c r="E1277" s="15"/>
      <c r="F1277" s="15"/>
      <c r="G1277" s="36"/>
      <c r="H1277" s="23" t="str">
        <f>IFERROR(__xludf.DUMMYFUNCTION("iferror(iferror(iferror(index(IMPORTRANGE(""1NK5L1mviMn0j3D3uo53ASkIZOFRlLnqaCTnwzOG2_Wg"",""Direct Link!B2:B""),MATCH($C1277,IMPORTRANGE(""1NK5L1mviMn0j3D3uo53ASkIZOFRlLnqaCTnwzOG2_Wg"",""Direct Link!A2:A""),0)),XLOOKUP($C1277,IMPORTRANGE(""1NK5L1mviMn0j"&amp;"3D3uo53ASkIZOFRlLnqaCTnwzOG2_Wg"",""Direct links Without Sizes!A2:A""),IMPORTRANGE(""1NK5L1mviMn0j3D3uo53ASkIZOFRlLnqaCTnwzOG2_Wg"",""Direct links Without Sizes!B2:B""))),XLOOKUP($C1277,IMPORTRANGE(""1NK5L1mviMn0j3D3uo53ASkIZOFRlLnqaCTnwzOG2_Wg"",""Direct"&amp;" links Without Sizes!D2:D""),IMPORTRANGE(""1NK5L1mviMn0j3D3uo53ASkIZOFRlLnqaCTnwzOG2_Wg"",""Direct links Without Sizes!E2:E""))),"""")"),"")</f>
        <v/>
      </c>
      <c r="I1277" s="4"/>
      <c r="J1277" s="24" t="str">
        <f t="shared" si="1"/>
        <v/>
      </c>
      <c r="K1277" s="25"/>
      <c r="L1277" s="24" t="str">
        <f t="shared" si="2"/>
        <v/>
      </c>
      <c r="M1277" s="4"/>
      <c r="N1277" s="23"/>
      <c r="O1277" s="23"/>
      <c r="P1277" s="23"/>
      <c r="Q1277" s="4" t="str">
        <f t="shared" si="4"/>
        <v/>
      </c>
      <c r="R1277" s="20"/>
      <c r="S1277" s="20"/>
    </row>
    <row r="1278">
      <c r="A1278" s="4"/>
      <c r="B1278" s="4"/>
      <c r="C1278" s="37"/>
      <c r="D1278" s="7" t="str">
        <f>IFERROR(__xludf.DUMMYFUNCTION("iferror(iferror(INDEX(IMPORTRANGE(""12vtnxaE_Q1s4tyr10kZQx7ZF_xG0lBFae4jQEUtgsMU"",""All!B2:B""),MATCH($C1278,IMPORTRANGE(""12vtnxaE_Q1s4tyr10kZQx7ZF_xG0lBFae4jQEUtgsMU"",""All!A2:A""),0)),INDEX(IMPORTRANGE(""13KC70HngS4DDi8y9E5khtSpQEPG6owaQ9z4E-tR5mnY"""&amp;",""Non-Food!B2:B""),MATCH($C1278,IMPORTRANGE(""13KC70HngS4DDi8y9E5khtSpQEPG6owaQ9z4E-tR5mnY"",""Non-Food!A2:A""),0))),"""")"),"")</f>
        <v/>
      </c>
      <c r="E1278" s="15"/>
      <c r="F1278" s="15"/>
      <c r="G1278" s="36"/>
      <c r="H1278" s="23" t="str">
        <f>IFERROR(__xludf.DUMMYFUNCTION("iferror(iferror(iferror(index(IMPORTRANGE(""1NK5L1mviMn0j3D3uo53ASkIZOFRlLnqaCTnwzOG2_Wg"",""Direct Link!B2:B""),MATCH($C1278,IMPORTRANGE(""1NK5L1mviMn0j3D3uo53ASkIZOFRlLnqaCTnwzOG2_Wg"",""Direct Link!A2:A""),0)),XLOOKUP($C1278,IMPORTRANGE(""1NK5L1mviMn0j"&amp;"3D3uo53ASkIZOFRlLnqaCTnwzOG2_Wg"",""Direct links Without Sizes!A2:A""),IMPORTRANGE(""1NK5L1mviMn0j3D3uo53ASkIZOFRlLnqaCTnwzOG2_Wg"",""Direct links Without Sizes!B2:B""))),XLOOKUP($C1278,IMPORTRANGE(""1NK5L1mviMn0j3D3uo53ASkIZOFRlLnqaCTnwzOG2_Wg"",""Direct"&amp;" links Without Sizes!D2:D""),IMPORTRANGE(""1NK5L1mviMn0j3D3uo53ASkIZOFRlLnqaCTnwzOG2_Wg"",""Direct links Without Sizes!E2:E""))),"""")"),"")</f>
        <v/>
      </c>
      <c r="I1278" s="4"/>
      <c r="J1278" s="24" t="str">
        <f t="shared" si="1"/>
        <v/>
      </c>
      <c r="K1278" s="25"/>
      <c r="L1278" s="24" t="str">
        <f t="shared" si="2"/>
        <v/>
      </c>
      <c r="M1278" s="4"/>
      <c r="N1278" s="23"/>
      <c r="O1278" s="23"/>
      <c r="P1278" s="23"/>
      <c r="Q1278" s="4" t="str">
        <f t="shared" si="4"/>
        <v/>
      </c>
      <c r="R1278" s="20"/>
      <c r="S1278" s="20"/>
    </row>
    <row r="1279">
      <c r="A1279" s="4"/>
      <c r="B1279" s="4"/>
      <c r="C1279" s="37"/>
      <c r="D1279" s="7" t="str">
        <f>IFERROR(__xludf.DUMMYFUNCTION("iferror(iferror(INDEX(IMPORTRANGE(""12vtnxaE_Q1s4tyr10kZQx7ZF_xG0lBFae4jQEUtgsMU"",""All!B2:B""),MATCH($C1279,IMPORTRANGE(""12vtnxaE_Q1s4tyr10kZQx7ZF_xG0lBFae4jQEUtgsMU"",""All!A2:A""),0)),INDEX(IMPORTRANGE(""13KC70HngS4DDi8y9E5khtSpQEPG6owaQ9z4E-tR5mnY"""&amp;",""Non-Food!B2:B""),MATCH($C1279,IMPORTRANGE(""13KC70HngS4DDi8y9E5khtSpQEPG6owaQ9z4E-tR5mnY"",""Non-Food!A2:A""),0))),"""")"),"")</f>
        <v/>
      </c>
      <c r="E1279" s="15"/>
      <c r="F1279" s="15"/>
      <c r="G1279" s="36"/>
      <c r="H1279" s="23" t="str">
        <f>IFERROR(__xludf.DUMMYFUNCTION("iferror(iferror(iferror(index(IMPORTRANGE(""1NK5L1mviMn0j3D3uo53ASkIZOFRlLnqaCTnwzOG2_Wg"",""Direct Link!B2:B""),MATCH($C1279,IMPORTRANGE(""1NK5L1mviMn0j3D3uo53ASkIZOFRlLnqaCTnwzOG2_Wg"",""Direct Link!A2:A""),0)),XLOOKUP($C1279,IMPORTRANGE(""1NK5L1mviMn0j"&amp;"3D3uo53ASkIZOFRlLnqaCTnwzOG2_Wg"",""Direct links Without Sizes!A2:A""),IMPORTRANGE(""1NK5L1mviMn0j3D3uo53ASkIZOFRlLnqaCTnwzOG2_Wg"",""Direct links Without Sizes!B2:B""))),XLOOKUP($C1279,IMPORTRANGE(""1NK5L1mviMn0j3D3uo53ASkIZOFRlLnqaCTnwzOG2_Wg"",""Direct"&amp;" links Without Sizes!D2:D""),IMPORTRANGE(""1NK5L1mviMn0j3D3uo53ASkIZOFRlLnqaCTnwzOG2_Wg"",""Direct links Without Sizes!E2:E""))),"""")"),"")</f>
        <v/>
      </c>
      <c r="I1279" s="4"/>
      <c r="J1279" s="24" t="str">
        <f t="shared" si="1"/>
        <v/>
      </c>
      <c r="K1279" s="25"/>
      <c r="L1279" s="24" t="str">
        <f t="shared" si="2"/>
        <v/>
      </c>
      <c r="M1279" s="4"/>
      <c r="N1279" s="23"/>
      <c r="O1279" s="23"/>
      <c r="P1279" s="23"/>
      <c r="Q1279" s="4" t="str">
        <f t="shared" si="4"/>
        <v/>
      </c>
      <c r="R1279" s="20"/>
      <c r="S1279" s="20"/>
    </row>
    <row r="1280">
      <c r="A1280" s="4"/>
      <c r="B1280" s="4"/>
      <c r="C1280" s="11"/>
      <c r="D1280" s="7" t="str">
        <f>IFERROR(__xludf.DUMMYFUNCTION("iferror(iferror(INDEX(IMPORTRANGE(""12vtnxaE_Q1s4tyr10kZQx7ZF_xG0lBFae4jQEUtgsMU"",""All!B2:B""),MATCH($C1280,IMPORTRANGE(""12vtnxaE_Q1s4tyr10kZQx7ZF_xG0lBFae4jQEUtgsMU"",""All!A2:A""),0)),INDEX(IMPORTRANGE(""13KC70HngS4DDi8y9E5khtSpQEPG6owaQ9z4E-tR5mnY"""&amp;",""Non-Food!B2:B""),MATCH($C1280,IMPORTRANGE(""13KC70HngS4DDi8y9E5khtSpQEPG6owaQ9z4E-tR5mnY"",""Non-Food!A2:A""),0))),"""")"),"")</f>
        <v/>
      </c>
      <c r="E1280" s="15"/>
      <c r="F1280" s="15"/>
      <c r="G1280" s="36"/>
      <c r="H1280" s="23" t="str">
        <f>IFERROR(__xludf.DUMMYFUNCTION("iferror(iferror(iferror(index(IMPORTRANGE(""1NK5L1mviMn0j3D3uo53ASkIZOFRlLnqaCTnwzOG2_Wg"",""Direct Link!B2:B""),MATCH($C1280,IMPORTRANGE(""1NK5L1mviMn0j3D3uo53ASkIZOFRlLnqaCTnwzOG2_Wg"",""Direct Link!A2:A""),0)),XLOOKUP($C1280,IMPORTRANGE(""1NK5L1mviMn0j"&amp;"3D3uo53ASkIZOFRlLnqaCTnwzOG2_Wg"",""Direct links Without Sizes!A2:A""),IMPORTRANGE(""1NK5L1mviMn0j3D3uo53ASkIZOFRlLnqaCTnwzOG2_Wg"",""Direct links Without Sizes!B2:B""))),XLOOKUP($C1280,IMPORTRANGE(""1NK5L1mviMn0j3D3uo53ASkIZOFRlLnqaCTnwzOG2_Wg"",""Direct"&amp;" links Without Sizes!D2:D""),IMPORTRANGE(""1NK5L1mviMn0j3D3uo53ASkIZOFRlLnqaCTnwzOG2_Wg"",""Direct links Without Sizes!E2:E""))),"""")"),"")</f>
        <v/>
      </c>
      <c r="I1280" s="4"/>
      <c r="J1280" s="24" t="str">
        <f t="shared" si="1"/>
        <v/>
      </c>
      <c r="K1280" s="25"/>
      <c r="L1280" s="24" t="str">
        <f t="shared" si="2"/>
        <v/>
      </c>
      <c r="M1280" s="4"/>
      <c r="N1280" s="23"/>
      <c r="O1280" s="23"/>
      <c r="P1280" s="23"/>
      <c r="Q1280" s="4" t="str">
        <f t="shared" si="4"/>
        <v/>
      </c>
      <c r="R1280" s="20"/>
      <c r="S1280" s="20"/>
    </row>
    <row r="1281">
      <c r="A1281" s="4"/>
      <c r="B1281" s="4"/>
      <c r="C1281" s="37"/>
      <c r="D1281" s="7" t="str">
        <f>IFERROR(__xludf.DUMMYFUNCTION("iferror(iferror(INDEX(IMPORTRANGE(""12vtnxaE_Q1s4tyr10kZQx7ZF_xG0lBFae4jQEUtgsMU"",""All!B2:B""),MATCH($C1281,IMPORTRANGE(""12vtnxaE_Q1s4tyr10kZQx7ZF_xG0lBFae4jQEUtgsMU"",""All!A2:A""),0)),INDEX(IMPORTRANGE(""13KC70HngS4DDi8y9E5khtSpQEPG6owaQ9z4E-tR5mnY"""&amp;",""Non-Food!B2:B""),MATCH($C1281,IMPORTRANGE(""13KC70HngS4DDi8y9E5khtSpQEPG6owaQ9z4E-tR5mnY"",""Non-Food!A2:A""),0))),"""")"),"")</f>
        <v/>
      </c>
      <c r="E1281" s="15"/>
      <c r="F1281" s="15"/>
      <c r="G1281" s="36"/>
      <c r="H1281" s="23" t="str">
        <f>IFERROR(__xludf.DUMMYFUNCTION("iferror(iferror(iferror(index(IMPORTRANGE(""1NK5L1mviMn0j3D3uo53ASkIZOFRlLnqaCTnwzOG2_Wg"",""Direct Link!B2:B""),MATCH($C1281,IMPORTRANGE(""1NK5L1mviMn0j3D3uo53ASkIZOFRlLnqaCTnwzOG2_Wg"",""Direct Link!A2:A""),0)),XLOOKUP($C1281,IMPORTRANGE(""1NK5L1mviMn0j"&amp;"3D3uo53ASkIZOFRlLnqaCTnwzOG2_Wg"",""Direct links Without Sizes!A2:A""),IMPORTRANGE(""1NK5L1mviMn0j3D3uo53ASkIZOFRlLnqaCTnwzOG2_Wg"",""Direct links Without Sizes!B2:B""))),XLOOKUP($C1281,IMPORTRANGE(""1NK5L1mviMn0j3D3uo53ASkIZOFRlLnqaCTnwzOG2_Wg"",""Direct"&amp;" links Without Sizes!D2:D""),IMPORTRANGE(""1NK5L1mviMn0j3D3uo53ASkIZOFRlLnqaCTnwzOG2_Wg"",""Direct links Without Sizes!E2:E""))),"""")"),"")</f>
        <v/>
      </c>
      <c r="I1281" s="4"/>
      <c r="J1281" s="24" t="str">
        <f t="shared" si="1"/>
        <v/>
      </c>
      <c r="K1281" s="25"/>
      <c r="L1281" s="24" t="str">
        <f t="shared" si="2"/>
        <v/>
      </c>
      <c r="M1281" s="4"/>
      <c r="N1281" s="23"/>
      <c r="O1281" s="23"/>
      <c r="P1281" s="23"/>
      <c r="Q1281" s="4" t="str">
        <f t="shared" si="4"/>
        <v/>
      </c>
      <c r="R1281" s="20"/>
      <c r="S1281" s="20"/>
    </row>
    <row r="1282">
      <c r="A1282" s="4"/>
      <c r="B1282" s="4"/>
      <c r="C1282" s="35"/>
      <c r="D1282" s="7" t="str">
        <f>IFERROR(__xludf.DUMMYFUNCTION("iferror(iferror(INDEX(IMPORTRANGE(""12vtnxaE_Q1s4tyr10kZQx7ZF_xG0lBFae4jQEUtgsMU"",""All!B2:B""),MATCH($C1282,IMPORTRANGE(""12vtnxaE_Q1s4tyr10kZQx7ZF_xG0lBFae4jQEUtgsMU"",""All!A2:A""),0)),INDEX(IMPORTRANGE(""13KC70HngS4DDi8y9E5khtSpQEPG6owaQ9z4E-tR5mnY"""&amp;",""Non-Food!B2:B""),MATCH($C1282,IMPORTRANGE(""13KC70HngS4DDi8y9E5khtSpQEPG6owaQ9z4E-tR5mnY"",""Non-Food!A2:A""),0))),"""")"),"")</f>
        <v/>
      </c>
      <c r="E1282" s="15"/>
      <c r="F1282" s="15"/>
      <c r="G1282" s="36"/>
      <c r="H1282" s="23" t="str">
        <f>IFERROR(__xludf.DUMMYFUNCTION("iferror(iferror(iferror(index(IMPORTRANGE(""1NK5L1mviMn0j3D3uo53ASkIZOFRlLnqaCTnwzOG2_Wg"",""Direct Link!B2:B""),MATCH($C1282,IMPORTRANGE(""1NK5L1mviMn0j3D3uo53ASkIZOFRlLnqaCTnwzOG2_Wg"",""Direct Link!A2:A""),0)),XLOOKUP($C1282,IMPORTRANGE(""1NK5L1mviMn0j"&amp;"3D3uo53ASkIZOFRlLnqaCTnwzOG2_Wg"",""Direct links Without Sizes!A2:A""),IMPORTRANGE(""1NK5L1mviMn0j3D3uo53ASkIZOFRlLnqaCTnwzOG2_Wg"",""Direct links Without Sizes!B2:B""))),XLOOKUP($C1282,IMPORTRANGE(""1NK5L1mviMn0j3D3uo53ASkIZOFRlLnqaCTnwzOG2_Wg"",""Direct"&amp;" links Without Sizes!D2:D""),IMPORTRANGE(""1NK5L1mviMn0j3D3uo53ASkIZOFRlLnqaCTnwzOG2_Wg"",""Direct links Without Sizes!E2:E""))),"""")"),"")</f>
        <v/>
      </c>
      <c r="I1282" s="4"/>
      <c r="J1282" s="24" t="str">
        <f t="shared" si="1"/>
        <v/>
      </c>
      <c r="K1282" s="25"/>
      <c r="L1282" s="24" t="str">
        <f t="shared" si="2"/>
        <v/>
      </c>
      <c r="M1282" s="4"/>
      <c r="N1282" s="23"/>
      <c r="O1282" s="23"/>
      <c r="P1282" s="23"/>
      <c r="Q1282" s="4" t="str">
        <f t="shared" si="4"/>
        <v/>
      </c>
      <c r="R1282" s="20"/>
      <c r="S1282" s="20"/>
    </row>
    <row r="1283">
      <c r="A1283" s="4"/>
      <c r="B1283" s="4"/>
      <c r="C1283" s="37"/>
      <c r="D1283" s="7" t="str">
        <f>IFERROR(__xludf.DUMMYFUNCTION("iferror(iferror(INDEX(IMPORTRANGE(""12vtnxaE_Q1s4tyr10kZQx7ZF_xG0lBFae4jQEUtgsMU"",""All!B2:B""),MATCH($C1283,IMPORTRANGE(""12vtnxaE_Q1s4tyr10kZQx7ZF_xG0lBFae4jQEUtgsMU"",""All!A2:A""),0)),INDEX(IMPORTRANGE(""13KC70HngS4DDi8y9E5khtSpQEPG6owaQ9z4E-tR5mnY"""&amp;",""Non-Food!B2:B""),MATCH($C1283,IMPORTRANGE(""13KC70HngS4DDi8y9E5khtSpQEPG6owaQ9z4E-tR5mnY"",""Non-Food!A2:A""),0))),"""")"),"")</f>
        <v/>
      </c>
      <c r="E1283" s="15"/>
      <c r="F1283" s="15"/>
      <c r="G1283" s="36"/>
      <c r="H1283" s="23" t="str">
        <f>IFERROR(__xludf.DUMMYFUNCTION("iferror(iferror(iferror(index(IMPORTRANGE(""1NK5L1mviMn0j3D3uo53ASkIZOFRlLnqaCTnwzOG2_Wg"",""Direct Link!B2:B""),MATCH($C1283,IMPORTRANGE(""1NK5L1mviMn0j3D3uo53ASkIZOFRlLnqaCTnwzOG2_Wg"",""Direct Link!A2:A""),0)),XLOOKUP($C1283,IMPORTRANGE(""1NK5L1mviMn0j"&amp;"3D3uo53ASkIZOFRlLnqaCTnwzOG2_Wg"",""Direct links Without Sizes!A2:A""),IMPORTRANGE(""1NK5L1mviMn0j3D3uo53ASkIZOFRlLnqaCTnwzOG2_Wg"",""Direct links Without Sizes!B2:B""))),XLOOKUP($C1283,IMPORTRANGE(""1NK5L1mviMn0j3D3uo53ASkIZOFRlLnqaCTnwzOG2_Wg"",""Direct"&amp;" links Without Sizes!D2:D""),IMPORTRANGE(""1NK5L1mviMn0j3D3uo53ASkIZOFRlLnqaCTnwzOG2_Wg"",""Direct links Without Sizes!E2:E""))),"""")"),"")</f>
        <v/>
      </c>
      <c r="I1283" s="4"/>
      <c r="J1283" s="24" t="str">
        <f t="shared" si="1"/>
        <v/>
      </c>
      <c r="K1283" s="25"/>
      <c r="L1283" s="24" t="str">
        <f t="shared" si="2"/>
        <v/>
      </c>
      <c r="M1283" s="4"/>
      <c r="N1283" s="23"/>
      <c r="O1283" s="23"/>
      <c r="P1283" s="23"/>
      <c r="Q1283" s="4" t="str">
        <f t="shared" si="4"/>
        <v/>
      </c>
      <c r="R1283" s="20"/>
      <c r="S1283" s="20"/>
    </row>
    <row r="1284">
      <c r="A1284" s="4"/>
      <c r="B1284" s="4"/>
      <c r="C1284" s="11"/>
      <c r="D1284" s="7" t="str">
        <f>IFERROR(__xludf.DUMMYFUNCTION("iferror(iferror(INDEX(IMPORTRANGE(""12vtnxaE_Q1s4tyr10kZQx7ZF_xG0lBFae4jQEUtgsMU"",""All!B2:B""),MATCH($C1284,IMPORTRANGE(""12vtnxaE_Q1s4tyr10kZQx7ZF_xG0lBFae4jQEUtgsMU"",""All!A2:A""),0)),INDEX(IMPORTRANGE(""13KC70HngS4DDi8y9E5khtSpQEPG6owaQ9z4E-tR5mnY"""&amp;",""Non-Food!B2:B""),MATCH($C1284,IMPORTRANGE(""13KC70HngS4DDi8y9E5khtSpQEPG6owaQ9z4E-tR5mnY"",""Non-Food!A2:A""),0))),"""")"),"")</f>
        <v/>
      </c>
      <c r="E1284" s="15"/>
      <c r="F1284" s="15"/>
      <c r="G1284" s="36"/>
      <c r="H1284" s="23" t="str">
        <f>IFERROR(__xludf.DUMMYFUNCTION("iferror(iferror(iferror(index(IMPORTRANGE(""1NK5L1mviMn0j3D3uo53ASkIZOFRlLnqaCTnwzOG2_Wg"",""Direct Link!B2:B""),MATCH($C1284,IMPORTRANGE(""1NK5L1mviMn0j3D3uo53ASkIZOFRlLnqaCTnwzOG2_Wg"",""Direct Link!A2:A""),0)),XLOOKUP($C1284,IMPORTRANGE(""1NK5L1mviMn0j"&amp;"3D3uo53ASkIZOFRlLnqaCTnwzOG2_Wg"",""Direct links Without Sizes!A2:A""),IMPORTRANGE(""1NK5L1mviMn0j3D3uo53ASkIZOFRlLnqaCTnwzOG2_Wg"",""Direct links Without Sizes!B2:B""))),XLOOKUP($C1284,IMPORTRANGE(""1NK5L1mviMn0j3D3uo53ASkIZOFRlLnqaCTnwzOG2_Wg"",""Direct"&amp;" links Without Sizes!D2:D""),IMPORTRANGE(""1NK5L1mviMn0j3D3uo53ASkIZOFRlLnqaCTnwzOG2_Wg"",""Direct links Without Sizes!E2:E""))),"""")"),"")</f>
        <v/>
      </c>
      <c r="I1284" s="4"/>
      <c r="J1284" s="24" t="str">
        <f t="shared" si="1"/>
        <v/>
      </c>
      <c r="K1284" s="25"/>
      <c r="L1284" s="24" t="str">
        <f t="shared" si="2"/>
        <v/>
      </c>
      <c r="M1284" s="4"/>
      <c r="N1284" s="23"/>
      <c r="O1284" s="23"/>
      <c r="P1284" s="23"/>
      <c r="Q1284" s="4" t="str">
        <f t="shared" si="4"/>
        <v/>
      </c>
      <c r="R1284" s="20"/>
      <c r="S1284" s="20"/>
    </row>
    <row r="1285">
      <c r="A1285" s="4"/>
      <c r="B1285" s="4"/>
      <c r="C1285" s="11"/>
      <c r="D1285" s="7" t="str">
        <f>IFERROR(__xludf.DUMMYFUNCTION("iferror(iferror(INDEX(IMPORTRANGE(""12vtnxaE_Q1s4tyr10kZQx7ZF_xG0lBFae4jQEUtgsMU"",""All!B2:B""),MATCH($C1285,IMPORTRANGE(""12vtnxaE_Q1s4tyr10kZQx7ZF_xG0lBFae4jQEUtgsMU"",""All!A2:A""),0)),INDEX(IMPORTRANGE(""13KC70HngS4DDi8y9E5khtSpQEPG6owaQ9z4E-tR5mnY"""&amp;",""Non-Food!B2:B""),MATCH($C1285,IMPORTRANGE(""13KC70HngS4DDi8y9E5khtSpQEPG6owaQ9z4E-tR5mnY"",""Non-Food!A2:A""),0))),"""")"),"")</f>
        <v/>
      </c>
      <c r="E1285" s="15"/>
      <c r="F1285" s="15"/>
      <c r="G1285" s="36"/>
      <c r="H1285" s="23" t="str">
        <f>IFERROR(__xludf.DUMMYFUNCTION("iferror(iferror(iferror(index(IMPORTRANGE(""1NK5L1mviMn0j3D3uo53ASkIZOFRlLnqaCTnwzOG2_Wg"",""Direct Link!B2:B""),MATCH($C1285,IMPORTRANGE(""1NK5L1mviMn0j3D3uo53ASkIZOFRlLnqaCTnwzOG2_Wg"",""Direct Link!A2:A""),0)),XLOOKUP($C1285,IMPORTRANGE(""1NK5L1mviMn0j"&amp;"3D3uo53ASkIZOFRlLnqaCTnwzOG2_Wg"",""Direct links Without Sizes!A2:A""),IMPORTRANGE(""1NK5L1mviMn0j3D3uo53ASkIZOFRlLnqaCTnwzOG2_Wg"",""Direct links Without Sizes!B2:B""))),XLOOKUP($C1285,IMPORTRANGE(""1NK5L1mviMn0j3D3uo53ASkIZOFRlLnqaCTnwzOG2_Wg"",""Direct"&amp;" links Without Sizes!D2:D""),IMPORTRANGE(""1NK5L1mviMn0j3D3uo53ASkIZOFRlLnqaCTnwzOG2_Wg"",""Direct links Without Sizes!E2:E""))),"""")"),"")</f>
        <v/>
      </c>
      <c r="I1285" s="4"/>
      <c r="J1285" s="24" t="str">
        <f t="shared" si="1"/>
        <v/>
      </c>
      <c r="K1285" s="25"/>
      <c r="L1285" s="24" t="str">
        <f t="shared" si="2"/>
        <v/>
      </c>
      <c r="M1285" s="4"/>
      <c r="N1285" s="23"/>
      <c r="O1285" s="23"/>
      <c r="P1285" s="23"/>
      <c r="Q1285" s="4" t="str">
        <f t="shared" si="4"/>
        <v/>
      </c>
      <c r="R1285" s="20"/>
      <c r="S1285" s="20"/>
    </row>
    <row r="1286">
      <c r="A1286" s="4"/>
      <c r="B1286" s="4"/>
      <c r="C1286" s="37"/>
      <c r="D1286" s="7" t="str">
        <f>IFERROR(__xludf.DUMMYFUNCTION("iferror(iferror(INDEX(IMPORTRANGE(""12vtnxaE_Q1s4tyr10kZQx7ZF_xG0lBFae4jQEUtgsMU"",""All!B2:B""),MATCH($C1286,IMPORTRANGE(""12vtnxaE_Q1s4tyr10kZQx7ZF_xG0lBFae4jQEUtgsMU"",""All!A2:A""),0)),INDEX(IMPORTRANGE(""13KC70HngS4DDi8y9E5khtSpQEPG6owaQ9z4E-tR5mnY"""&amp;",""Non-Food!B2:B""),MATCH($C1286,IMPORTRANGE(""13KC70HngS4DDi8y9E5khtSpQEPG6owaQ9z4E-tR5mnY"",""Non-Food!A2:A""),0))),"""")"),"")</f>
        <v/>
      </c>
      <c r="E1286" s="15"/>
      <c r="F1286" s="15"/>
      <c r="G1286" s="36"/>
      <c r="H1286" s="23" t="str">
        <f>IFERROR(__xludf.DUMMYFUNCTION("iferror(iferror(iferror(index(IMPORTRANGE(""1NK5L1mviMn0j3D3uo53ASkIZOFRlLnqaCTnwzOG2_Wg"",""Direct Link!B2:B""),MATCH($C1286,IMPORTRANGE(""1NK5L1mviMn0j3D3uo53ASkIZOFRlLnqaCTnwzOG2_Wg"",""Direct Link!A2:A""),0)),XLOOKUP($C1286,IMPORTRANGE(""1NK5L1mviMn0j"&amp;"3D3uo53ASkIZOFRlLnqaCTnwzOG2_Wg"",""Direct links Without Sizes!A2:A""),IMPORTRANGE(""1NK5L1mviMn0j3D3uo53ASkIZOFRlLnqaCTnwzOG2_Wg"",""Direct links Without Sizes!B2:B""))),XLOOKUP($C1286,IMPORTRANGE(""1NK5L1mviMn0j3D3uo53ASkIZOFRlLnqaCTnwzOG2_Wg"",""Direct"&amp;" links Without Sizes!D2:D""),IMPORTRANGE(""1NK5L1mviMn0j3D3uo53ASkIZOFRlLnqaCTnwzOG2_Wg"",""Direct links Without Sizes!E2:E""))),"""")"),"")</f>
        <v/>
      </c>
      <c r="I1286" s="4"/>
      <c r="J1286" s="24" t="str">
        <f t="shared" si="1"/>
        <v/>
      </c>
      <c r="K1286" s="25"/>
      <c r="L1286" s="24" t="str">
        <f t="shared" si="2"/>
        <v/>
      </c>
      <c r="M1286" s="4"/>
      <c r="N1286" s="23"/>
      <c r="O1286" s="23"/>
      <c r="P1286" s="23"/>
      <c r="Q1286" s="4" t="str">
        <f t="shared" si="4"/>
        <v/>
      </c>
      <c r="R1286" s="20"/>
      <c r="S1286" s="20"/>
    </row>
    <row r="1287">
      <c r="A1287" s="4"/>
      <c r="B1287" s="4"/>
      <c r="C1287" s="37"/>
      <c r="D1287" s="7" t="str">
        <f>IFERROR(__xludf.DUMMYFUNCTION("iferror(iferror(INDEX(IMPORTRANGE(""12vtnxaE_Q1s4tyr10kZQx7ZF_xG0lBFae4jQEUtgsMU"",""All!B2:B""),MATCH($C1287,IMPORTRANGE(""12vtnxaE_Q1s4tyr10kZQx7ZF_xG0lBFae4jQEUtgsMU"",""All!A2:A""),0)),INDEX(IMPORTRANGE(""13KC70HngS4DDi8y9E5khtSpQEPG6owaQ9z4E-tR5mnY"""&amp;",""Non-Food!B2:B""),MATCH($C1287,IMPORTRANGE(""13KC70HngS4DDi8y9E5khtSpQEPG6owaQ9z4E-tR5mnY"",""Non-Food!A2:A""),0))),"""")"),"")</f>
        <v/>
      </c>
      <c r="E1287" s="15"/>
      <c r="F1287" s="15"/>
      <c r="G1287" s="36"/>
      <c r="H1287" s="23" t="str">
        <f>IFERROR(__xludf.DUMMYFUNCTION("iferror(iferror(iferror(index(IMPORTRANGE(""1NK5L1mviMn0j3D3uo53ASkIZOFRlLnqaCTnwzOG2_Wg"",""Direct Link!B2:B""),MATCH($C1287,IMPORTRANGE(""1NK5L1mviMn0j3D3uo53ASkIZOFRlLnqaCTnwzOG2_Wg"",""Direct Link!A2:A""),0)),XLOOKUP($C1287,IMPORTRANGE(""1NK5L1mviMn0j"&amp;"3D3uo53ASkIZOFRlLnqaCTnwzOG2_Wg"",""Direct links Without Sizes!A2:A""),IMPORTRANGE(""1NK5L1mviMn0j3D3uo53ASkIZOFRlLnqaCTnwzOG2_Wg"",""Direct links Without Sizes!B2:B""))),XLOOKUP($C1287,IMPORTRANGE(""1NK5L1mviMn0j3D3uo53ASkIZOFRlLnqaCTnwzOG2_Wg"",""Direct"&amp;" links Without Sizes!D2:D""),IMPORTRANGE(""1NK5L1mviMn0j3D3uo53ASkIZOFRlLnqaCTnwzOG2_Wg"",""Direct links Without Sizes!E2:E""))),"""")"),"")</f>
        <v/>
      </c>
      <c r="I1287" s="4"/>
      <c r="J1287" s="24" t="str">
        <f t="shared" si="1"/>
        <v/>
      </c>
      <c r="K1287" s="25"/>
      <c r="L1287" s="24" t="str">
        <f t="shared" si="2"/>
        <v/>
      </c>
      <c r="M1287" s="4"/>
      <c r="N1287" s="23"/>
      <c r="O1287" s="23"/>
      <c r="P1287" s="23"/>
      <c r="Q1287" s="4" t="str">
        <f t="shared" si="4"/>
        <v/>
      </c>
      <c r="R1287" s="20"/>
      <c r="S1287" s="20"/>
    </row>
    <row r="1288">
      <c r="A1288" s="4"/>
      <c r="B1288" s="4"/>
      <c r="C1288" s="11"/>
      <c r="D1288" s="7" t="str">
        <f>IFERROR(__xludf.DUMMYFUNCTION("iferror(iferror(INDEX(IMPORTRANGE(""12vtnxaE_Q1s4tyr10kZQx7ZF_xG0lBFae4jQEUtgsMU"",""All!B2:B""),MATCH($C1288,IMPORTRANGE(""12vtnxaE_Q1s4tyr10kZQx7ZF_xG0lBFae4jQEUtgsMU"",""All!A2:A""),0)),INDEX(IMPORTRANGE(""13KC70HngS4DDi8y9E5khtSpQEPG6owaQ9z4E-tR5mnY"""&amp;",""Non-Food!B2:B""),MATCH($C1288,IMPORTRANGE(""13KC70HngS4DDi8y9E5khtSpQEPG6owaQ9z4E-tR5mnY"",""Non-Food!A2:A""),0))),"""")"),"")</f>
        <v/>
      </c>
      <c r="E1288" s="15"/>
      <c r="F1288" s="15"/>
      <c r="G1288" s="36"/>
      <c r="H1288" s="23" t="str">
        <f>IFERROR(__xludf.DUMMYFUNCTION("iferror(iferror(iferror(index(IMPORTRANGE(""1NK5L1mviMn0j3D3uo53ASkIZOFRlLnqaCTnwzOG2_Wg"",""Direct Link!B2:B""),MATCH($C1288,IMPORTRANGE(""1NK5L1mviMn0j3D3uo53ASkIZOFRlLnqaCTnwzOG2_Wg"",""Direct Link!A2:A""),0)),XLOOKUP($C1288,IMPORTRANGE(""1NK5L1mviMn0j"&amp;"3D3uo53ASkIZOFRlLnqaCTnwzOG2_Wg"",""Direct links Without Sizes!A2:A""),IMPORTRANGE(""1NK5L1mviMn0j3D3uo53ASkIZOFRlLnqaCTnwzOG2_Wg"",""Direct links Without Sizes!B2:B""))),XLOOKUP($C1288,IMPORTRANGE(""1NK5L1mviMn0j3D3uo53ASkIZOFRlLnqaCTnwzOG2_Wg"",""Direct"&amp;" links Without Sizes!D2:D""),IMPORTRANGE(""1NK5L1mviMn0j3D3uo53ASkIZOFRlLnqaCTnwzOG2_Wg"",""Direct links Without Sizes!E2:E""))),"""")"),"")</f>
        <v/>
      </c>
      <c r="I1288" s="4"/>
      <c r="J1288" s="24" t="str">
        <f t="shared" si="1"/>
        <v/>
      </c>
      <c r="K1288" s="25"/>
      <c r="L1288" s="24" t="str">
        <f t="shared" si="2"/>
        <v/>
      </c>
      <c r="M1288" s="4"/>
      <c r="N1288" s="23"/>
      <c r="O1288" s="23"/>
      <c r="P1288" s="23"/>
      <c r="Q1288" s="4" t="str">
        <f t="shared" si="4"/>
        <v/>
      </c>
      <c r="R1288" s="20"/>
      <c r="S1288" s="20"/>
    </row>
    <row r="1289">
      <c r="A1289" s="4"/>
      <c r="B1289" s="4"/>
      <c r="C1289" s="37"/>
      <c r="D1289" s="7" t="str">
        <f>IFERROR(__xludf.DUMMYFUNCTION("iferror(iferror(INDEX(IMPORTRANGE(""12vtnxaE_Q1s4tyr10kZQx7ZF_xG0lBFae4jQEUtgsMU"",""All!B2:B""),MATCH($C1289,IMPORTRANGE(""12vtnxaE_Q1s4tyr10kZQx7ZF_xG0lBFae4jQEUtgsMU"",""All!A2:A""),0)),INDEX(IMPORTRANGE(""13KC70HngS4DDi8y9E5khtSpQEPG6owaQ9z4E-tR5mnY"""&amp;",""Non-Food!B2:B""),MATCH($C1289,IMPORTRANGE(""13KC70HngS4DDi8y9E5khtSpQEPG6owaQ9z4E-tR5mnY"",""Non-Food!A2:A""),0))),"""")"),"")</f>
        <v/>
      </c>
      <c r="E1289" s="15"/>
      <c r="F1289" s="15"/>
      <c r="G1289" s="36"/>
      <c r="H1289" s="23" t="str">
        <f>IFERROR(__xludf.DUMMYFUNCTION("iferror(iferror(iferror(index(IMPORTRANGE(""1NK5L1mviMn0j3D3uo53ASkIZOFRlLnqaCTnwzOG2_Wg"",""Direct Link!B2:B""),MATCH($C1289,IMPORTRANGE(""1NK5L1mviMn0j3D3uo53ASkIZOFRlLnqaCTnwzOG2_Wg"",""Direct Link!A2:A""),0)),XLOOKUP($C1289,IMPORTRANGE(""1NK5L1mviMn0j"&amp;"3D3uo53ASkIZOFRlLnqaCTnwzOG2_Wg"",""Direct links Without Sizes!A2:A""),IMPORTRANGE(""1NK5L1mviMn0j3D3uo53ASkIZOFRlLnqaCTnwzOG2_Wg"",""Direct links Without Sizes!B2:B""))),XLOOKUP($C1289,IMPORTRANGE(""1NK5L1mviMn0j3D3uo53ASkIZOFRlLnqaCTnwzOG2_Wg"",""Direct"&amp;" links Without Sizes!D2:D""),IMPORTRANGE(""1NK5L1mviMn0j3D3uo53ASkIZOFRlLnqaCTnwzOG2_Wg"",""Direct links Without Sizes!E2:E""))),"""")"),"")</f>
        <v/>
      </c>
      <c r="I1289" s="4"/>
      <c r="J1289" s="24" t="str">
        <f t="shared" si="1"/>
        <v/>
      </c>
      <c r="K1289" s="25"/>
      <c r="L1289" s="24" t="str">
        <f t="shared" si="2"/>
        <v/>
      </c>
      <c r="M1289" s="4"/>
      <c r="N1289" s="23"/>
      <c r="O1289" s="23"/>
      <c r="P1289" s="23"/>
      <c r="Q1289" s="4" t="str">
        <f t="shared" si="4"/>
        <v/>
      </c>
      <c r="R1289" s="20"/>
      <c r="S1289" s="20"/>
    </row>
    <row r="1290">
      <c r="A1290" s="4"/>
      <c r="B1290" s="4"/>
      <c r="C1290" s="11"/>
      <c r="D1290" s="7" t="str">
        <f>IFERROR(__xludf.DUMMYFUNCTION("iferror(iferror(INDEX(IMPORTRANGE(""12vtnxaE_Q1s4tyr10kZQx7ZF_xG0lBFae4jQEUtgsMU"",""All!B2:B""),MATCH($C1290,IMPORTRANGE(""12vtnxaE_Q1s4tyr10kZQx7ZF_xG0lBFae4jQEUtgsMU"",""All!A2:A""),0)),INDEX(IMPORTRANGE(""13KC70HngS4DDi8y9E5khtSpQEPG6owaQ9z4E-tR5mnY"""&amp;",""Non-Food!B2:B""),MATCH($C1290,IMPORTRANGE(""13KC70HngS4DDi8y9E5khtSpQEPG6owaQ9z4E-tR5mnY"",""Non-Food!A2:A""),0))),"""")"),"")</f>
        <v/>
      </c>
      <c r="E1290" s="15"/>
      <c r="F1290" s="15"/>
      <c r="G1290" s="36"/>
      <c r="H1290" s="23" t="str">
        <f>IFERROR(__xludf.DUMMYFUNCTION("iferror(iferror(iferror(index(IMPORTRANGE(""1NK5L1mviMn0j3D3uo53ASkIZOFRlLnqaCTnwzOG2_Wg"",""Direct Link!B2:B""),MATCH($C1290,IMPORTRANGE(""1NK5L1mviMn0j3D3uo53ASkIZOFRlLnqaCTnwzOG2_Wg"",""Direct Link!A2:A""),0)),XLOOKUP($C1290,IMPORTRANGE(""1NK5L1mviMn0j"&amp;"3D3uo53ASkIZOFRlLnqaCTnwzOG2_Wg"",""Direct links Without Sizes!A2:A""),IMPORTRANGE(""1NK5L1mviMn0j3D3uo53ASkIZOFRlLnqaCTnwzOG2_Wg"",""Direct links Without Sizes!B2:B""))),XLOOKUP($C1290,IMPORTRANGE(""1NK5L1mviMn0j3D3uo53ASkIZOFRlLnqaCTnwzOG2_Wg"",""Direct"&amp;" links Without Sizes!D2:D""),IMPORTRANGE(""1NK5L1mviMn0j3D3uo53ASkIZOFRlLnqaCTnwzOG2_Wg"",""Direct links Without Sizes!E2:E""))),"""")"),"")</f>
        <v/>
      </c>
      <c r="I1290" s="4"/>
      <c r="J1290" s="24" t="str">
        <f t="shared" si="1"/>
        <v/>
      </c>
      <c r="K1290" s="25"/>
      <c r="L1290" s="24" t="str">
        <f t="shared" si="2"/>
        <v/>
      </c>
      <c r="M1290" s="4"/>
      <c r="N1290" s="23"/>
      <c r="O1290" s="23"/>
      <c r="P1290" s="23"/>
      <c r="Q1290" s="4" t="str">
        <f t="shared" si="4"/>
        <v/>
      </c>
      <c r="R1290" s="20"/>
      <c r="S1290" s="20"/>
    </row>
    <row r="1291">
      <c r="A1291" s="4"/>
      <c r="B1291" s="4"/>
      <c r="C1291" s="11"/>
      <c r="D1291" s="7" t="str">
        <f>IFERROR(__xludf.DUMMYFUNCTION("iferror(iferror(INDEX(IMPORTRANGE(""12vtnxaE_Q1s4tyr10kZQx7ZF_xG0lBFae4jQEUtgsMU"",""All!B2:B""),MATCH($C1291,IMPORTRANGE(""12vtnxaE_Q1s4tyr10kZQx7ZF_xG0lBFae4jQEUtgsMU"",""All!A2:A""),0)),INDEX(IMPORTRANGE(""13KC70HngS4DDi8y9E5khtSpQEPG6owaQ9z4E-tR5mnY"""&amp;",""Non-Food!B2:B""),MATCH($C1291,IMPORTRANGE(""13KC70HngS4DDi8y9E5khtSpQEPG6owaQ9z4E-tR5mnY"",""Non-Food!A2:A""),0))),"""")"),"")</f>
        <v/>
      </c>
      <c r="E1291" s="15"/>
      <c r="F1291" s="15"/>
      <c r="G1291" s="36"/>
      <c r="H1291" s="23" t="str">
        <f>IFERROR(__xludf.DUMMYFUNCTION("iferror(iferror(iferror(index(IMPORTRANGE(""1NK5L1mviMn0j3D3uo53ASkIZOFRlLnqaCTnwzOG2_Wg"",""Direct Link!B2:B""),MATCH($C1291,IMPORTRANGE(""1NK5L1mviMn0j3D3uo53ASkIZOFRlLnqaCTnwzOG2_Wg"",""Direct Link!A2:A""),0)),XLOOKUP($C1291,IMPORTRANGE(""1NK5L1mviMn0j"&amp;"3D3uo53ASkIZOFRlLnqaCTnwzOG2_Wg"",""Direct links Without Sizes!A2:A""),IMPORTRANGE(""1NK5L1mviMn0j3D3uo53ASkIZOFRlLnqaCTnwzOG2_Wg"",""Direct links Without Sizes!B2:B""))),XLOOKUP($C1291,IMPORTRANGE(""1NK5L1mviMn0j3D3uo53ASkIZOFRlLnqaCTnwzOG2_Wg"",""Direct"&amp;" links Without Sizes!D2:D""),IMPORTRANGE(""1NK5L1mviMn0j3D3uo53ASkIZOFRlLnqaCTnwzOG2_Wg"",""Direct links Without Sizes!E2:E""))),"""")"),"")</f>
        <v/>
      </c>
      <c r="I1291" s="4"/>
      <c r="J1291" s="24" t="str">
        <f t="shared" si="1"/>
        <v/>
      </c>
      <c r="K1291" s="25"/>
      <c r="L1291" s="24" t="str">
        <f t="shared" si="2"/>
        <v/>
      </c>
      <c r="M1291" s="4"/>
      <c r="N1291" s="23"/>
      <c r="O1291" s="23"/>
      <c r="P1291" s="23"/>
      <c r="Q1291" s="4" t="str">
        <f t="shared" si="4"/>
        <v/>
      </c>
      <c r="R1291" s="20"/>
      <c r="S1291" s="20"/>
    </row>
    <row r="1292">
      <c r="A1292" s="4"/>
      <c r="B1292" s="4"/>
      <c r="C1292" s="37"/>
      <c r="D1292" s="7" t="str">
        <f>IFERROR(__xludf.DUMMYFUNCTION("iferror(iferror(INDEX(IMPORTRANGE(""12vtnxaE_Q1s4tyr10kZQx7ZF_xG0lBFae4jQEUtgsMU"",""All!B2:B""),MATCH($C1292,IMPORTRANGE(""12vtnxaE_Q1s4tyr10kZQx7ZF_xG0lBFae4jQEUtgsMU"",""All!A2:A""),0)),INDEX(IMPORTRANGE(""13KC70HngS4DDi8y9E5khtSpQEPG6owaQ9z4E-tR5mnY"""&amp;",""Non-Food!B2:B""),MATCH($C1292,IMPORTRANGE(""13KC70HngS4DDi8y9E5khtSpQEPG6owaQ9z4E-tR5mnY"",""Non-Food!A2:A""),0))),"""")"),"")</f>
        <v/>
      </c>
      <c r="E1292" s="15"/>
      <c r="F1292" s="15"/>
      <c r="G1292" s="36"/>
      <c r="H1292" s="23" t="str">
        <f>IFERROR(__xludf.DUMMYFUNCTION("iferror(iferror(iferror(index(IMPORTRANGE(""1NK5L1mviMn0j3D3uo53ASkIZOFRlLnqaCTnwzOG2_Wg"",""Direct Link!B2:B""),MATCH($C1292,IMPORTRANGE(""1NK5L1mviMn0j3D3uo53ASkIZOFRlLnqaCTnwzOG2_Wg"",""Direct Link!A2:A""),0)),XLOOKUP($C1292,IMPORTRANGE(""1NK5L1mviMn0j"&amp;"3D3uo53ASkIZOFRlLnqaCTnwzOG2_Wg"",""Direct links Without Sizes!A2:A""),IMPORTRANGE(""1NK5L1mviMn0j3D3uo53ASkIZOFRlLnqaCTnwzOG2_Wg"",""Direct links Without Sizes!B2:B""))),XLOOKUP($C1292,IMPORTRANGE(""1NK5L1mviMn0j3D3uo53ASkIZOFRlLnqaCTnwzOG2_Wg"",""Direct"&amp;" links Without Sizes!D2:D""),IMPORTRANGE(""1NK5L1mviMn0j3D3uo53ASkIZOFRlLnqaCTnwzOG2_Wg"",""Direct links Without Sizes!E2:E""))),"""")"),"")</f>
        <v/>
      </c>
      <c r="I1292" s="4"/>
      <c r="J1292" s="24" t="str">
        <f t="shared" si="1"/>
        <v/>
      </c>
      <c r="K1292" s="25"/>
      <c r="L1292" s="24" t="str">
        <f t="shared" si="2"/>
        <v/>
      </c>
      <c r="M1292" s="4"/>
      <c r="N1292" s="23"/>
      <c r="O1292" s="23"/>
      <c r="P1292" s="23"/>
      <c r="Q1292" s="4" t="str">
        <f t="shared" si="4"/>
        <v/>
      </c>
      <c r="R1292" s="20"/>
      <c r="S1292" s="20"/>
    </row>
    <row r="1293">
      <c r="A1293" s="4"/>
      <c r="B1293" s="4"/>
      <c r="C1293" s="37"/>
      <c r="D1293" s="7" t="str">
        <f>IFERROR(__xludf.DUMMYFUNCTION("iferror(iferror(INDEX(IMPORTRANGE(""12vtnxaE_Q1s4tyr10kZQx7ZF_xG0lBFae4jQEUtgsMU"",""All!B2:B""),MATCH($C1293,IMPORTRANGE(""12vtnxaE_Q1s4tyr10kZQx7ZF_xG0lBFae4jQEUtgsMU"",""All!A2:A""),0)),INDEX(IMPORTRANGE(""13KC70HngS4DDi8y9E5khtSpQEPG6owaQ9z4E-tR5mnY"""&amp;",""Non-Food!B2:B""),MATCH($C1293,IMPORTRANGE(""13KC70HngS4DDi8y9E5khtSpQEPG6owaQ9z4E-tR5mnY"",""Non-Food!A2:A""),0))),"""")"),"")</f>
        <v/>
      </c>
      <c r="E1293" s="15"/>
      <c r="F1293" s="15"/>
      <c r="G1293" s="36"/>
      <c r="H1293" s="23" t="str">
        <f>IFERROR(__xludf.DUMMYFUNCTION("iferror(iferror(iferror(index(IMPORTRANGE(""1NK5L1mviMn0j3D3uo53ASkIZOFRlLnqaCTnwzOG2_Wg"",""Direct Link!B2:B""),MATCH($C1293,IMPORTRANGE(""1NK5L1mviMn0j3D3uo53ASkIZOFRlLnqaCTnwzOG2_Wg"",""Direct Link!A2:A""),0)),XLOOKUP($C1293,IMPORTRANGE(""1NK5L1mviMn0j"&amp;"3D3uo53ASkIZOFRlLnqaCTnwzOG2_Wg"",""Direct links Without Sizes!A2:A""),IMPORTRANGE(""1NK5L1mviMn0j3D3uo53ASkIZOFRlLnqaCTnwzOG2_Wg"",""Direct links Without Sizes!B2:B""))),XLOOKUP($C1293,IMPORTRANGE(""1NK5L1mviMn0j3D3uo53ASkIZOFRlLnqaCTnwzOG2_Wg"",""Direct"&amp;" links Without Sizes!D2:D""),IMPORTRANGE(""1NK5L1mviMn0j3D3uo53ASkIZOFRlLnqaCTnwzOG2_Wg"",""Direct links Without Sizes!E2:E""))),"""")"),"")</f>
        <v/>
      </c>
      <c r="I1293" s="4"/>
      <c r="J1293" s="24" t="str">
        <f t="shared" si="1"/>
        <v/>
      </c>
      <c r="K1293" s="25"/>
      <c r="L1293" s="24" t="str">
        <f t="shared" si="2"/>
        <v/>
      </c>
      <c r="M1293" s="4"/>
      <c r="N1293" s="23"/>
      <c r="O1293" s="23"/>
      <c r="P1293" s="23"/>
      <c r="Q1293" s="4" t="str">
        <f t="shared" si="4"/>
        <v/>
      </c>
      <c r="R1293" s="20"/>
      <c r="S1293" s="20"/>
    </row>
    <row r="1294">
      <c r="A1294" s="4"/>
      <c r="B1294" s="4"/>
      <c r="C1294" s="11"/>
      <c r="D1294" s="7" t="str">
        <f>IFERROR(__xludf.DUMMYFUNCTION("iferror(iferror(INDEX(IMPORTRANGE(""12vtnxaE_Q1s4tyr10kZQx7ZF_xG0lBFae4jQEUtgsMU"",""All!B2:B""),MATCH($C1294,IMPORTRANGE(""12vtnxaE_Q1s4tyr10kZQx7ZF_xG0lBFae4jQEUtgsMU"",""All!A2:A""),0)),INDEX(IMPORTRANGE(""13KC70HngS4DDi8y9E5khtSpQEPG6owaQ9z4E-tR5mnY"""&amp;",""Non-Food!B2:B""),MATCH($C1294,IMPORTRANGE(""13KC70HngS4DDi8y9E5khtSpQEPG6owaQ9z4E-tR5mnY"",""Non-Food!A2:A""),0))),"""")"),"")</f>
        <v/>
      </c>
      <c r="E1294" s="15"/>
      <c r="F1294" s="15"/>
      <c r="G1294" s="36"/>
      <c r="H1294" s="23" t="str">
        <f>IFERROR(__xludf.DUMMYFUNCTION("iferror(iferror(iferror(index(IMPORTRANGE(""1NK5L1mviMn0j3D3uo53ASkIZOFRlLnqaCTnwzOG2_Wg"",""Direct Link!B2:B""),MATCH($C1294,IMPORTRANGE(""1NK5L1mviMn0j3D3uo53ASkIZOFRlLnqaCTnwzOG2_Wg"",""Direct Link!A2:A""),0)),XLOOKUP($C1294,IMPORTRANGE(""1NK5L1mviMn0j"&amp;"3D3uo53ASkIZOFRlLnqaCTnwzOG2_Wg"",""Direct links Without Sizes!A2:A""),IMPORTRANGE(""1NK5L1mviMn0j3D3uo53ASkIZOFRlLnqaCTnwzOG2_Wg"",""Direct links Without Sizes!B2:B""))),XLOOKUP($C1294,IMPORTRANGE(""1NK5L1mviMn0j3D3uo53ASkIZOFRlLnqaCTnwzOG2_Wg"",""Direct"&amp;" links Without Sizes!D2:D""),IMPORTRANGE(""1NK5L1mviMn0j3D3uo53ASkIZOFRlLnqaCTnwzOG2_Wg"",""Direct links Without Sizes!E2:E""))),"""")"),"")</f>
        <v/>
      </c>
      <c r="I1294" s="4"/>
      <c r="J1294" s="24" t="str">
        <f t="shared" si="1"/>
        <v/>
      </c>
      <c r="K1294" s="25"/>
      <c r="L1294" s="24" t="str">
        <f t="shared" si="2"/>
        <v/>
      </c>
      <c r="M1294" s="4"/>
      <c r="N1294" s="23"/>
      <c r="O1294" s="23"/>
      <c r="P1294" s="23"/>
      <c r="Q1294" s="4" t="str">
        <f t="shared" si="4"/>
        <v/>
      </c>
      <c r="R1294" s="20"/>
      <c r="S1294" s="20"/>
    </row>
    <row r="1295">
      <c r="A1295" s="4"/>
      <c r="B1295" s="4"/>
      <c r="C1295" s="37"/>
      <c r="D1295" s="7" t="str">
        <f>IFERROR(__xludf.DUMMYFUNCTION("iferror(iferror(INDEX(IMPORTRANGE(""12vtnxaE_Q1s4tyr10kZQx7ZF_xG0lBFae4jQEUtgsMU"",""All!B2:B""),MATCH($C1295,IMPORTRANGE(""12vtnxaE_Q1s4tyr10kZQx7ZF_xG0lBFae4jQEUtgsMU"",""All!A2:A""),0)),INDEX(IMPORTRANGE(""13KC70HngS4DDi8y9E5khtSpQEPG6owaQ9z4E-tR5mnY"""&amp;",""Non-Food!B2:B""),MATCH($C1295,IMPORTRANGE(""13KC70HngS4DDi8y9E5khtSpQEPG6owaQ9z4E-tR5mnY"",""Non-Food!A2:A""),0))),"""")"),"")</f>
        <v/>
      </c>
      <c r="E1295" s="15"/>
      <c r="F1295" s="15"/>
      <c r="G1295" s="36"/>
      <c r="H1295" s="23" t="str">
        <f>IFERROR(__xludf.DUMMYFUNCTION("iferror(iferror(iferror(index(IMPORTRANGE(""1NK5L1mviMn0j3D3uo53ASkIZOFRlLnqaCTnwzOG2_Wg"",""Direct Link!B2:B""),MATCH($C1295,IMPORTRANGE(""1NK5L1mviMn0j3D3uo53ASkIZOFRlLnqaCTnwzOG2_Wg"",""Direct Link!A2:A""),0)),XLOOKUP($C1295,IMPORTRANGE(""1NK5L1mviMn0j"&amp;"3D3uo53ASkIZOFRlLnqaCTnwzOG2_Wg"",""Direct links Without Sizes!A2:A""),IMPORTRANGE(""1NK5L1mviMn0j3D3uo53ASkIZOFRlLnqaCTnwzOG2_Wg"",""Direct links Without Sizes!B2:B""))),XLOOKUP($C1295,IMPORTRANGE(""1NK5L1mviMn0j3D3uo53ASkIZOFRlLnqaCTnwzOG2_Wg"",""Direct"&amp;" links Without Sizes!D2:D""),IMPORTRANGE(""1NK5L1mviMn0j3D3uo53ASkIZOFRlLnqaCTnwzOG2_Wg"",""Direct links Without Sizes!E2:E""))),"""")"),"")</f>
        <v/>
      </c>
      <c r="I1295" s="4"/>
      <c r="J1295" s="24" t="str">
        <f t="shared" si="1"/>
        <v/>
      </c>
      <c r="K1295" s="25"/>
      <c r="L1295" s="24" t="str">
        <f t="shared" si="2"/>
        <v/>
      </c>
      <c r="M1295" s="4"/>
      <c r="N1295" s="23"/>
      <c r="O1295" s="23"/>
      <c r="P1295" s="23"/>
      <c r="Q1295" s="4" t="str">
        <f t="shared" si="4"/>
        <v/>
      </c>
      <c r="R1295" s="20"/>
      <c r="S1295" s="20"/>
    </row>
    <row r="1296">
      <c r="A1296" s="4"/>
      <c r="B1296" s="4"/>
      <c r="C1296" s="37"/>
      <c r="D1296" s="7" t="str">
        <f>IFERROR(__xludf.DUMMYFUNCTION("iferror(iferror(INDEX(IMPORTRANGE(""12vtnxaE_Q1s4tyr10kZQx7ZF_xG0lBFae4jQEUtgsMU"",""All!B2:B""),MATCH($C1296,IMPORTRANGE(""12vtnxaE_Q1s4tyr10kZQx7ZF_xG0lBFae4jQEUtgsMU"",""All!A2:A""),0)),INDEX(IMPORTRANGE(""13KC70HngS4DDi8y9E5khtSpQEPG6owaQ9z4E-tR5mnY"""&amp;",""Non-Food!B2:B""),MATCH($C1296,IMPORTRANGE(""13KC70HngS4DDi8y9E5khtSpQEPG6owaQ9z4E-tR5mnY"",""Non-Food!A2:A""),0))),"""")"),"")</f>
        <v/>
      </c>
      <c r="E1296" s="15"/>
      <c r="F1296" s="15"/>
      <c r="G1296" s="36"/>
      <c r="H1296" s="23" t="str">
        <f>IFERROR(__xludf.DUMMYFUNCTION("iferror(iferror(iferror(index(IMPORTRANGE(""1NK5L1mviMn0j3D3uo53ASkIZOFRlLnqaCTnwzOG2_Wg"",""Direct Link!B2:B""),MATCH($C1296,IMPORTRANGE(""1NK5L1mviMn0j3D3uo53ASkIZOFRlLnqaCTnwzOG2_Wg"",""Direct Link!A2:A""),0)),XLOOKUP($C1296,IMPORTRANGE(""1NK5L1mviMn0j"&amp;"3D3uo53ASkIZOFRlLnqaCTnwzOG2_Wg"",""Direct links Without Sizes!A2:A""),IMPORTRANGE(""1NK5L1mviMn0j3D3uo53ASkIZOFRlLnqaCTnwzOG2_Wg"",""Direct links Without Sizes!B2:B""))),XLOOKUP($C1296,IMPORTRANGE(""1NK5L1mviMn0j3D3uo53ASkIZOFRlLnqaCTnwzOG2_Wg"",""Direct"&amp;" links Without Sizes!D2:D""),IMPORTRANGE(""1NK5L1mviMn0j3D3uo53ASkIZOFRlLnqaCTnwzOG2_Wg"",""Direct links Without Sizes!E2:E""))),"""")"),"")</f>
        <v/>
      </c>
      <c r="I1296" s="4"/>
      <c r="J1296" s="24" t="str">
        <f t="shared" si="1"/>
        <v/>
      </c>
      <c r="K1296" s="25"/>
      <c r="L1296" s="24" t="str">
        <f t="shared" si="2"/>
        <v/>
      </c>
      <c r="M1296" s="4"/>
      <c r="N1296" s="23"/>
      <c r="O1296" s="23"/>
      <c r="P1296" s="23"/>
      <c r="Q1296" s="4" t="str">
        <f t="shared" si="4"/>
        <v/>
      </c>
      <c r="R1296" s="20"/>
      <c r="S1296" s="20"/>
    </row>
    <row r="1297">
      <c r="A1297" s="4"/>
      <c r="B1297" s="4"/>
      <c r="C1297" s="37"/>
      <c r="D1297" s="7" t="str">
        <f>IFERROR(__xludf.DUMMYFUNCTION("iferror(iferror(INDEX(IMPORTRANGE(""12vtnxaE_Q1s4tyr10kZQx7ZF_xG0lBFae4jQEUtgsMU"",""All!B2:B""),MATCH($C1297,IMPORTRANGE(""12vtnxaE_Q1s4tyr10kZQx7ZF_xG0lBFae4jQEUtgsMU"",""All!A2:A""),0)),INDEX(IMPORTRANGE(""13KC70HngS4DDi8y9E5khtSpQEPG6owaQ9z4E-tR5mnY"""&amp;",""Non-Food!B2:B""),MATCH($C1297,IMPORTRANGE(""13KC70HngS4DDi8y9E5khtSpQEPG6owaQ9z4E-tR5mnY"",""Non-Food!A2:A""),0))),"""")"),"")</f>
        <v/>
      </c>
      <c r="E1297" s="15"/>
      <c r="F1297" s="15"/>
      <c r="G1297" s="36"/>
      <c r="H1297" s="23" t="str">
        <f>IFERROR(__xludf.DUMMYFUNCTION("iferror(iferror(iferror(index(IMPORTRANGE(""1NK5L1mviMn0j3D3uo53ASkIZOFRlLnqaCTnwzOG2_Wg"",""Direct Link!B2:B""),MATCH($C1297,IMPORTRANGE(""1NK5L1mviMn0j3D3uo53ASkIZOFRlLnqaCTnwzOG2_Wg"",""Direct Link!A2:A""),0)),XLOOKUP($C1297,IMPORTRANGE(""1NK5L1mviMn0j"&amp;"3D3uo53ASkIZOFRlLnqaCTnwzOG2_Wg"",""Direct links Without Sizes!A2:A""),IMPORTRANGE(""1NK5L1mviMn0j3D3uo53ASkIZOFRlLnqaCTnwzOG2_Wg"",""Direct links Without Sizes!B2:B""))),XLOOKUP($C1297,IMPORTRANGE(""1NK5L1mviMn0j3D3uo53ASkIZOFRlLnqaCTnwzOG2_Wg"",""Direct"&amp;" links Without Sizes!D2:D""),IMPORTRANGE(""1NK5L1mviMn0j3D3uo53ASkIZOFRlLnqaCTnwzOG2_Wg"",""Direct links Without Sizes!E2:E""))),"""")"),"")</f>
        <v/>
      </c>
      <c r="I1297" s="4"/>
      <c r="J1297" s="24" t="str">
        <f t="shared" si="1"/>
        <v/>
      </c>
      <c r="K1297" s="25"/>
      <c r="L1297" s="24" t="str">
        <f t="shared" si="2"/>
        <v/>
      </c>
      <c r="M1297" s="4"/>
      <c r="N1297" s="23"/>
      <c r="O1297" s="23"/>
      <c r="P1297" s="23"/>
      <c r="Q1297" s="4" t="str">
        <f t="shared" si="4"/>
        <v/>
      </c>
      <c r="R1297" s="20"/>
      <c r="S1297" s="20"/>
    </row>
    <row r="1298">
      <c r="A1298" s="4"/>
      <c r="B1298" s="4"/>
      <c r="C1298" s="11"/>
      <c r="D1298" s="7" t="str">
        <f>IFERROR(__xludf.DUMMYFUNCTION("iferror(iferror(INDEX(IMPORTRANGE(""12vtnxaE_Q1s4tyr10kZQx7ZF_xG0lBFae4jQEUtgsMU"",""All!B2:B""),MATCH($C1298,IMPORTRANGE(""12vtnxaE_Q1s4tyr10kZQx7ZF_xG0lBFae4jQEUtgsMU"",""All!A2:A""),0)),INDEX(IMPORTRANGE(""13KC70HngS4DDi8y9E5khtSpQEPG6owaQ9z4E-tR5mnY"""&amp;",""Non-Food!B2:B""),MATCH($C1298,IMPORTRANGE(""13KC70HngS4DDi8y9E5khtSpQEPG6owaQ9z4E-tR5mnY"",""Non-Food!A2:A""),0))),"""")"),"")</f>
        <v/>
      </c>
      <c r="E1298" s="15"/>
      <c r="F1298" s="15"/>
      <c r="G1298" s="36"/>
      <c r="H1298" s="23" t="str">
        <f>IFERROR(__xludf.DUMMYFUNCTION("iferror(iferror(iferror(index(IMPORTRANGE(""1NK5L1mviMn0j3D3uo53ASkIZOFRlLnqaCTnwzOG2_Wg"",""Direct Link!B2:B""),MATCH($C1298,IMPORTRANGE(""1NK5L1mviMn0j3D3uo53ASkIZOFRlLnqaCTnwzOG2_Wg"",""Direct Link!A2:A""),0)),XLOOKUP($C1298,IMPORTRANGE(""1NK5L1mviMn0j"&amp;"3D3uo53ASkIZOFRlLnqaCTnwzOG2_Wg"",""Direct links Without Sizes!A2:A""),IMPORTRANGE(""1NK5L1mviMn0j3D3uo53ASkIZOFRlLnqaCTnwzOG2_Wg"",""Direct links Without Sizes!B2:B""))),XLOOKUP($C1298,IMPORTRANGE(""1NK5L1mviMn0j3D3uo53ASkIZOFRlLnqaCTnwzOG2_Wg"",""Direct"&amp;" links Without Sizes!D2:D""),IMPORTRANGE(""1NK5L1mviMn0j3D3uo53ASkIZOFRlLnqaCTnwzOG2_Wg"",""Direct links Without Sizes!E2:E""))),"""")"),"")</f>
        <v/>
      </c>
      <c r="I1298" s="4"/>
      <c r="J1298" s="24" t="str">
        <f t="shared" si="1"/>
        <v/>
      </c>
      <c r="K1298" s="25"/>
      <c r="L1298" s="24" t="str">
        <f t="shared" si="2"/>
        <v/>
      </c>
      <c r="M1298" s="4"/>
      <c r="N1298" s="23"/>
      <c r="O1298" s="23"/>
      <c r="P1298" s="23"/>
      <c r="Q1298" s="4" t="str">
        <f t="shared" si="4"/>
        <v/>
      </c>
      <c r="R1298" s="20"/>
      <c r="S1298" s="20"/>
    </row>
    <row r="1299">
      <c r="A1299" s="4"/>
      <c r="B1299" s="4"/>
      <c r="C1299" s="11"/>
      <c r="D1299" s="7" t="str">
        <f>IFERROR(__xludf.DUMMYFUNCTION("iferror(iferror(INDEX(IMPORTRANGE(""12vtnxaE_Q1s4tyr10kZQx7ZF_xG0lBFae4jQEUtgsMU"",""All!B2:B""),MATCH($C1299,IMPORTRANGE(""12vtnxaE_Q1s4tyr10kZQx7ZF_xG0lBFae4jQEUtgsMU"",""All!A2:A""),0)),INDEX(IMPORTRANGE(""13KC70HngS4DDi8y9E5khtSpQEPG6owaQ9z4E-tR5mnY"""&amp;",""Non-Food!B2:B""),MATCH($C1299,IMPORTRANGE(""13KC70HngS4DDi8y9E5khtSpQEPG6owaQ9z4E-tR5mnY"",""Non-Food!A2:A""),0))),"""")"),"")</f>
        <v/>
      </c>
      <c r="E1299" s="14"/>
      <c r="F1299" s="15"/>
      <c r="G1299" s="36"/>
      <c r="H1299" s="23" t="str">
        <f>IFERROR(__xludf.DUMMYFUNCTION("iferror(iferror(iferror(index(IMPORTRANGE(""1NK5L1mviMn0j3D3uo53ASkIZOFRlLnqaCTnwzOG2_Wg"",""Direct Link!B2:B""),MATCH($C1299,IMPORTRANGE(""1NK5L1mviMn0j3D3uo53ASkIZOFRlLnqaCTnwzOG2_Wg"",""Direct Link!A2:A""),0)),XLOOKUP($C1299,IMPORTRANGE(""1NK5L1mviMn0j"&amp;"3D3uo53ASkIZOFRlLnqaCTnwzOG2_Wg"",""Direct links Without Sizes!A2:A""),IMPORTRANGE(""1NK5L1mviMn0j3D3uo53ASkIZOFRlLnqaCTnwzOG2_Wg"",""Direct links Without Sizes!B2:B""))),XLOOKUP($C1299,IMPORTRANGE(""1NK5L1mviMn0j3D3uo53ASkIZOFRlLnqaCTnwzOG2_Wg"",""Direct"&amp;" links Without Sizes!D2:D""),IMPORTRANGE(""1NK5L1mviMn0j3D3uo53ASkIZOFRlLnqaCTnwzOG2_Wg"",""Direct links Without Sizes!E2:E""))),"""")"),"")</f>
        <v/>
      </c>
      <c r="I1299" s="5"/>
      <c r="J1299" s="24" t="str">
        <f t="shared" si="1"/>
        <v/>
      </c>
      <c r="K1299" s="25"/>
      <c r="L1299" s="24" t="str">
        <f t="shared" si="2"/>
        <v/>
      </c>
      <c r="M1299" s="4"/>
      <c r="N1299" s="23"/>
      <c r="O1299" s="23"/>
      <c r="P1299" s="23"/>
      <c r="Q1299" s="4" t="str">
        <f t="shared" si="4"/>
        <v/>
      </c>
      <c r="R1299" s="20"/>
      <c r="S1299" s="20"/>
    </row>
  </sheetData>
  <customSheetViews>
    <customSheetView guid="{24922957-556C-400E-92CA-F57CF5BA017E}" filter="1" showAutoFilter="1">
      <autoFilter ref="$A$1:$S$17"/>
    </customSheetView>
  </customSheetViews>
  <conditionalFormatting sqref="C2:C1299">
    <cfRule type="expression" dxfId="1" priority="1">
      <formula>countif($C$2:C1299,C2)&gt;1</formula>
    </cfRule>
  </conditionalFormatting>
  <conditionalFormatting sqref="C2:C1299 E2:F1299">
    <cfRule type="containsText" dxfId="2" priority="2" operator="containsText" text="Combo">
      <formula>NOT(ISERROR(SEARCH(("Combo"),(C2))))</formula>
    </cfRule>
  </conditionalFormatting>
  <conditionalFormatting sqref="C1:C1299">
    <cfRule type="containsText" dxfId="2" priority="3" operator="containsText" text="Meal">
      <formula>NOT(ISERROR(SEARCH(("Meal"),(C1))))</formula>
    </cfRule>
  </conditionalFormatting>
  <conditionalFormatting sqref="C1:C1299 D1 E1:F1299">
    <cfRule type="containsText" dxfId="2" priority="4" operator="containsText" text="Soft Drink">
      <formula>NOT(ISERROR(SEARCH(("Soft Drink"),(C1))))</formula>
    </cfRule>
  </conditionalFormatting>
  <conditionalFormatting sqref="C1:C1299">
    <cfRule type="cellIs" dxfId="2" priority="5" operator="equal">
      <formula>"Ice Cream"</formula>
    </cfRule>
  </conditionalFormatting>
  <conditionalFormatting sqref="C2:C1299">
    <cfRule type="cellIs" dxfId="2" priority="6" operator="equal">
      <formula>"Soup"</formula>
    </cfRule>
  </conditionalFormatting>
  <conditionalFormatting sqref="C1:C1299 D1 E1:E1299">
    <cfRule type="containsText" dxfId="3" priority="7" operator="containsText" text=" Or ">
      <formula>NOT(ISERROR(SEARCH((" Or "),(C1))))</formula>
    </cfRule>
  </conditionalFormatting>
  <conditionalFormatting sqref="C1:C1299 D1 E1:F1299">
    <cfRule type="containsText" dxfId="3" priority="8" operator="containsText" text="/">
      <formula>NOT(ISERROR(SEARCH(("/"),(C1))))</formula>
    </cfRule>
  </conditionalFormatting>
  <conditionalFormatting sqref="C1:C1299">
    <cfRule type="containsText" dxfId="2" priority="9" operator="containsText" text=" Box">
      <formula>NOT(ISERROR(SEARCH((" Box"),(C1))))</formula>
    </cfRule>
  </conditionalFormatting>
  <conditionalFormatting sqref="C1:C1299 D1 E1:E1299">
    <cfRule type="containsText" dxfId="4" priority="10" operator="containsText" text="Trotters">
      <formula>NOT(ISERROR(SEARCH(("Trotters"),(C1))))</formula>
    </cfRule>
  </conditionalFormatting>
  <conditionalFormatting sqref="C1:C1299">
    <cfRule type="expression" dxfId="5" priority="11">
      <formula>AND(REGEXMATCH(C1, "(?i)bacon"), NOT(REGEXMATCH(C1, "(?i)beef bacon|turkey bacon|chicken bacon")))</formula>
    </cfRule>
  </conditionalFormatting>
  <conditionalFormatting sqref="C1:C1299">
    <cfRule type="expression" dxfId="5" priority="12">
      <formula>AND(REGEXMATCH(C1, "(?i) ham "), NOT(REGEXMATCH(C1, "(?i)beef ham|turkey ham|Chicken ham")))</formula>
    </cfRule>
  </conditionalFormatting>
  <conditionalFormatting sqref="C1:C1299 D1 E1:E1299">
    <cfRule type="containsText" dxfId="6" priority="13" operator="containsText" text=" Pig ">
      <formula>NOT(ISERROR(SEARCH((" Pig "),(C1))))</formula>
    </cfRule>
  </conditionalFormatting>
  <conditionalFormatting sqref="C1:C1299 D1 E1:E1299">
    <cfRule type="containsText" dxfId="6" priority="14" operator="containsText" text=" Pork">
      <formula>NOT(ISERROR(SEARCH((" Pork"),(C1))))</formula>
    </cfRule>
  </conditionalFormatting>
  <conditionalFormatting sqref="C1:C1299 D1 E1:E1299">
    <cfRule type="containsText" dxfId="6" priority="15" operator="containsText" text="Lechon">
      <formula>NOT(ISERROR(SEARCH(("Lechon"),(C1))))</formula>
    </cfRule>
  </conditionalFormatting>
  <conditionalFormatting sqref="C1:C1299 D1 E1:E1299">
    <cfRule type="containsText" dxfId="6" priority="16" operator="containsText" text=" Wine">
      <formula>NOT(ISERROR(SEARCH((" Wine"),(C1))))</formula>
    </cfRule>
  </conditionalFormatting>
  <conditionalFormatting sqref="C1:C1299 D1 E1:E1299">
    <cfRule type="containsText" dxfId="6" priority="17" operator="containsText" text="Beer">
      <formula>NOT(ISERROR(SEARCH(("Beer"),(C1))))</formula>
    </cfRule>
  </conditionalFormatting>
  <conditionalFormatting sqref="C1:C1299 D1 E1:E1299">
    <cfRule type="containsText" dxfId="6" priority="18" operator="containsText" text="Liqour">
      <formula>NOT(ISERROR(SEARCH(("Liqour"),(C1))))</formula>
    </cfRule>
  </conditionalFormatting>
  <conditionalFormatting sqref="C1:C1299 D1 E1:E1299">
    <cfRule type="containsText" dxfId="6" priority="19" operator="containsText" text="Tequila">
      <formula>NOT(ISERROR(SEARCH(("Tequila"),(C1))))</formula>
    </cfRule>
  </conditionalFormatting>
  <conditionalFormatting sqref="C1:C1299 D1 E1:E1299">
    <cfRule type="containsText" dxfId="6" priority="20" operator="containsText" text="Vodka">
      <formula>NOT(ISERROR(SEARCH(("Vodka"),(C1))))</formula>
    </cfRule>
  </conditionalFormatting>
  <conditionalFormatting sqref="C1:C1299 D1 E1:E1299">
    <cfRule type="containsText" dxfId="6" priority="21" operator="containsText" text="Whisky">
      <formula>NOT(ISERROR(SEARCH(("Whisky"),(C1))))</formula>
    </cfRule>
  </conditionalFormatting>
  <conditionalFormatting sqref="C1:C1299 D1 E1:E1299">
    <cfRule type="containsText" dxfId="6" priority="22" operator="containsText" text="Shisha">
      <formula>NOT(ISERROR(SEARCH(("Shisha"),(C1))))</formula>
    </cfRule>
  </conditionalFormatting>
  <conditionalFormatting sqref="C1:C1299 D1 E1:E1299">
    <cfRule type="containsText" dxfId="6" priority="23" operator="containsText" text="Hooka">
      <formula>NOT(ISERROR(SEARCH(("Hooka"),(C1))))</formula>
    </cfRule>
  </conditionalFormatting>
  <conditionalFormatting sqref="C1:C1299 D1 E1:E1299">
    <cfRule type="containsText" dxfId="6" priority="24" operator="containsText" text="Alcohol">
      <formula>NOT(ISERROR(SEARCH(("Alcohol"),(C1))))</formula>
    </cfRule>
  </conditionalFormatting>
  <conditionalFormatting sqref="C1:C1299 D1 E1:E1299">
    <cfRule type="containsText" dxfId="6" priority="25" operator="containsText" text="margarita">
      <formula>NOT(ISERROR(SEARCH(("margarita"),(C1))))</formula>
    </cfRule>
  </conditionalFormatting>
  <conditionalFormatting sqref="E1:E1299">
    <cfRule type="expression" dxfId="7" priority="26">
      <formula>AND(REGEXMATCH(E1, "(?i)bacon"), NOT(REGEXMATCH(E1, "(?i)beef bacon|turkey bacon|Chicken bacon")))</formula>
    </cfRule>
  </conditionalFormatting>
  <conditionalFormatting sqref="E1:E1299">
    <cfRule type="expression" dxfId="5" priority="27">
      <formula>AND(REGEXMATCH(E1, "(?i) ham "), NOT(REGEXMATCH(E1, "(?i)beef ham|turkey ham|Chicken ham")))</formula>
    </cfRule>
  </conditionalFormatting>
  <conditionalFormatting sqref="C1:C1299">
    <cfRule type="expression" dxfId="7" priority="28">
      <formula>AND(REGEXMATCH(C1, "(?i)Mortadella"), NOT(REGEXMATCH(C1, "(?i)beef Mortadella|Turkey Mortadella|Cheese Mortadella|Chicken Mortadella")))</formula>
    </cfRule>
  </conditionalFormatting>
  <conditionalFormatting sqref="E1:E1299">
    <cfRule type="expression" dxfId="7" priority="29">
      <formula>AND(REGEXMATCH(E1, "(?i)Mortadella"), NOT(REGEXMATCH(E1, "(?i)beef Mortadella|Turkey Mortadella|Cheese Mortadella|Chicken Mortadella")))</formula>
    </cfRule>
  </conditionalFormatting>
  <conditionalFormatting sqref="C1:C1299">
    <cfRule type="expression" dxfId="8" priority="30">
      <formula>AND(REGEXMATCH(C1, "(?i)Mexican Burger"), NOT(REGEXMATCH(C1, "(?i)Mexican Beef Burger|Beef Mexican Burger|Mexican Chicken Burger|Chicken Mexican Burger")))</formula>
    </cfRule>
  </conditionalFormatting>
  <conditionalFormatting sqref="E1:E1299">
    <cfRule type="expression" dxfId="8" priority="31">
      <formula>AND(REGEXMATCH(E1, "(?i)Mexican Burger"), NOT(REGEXMATCH(E1, "(?i)Mexican Beef Burger|Beef Mexican Burger|Mexican Chicken Burger|Chicken Mexican Burger")))</formula>
    </cfRule>
  </conditionalFormatting>
  <conditionalFormatting sqref="C1:C1299">
    <cfRule type="cellIs" dxfId="2" priority="32" operator="equal">
      <formula>"Shawarma"</formula>
    </cfRule>
  </conditionalFormatting>
  <conditionalFormatting sqref="C1:C1299">
    <cfRule type="cellIs" dxfId="2" priority="33" operator="equal">
      <formula>"Shawerma"</formula>
    </cfRule>
  </conditionalFormatting>
  <dataValidations>
    <dataValidation type="decimal" allowBlank="1" showDropDown="1" showInputMessage="1" showErrorMessage="1" prompt="Please enter a number value" sqref="K2:K1299">
      <formula1>0.0</formula1>
      <formula2>99999.0</formula2>
    </dataValidation>
    <dataValidation type="decimal" allowBlank="1" showDropDown="1" showInputMessage="1" showErrorMessage="1" prompt="Please enter a number value" sqref="G2:G1299">
      <formula1>0.0</formula1>
      <formula2>999999.0</formula2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16.75"/>
    <col customWidth="1" min="3" max="3" width="14.0"/>
    <col customWidth="1" min="4" max="4" width="15.5"/>
    <col customWidth="1" min="5" max="5" width="8.88"/>
    <col customWidth="1" min="6" max="6" width="13.5"/>
    <col customWidth="1" min="7" max="7" width="34.5"/>
    <col customWidth="1" min="8" max="8" width="17.5"/>
  </cols>
  <sheetData>
    <row r="1" ht="29.25" customHeight="1">
      <c r="A1" s="2" t="s">
        <v>372</v>
      </c>
      <c r="B1" s="2" t="s">
        <v>1</v>
      </c>
      <c r="C1" s="2" t="s">
        <v>2</v>
      </c>
      <c r="D1" s="2" t="s">
        <v>35</v>
      </c>
      <c r="E1" s="2" t="s">
        <v>36</v>
      </c>
      <c r="F1" s="2" t="s">
        <v>373</v>
      </c>
      <c r="G1" s="2" t="s">
        <v>374</v>
      </c>
      <c r="H1" s="2" t="s">
        <v>375</v>
      </c>
      <c r="I1" s="2" t="s">
        <v>376</v>
      </c>
      <c r="J1" s="3" t="s">
        <v>6</v>
      </c>
      <c r="K1" s="4"/>
      <c r="L1" s="4"/>
    </row>
    <row r="2">
      <c r="A2" s="5" t="s">
        <v>49</v>
      </c>
      <c r="B2" s="39" t="s">
        <v>377</v>
      </c>
      <c r="C2" s="7" t="str">
        <f>IFERROR(__xludf.DUMMYFUNCTION("iferror(iferror(INDEX(IMPORTRANGE(""12vtnxaE_Q1s4tyr10kZQx7ZF_xG0lBFae4jQEUtgsMU"",""All!B2:B""),MATCH($B2,IMPORTRANGE(""12vtnxaE_Q1s4tyr10kZQx7ZF_xG0lBFae4jQEUtgsMU"",""All!A2:A""),0)),INDEX(IMPORTRANGE(""13KC70HngS4DDi8y9E5khtSpQEPG6owaQ9z4E-tR5mnY"","""&amp;"Non-Food!B2:B""),MATCH($B2,IMPORTRANGE(""13KC70HngS4DDi8y9E5khtSpQEPG6owaQ9z4E-tR5mnY"",""Non-Food!A2:A""),0))),"""")"),"اختر")</f>
        <v>اختر</v>
      </c>
      <c r="D2" s="12"/>
      <c r="E2" s="12"/>
      <c r="F2" s="12">
        <v>1.0</v>
      </c>
      <c r="G2" s="12">
        <v>1.0</v>
      </c>
      <c r="H2" s="12">
        <v>1.0</v>
      </c>
      <c r="I2" s="12" t="s">
        <v>378</v>
      </c>
      <c r="J2" s="4" t="str">
        <f t="shared" ref="J2:J7" si="1">IF(B2&lt;&gt;"","1","")</f>
        <v>1</v>
      </c>
      <c r="K2" s="4"/>
      <c r="L2" s="4"/>
    </row>
    <row r="3">
      <c r="A3" s="5" t="s">
        <v>53</v>
      </c>
      <c r="B3" s="39" t="s">
        <v>377</v>
      </c>
      <c r="C3" s="7" t="str">
        <f>IFERROR(__xludf.DUMMYFUNCTION("iferror(iferror(INDEX(IMPORTRANGE(""12vtnxaE_Q1s4tyr10kZQx7ZF_xG0lBFae4jQEUtgsMU"",""All!B2:B""),MATCH($B3,IMPORTRANGE(""12vtnxaE_Q1s4tyr10kZQx7ZF_xG0lBFae4jQEUtgsMU"",""All!A2:A""),0)),INDEX(IMPORTRANGE(""13KC70HngS4DDi8y9E5khtSpQEPG6owaQ9z4E-tR5mnY"","""&amp;"Non-Food!B2:B""),MATCH($B3,IMPORTRANGE(""13KC70HngS4DDi8y9E5khtSpQEPG6owaQ9z4E-tR5mnY"",""Non-Food!A2:A""),0))),"""")"),"اختر")</f>
        <v>اختر</v>
      </c>
      <c r="D3" s="12"/>
      <c r="E3" s="12"/>
      <c r="F3" s="12">
        <v>1.0</v>
      </c>
      <c r="G3" s="12">
        <v>1.0</v>
      </c>
      <c r="H3" s="12">
        <v>1.0</v>
      </c>
      <c r="I3" s="12" t="s">
        <v>379</v>
      </c>
      <c r="J3" s="4" t="str">
        <f t="shared" si="1"/>
        <v>1</v>
      </c>
      <c r="K3" s="4"/>
      <c r="L3" s="4"/>
    </row>
    <row r="4">
      <c r="A4" s="5" t="s">
        <v>57</v>
      </c>
      <c r="B4" s="39" t="s">
        <v>377</v>
      </c>
      <c r="C4" s="7" t="str">
        <f>IFERROR(__xludf.DUMMYFUNCTION("iferror(iferror(INDEX(IMPORTRANGE(""12vtnxaE_Q1s4tyr10kZQx7ZF_xG0lBFae4jQEUtgsMU"",""All!B2:B""),MATCH($B4,IMPORTRANGE(""12vtnxaE_Q1s4tyr10kZQx7ZF_xG0lBFae4jQEUtgsMU"",""All!A2:A""),0)),INDEX(IMPORTRANGE(""13KC70HngS4DDi8y9E5khtSpQEPG6owaQ9z4E-tR5mnY"","""&amp;"Non-Food!B2:B""),MATCH($B4,IMPORTRANGE(""13KC70HngS4DDi8y9E5khtSpQEPG6owaQ9z4E-tR5mnY"",""Non-Food!A2:A""),0))),"""")"),"اختر")</f>
        <v>اختر</v>
      </c>
      <c r="D4" s="12"/>
      <c r="E4" s="12"/>
      <c r="F4" s="12">
        <v>1.0</v>
      </c>
      <c r="G4" s="12">
        <v>1.0</v>
      </c>
      <c r="H4" s="12">
        <v>1.0</v>
      </c>
      <c r="I4" s="12" t="s">
        <v>380</v>
      </c>
      <c r="J4" s="4" t="str">
        <f t="shared" si="1"/>
        <v>1</v>
      </c>
      <c r="K4" s="4"/>
      <c r="L4" s="4"/>
    </row>
    <row r="5">
      <c r="A5" s="5" t="s">
        <v>61</v>
      </c>
      <c r="B5" s="39" t="s">
        <v>377</v>
      </c>
      <c r="C5" s="7" t="str">
        <f>IFERROR(__xludf.DUMMYFUNCTION("iferror(iferror(INDEX(IMPORTRANGE(""12vtnxaE_Q1s4tyr10kZQx7ZF_xG0lBFae4jQEUtgsMU"",""All!B2:B""),MATCH($B5,IMPORTRANGE(""12vtnxaE_Q1s4tyr10kZQx7ZF_xG0lBFae4jQEUtgsMU"",""All!A2:A""),0)),INDEX(IMPORTRANGE(""13KC70HngS4DDi8y9E5khtSpQEPG6owaQ9z4E-tR5mnY"","""&amp;"Non-Food!B2:B""),MATCH($B5,IMPORTRANGE(""13KC70HngS4DDi8y9E5khtSpQEPG6owaQ9z4E-tR5mnY"",""Non-Food!A2:A""),0))),"""")"),"اختر")</f>
        <v>اختر</v>
      </c>
      <c r="D5" s="12"/>
      <c r="E5" s="12"/>
      <c r="F5" s="12">
        <v>1.0</v>
      </c>
      <c r="G5" s="12">
        <v>1.0</v>
      </c>
      <c r="H5" s="12">
        <v>1.0</v>
      </c>
      <c r="I5" s="12" t="s">
        <v>381</v>
      </c>
      <c r="J5" s="4" t="str">
        <f t="shared" si="1"/>
        <v>1</v>
      </c>
      <c r="K5" s="4"/>
      <c r="L5" s="4"/>
    </row>
    <row r="6">
      <c r="A6" s="5" t="s">
        <v>68</v>
      </c>
      <c r="B6" s="39" t="s">
        <v>377</v>
      </c>
      <c r="C6" s="7" t="str">
        <f>IFERROR(__xludf.DUMMYFUNCTION("iferror(iferror(INDEX(IMPORTRANGE(""12vtnxaE_Q1s4tyr10kZQx7ZF_xG0lBFae4jQEUtgsMU"",""All!B2:B""),MATCH($B6,IMPORTRANGE(""12vtnxaE_Q1s4tyr10kZQx7ZF_xG0lBFae4jQEUtgsMU"",""All!A2:A""),0)),INDEX(IMPORTRANGE(""13KC70HngS4DDi8y9E5khtSpQEPG6owaQ9z4E-tR5mnY"","""&amp;"Non-Food!B2:B""),MATCH($B6,IMPORTRANGE(""13KC70HngS4DDi8y9E5khtSpQEPG6owaQ9z4E-tR5mnY"",""Non-Food!A2:A""),0))),"""")"),"اختر")</f>
        <v>اختر</v>
      </c>
      <c r="D6" s="12"/>
      <c r="E6" s="12"/>
      <c r="F6" s="12">
        <v>1.0</v>
      </c>
      <c r="G6" s="12">
        <v>1.0</v>
      </c>
      <c r="H6" s="12">
        <v>1.0</v>
      </c>
      <c r="I6" s="12" t="s">
        <v>382</v>
      </c>
      <c r="J6" s="4" t="str">
        <f t="shared" si="1"/>
        <v>1</v>
      </c>
      <c r="K6" s="4"/>
      <c r="L6" s="4"/>
    </row>
    <row r="7">
      <c r="A7" s="5" t="s">
        <v>72</v>
      </c>
      <c r="B7" s="39" t="s">
        <v>377</v>
      </c>
      <c r="C7" s="7" t="str">
        <f>IFERROR(__xludf.DUMMYFUNCTION("iferror(iferror(INDEX(IMPORTRANGE(""12vtnxaE_Q1s4tyr10kZQx7ZF_xG0lBFae4jQEUtgsMU"",""All!B2:B""),MATCH($B7,IMPORTRANGE(""12vtnxaE_Q1s4tyr10kZQx7ZF_xG0lBFae4jQEUtgsMU"",""All!A2:A""),0)),INDEX(IMPORTRANGE(""13KC70HngS4DDi8y9E5khtSpQEPG6owaQ9z4E-tR5mnY"","""&amp;"Non-Food!B2:B""),MATCH($B7,IMPORTRANGE(""13KC70HngS4DDi8y9E5khtSpQEPG6owaQ9z4E-tR5mnY"",""Non-Food!A2:A""),0))),"""")"),"اختر")</f>
        <v>اختر</v>
      </c>
      <c r="D7" s="12"/>
      <c r="E7" s="12"/>
      <c r="F7" s="12">
        <v>1.0</v>
      </c>
      <c r="G7" s="12">
        <v>1.0</v>
      </c>
      <c r="H7" s="12">
        <v>1.0</v>
      </c>
      <c r="I7" s="12" t="s">
        <v>383</v>
      </c>
      <c r="J7" s="4" t="str">
        <f t="shared" si="1"/>
        <v>1</v>
      </c>
      <c r="K7" s="4"/>
      <c r="L7" s="4"/>
    </row>
    <row r="8">
      <c r="A8" s="5" t="s">
        <v>76</v>
      </c>
      <c r="B8" s="39" t="s">
        <v>377</v>
      </c>
      <c r="C8" s="7" t="str">
        <f>IFERROR(__xludf.DUMMYFUNCTION("iferror(iferror(INDEX(IMPORTRANGE(""12vtnxaE_Q1s4tyr10kZQx7ZF_xG0lBFae4jQEUtgsMU"",""All!B2:B""),MATCH($B8,IMPORTRANGE(""12vtnxaE_Q1s4tyr10kZQx7ZF_xG0lBFae4jQEUtgsMU"",""All!A2:A""),0)),INDEX(IMPORTRANGE(""13KC70HngS4DDi8y9E5khtSpQEPG6owaQ9z4E-tR5mnY"","""&amp;"Non-Food!B2:B""),MATCH($B8,IMPORTRANGE(""13KC70HngS4DDi8y9E5khtSpQEPG6owaQ9z4E-tR5mnY"",""Non-Food!A2:A""),0))),"""")"),"اختر")</f>
        <v>اختر</v>
      </c>
      <c r="D8" s="12"/>
      <c r="E8" s="12"/>
      <c r="F8" s="12">
        <v>1.0</v>
      </c>
      <c r="G8" s="12">
        <v>1.0</v>
      </c>
      <c r="H8" s="12">
        <v>1.0</v>
      </c>
      <c r="I8" s="12" t="s">
        <v>384</v>
      </c>
      <c r="J8" s="12">
        <v>1.0</v>
      </c>
      <c r="K8" s="4"/>
      <c r="L8" s="4"/>
    </row>
    <row r="9">
      <c r="A9" s="5" t="s">
        <v>80</v>
      </c>
      <c r="B9" s="39" t="s">
        <v>377</v>
      </c>
      <c r="C9" s="7" t="str">
        <f>IFERROR(__xludf.DUMMYFUNCTION("iferror(iferror(INDEX(IMPORTRANGE(""12vtnxaE_Q1s4tyr10kZQx7ZF_xG0lBFae4jQEUtgsMU"",""All!B2:B""),MATCH($B9,IMPORTRANGE(""12vtnxaE_Q1s4tyr10kZQx7ZF_xG0lBFae4jQEUtgsMU"",""All!A2:A""),0)),INDEX(IMPORTRANGE(""13KC70HngS4DDi8y9E5khtSpQEPG6owaQ9z4E-tR5mnY"","""&amp;"Non-Food!B2:B""),MATCH($B9,IMPORTRANGE(""13KC70HngS4DDi8y9E5khtSpQEPG6owaQ9z4E-tR5mnY"",""Non-Food!A2:A""),0))),"""")"),"اختر")</f>
        <v>اختر</v>
      </c>
      <c r="D9" s="12"/>
      <c r="E9" s="12"/>
      <c r="F9" s="12">
        <v>1.0</v>
      </c>
      <c r="G9" s="12">
        <v>1.0</v>
      </c>
      <c r="H9" s="12">
        <v>1.0</v>
      </c>
      <c r="I9" s="12" t="s">
        <v>385</v>
      </c>
      <c r="J9" s="4" t="str">
        <f t="shared" ref="J9:J499" si="2">IF(B9&lt;&gt;"","1","")</f>
        <v>1</v>
      </c>
      <c r="K9" s="4"/>
      <c r="L9" s="4"/>
    </row>
    <row r="10">
      <c r="A10" s="5" t="s">
        <v>126</v>
      </c>
      <c r="B10" s="39" t="s">
        <v>377</v>
      </c>
      <c r="C10" s="7" t="str">
        <f>IFERROR(__xludf.DUMMYFUNCTION("iferror(iferror(INDEX(IMPORTRANGE(""12vtnxaE_Q1s4tyr10kZQx7ZF_xG0lBFae4jQEUtgsMU"",""All!B2:B""),MATCH($B10,IMPORTRANGE(""12vtnxaE_Q1s4tyr10kZQx7ZF_xG0lBFae4jQEUtgsMU"",""All!A2:A""),0)),INDEX(IMPORTRANGE(""13KC70HngS4DDi8y9E5khtSpQEPG6owaQ9z4E-tR5mnY"","&amp;"""Non-Food!B2:B""),MATCH($B10,IMPORTRANGE(""13KC70HngS4DDi8y9E5khtSpQEPG6owaQ9z4E-tR5mnY"",""Non-Food!A2:A""),0))),"""")"),"اختر")</f>
        <v>اختر</v>
      </c>
      <c r="D10" s="12"/>
      <c r="E10" s="12"/>
      <c r="F10" s="12">
        <v>1.0</v>
      </c>
      <c r="G10" s="12">
        <v>1.0</v>
      </c>
      <c r="H10" s="12">
        <v>1.0</v>
      </c>
      <c r="I10" s="12" t="s">
        <v>386</v>
      </c>
      <c r="J10" s="4" t="str">
        <f t="shared" si="2"/>
        <v>1</v>
      </c>
      <c r="K10" s="4"/>
      <c r="L10" s="4"/>
    </row>
    <row r="11">
      <c r="A11" s="5" t="s">
        <v>136</v>
      </c>
      <c r="B11" s="39" t="s">
        <v>377</v>
      </c>
      <c r="C11" s="7" t="str">
        <f>IFERROR(__xludf.DUMMYFUNCTION("iferror(iferror(INDEX(IMPORTRANGE(""12vtnxaE_Q1s4tyr10kZQx7ZF_xG0lBFae4jQEUtgsMU"",""All!B2:B""),MATCH($B11,IMPORTRANGE(""12vtnxaE_Q1s4tyr10kZQx7ZF_xG0lBFae4jQEUtgsMU"",""All!A2:A""),0)),INDEX(IMPORTRANGE(""13KC70HngS4DDi8y9E5khtSpQEPG6owaQ9z4E-tR5mnY"","&amp;"""Non-Food!B2:B""),MATCH($B11,IMPORTRANGE(""13KC70HngS4DDi8y9E5khtSpQEPG6owaQ9z4E-tR5mnY"",""Non-Food!A2:A""),0))),"""")"),"اختر")</f>
        <v>اختر</v>
      </c>
      <c r="D11" s="12"/>
      <c r="E11" s="12"/>
      <c r="F11" s="12">
        <v>1.0</v>
      </c>
      <c r="G11" s="12">
        <v>1.0</v>
      </c>
      <c r="H11" s="12">
        <v>1.0</v>
      </c>
      <c r="I11" s="12" t="s">
        <v>387</v>
      </c>
      <c r="J11" s="4" t="str">
        <f t="shared" si="2"/>
        <v>1</v>
      </c>
      <c r="K11" s="4"/>
      <c r="L11" s="4"/>
    </row>
    <row r="12">
      <c r="A12" s="5" t="s">
        <v>152</v>
      </c>
      <c r="B12" s="39" t="s">
        <v>377</v>
      </c>
      <c r="C12" s="7" t="str">
        <f>IFERROR(__xludf.DUMMYFUNCTION("iferror(iferror(INDEX(IMPORTRANGE(""12vtnxaE_Q1s4tyr10kZQx7ZF_xG0lBFae4jQEUtgsMU"",""All!B2:B""),MATCH($B12,IMPORTRANGE(""12vtnxaE_Q1s4tyr10kZQx7ZF_xG0lBFae4jQEUtgsMU"",""All!A2:A""),0)),INDEX(IMPORTRANGE(""13KC70HngS4DDi8y9E5khtSpQEPG6owaQ9z4E-tR5mnY"","&amp;"""Non-Food!B2:B""),MATCH($B12,IMPORTRANGE(""13KC70HngS4DDi8y9E5khtSpQEPG6owaQ9z4E-tR5mnY"",""Non-Food!A2:A""),0))),"""")"),"اختر")</f>
        <v>اختر</v>
      </c>
      <c r="D12" s="12"/>
      <c r="E12" s="12"/>
      <c r="F12" s="12">
        <v>1.0</v>
      </c>
      <c r="G12" s="12">
        <v>1.0</v>
      </c>
      <c r="H12" s="12">
        <v>1.0</v>
      </c>
      <c r="I12" s="12" t="s">
        <v>388</v>
      </c>
      <c r="J12" s="4" t="str">
        <f t="shared" si="2"/>
        <v>1</v>
      </c>
      <c r="K12" s="4"/>
      <c r="L12" s="4"/>
    </row>
    <row r="13">
      <c r="A13" s="5" t="s">
        <v>171</v>
      </c>
      <c r="B13" s="39" t="s">
        <v>377</v>
      </c>
      <c r="C13" s="7" t="str">
        <f>IFERROR(__xludf.DUMMYFUNCTION("iferror(iferror(INDEX(IMPORTRANGE(""12vtnxaE_Q1s4tyr10kZQx7ZF_xG0lBFae4jQEUtgsMU"",""All!B2:B""),MATCH($B13,IMPORTRANGE(""12vtnxaE_Q1s4tyr10kZQx7ZF_xG0lBFae4jQEUtgsMU"",""All!A2:A""),0)),INDEX(IMPORTRANGE(""13KC70HngS4DDi8y9E5khtSpQEPG6owaQ9z4E-tR5mnY"","&amp;"""Non-Food!B2:B""),MATCH($B13,IMPORTRANGE(""13KC70HngS4DDi8y9E5khtSpQEPG6owaQ9z4E-tR5mnY"",""Non-Food!A2:A""),0))),"""")"),"اختر")</f>
        <v>اختر</v>
      </c>
      <c r="D13" s="12"/>
      <c r="E13" s="12"/>
      <c r="F13" s="12">
        <v>1.0</v>
      </c>
      <c r="G13" s="12">
        <v>1.0</v>
      </c>
      <c r="H13" s="12">
        <v>1.0</v>
      </c>
      <c r="I13" s="12" t="s">
        <v>389</v>
      </c>
      <c r="J13" s="4" t="str">
        <f t="shared" si="2"/>
        <v>1</v>
      </c>
      <c r="K13" s="4"/>
      <c r="L13" s="4"/>
    </row>
    <row r="14">
      <c r="A14" s="5" t="s">
        <v>234</v>
      </c>
      <c r="B14" s="39" t="s">
        <v>377</v>
      </c>
      <c r="C14" s="7" t="str">
        <f>IFERROR(__xludf.DUMMYFUNCTION("iferror(iferror(INDEX(IMPORTRANGE(""12vtnxaE_Q1s4tyr10kZQx7ZF_xG0lBFae4jQEUtgsMU"",""All!B2:B""),MATCH($B14,IMPORTRANGE(""12vtnxaE_Q1s4tyr10kZQx7ZF_xG0lBFae4jQEUtgsMU"",""All!A2:A""),0)),INDEX(IMPORTRANGE(""13KC70HngS4DDi8y9E5khtSpQEPG6owaQ9z4E-tR5mnY"","&amp;"""Non-Food!B2:B""),MATCH($B14,IMPORTRANGE(""13KC70HngS4DDi8y9E5khtSpQEPG6owaQ9z4E-tR5mnY"",""Non-Food!A2:A""),0))),"""")"),"اختر")</f>
        <v>اختر</v>
      </c>
      <c r="D14" s="12"/>
      <c r="E14" s="12"/>
      <c r="F14" s="12">
        <v>1.0</v>
      </c>
      <c r="G14" s="12">
        <v>1.0</v>
      </c>
      <c r="H14" s="12">
        <v>1.0</v>
      </c>
      <c r="I14" s="12" t="s">
        <v>390</v>
      </c>
      <c r="J14" s="4" t="str">
        <f t="shared" si="2"/>
        <v>1</v>
      </c>
      <c r="K14" s="4"/>
      <c r="L14" s="4"/>
    </row>
    <row r="15">
      <c r="A15" s="5" t="s">
        <v>238</v>
      </c>
      <c r="B15" s="39" t="s">
        <v>377</v>
      </c>
      <c r="C15" s="7" t="str">
        <f>IFERROR(__xludf.DUMMYFUNCTION("iferror(iferror(INDEX(IMPORTRANGE(""12vtnxaE_Q1s4tyr10kZQx7ZF_xG0lBFae4jQEUtgsMU"",""All!B2:B""),MATCH($B15,IMPORTRANGE(""12vtnxaE_Q1s4tyr10kZQx7ZF_xG0lBFae4jQEUtgsMU"",""All!A2:A""),0)),INDEX(IMPORTRANGE(""13KC70HngS4DDi8y9E5khtSpQEPG6owaQ9z4E-tR5mnY"","&amp;"""Non-Food!B2:B""),MATCH($B15,IMPORTRANGE(""13KC70HngS4DDi8y9E5khtSpQEPG6owaQ9z4E-tR5mnY"",""Non-Food!A2:A""),0))),"""")"),"اختر")</f>
        <v>اختر</v>
      </c>
      <c r="D15" s="12"/>
      <c r="E15" s="12"/>
      <c r="F15" s="12">
        <v>1.0</v>
      </c>
      <c r="G15" s="12">
        <v>1.0</v>
      </c>
      <c r="H15" s="12">
        <v>1.0</v>
      </c>
      <c r="I15" s="12" t="s">
        <v>391</v>
      </c>
      <c r="J15" s="4" t="str">
        <f t="shared" si="2"/>
        <v>1</v>
      </c>
      <c r="K15" s="4"/>
      <c r="L15" s="4"/>
    </row>
    <row r="16">
      <c r="A16" s="5" t="s">
        <v>242</v>
      </c>
      <c r="B16" s="39" t="s">
        <v>377</v>
      </c>
      <c r="C16" s="7" t="str">
        <f>IFERROR(__xludf.DUMMYFUNCTION("iferror(iferror(INDEX(IMPORTRANGE(""12vtnxaE_Q1s4tyr10kZQx7ZF_xG0lBFae4jQEUtgsMU"",""All!B2:B""),MATCH($B16,IMPORTRANGE(""12vtnxaE_Q1s4tyr10kZQx7ZF_xG0lBFae4jQEUtgsMU"",""All!A2:A""),0)),INDEX(IMPORTRANGE(""13KC70HngS4DDi8y9E5khtSpQEPG6owaQ9z4E-tR5mnY"","&amp;"""Non-Food!B2:B""),MATCH($B16,IMPORTRANGE(""13KC70HngS4DDi8y9E5khtSpQEPG6owaQ9z4E-tR5mnY"",""Non-Food!A2:A""),0))),"""")"),"اختر")</f>
        <v>اختر</v>
      </c>
      <c r="D16" s="12"/>
      <c r="E16" s="12"/>
      <c r="F16" s="12">
        <v>1.0</v>
      </c>
      <c r="G16" s="12">
        <v>1.0</v>
      </c>
      <c r="H16" s="12">
        <v>1.0</v>
      </c>
      <c r="I16" s="12" t="s">
        <v>392</v>
      </c>
      <c r="J16" s="4" t="str">
        <f t="shared" si="2"/>
        <v>1</v>
      </c>
      <c r="K16" s="4"/>
      <c r="L16" s="4"/>
    </row>
    <row r="17">
      <c r="A17" s="5" t="s">
        <v>264</v>
      </c>
      <c r="B17" s="39" t="s">
        <v>377</v>
      </c>
      <c r="C17" s="7" t="str">
        <f>IFERROR(__xludf.DUMMYFUNCTION("iferror(iferror(INDEX(IMPORTRANGE(""12vtnxaE_Q1s4tyr10kZQx7ZF_xG0lBFae4jQEUtgsMU"",""All!B2:B""),MATCH($B17,IMPORTRANGE(""12vtnxaE_Q1s4tyr10kZQx7ZF_xG0lBFae4jQEUtgsMU"",""All!A2:A""),0)),INDEX(IMPORTRANGE(""13KC70HngS4DDi8y9E5khtSpQEPG6owaQ9z4E-tR5mnY"","&amp;"""Non-Food!B2:B""),MATCH($B17,IMPORTRANGE(""13KC70HngS4DDi8y9E5khtSpQEPG6owaQ9z4E-tR5mnY"",""Non-Food!A2:A""),0))),"""")"),"اختر")</f>
        <v>اختر</v>
      </c>
      <c r="D17" s="12"/>
      <c r="E17" s="12"/>
      <c r="F17" s="12">
        <v>1.0</v>
      </c>
      <c r="G17" s="12">
        <v>1.0</v>
      </c>
      <c r="H17" s="12">
        <v>1.0</v>
      </c>
      <c r="I17" s="12" t="s">
        <v>393</v>
      </c>
      <c r="J17" s="4" t="str">
        <f t="shared" si="2"/>
        <v>1</v>
      </c>
      <c r="K17" s="4"/>
      <c r="L17" s="4"/>
    </row>
    <row r="18">
      <c r="A18" s="5" t="s">
        <v>268</v>
      </c>
      <c r="B18" s="39" t="s">
        <v>377</v>
      </c>
      <c r="C18" s="7" t="str">
        <f>IFERROR(__xludf.DUMMYFUNCTION("iferror(iferror(INDEX(IMPORTRANGE(""12vtnxaE_Q1s4tyr10kZQx7ZF_xG0lBFae4jQEUtgsMU"",""All!B2:B""),MATCH($B18,IMPORTRANGE(""12vtnxaE_Q1s4tyr10kZQx7ZF_xG0lBFae4jQEUtgsMU"",""All!A2:A""),0)),INDEX(IMPORTRANGE(""13KC70HngS4DDi8y9E5khtSpQEPG6owaQ9z4E-tR5mnY"","&amp;"""Non-Food!B2:B""),MATCH($B18,IMPORTRANGE(""13KC70HngS4DDi8y9E5khtSpQEPG6owaQ9z4E-tR5mnY"",""Non-Food!A2:A""),0))),"""")"),"اختر")</f>
        <v>اختر</v>
      </c>
      <c r="D18" s="12"/>
      <c r="E18" s="12"/>
      <c r="F18" s="12">
        <v>1.0</v>
      </c>
      <c r="G18" s="12">
        <v>1.0</v>
      </c>
      <c r="H18" s="12">
        <v>1.0</v>
      </c>
      <c r="I18" s="12" t="s">
        <v>394</v>
      </c>
      <c r="J18" s="4" t="str">
        <f t="shared" si="2"/>
        <v>1</v>
      </c>
      <c r="K18" s="4"/>
      <c r="L18" s="4"/>
    </row>
    <row r="19">
      <c r="A19" s="5" t="s">
        <v>280</v>
      </c>
      <c r="B19" s="39" t="s">
        <v>377</v>
      </c>
      <c r="C19" s="7" t="str">
        <f>IFERROR(__xludf.DUMMYFUNCTION("iferror(iferror(INDEX(IMPORTRANGE(""12vtnxaE_Q1s4tyr10kZQx7ZF_xG0lBFae4jQEUtgsMU"",""All!B2:B""),MATCH($B19,IMPORTRANGE(""12vtnxaE_Q1s4tyr10kZQx7ZF_xG0lBFae4jQEUtgsMU"",""All!A2:A""),0)),INDEX(IMPORTRANGE(""13KC70HngS4DDi8y9E5khtSpQEPG6owaQ9z4E-tR5mnY"","&amp;"""Non-Food!B2:B""),MATCH($B19,IMPORTRANGE(""13KC70HngS4DDi8y9E5khtSpQEPG6owaQ9z4E-tR5mnY"",""Non-Food!A2:A""),0))),"""")"),"اختر")</f>
        <v>اختر</v>
      </c>
      <c r="D19" s="12"/>
      <c r="E19" s="12"/>
      <c r="F19" s="12">
        <v>1.0</v>
      </c>
      <c r="G19" s="12">
        <v>1.0</v>
      </c>
      <c r="H19" s="12">
        <v>1.0</v>
      </c>
      <c r="I19" s="12" t="s">
        <v>395</v>
      </c>
      <c r="J19" s="4" t="str">
        <f t="shared" si="2"/>
        <v>1</v>
      </c>
      <c r="K19" s="4"/>
      <c r="L19" s="4"/>
    </row>
    <row r="20">
      <c r="A20" s="5" t="s">
        <v>290</v>
      </c>
      <c r="B20" s="39" t="s">
        <v>377</v>
      </c>
      <c r="C20" s="7" t="str">
        <f>IFERROR(__xludf.DUMMYFUNCTION("iferror(iferror(INDEX(IMPORTRANGE(""12vtnxaE_Q1s4tyr10kZQx7ZF_xG0lBFae4jQEUtgsMU"",""All!B2:B""),MATCH($B20,IMPORTRANGE(""12vtnxaE_Q1s4tyr10kZQx7ZF_xG0lBFae4jQEUtgsMU"",""All!A2:A""),0)),INDEX(IMPORTRANGE(""13KC70HngS4DDi8y9E5khtSpQEPG6owaQ9z4E-tR5mnY"","&amp;"""Non-Food!B2:B""),MATCH($B20,IMPORTRANGE(""13KC70HngS4DDi8y9E5khtSpQEPG6owaQ9z4E-tR5mnY"",""Non-Food!A2:A""),0))),"""")"),"اختر")</f>
        <v>اختر</v>
      </c>
      <c r="D20" s="12"/>
      <c r="E20" s="12"/>
      <c r="F20" s="12">
        <v>1.0</v>
      </c>
      <c r="G20" s="12">
        <v>1.0</v>
      </c>
      <c r="H20" s="12">
        <v>1.0</v>
      </c>
      <c r="I20" s="12" t="s">
        <v>396</v>
      </c>
      <c r="J20" s="4" t="str">
        <f t="shared" si="2"/>
        <v>1</v>
      </c>
      <c r="K20" s="4"/>
      <c r="L20" s="4"/>
    </row>
    <row r="21">
      <c r="A21" s="5"/>
      <c r="B21" s="14"/>
      <c r="C21" s="7" t="str">
        <f>IFERROR(__xludf.DUMMYFUNCTION("iferror(iferror(INDEX(IMPORTRANGE(""12vtnxaE_Q1s4tyr10kZQx7ZF_xG0lBFae4jQEUtgsMU"",""All!B2:B""),MATCH($B21,IMPORTRANGE(""12vtnxaE_Q1s4tyr10kZQx7ZF_xG0lBFae4jQEUtgsMU"",""All!A2:A""),0)),INDEX(IMPORTRANGE(""13KC70HngS4DDi8y9E5khtSpQEPG6owaQ9z4E-tR5mnY"","&amp;"""Non-Food!B2:B""),MATCH($B21,IMPORTRANGE(""13KC70HngS4DDi8y9E5khtSpQEPG6owaQ9z4E-tR5mnY"",""Non-Food!A2:A""),0))),"""")"),"")</f>
        <v/>
      </c>
      <c r="D21" s="12"/>
      <c r="E21" s="12"/>
      <c r="F21" s="12"/>
      <c r="G21" s="5"/>
      <c r="H21" s="4"/>
      <c r="I21" s="4"/>
      <c r="J21" s="4" t="str">
        <f t="shared" si="2"/>
        <v/>
      </c>
      <c r="K21" s="4"/>
      <c r="L21" s="4"/>
    </row>
    <row r="22">
      <c r="A22" s="5"/>
      <c r="B22" s="14"/>
      <c r="C22" s="7" t="str">
        <f>IFERROR(__xludf.DUMMYFUNCTION("iferror(iferror(INDEX(IMPORTRANGE(""12vtnxaE_Q1s4tyr10kZQx7ZF_xG0lBFae4jQEUtgsMU"",""All!B2:B""),MATCH($B22,IMPORTRANGE(""12vtnxaE_Q1s4tyr10kZQx7ZF_xG0lBFae4jQEUtgsMU"",""All!A2:A""),0)),INDEX(IMPORTRANGE(""13KC70HngS4DDi8y9E5khtSpQEPG6owaQ9z4E-tR5mnY"","&amp;"""Non-Food!B2:B""),MATCH($B22,IMPORTRANGE(""13KC70HngS4DDi8y9E5khtSpQEPG6owaQ9z4E-tR5mnY"",""Non-Food!A2:A""),0))),"""")"),"")</f>
        <v/>
      </c>
      <c r="D22" s="12"/>
      <c r="E22" s="12"/>
      <c r="F22" s="12"/>
      <c r="G22" s="5"/>
      <c r="H22" s="4"/>
      <c r="I22" s="4"/>
      <c r="J22" s="4" t="str">
        <f t="shared" si="2"/>
        <v/>
      </c>
      <c r="K22" s="4"/>
      <c r="L22" s="4"/>
    </row>
    <row r="23">
      <c r="A23" s="5"/>
      <c r="B23" s="14"/>
      <c r="C23" s="7" t="str">
        <f>IFERROR(__xludf.DUMMYFUNCTION("iferror(iferror(INDEX(IMPORTRANGE(""12vtnxaE_Q1s4tyr10kZQx7ZF_xG0lBFae4jQEUtgsMU"",""All!B2:B""),MATCH($B23,IMPORTRANGE(""12vtnxaE_Q1s4tyr10kZQx7ZF_xG0lBFae4jQEUtgsMU"",""All!A2:A""),0)),INDEX(IMPORTRANGE(""13KC70HngS4DDi8y9E5khtSpQEPG6owaQ9z4E-tR5mnY"","&amp;"""Non-Food!B2:B""),MATCH($B23,IMPORTRANGE(""13KC70HngS4DDi8y9E5khtSpQEPG6owaQ9z4E-tR5mnY"",""Non-Food!A2:A""),0))),"""")"),"")</f>
        <v/>
      </c>
      <c r="D23" s="12"/>
      <c r="E23" s="12"/>
      <c r="F23" s="12"/>
      <c r="G23" s="5"/>
      <c r="H23" s="4"/>
      <c r="I23" s="4"/>
      <c r="J23" s="4" t="str">
        <f t="shared" si="2"/>
        <v/>
      </c>
      <c r="K23" s="4"/>
      <c r="L23" s="4"/>
    </row>
    <row r="24">
      <c r="A24" s="5"/>
      <c r="B24" s="14"/>
      <c r="C24" s="7" t="str">
        <f>IFERROR(__xludf.DUMMYFUNCTION("iferror(iferror(INDEX(IMPORTRANGE(""12vtnxaE_Q1s4tyr10kZQx7ZF_xG0lBFae4jQEUtgsMU"",""All!B2:B""),MATCH($B24,IMPORTRANGE(""12vtnxaE_Q1s4tyr10kZQx7ZF_xG0lBFae4jQEUtgsMU"",""All!A2:A""),0)),INDEX(IMPORTRANGE(""13KC70HngS4DDi8y9E5khtSpQEPG6owaQ9z4E-tR5mnY"","&amp;"""Non-Food!B2:B""),MATCH($B24,IMPORTRANGE(""13KC70HngS4DDi8y9E5khtSpQEPG6owaQ9z4E-tR5mnY"",""Non-Food!A2:A""),0))),"""")"),"")</f>
        <v/>
      </c>
      <c r="D24" s="12"/>
      <c r="E24" s="12"/>
      <c r="F24" s="12"/>
      <c r="G24" s="12"/>
      <c r="H24" s="4"/>
      <c r="I24" s="4"/>
      <c r="J24" s="4" t="str">
        <f t="shared" si="2"/>
        <v/>
      </c>
      <c r="K24" s="4"/>
      <c r="L24" s="4"/>
    </row>
    <row r="25">
      <c r="A25" s="5"/>
      <c r="B25" s="14"/>
      <c r="C25" s="7" t="str">
        <f>IFERROR(__xludf.DUMMYFUNCTION("iferror(iferror(INDEX(IMPORTRANGE(""12vtnxaE_Q1s4tyr10kZQx7ZF_xG0lBFae4jQEUtgsMU"",""All!B2:B""),MATCH($B25,IMPORTRANGE(""12vtnxaE_Q1s4tyr10kZQx7ZF_xG0lBFae4jQEUtgsMU"",""All!A2:A""),0)),INDEX(IMPORTRANGE(""13KC70HngS4DDi8y9E5khtSpQEPG6owaQ9z4E-tR5mnY"","&amp;"""Non-Food!B2:B""),MATCH($B25,IMPORTRANGE(""13KC70HngS4DDi8y9E5khtSpQEPG6owaQ9z4E-tR5mnY"",""Non-Food!A2:A""),0))),"""")"),"")</f>
        <v/>
      </c>
      <c r="D25" s="12"/>
      <c r="E25" s="12"/>
      <c r="F25" s="12"/>
      <c r="G25" s="5"/>
      <c r="H25" s="4"/>
      <c r="I25" s="4"/>
      <c r="J25" s="4" t="str">
        <f t="shared" si="2"/>
        <v/>
      </c>
      <c r="K25" s="4"/>
      <c r="L25" s="4"/>
    </row>
    <row r="26">
      <c r="A26" s="5"/>
      <c r="B26" s="14"/>
      <c r="C26" s="7" t="str">
        <f>IFERROR(__xludf.DUMMYFUNCTION("iferror(iferror(INDEX(IMPORTRANGE(""12vtnxaE_Q1s4tyr10kZQx7ZF_xG0lBFae4jQEUtgsMU"",""All!B2:B""),MATCH($B26,IMPORTRANGE(""12vtnxaE_Q1s4tyr10kZQx7ZF_xG0lBFae4jQEUtgsMU"",""All!A2:A""),0)),INDEX(IMPORTRANGE(""13KC70HngS4DDi8y9E5khtSpQEPG6owaQ9z4E-tR5mnY"","&amp;"""Non-Food!B2:B""),MATCH($B26,IMPORTRANGE(""13KC70HngS4DDi8y9E5khtSpQEPG6owaQ9z4E-tR5mnY"",""Non-Food!A2:A""),0))),"""")"),"")</f>
        <v/>
      </c>
      <c r="D26" s="12"/>
      <c r="E26" s="12"/>
      <c r="F26" s="12"/>
      <c r="G26" s="12"/>
      <c r="H26" s="4"/>
      <c r="I26" s="4"/>
      <c r="J26" s="4" t="str">
        <f t="shared" si="2"/>
        <v/>
      </c>
      <c r="K26" s="4"/>
      <c r="L26" s="4"/>
    </row>
    <row r="27">
      <c r="A27" s="5"/>
      <c r="B27" s="14"/>
      <c r="C27" s="7" t="str">
        <f>IFERROR(__xludf.DUMMYFUNCTION("iferror(iferror(INDEX(IMPORTRANGE(""12vtnxaE_Q1s4tyr10kZQx7ZF_xG0lBFae4jQEUtgsMU"",""All!B2:B""),MATCH($B27,IMPORTRANGE(""12vtnxaE_Q1s4tyr10kZQx7ZF_xG0lBFae4jQEUtgsMU"",""All!A2:A""),0)),INDEX(IMPORTRANGE(""13KC70HngS4DDi8y9E5khtSpQEPG6owaQ9z4E-tR5mnY"","&amp;"""Non-Food!B2:B""),MATCH($B27,IMPORTRANGE(""13KC70HngS4DDi8y9E5khtSpQEPG6owaQ9z4E-tR5mnY"",""Non-Food!A2:A""),0))),"""")"),"")</f>
        <v/>
      </c>
      <c r="D27" s="12"/>
      <c r="E27" s="12"/>
      <c r="F27" s="12"/>
      <c r="G27" s="5"/>
      <c r="H27" s="4"/>
      <c r="I27" s="4"/>
      <c r="J27" s="4" t="str">
        <f t="shared" si="2"/>
        <v/>
      </c>
      <c r="K27" s="4"/>
      <c r="L27" s="4"/>
    </row>
    <row r="28">
      <c r="A28" s="5"/>
      <c r="B28" s="14"/>
      <c r="C28" s="7" t="str">
        <f>IFERROR(__xludf.DUMMYFUNCTION("iferror(iferror(INDEX(IMPORTRANGE(""12vtnxaE_Q1s4tyr10kZQx7ZF_xG0lBFae4jQEUtgsMU"",""All!B2:B""),MATCH($B28,IMPORTRANGE(""12vtnxaE_Q1s4tyr10kZQx7ZF_xG0lBFae4jQEUtgsMU"",""All!A2:A""),0)),INDEX(IMPORTRANGE(""13KC70HngS4DDi8y9E5khtSpQEPG6owaQ9z4E-tR5mnY"","&amp;"""Non-Food!B2:B""),MATCH($B28,IMPORTRANGE(""13KC70HngS4DDi8y9E5khtSpQEPG6owaQ9z4E-tR5mnY"",""Non-Food!A2:A""),0))),"""")"),"")</f>
        <v/>
      </c>
      <c r="D28" s="12"/>
      <c r="E28" s="12"/>
      <c r="F28" s="12"/>
      <c r="G28" s="5"/>
      <c r="H28" s="4"/>
      <c r="I28" s="4"/>
      <c r="J28" s="4" t="str">
        <f t="shared" si="2"/>
        <v/>
      </c>
      <c r="K28" s="4"/>
      <c r="L28" s="4"/>
    </row>
    <row r="29">
      <c r="A29" s="5"/>
      <c r="B29" s="14"/>
      <c r="C29" s="7" t="str">
        <f>IFERROR(__xludf.DUMMYFUNCTION("iferror(iferror(INDEX(IMPORTRANGE(""12vtnxaE_Q1s4tyr10kZQx7ZF_xG0lBFae4jQEUtgsMU"",""All!B2:B""),MATCH($B29,IMPORTRANGE(""12vtnxaE_Q1s4tyr10kZQx7ZF_xG0lBFae4jQEUtgsMU"",""All!A2:A""),0)),INDEX(IMPORTRANGE(""13KC70HngS4DDi8y9E5khtSpQEPG6owaQ9z4E-tR5mnY"","&amp;"""Non-Food!B2:B""),MATCH($B29,IMPORTRANGE(""13KC70HngS4DDi8y9E5khtSpQEPG6owaQ9z4E-tR5mnY"",""Non-Food!A2:A""),0))),"""")"),"")</f>
        <v/>
      </c>
      <c r="D29" s="12"/>
      <c r="E29" s="12"/>
      <c r="F29" s="12"/>
      <c r="G29" s="12"/>
      <c r="H29" s="4"/>
      <c r="I29" s="4"/>
      <c r="J29" s="4" t="str">
        <f t="shared" si="2"/>
        <v/>
      </c>
      <c r="K29" s="4"/>
      <c r="L29" s="4"/>
    </row>
    <row r="30">
      <c r="A30" s="5"/>
      <c r="B30" s="14"/>
      <c r="C30" s="7" t="str">
        <f>IFERROR(__xludf.DUMMYFUNCTION("iferror(iferror(INDEX(IMPORTRANGE(""12vtnxaE_Q1s4tyr10kZQx7ZF_xG0lBFae4jQEUtgsMU"",""All!B2:B""),MATCH($B30,IMPORTRANGE(""12vtnxaE_Q1s4tyr10kZQx7ZF_xG0lBFae4jQEUtgsMU"",""All!A2:A""),0)),INDEX(IMPORTRANGE(""13KC70HngS4DDi8y9E5khtSpQEPG6owaQ9z4E-tR5mnY"","&amp;"""Non-Food!B2:B""),MATCH($B30,IMPORTRANGE(""13KC70HngS4DDi8y9E5khtSpQEPG6owaQ9z4E-tR5mnY"",""Non-Food!A2:A""),0))),"""")"),"")</f>
        <v/>
      </c>
      <c r="D30" s="12"/>
      <c r="E30" s="12"/>
      <c r="F30" s="12"/>
      <c r="G30" s="12"/>
      <c r="H30" s="4"/>
      <c r="I30" s="4"/>
      <c r="J30" s="4" t="str">
        <f t="shared" si="2"/>
        <v/>
      </c>
      <c r="K30" s="4"/>
      <c r="L30" s="4"/>
    </row>
    <row r="31">
      <c r="A31" s="5"/>
      <c r="B31" s="14"/>
      <c r="C31" s="7" t="str">
        <f>IFERROR(__xludf.DUMMYFUNCTION("iferror(iferror(INDEX(IMPORTRANGE(""12vtnxaE_Q1s4tyr10kZQx7ZF_xG0lBFae4jQEUtgsMU"",""All!B2:B""),MATCH($B31,IMPORTRANGE(""12vtnxaE_Q1s4tyr10kZQx7ZF_xG0lBFae4jQEUtgsMU"",""All!A2:A""),0)),INDEX(IMPORTRANGE(""13KC70HngS4DDi8y9E5khtSpQEPG6owaQ9z4E-tR5mnY"","&amp;"""Non-Food!B2:B""),MATCH($B31,IMPORTRANGE(""13KC70HngS4DDi8y9E5khtSpQEPG6owaQ9z4E-tR5mnY"",""Non-Food!A2:A""),0))),"""")"),"")</f>
        <v/>
      </c>
      <c r="D31" s="12"/>
      <c r="E31" s="12"/>
      <c r="F31" s="12"/>
      <c r="G31" s="12"/>
      <c r="H31" s="4"/>
      <c r="I31" s="4"/>
      <c r="J31" s="4" t="str">
        <f t="shared" si="2"/>
        <v/>
      </c>
      <c r="K31" s="4"/>
      <c r="L31" s="4"/>
    </row>
    <row r="32">
      <c r="A32" s="5"/>
      <c r="B32" s="14"/>
      <c r="C32" s="7" t="str">
        <f>IFERROR(__xludf.DUMMYFUNCTION("iferror(iferror(INDEX(IMPORTRANGE(""12vtnxaE_Q1s4tyr10kZQx7ZF_xG0lBFae4jQEUtgsMU"",""All!B2:B""),MATCH($B32,IMPORTRANGE(""12vtnxaE_Q1s4tyr10kZQx7ZF_xG0lBFae4jQEUtgsMU"",""All!A2:A""),0)),INDEX(IMPORTRANGE(""13KC70HngS4DDi8y9E5khtSpQEPG6owaQ9z4E-tR5mnY"","&amp;"""Non-Food!B2:B""),MATCH($B32,IMPORTRANGE(""13KC70HngS4DDi8y9E5khtSpQEPG6owaQ9z4E-tR5mnY"",""Non-Food!A2:A""),0))),"""")"),"")</f>
        <v/>
      </c>
      <c r="D32" s="12"/>
      <c r="E32" s="12"/>
      <c r="F32" s="12"/>
      <c r="G32" s="12"/>
      <c r="H32" s="4"/>
      <c r="I32" s="4"/>
      <c r="J32" s="4" t="str">
        <f t="shared" si="2"/>
        <v/>
      </c>
      <c r="K32" s="4"/>
      <c r="L32" s="4"/>
    </row>
    <row r="33">
      <c r="A33" s="5"/>
      <c r="B33" s="14"/>
      <c r="C33" s="7" t="str">
        <f>IFERROR(__xludf.DUMMYFUNCTION("iferror(iferror(INDEX(IMPORTRANGE(""12vtnxaE_Q1s4tyr10kZQx7ZF_xG0lBFae4jQEUtgsMU"",""All!B2:B""),MATCH($B33,IMPORTRANGE(""12vtnxaE_Q1s4tyr10kZQx7ZF_xG0lBFae4jQEUtgsMU"",""All!A2:A""),0)),INDEX(IMPORTRANGE(""13KC70HngS4DDi8y9E5khtSpQEPG6owaQ9z4E-tR5mnY"","&amp;"""Non-Food!B2:B""),MATCH($B33,IMPORTRANGE(""13KC70HngS4DDi8y9E5khtSpQEPG6owaQ9z4E-tR5mnY"",""Non-Food!A2:A""),0))),"""")"),"")</f>
        <v/>
      </c>
      <c r="D33" s="12"/>
      <c r="E33" s="12"/>
      <c r="F33" s="12"/>
      <c r="G33" s="5"/>
      <c r="H33" s="4"/>
      <c r="I33" s="4"/>
      <c r="J33" s="4" t="str">
        <f t="shared" si="2"/>
        <v/>
      </c>
      <c r="K33" s="4"/>
      <c r="L33" s="4"/>
    </row>
    <row r="34">
      <c r="A34" s="5"/>
      <c r="B34" s="14"/>
      <c r="C34" s="7" t="str">
        <f>IFERROR(__xludf.DUMMYFUNCTION("iferror(iferror(INDEX(IMPORTRANGE(""12vtnxaE_Q1s4tyr10kZQx7ZF_xG0lBFae4jQEUtgsMU"",""All!B2:B""),MATCH($B34,IMPORTRANGE(""12vtnxaE_Q1s4tyr10kZQx7ZF_xG0lBFae4jQEUtgsMU"",""All!A2:A""),0)),INDEX(IMPORTRANGE(""13KC70HngS4DDi8y9E5khtSpQEPG6owaQ9z4E-tR5mnY"","&amp;"""Non-Food!B2:B""),MATCH($B34,IMPORTRANGE(""13KC70HngS4DDi8y9E5khtSpQEPG6owaQ9z4E-tR5mnY"",""Non-Food!A2:A""),0))),"""")"),"")</f>
        <v/>
      </c>
      <c r="D34" s="12"/>
      <c r="E34" s="12"/>
      <c r="F34" s="12"/>
      <c r="G34" s="12"/>
      <c r="H34" s="4"/>
      <c r="I34" s="4"/>
      <c r="J34" s="4" t="str">
        <f t="shared" si="2"/>
        <v/>
      </c>
      <c r="K34" s="4"/>
      <c r="L34" s="4"/>
    </row>
    <row r="35">
      <c r="A35" s="5"/>
      <c r="B35" s="14"/>
      <c r="C35" s="7" t="str">
        <f>IFERROR(__xludf.DUMMYFUNCTION("iferror(iferror(INDEX(IMPORTRANGE(""12vtnxaE_Q1s4tyr10kZQx7ZF_xG0lBFae4jQEUtgsMU"",""All!B2:B""),MATCH($B35,IMPORTRANGE(""12vtnxaE_Q1s4tyr10kZQx7ZF_xG0lBFae4jQEUtgsMU"",""All!A2:A""),0)),INDEX(IMPORTRANGE(""13KC70HngS4DDi8y9E5khtSpQEPG6owaQ9z4E-tR5mnY"","&amp;"""Non-Food!B2:B""),MATCH($B35,IMPORTRANGE(""13KC70HngS4DDi8y9E5khtSpQEPG6owaQ9z4E-tR5mnY"",""Non-Food!A2:A""),0))),"""")"),"")</f>
        <v/>
      </c>
      <c r="D35" s="12"/>
      <c r="E35" s="12"/>
      <c r="F35" s="12"/>
      <c r="G35" s="12"/>
      <c r="H35" s="4"/>
      <c r="I35" s="4"/>
      <c r="J35" s="4" t="str">
        <f t="shared" si="2"/>
        <v/>
      </c>
      <c r="K35" s="4"/>
      <c r="L35" s="4"/>
    </row>
    <row r="36">
      <c r="A36" s="5"/>
      <c r="B36" s="14"/>
      <c r="C36" s="7" t="str">
        <f>IFERROR(__xludf.DUMMYFUNCTION("iferror(iferror(INDEX(IMPORTRANGE(""12vtnxaE_Q1s4tyr10kZQx7ZF_xG0lBFae4jQEUtgsMU"",""All!B2:B""),MATCH($B36,IMPORTRANGE(""12vtnxaE_Q1s4tyr10kZQx7ZF_xG0lBFae4jQEUtgsMU"",""All!A2:A""),0)),INDEX(IMPORTRANGE(""13KC70HngS4DDi8y9E5khtSpQEPG6owaQ9z4E-tR5mnY"","&amp;"""Non-Food!B2:B""),MATCH($B36,IMPORTRANGE(""13KC70HngS4DDi8y9E5khtSpQEPG6owaQ9z4E-tR5mnY"",""Non-Food!A2:A""),0))),"""")"),"")</f>
        <v/>
      </c>
      <c r="D36" s="12"/>
      <c r="E36" s="12"/>
      <c r="F36" s="12"/>
      <c r="G36" s="12"/>
      <c r="H36" s="4"/>
      <c r="I36" s="4"/>
      <c r="J36" s="4" t="str">
        <f t="shared" si="2"/>
        <v/>
      </c>
      <c r="K36" s="4"/>
      <c r="L36" s="4"/>
    </row>
    <row r="37">
      <c r="A37" s="5"/>
      <c r="B37" s="14"/>
      <c r="C37" s="7" t="str">
        <f>IFERROR(__xludf.DUMMYFUNCTION("iferror(iferror(INDEX(IMPORTRANGE(""12vtnxaE_Q1s4tyr10kZQx7ZF_xG0lBFae4jQEUtgsMU"",""All!B2:B""),MATCH($B37,IMPORTRANGE(""12vtnxaE_Q1s4tyr10kZQx7ZF_xG0lBFae4jQEUtgsMU"",""All!A2:A""),0)),INDEX(IMPORTRANGE(""13KC70HngS4DDi8y9E5khtSpQEPG6owaQ9z4E-tR5mnY"","&amp;"""Non-Food!B2:B""),MATCH($B37,IMPORTRANGE(""13KC70HngS4DDi8y9E5khtSpQEPG6owaQ9z4E-tR5mnY"",""Non-Food!A2:A""),0))),"""")"),"")</f>
        <v/>
      </c>
      <c r="D37" s="12"/>
      <c r="E37" s="12"/>
      <c r="F37" s="12"/>
      <c r="G37" s="12"/>
      <c r="H37" s="4"/>
      <c r="I37" s="4"/>
      <c r="J37" s="4" t="str">
        <f t="shared" si="2"/>
        <v/>
      </c>
      <c r="K37" s="4"/>
      <c r="L37" s="4"/>
    </row>
    <row r="38">
      <c r="A38" s="5"/>
      <c r="B38" s="14"/>
      <c r="C38" s="7" t="str">
        <f>IFERROR(__xludf.DUMMYFUNCTION("iferror(iferror(INDEX(IMPORTRANGE(""12vtnxaE_Q1s4tyr10kZQx7ZF_xG0lBFae4jQEUtgsMU"",""All!B2:B""),MATCH($B38,IMPORTRANGE(""12vtnxaE_Q1s4tyr10kZQx7ZF_xG0lBFae4jQEUtgsMU"",""All!A2:A""),0)),INDEX(IMPORTRANGE(""13KC70HngS4DDi8y9E5khtSpQEPG6owaQ9z4E-tR5mnY"","&amp;"""Non-Food!B2:B""),MATCH($B38,IMPORTRANGE(""13KC70HngS4DDi8y9E5khtSpQEPG6owaQ9z4E-tR5mnY"",""Non-Food!A2:A""),0))),"""")"),"")</f>
        <v/>
      </c>
      <c r="D38" s="12"/>
      <c r="E38" s="12"/>
      <c r="F38" s="12"/>
      <c r="G38" s="12"/>
      <c r="H38" s="4"/>
      <c r="I38" s="4"/>
      <c r="J38" s="4" t="str">
        <f t="shared" si="2"/>
        <v/>
      </c>
      <c r="K38" s="4"/>
      <c r="L38" s="4"/>
    </row>
    <row r="39">
      <c r="A39" s="5"/>
      <c r="B39" s="14"/>
      <c r="C39" s="7" t="str">
        <f>IFERROR(__xludf.DUMMYFUNCTION("iferror(iferror(INDEX(IMPORTRANGE(""12vtnxaE_Q1s4tyr10kZQx7ZF_xG0lBFae4jQEUtgsMU"",""All!B2:B""),MATCH($B39,IMPORTRANGE(""12vtnxaE_Q1s4tyr10kZQx7ZF_xG0lBFae4jQEUtgsMU"",""All!A2:A""),0)),INDEX(IMPORTRANGE(""13KC70HngS4DDi8y9E5khtSpQEPG6owaQ9z4E-tR5mnY"","&amp;"""Non-Food!B2:B""),MATCH($B39,IMPORTRANGE(""13KC70HngS4DDi8y9E5khtSpQEPG6owaQ9z4E-tR5mnY"",""Non-Food!A2:A""),0))),"""")"),"")</f>
        <v/>
      </c>
      <c r="D39" s="12"/>
      <c r="E39" s="12"/>
      <c r="F39" s="12"/>
      <c r="G39" s="12"/>
      <c r="H39" s="4"/>
      <c r="I39" s="4"/>
      <c r="J39" s="4" t="str">
        <f t="shared" si="2"/>
        <v/>
      </c>
      <c r="K39" s="4"/>
      <c r="L39" s="4"/>
    </row>
    <row r="40">
      <c r="A40" s="5"/>
      <c r="B40" s="14"/>
      <c r="C40" s="7" t="str">
        <f>IFERROR(__xludf.DUMMYFUNCTION("iferror(iferror(INDEX(IMPORTRANGE(""12vtnxaE_Q1s4tyr10kZQx7ZF_xG0lBFae4jQEUtgsMU"",""All!B2:B""),MATCH($B40,IMPORTRANGE(""12vtnxaE_Q1s4tyr10kZQx7ZF_xG0lBFae4jQEUtgsMU"",""All!A2:A""),0)),INDEX(IMPORTRANGE(""13KC70HngS4DDi8y9E5khtSpQEPG6owaQ9z4E-tR5mnY"","&amp;"""Non-Food!B2:B""),MATCH($B40,IMPORTRANGE(""13KC70HngS4DDi8y9E5khtSpQEPG6owaQ9z4E-tR5mnY"",""Non-Food!A2:A""),0))),"""")"),"")</f>
        <v/>
      </c>
      <c r="D40" s="12"/>
      <c r="E40" s="12"/>
      <c r="F40" s="12"/>
      <c r="G40" s="12"/>
      <c r="H40" s="4"/>
      <c r="I40" s="4"/>
      <c r="J40" s="4" t="str">
        <f t="shared" si="2"/>
        <v/>
      </c>
      <c r="K40" s="4"/>
      <c r="L40" s="4"/>
    </row>
    <row r="41">
      <c r="A41" s="5"/>
      <c r="B41" s="14"/>
      <c r="C41" s="7" t="str">
        <f>IFERROR(__xludf.DUMMYFUNCTION("iferror(iferror(INDEX(IMPORTRANGE(""12vtnxaE_Q1s4tyr10kZQx7ZF_xG0lBFae4jQEUtgsMU"",""All!B2:B""),MATCH($B41,IMPORTRANGE(""12vtnxaE_Q1s4tyr10kZQx7ZF_xG0lBFae4jQEUtgsMU"",""All!A2:A""),0)),INDEX(IMPORTRANGE(""13KC70HngS4DDi8y9E5khtSpQEPG6owaQ9z4E-tR5mnY"","&amp;"""Non-Food!B2:B""),MATCH($B41,IMPORTRANGE(""13KC70HngS4DDi8y9E5khtSpQEPG6owaQ9z4E-tR5mnY"",""Non-Food!A2:A""),0))),"""")"),"")</f>
        <v/>
      </c>
      <c r="D41" s="12"/>
      <c r="E41" s="12"/>
      <c r="F41" s="12"/>
      <c r="G41" s="12"/>
      <c r="H41" s="4"/>
      <c r="I41" s="4"/>
      <c r="J41" s="4" t="str">
        <f t="shared" si="2"/>
        <v/>
      </c>
      <c r="K41" s="4"/>
      <c r="L41" s="4"/>
    </row>
    <row r="42">
      <c r="A42" s="5"/>
      <c r="B42" s="14"/>
      <c r="C42" s="7" t="str">
        <f>IFERROR(__xludf.DUMMYFUNCTION("iferror(iferror(INDEX(IMPORTRANGE(""12vtnxaE_Q1s4tyr10kZQx7ZF_xG0lBFae4jQEUtgsMU"",""All!B2:B""),MATCH($B42,IMPORTRANGE(""12vtnxaE_Q1s4tyr10kZQx7ZF_xG0lBFae4jQEUtgsMU"",""All!A2:A""),0)),INDEX(IMPORTRANGE(""13KC70HngS4DDi8y9E5khtSpQEPG6owaQ9z4E-tR5mnY"","&amp;"""Non-Food!B2:B""),MATCH($B42,IMPORTRANGE(""13KC70HngS4DDi8y9E5khtSpQEPG6owaQ9z4E-tR5mnY"",""Non-Food!A2:A""),0))),"""")"),"")</f>
        <v/>
      </c>
      <c r="D42" s="12"/>
      <c r="E42" s="12"/>
      <c r="F42" s="12"/>
      <c r="G42" s="12"/>
      <c r="H42" s="4"/>
      <c r="I42" s="4"/>
      <c r="J42" s="4" t="str">
        <f t="shared" si="2"/>
        <v/>
      </c>
      <c r="K42" s="4"/>
      <c r="L42" s="4"/>
    </row>
    <row r="43">
      <c r="A43" s="5"/>
      <c r="B43" s="14"/>
      <c r="C43" s="7" t="str">
        <f>IFERROR(__xludf.DUMMYFUNCTION("iferror(iferror(INDEX(IMPORTRANGE(""12vtnxaE_Q1s4tyr10kZQx7ZF_xG0lBFae4jQEUtgsMU"",""All!B2:B""),MATCH($B43,IMPORTRANGE(""12vtnxaE_Q1s4tyr10kZQx7ZF_xG0lBFae4jQEUtgsMU"",""All!A2:A""),0)),INDEX(IMPORTRANGE(""13KC70HngS4DDi8y9E5khtSpQEPG6owaQ9z4E-tR5mnY"","&amp;"""Non-Food!B2:B""),MATCH($B43,IMPORTRANGE(""13KC70HngS4DDi8y9E5khtSpQEPG6owaQ9z4E-tR5mnY"",""Non-Food!A2:A""),0))),"""")"),"")</f>
        <v/>
      </c>
      <c r="D43" s="12"/>
      <c r="E43" s="12"/>
      <c r="F43" s="12"/>
      <c r="G43" s="5"/>
      <c r="H43" s="4"/>
      <c r="I43" s="4"/>
      <c r="J43" s="4" t="str">
        <f t="shared" si="2"/>
        <v/>
      </c>
      <c r="K43" s="4"/>
      <c r="L43" s="4"/>
    </row>
    <row r="44">
      <c r="A44" s="5"/>
      <c r="B44" s="14"/>
      <c r="C44" s="7" t="str">
        <f>IFERROR(__xludf.DUMMYFUNCTION("iferror(iferror(INDEX(IMPORTRANGE(""12vtnxaE_Q1s4tyr10kZQx7ZF_xG0lBFae4jQEUtgsMU"",""All!B2:B""),MATCH($B44,IMPORTRANGE(""12vtnxaE_Q1s4tyr10kZQx7ZF_xG0lBFae4jQEUtgsMU"",""All!A2:A""),0)),INDEX(IMPORTRANGE(""13KC70HngS4DDi8y9E5khtSpQEPG6owaQ9z4E-tR5mnY"","&amp;"""Non-Food!B2:B""),MATCH($B44,IMPORTRANGE(""13KC70HngS4DDi8y9E5khtSpQEPG6owaQ9z4E-tR5mnY"",""Non-Food!A2:A""),0))),"""")"),"")</f>
        <v/>
      </c>
      <c r="D44" s="12"/>
      <c r="E44" s="12"/>
      <c r="F44" s="12"/>
      <c r="G44" s="12"/>
      <c r="H44" s="4"/>
      <c r="I44" s="4"/>
      <c r="J44" s="4" t="str">
        <f t="shared" si="2"/>
        <v/>
      </c>
      <c r="K44" s="4"/>
      <c r="L44" s="4"/>
    </row>
    <row r="45">
      <c r="A45" s="5"/>
      <c r="B45" s="14"/>
      <c r="C45" s="7" t="str">
        <f>IFERROR(__xludf.DUMMYFUNCTION("iferror(iferror(INDEX(IMPORTRANGE(""12vtnxaE_Q1s4tyr10kZQx7ZF_xG0lBFae4jQEUtgsMU"",""All!B2:B""),MATCH($B45,IMPORTRANGE(""12vtnxaE_Q1s4tyr10kZQx7ZF_xG0lBFae4jQEUtgsMU"",""All!A2:A""),0)),INDEX(IMPORTRANGE(""13KC70HngS4DDi8y9E5khtSpQEPG6owaQ9z4E-tR5mnY"","&amp;"""Non-Food!B2:B""),MATCH($B45,IMPORTRANGE(""13KC70HngS4DDi8y9E5khtSpQEPG6owaQ9z4E-tR5mnY"",""Non-Food!A2:A""),0))),"""")"),"")</f>
        <v/>
      </c>
      <c r="D45" s="12"/>
      <c r="E45" s="12"/>
      <c r="F45" s="12"/>
      <c r="G45" s="12"/>
      <c r="H45" s="4"/>
      <c r="I45" s="4"/>
      <c r="J45" s="4" t="str">
        <f t="shared" si="2"/>
        <v/>
      </c>
      <c r="K45" s="4"/>
      <c r="L45" s="4"/>
    </row>
    <row r="46">
      <c r="A46" s="5"/>
      <c r="B46" s="14"/>
      <c r="C46" s="7" t="str">
        <f>IFERROR(__xludf.DUMMYFUNCTION("iferror(iferror(INDEX(IMPORTRANGE(""12vtnxaE_Q1s4tyr10kZQx7ZF_xG0lBFae4jQEUtgsMU"",""All!B2:B""),MATCH($B46,IMPORTRANGE(""12vtnxaE_Q1s4tyr10kZQx7ZF_xG0lBFae4jQEUtgsMU"",""All!A2:A""),0)),INDEX(IMPORTRANGE(""13KC70HngS4DDi8y9E5khtSpQEPG6owaQ9z4E-tR5mnY"","&amp;"""Non-Food!B2:B""),MATCH($B46,IMPORTRANGE(""13KC70HngS4DDi8y9E5khtSpQEPG6owaQ9z4E-tR5mnY"",""Non-Food!A2:A""),0))),"""")"),"")</f>
        <v/>
      </c>
      <c r="D46" s="12"/>
      <c r="E46" s="12"/>
      <c r="F46" s="12"/>
      <c r="G46" s="12"/>
      <c r="H46" s="4"/>
      <c r="I46" s="4"/>
      <c r="J46" s="4" t="str">
        <f t="shared" si="2"/>
        <v/>
      </c>
      <c r="K46" s="4"/>
      <c r="L46" s="4"/>
    </row>
    <row r="47">
      <c r="A47" s="5"/>
      <c r="B47" s="14"/>
      <c r="C47" s="7" t="str">
        <f>IFERROR(__xludf.DUMMYFUNCTION("iferror(iferror(INDEX(IMPORTRANGE(""12vtnxaE_Q1s4tyr10kZQx7ZF_xG0lBFae4jQEUtgsMU"",""All!B2:B""),MATCH($B47,IMPORTRANGE(""12vtnxaE_Q1s4tyr10kZQx7ZF_xG0lBFae4jQEUtgsMU"",""All!A2:A""),0)),INDEX(IMPORTRANGE(""13KC70HngS4DDi8y9E5khtSpQEPG6owaQ9z4E-tR5mnY"","&amp;"""Non-Food!B2:B""),MATCH($B47,IMPORTRANGE(""13KC70HngS4DDi8y9E5khtSpQEPG6owaQ9z4E-tR5mnY"",""Non-Food!A2:A""),0))),"""")"),"")</f>
        <v/>
      </c>
      <c r="D47" s="12"/>
      <c r="E47" s="12"/>
      <c r="F47" s="12"/>
      <c r="G47" s="12"/>
      <c r="H47" s="4"/>
      <c r="I47" s="4"/>
      <c r="J47" s="4" t="str">
        <f t="shared" si="2"/>
        <v/>
      </c>
      <c r="K47" s="4"/>
      <c r="L47" s="4"/>
    </row>
    <row r="48">
      <c r="A48" s="5"/>
      <c r="B48" s="14"/>
      <c r="C48" s="7" t="str">
        <f>IFERROR(__xludf.DUMMYFUNCTION("iferror(iferror(INDEX(IMPORTRANGE(""12vtnxaE_Q1s4tyr10kZQx7ZF_xG0lBFae4jQEUtgsMU"",""All!B2:B""),MATCH($B48,IMPORTRANGE(""12vtnxaE_Q1s4tyr10kZQx7ZF_xG0lBFae4jQEUtgsMU"",""All!A2:A""),0)),INDEX(IMPORTRANGE(""13KC70HngS4DDi8y9E5khtSpQEPG6owaQ9z4E-tR5mnY"","&amp;"""Non-Food!B2:B""),MATCH($B48,IMPORTRANGE(""13KC70HngS4DDi8y9E5khtSpQEPG6owaQ9z4E-tR5mnY"",""Non-Food!A2:A""),0))),"""")"),"")</f>
        <v/>
      </c>
      <c r="D48" s="12"/>
      <c r="E48" s="12"/>
      <c r="F48" s="12"/>
      <c r="G48" s="12"/>
      <c r="H48" s="4"/>
      <c r="I48" s="4"/>
      <c r="J48" s="4" t="str">
        <f t="shared" si="2"/>
        <v/>
      </c>
      <c r="K48" s="4"/>
      <c r="L48" s="4"/>
    </row>
    <row r="49">
      <c r="A49" s="5"/>
      <c r="B49" s="14"/>
      <c r="C49" s="7" t="str">
        <f>IFERROR(__xludf.DUMMYFUNCTION("iferror(iferror(INDEX(IMPORTRANGE(""12vtnxaE_Q1s4tyr10kZQx7ZF_xG0lBFae4jQEUtgsMU"",""All!B2:B""),MATCH($B49,IMPORTRANGE(""12vtnxaE_Q1s4tyr10kZQx7ZF_xG0lBFae4jQEUtgsMU"",""All!A2:A""),0)),INDEX(IMPORTRANGE(""13KC70HngS4DDi8y9E5khtSpQEPG6owaQ9z4E-tR5mnY"","&amp;"""Non-Food!B2:B""),MATCH($B49,IMPORTRANGE(""13KC70HngS4DDi8y9E5khtSpQEPG6owaQ9z4E-tR5mnY"",""Non-Food!A2:A""),0))),"""")"),"")</f>
        <v/>
      </c>
      <c r="D49" s="12"/>
      <c r="E49" s="12"/>
      <c r="F49" s="12"/>
      <c r="G49" s="12"/>
      <c r="H49" s="4"/>
      <c r="I49" s="4"/>
      <c r="J49" s="4" t="str">
        <f t="shared" si="2"/>
        <v/>
      </c>
      <c r="K49" s="4"/>
      <c r="L49" s="4"/>
    </row>
    <row r="50">
      <c r="A50" s="5"/>
      <c r="B50" s="14"/>
      <c r="C50" s="7" t="str">
        <f>IFERROR(__xludf.DUMMYFUNCTION("iferror(iferror(INDEX(IMPORTRANGE(""12vtnxaE_Q1s4tyr10kZQx7ZF_xG0lBFae4jQEUtgsMU"",""All!B2:B""),MATCH($B50,IMPORTRANGE(""12vtnxaE_Q1s4tyr10kZQx7ZF_xG0lBFae4jQEUtgsMU"",""All!A2:A""),0)),INDEX(IMPORTRANGE(""13KC70HngS4DDi8y9E5khtSpQEPG6owaQ9z4E-tR5mnY"","&amp;"""Non-Food!B2:B""),MATCH($B50,IMPORTRANGE(""13KC70HngS4DDi8y9E5khtSpQEPG6owaQ9z4E-tR5mnY"",""Non-Food!A2:A""),0))),"""")"),"")</f>
        <v/>
      </c>
      <c r="D50" s="12"/>
      <c r="E50" s="12"/>
      <c r="F50" s="12"/>
      <c r="G50" s="12"/>
      <c r="H50" s="4"/>
      <c r="I50" s="4"/>
      <c r="J50" s="4" t="str">
        <f t="shared" si="2"/>
        <v/>
      </c>
      <c r="K50" s="4"/>
      <c r="L50" s="4"/>
    </row>
    <row r="51">
      <c r="A51" s="5"/>
      <c r="B51" s="14"/>
      <c r="C51" s="7" t="str">
        <f>IFERROR(__xludf.DUMMYFUNCTION("iferror(iferror(INDEX(IMPORTRANGE(""12vtnxaE_Q1s4tyr10kZQx7ZF_xG0lBFae4jQEUtgsMU"",""All!B2:B""),MATCH($B51,IMPORTRANGE(""12vtnxaE_Q1s4tyr10kZQx7ZF_xG0lBFae4jQEUtgsMU"",""All!A2:A""),0)),INDEX(IMPORTRANGE(""13KC70HngS4DDi8y9E5khtSpQEPG6owaQ9z4E-tR5mnY"","&amp;"""Non-Food!B2:B""),MATCH($B51,IMPORTRANGE(""13KC70HngS4DDi8y9E5khtSpQEPG6owaQ9z4E-tR5mnY"",""Non-Food!A2:A""),0))),"""")"),"")</f>
        <v/>
      </c>
      <c r="D51" s="12"/>
      <c r="E51" s="12"/>
      <c r="F51" s="12"/>
      <c r="G51" s="12"/>
      <c r="H51" s="4"/>
      <c r="I51" s="4"/>
      <c r="J51" s="4" t="str">
        <f t="shared" si="2"/>
        <v/>
      </c>
      <c r="K51" s="4"/>
      <c r="L51" s="4"/>
    </row>
    <row r="52">
      <c r="A52" s="5"/>
      <c r="B52" s="14"/>
      <c r="C52" s="7" t="str">
        <f>IFERROR(__xludf.DUMMYFUNCTION("iferror(iferror(INDEX(IMPORTRANGE(""12vtnxaE_Q1s4tyr10kZQx7ZF_xG0lBFae4jQEUtgsMU"",""All!B2:B""),MATCH($B52,IMPORTRANGE(""12vtnxaE_Q1s4tyr10kZQx7ZF_xG0lBFae4jQEUtgsMU"",""All!A2:A""),0)),INDEX(IMPORTRANGE(""13KC70HngS4DDi8y9E5khtSpQEPG6owaQ9z4E-tR5mnY"","&amp;"""Non-Food!B2:B""),MATCH($B52,IMPORTRANGE(""13KC70HngS4DDi8y9E5khtSpQEPG6owaQ9z4E-tR5mnY"",""Non-Food!A2:A""),0))),"""")"),"")</f>
        <v/>
      </c>
      <c r="D52" s="12"/>
      <c r="E52" s="12"/>
      <c r="F52" s="12"/>
      <c r="G52" s="12"/>
      <c r="H52" s="4"/>
      <c r="I52" s="4"/>
      <c r="J52" s="4" t="str">
        <f t="shared" si="2"/>
        <v/>
      </c>
      <c r="K52" s="4"/>
      <c r="L52" s="4"/>
    </row>
    <row r="53">
      <c r="A53" s="5"/>
      <c r="B53" s="14"/>
      <c r="C53" s="7" t="str">
        <f>IFERROR(__xludf.DUMMYFUNCTION("iferror(iferror(INDEX(IMPORTRANGE(""12vtnxaE_Q1s4tyr10kZQx7ZF_xG0lBFae4jQEUtgsMU"",""All!B2:B""),MATCH($B53,IMPORTRANGE(""12vtnxaE_Q1s4tyr10kZQx7ZF_xG0lBFae4jQEUtgsMU"",""All!A2:A""),0)),INDEX(IMPORTRANGE(""13KC70HngS4DDi8y9E5khtSpQEPG6owaQ9z4E-tR5mnY"","&amp;"""Non-Food!B2:B""),MATCH($B53,IMPORTRANGE(""13KC70HngS4DDi8y9E5khtSpQEPG6owaQ9z4E-tR5mnY"",""Non-Food!A2:A""),0))),"""")"),"")</f>
        <v/>
      </c>
      <c r="D53" s="12"/>
      <c r="E53" s="12"/>
      <c r="F53" s="12"/>
      <c r="G53" s="4"/>
      <c r="H53" s="4"/>
      <c r="I53" s="4"/>
      <c r="J53" s="4" t="str">
        <f t="shared" si="2"/>
        <v/>
      </c>
      <c r="K53" s="4"/>
      <c r="L53" s="4"/>
    </row>
    <row r="54">
      <c r="A54" s="5"/>
      <c r="B54" s="15"/>
      <c r="C54" s="7" t="str">
        <f>IFERROR(__xludf.DUMMYFUNCTION("iferror(iferror(INDEX(IMPORTRANGE(""12vtnxaE_Q1s4tyr10kZQx7ZF_xG0lBFae4jQEUtgsMU"",""All!B2:B""),MATCH($B54,IMPORTRANGE(""12vtnxaE_Q1s4tyr10kZQx7ZF_xG0lBFae4jQEUtgsMU"",""All!A2:A""),0)),INDEX(IMPORTRANGE(""13KC70HngS4DDi8y9E5khtSpQEPG6owaQ9z4E-tR5mnY"","&amp;"""Non-Food!B2:B""),MATCH($B54,IMPORTRANGE(""13KC70HngS4DDi8y9E5khtSpQEPG6owaQ9z4E-tR5mnY"",""Non-Food!A2:A""),0))),"""")"),"")</f>
        <v/>
      </c>
      <c r="D54" s="4"/>
      <c r="E54" s="4"/>
      <c r="F54" s="4"/>
      <c r="G54" s="4"/>
      <c r="H54" s="4"/>
      <c r="I54" s="4"/>
      <c r="J54" s="4" t="str">
        <f t="shared" si="2"/>
        <v/>
      </c>
      <c r="K54" s="4"/>
      <c r="L54" s="4"/>
    </row>
    <row r="55">
      <c r="A55" s="5"/>
      <c r="B55" s="15"/>
      <c r="C55" s="7" t="str">
        <f>IFERROR(__xludf.DUMMYFUNCTION("iferror(iferror(INDEX(IMPORTRANGE(""12vtnxaE_Q1s4tyr10kZQx7ZF_xG0lBFae4jQEUtgsMU"",""All!B2:B""),MATCH($B55,IMPORTRANGE(""12vtnxaE_Q1s4tyr10kZQx7ZF_xG0lBFae4jQEUtgsMU"",""All!A2:A""),0)),INDEX(IMPORTRANGE(""13KC70HngS4DDi8y9E5khtSpQEPG6owaQ9z4E-tR5mnY"","&amp;"""Non-Food!B2:B""),MATCH($B55,IMPORTRANGE(""13KC70HngS4DDi8y9E5khtSpQEPG6owaQ9z4E-tR5mnY"",""Non-Food!A2:A""),0))),"""")"),"")</f>
        <v/>
      </c>
      <c r="D55" s="4"/>
      <c r="E55" s="4"/>
      <c r="F55" s="4"/>
      <c r="G55" s="4"/>
      <c r="H55" s="4"/>
      <c r="I55" s="4"/>
      <c r="J55" s="4" t="str">
        <f t="shared" si="2"/>
        <v/>
      </c>
      <c r="K55" s="4"/>
      <c r="L55" s="4"/>
    </row>
    <row r="56">
      <c r="A56" s="5"/>
      <c r="B56" s="15"/>
      <c r="C56" s="7" t="str">
        <f>IFERROR(__xludf.DUMMYFUNCTION("iferror(iferror(INDEX(IMPORTRANGE(""12vtnxaE_Q1s4tyr10kZQx7ZF_xG0lBFae4jQEUtgsMU"",""All!B2:B""),MATCH($B56,IMPORTRANGE(""12vtnxaE_Q1s4tyr10kZQx7ZF_xG0lBFae4jQEUtgsMU"",""All!A2:A""),0)),INDEX(IMPORTRANGE(""13KC70HngS4DDi8y9E5khtSpQEPG6owaQ9z4E-tR5mnY"","&amp;"""Non-Food!B2:B""),MATCH($B56,IMPORTRANGE(""13KC70HngS4DDi8y9E5khtSpQEPG6owaQ9z4E-tR5mnY"",""Non-Food!A2:A""),0))),"""")"),"")</f>
        <v/>
      </c>
      <c r="D56" s="4"/>
      <c r="E56" s="4"/>
      <c r="F56" s="4"/>
      <c r="G56" s="4"/>
      <c r="H56" s="4"/>
      <c r="I56" s="4"/>
      <c r="J56" s="4" t="str">
        <f t="shared" si="2"/>
        <v/>
      </c>
      <c r="K56" s="4"/>
      <c r="L56" s="4"/>
    </row>
    <row r="57">
      <c r="A57" s="5"/>
      <c r="B57" s="15"/>
      <c r="C57" s="7" t="str">
        <f>IFERROR(__xludf.DUMMYFUNCTION("iferror(iferror(INDEX(IMPORTRANGE(""12vtnxaE_Q1s4tyr10kZQx7ZF_xG0lBFae4jQEUtgsMU"",""All!B2:B""),MATCH($B57,IMPORTRANGE(""12vtnxaE_Q1s4tyr10kZQx7ZF_xG0lBFae4jQEUtgsMU"",""All!A2:A""),0)),INDEX(IMPORTRANGE(""13KC70HngS4DDi8y9E5khtSpQEPG6owaQ9z4E-tR5mnY"","&amp;"""Non-Food!B2:B""),MATCH($B57,IMPORTRANGE(""13KC70HngS4DDi8y9E5khtSpQEPG6owaQ9z4E-tR5mnY"",""Non-Food!A2:A""),0))),"""")"),"")</f>
        <v/>
      </c>
      <c r="D57" s="4"/>
      <c r="E57" s="4"/>
      <c r="F57" s="4"/>
      <c r="G57" s="4"/>
      <c r="H57" s="4"/>
      <c r="I57" s="4"/>
      <c r="J57" s="4" t="str">
        <f t="shared" si="2"/>
        <v/>
      </c>
      <c r="K57" s="4"/>
      <c r="L57" s="4"/>
    </row>
    <row r="58">
      <c r="A58" s="5"/>
      <c r="B58" s="15"/>
      <c r="C58" s="7" t="str">
        <f>IFERROR(__xludf.DUMMYFUNCTION("iferror(iferror(INDEX(IMPORTRANGE(""12vtnxaE_Q1s4tyr10kZQx7ZF_xG0lBFae4jQEUtgsMU"",""All!B2:B""),MATCH($B58,IMPORTRANGE(""12vtnxaE_Q1s4tyr10kZQx7ZF_xG0lBFae4jQEUtgsMU"",""All!A2:A""),0)),INDEX(IMPORTRANGE(""13KC70HngS4DDi8y9E5khtSpQEPG6owaQ9z4E-tR5mnY"","&amp;"""Non-Food!B2:B""),MATCH($B58,IMPORTRANGE(""13KC70HngS4DDi8y9E5khtSpQEPG6owaQ9z4E-tR5mnY"",""Non-Food!A2:A""),0))),"""")"),"")</f>
        <v/>
      </c>
      <c r="D58" s="4"/>
      <c r="E58" s="4"/>
      <c r="F58" s="4"/>
      <c r="G58" s="4"/>
      <c r="H58" s="4"/>
      <c r="I58" s="4"/>
      <c r="J58" s="4" t="str">
        <f t="shared" si="2"/>
        <v/>
      </c>
      <c r="K58" s="4"/>
      <c r="L58" s="4"/>
    </row>
    <row r="59">
      <c r="A59" s="5"/>
      <c r="B59" s="15"/>
      <c r="C59" s="7" t="str">
        <f>IFERROR(__xludf.DUMMYFUNCTION("iferror(iferror(INDEX(IMPORTRANGE(""12vtnxaE_Q1s4tyr10kZQx7ZF_xG0lBFae4jQEUtgsMU"",""All!B2:B""),MATCH($B59,IMPORTRANGE(""12vtnxaE_Q1s4tyr10kZQx7ZF_xG0lBFae4jQEUtgsMU"",""All!A2:A""),0)),INDEX(IMPORTRANGE(""13KC70HngS4DDi8y9E5khtSpQEPG6owaQ9z4E-tR5mnY"","&amp;"""Non-Food!B2:B""),MATCH($B59,IMPORTRANGE(""13KC70HngS4DDi8y9E5khtSpQEPG6owaQ9z4E-tR5mnY"",""Non-Food!A2:A""),0))),"""")"),"")</f>
        <v/>
      </c>
      <c r="D59" s="4"/>
      <c r="E59" s="4"/>
      <c r="F59" s="4"/>
      <c r="G59" s="4"/>
      <c r="H59" s="4"/>
      <c r="I59" s="4"/>
      <c r="J59" s="4" t="str">
        <f t="shared" si="2"/>
        <v/>
      </c>
      <c r="K59" s="4"/>
      <c r="L59" s="4"/>
    </row>
    <row r="60">
      <c r="A60" s="5"/>
      <c r="B60" s="15"/>
      <c r="C60" s="7" t="str">
        <f>IFERROR(__xludf.DUMMYFUNCTION("iferror(iferror(INDEX(IMPORTRANGE(""12vtnxaE_Q1s4tyr10kZQx7ZF_xG0lBFae4jQEUtgsMU"",""All!B2:B""),MATCH($B60,IMPORTRANGE(""12vtnxaE_Q1s4tyr10kZQx7ZF_xG0lBFae4jQEUtgsMU"",""All!A2:A""),0)),INDEX(IMPORTRANGE(""13KC70HngS4DDi8y9E5khtSpQEPG6owaQ9z4E-tR5mnY"","&amp;"""Non-Food!B2:B""),MATCH($B60,IMPORTRANGE(""13KC70HngS4DDi8y9E5khtSpQEPG6owaQ9z4E-tR5mnY"",""Non-Food!A2:A""),0))),"""")"),"")</f>
        <v/>
      </c>
      <c r="D60" s="4"/>
      <c r="E60" s="4"/>
      <c r="F60" s="4"/>
      <c r="G60" s="4"/>
      <c r="H60" s="4"/>
      <c r="I60" s="4"/>
      <c r="J60" s="4" t="str">
        <f t="shared" si="2"/>
        <v/>
      </c>
      <c r="K60" s="4"/>
      <c r="L60" s="4"/>
    </row>
    <row r="61">
      <c r="A61" s="5"/>
      <c r="B61" s="15"/>
      <c r="C61" s="7" t="str">
        <f>IFERROR(__xludf.DUMMYFUNCTION("iferror(iferror(INDEX(IMPORTRANGE(""12vtnxaE_Q1s4tyr10kZQx7ZF_xG0lBFae4jQEUtgsMU"",""All!B2:B""),MATCH($B61,IMPORTRANGE(""12vtnxaE_Q1s4tyr10kZQx7ZF_xG0lBFae4jQEUtgsMU"",""All!A2:A""),0)),INDEX(IMPORTRANGE(""13KC70HngS4DDi8y9E5khtSpQEPG6owaQ9z4E-tR5mnY"","&amp;"""Non-Food!B2:B""),MATCH($B61,IMPORTRANGE(""13KC70HngS4DDi8y9E5khtSpQEPG6owaQ9z4E-tR5mnY"",""Non-Food!A2:A""),0))),"""")"),"")</f>
        <v/>
      </c>
      <c r="D61" s="4"/>
      <c r="E61" s="4"/>
      <c r="F61" s="4"/>
      <c r="G61" s="4"/>
      <c r="H61" s="4"/>
      <c r="I61" s="4"/>
      <c r="J61" s="4" t="str">
        <f t="shared" si="2"/>
        <v/>
      </c>
      <c r="K61" s="4"/>
      <c r="L61" s="4"/>
    </row>
    <row r="62">
      <c r="A62" s="5"/>
      <c r="B62" s="15"/>
      <c r="C62" s="7" t="str">
        <f>IFERROR(__xludf.DUMMYFUNCTION("iferror(iferror(INDEX(IMPORTRANGE(""12vtnxaE_Q1s4tyr10kZQx7ZF_xG0lBFae4jQEUtgsMU"",""All!B2:B""),MATCH($B62,IMPORTRANGE(""12vtnxaE_Q1s4tyr10kZQx7ZF_xG0lBFae4jQEUtgsMU"",""All!A2:A""),0)),INDEX(IMPORTRANGE(""13KC70HngS4DDi8y9E5khtSpQEPG6owaQ9z4E-tR5mnY"","&amp;"""Non-Food!B2:B""),MATCH($B62,IMPORTRANGE(""13KC70HngS4DDi8y9E5khtSpQEPG6owaQ9z4E-tR5mnY"",""Non-Food!A2:A""),0))),"""")"),"")</f>
        <v/>
      </c>
      <c r="D62" s="4"/>
      <c r="E62" s="4"/>
      <c r="F62" s="4"/>
      <c r="G62" s="4"/>
      <c r="H62" s="4"/>
      <c r="I62" s="4"/>
      <c r="J62" s="4" t="str">
        <f t="shared" si="2"/>
        <v/>
      </c>
      <c r="K62" s="4"/>
      <c r="L62" s="4"/>
    </row>
    <row r="63">
      <c r="A63" s="5"/>
      <c r="B63" s="15"/>
      <c r="C63" s="7" t="str">
        <f>IFERROR(__xludf.DUMMYFUNCTION("iferror(iferror(INDEX(IMPORTRANGE(""12vtnxaE_Q1s4tyr10kZQx7ZF_xG0lBFae4jQEUtgsMU"",""All!B2:B""),MATCH($B63,IMPORTRANGE(""12vtnxaE_Q1s4tyr10kZQx7ZF_xG0lBFae4jQEUtgsMU"",""All!A2:A""),0)),INDEX(IMPORTRANGE(""13KC70HngS4DDi8y9E5khtSpQEPG6owaQ9z4E-tR5mnY"","&amp;"""Non-Food!B2:B""),MATCH($B63,IMPORTRANGE(""13KC70HngS4DDi8y9E5khtSpQEPG6owaQ9z4E-tR5mnY"",""Non-Food!A2:A""),0))),"""")"),"")</f>
        <v/>
      </c>
      <c r="D63" s="4"/>
      <c r="E63" s="4"/>
      <c r="F63" s="4"/>
      <c r="G63" s="4"/>
      <c r="H63" s="4"/>
      <c r="I63" s="4"/>
      <c r="J63" s="4" t="str">
        <f t="shared" si="2"/>
        <v/>
      </c>
      <c r="K63" s="4"/>
      <c r="L63" s="4"/>
    </row>
    <row r="64">
      <c r="A64" s="5"/>
      <c r="B64" s="15"/>
      <c r="C64" s="7" t="str">
        <f>IFERROR(__xludf.DUMMYFUNCTION("iferror(iferror(INDEX(IMPORTRANGE(""12vtnxaE_Q1s4tyr10kZQx7ZF_xG0lBFae4jQEUtgsMU"",""All!B2:B""),MATCH($B64,IMPORTRANGE(""12vtnxaE_Q1s4tyr10kZQx7ZF_xG0lBFae4jQEUtgsMU"",""All!A2:A""),0)),INDEX(IMPORTRANGE(""13KC70HngS4DDi8y9E5khtSpQEPG6owaQ9z4E-tR5mnY"","&amp;"""Non-Food!B2:B""),MATCH($B64,IMPORTRANGE(""13KC70HngS4DDi8y9E5khtSpQEPG6owaQ9z4E-tR5mnY"",""Non-Food!A2:A""),0))),"""")"),"")</f>
        <v/>
      </c>
      <c r="D64" s="4"/>
      <c r="E64" s="4"/>
      <c r="F64" s="4"/>
      <c r="G64" s="4"/>
      <c r="H64" s="4"/>
      <c r="I64" s="4"/>
      <c r="J64" s="4" t="str">
        <f t="shared" si="2"/>
        <v/>
      </c>
      <c r="K64" s="4"/>
      <c r="L64" s="4"/>
    </row>
    <row r="65">
      <c r="A65" s="5"/>
      <c r="B65" s="15"/>
      <c r="C65" s="7" t="str">
        <f>IFERROR(__xludf.DUMMYFUNCTION("iferror(iferror(INDEX(IMPORTRANGE(""12vtnxaE_Q1s4tyr10kZQx7ZF_xG0lBFae4jQEUtgsMU"",""All!B2:B""),MATCH($B65,IMPORTRANGE(""12vtnxaE_Q1s4tyr10kZQx7ZF_xG0lBFae4jQEUtgsMU"",""All!A2:A""),0)),INDEX(IMPORTRANGE(""13KC70HngS4DDi8y9E5khtSpQEPG6owaQ9z4E-tR5mnY"","&amp;"""Non-Food!B2:B""),MATCH($B65,IMPORTRANGE(""13KC70HngS4DDi8y9E5khtSpQEPG6owaQ9z4E-tR5mnY"",""Non-Food!A2:A""),0))),"""")"),"")</f>
        <v/>
      </c>
      <c r="D65" s="4"/>
      <c r="E65" s="4"/>
      <c r="F65" s="4"/>
      <c r="G65" s="4"/>
      <c r="H65" s="4"/>
      <c r="I65" s="4"/>
      <c r="J65" s="4" t="str">
        <f t="shared" si="2"/>
        <v/>
      </c>
      <c r="K65" s="4"/>
      <c r="L65" s="4"/>
    </row>
    <row r="66">
      <c r="A66" s="5"/>
      <c r="B66" s="15"/>
      <c r="C66" s="7" t="str">
        <f>IFERROR(__xludf.DUMMYFUNCTION("iferror(iferror(INDEX(IMPORTRANGE(""12vtnxaE_Q1s4tyr10kZQx7ZF_xG0lBFae4jQEUtgsMU"",""All!B2:B""),MATCH($B66,IMPORTRANGE(""12vtnxaE_Q1s4tyr10kZQx7ZF_xG0lBFae4jQEUtgsMU"",""All!A2:A""),0)),INDEX(IMPORTRANGE(""13KC70HngS4DDi8y9E5khtSpQEPG6owaQ9z4E-tR5mnY"","&amp;"""Non-Food!B2:B""),MATCH($B66,IMPORTRANGE(""13KC70HngS4DDi8y9E5khtSpQEPG6owaQ9z4E-tR5mnY"",""Non-Food!A2:A""),0))),"""")"),"")</f>
        <v/>
      </c>
      <c r="D66" s="4"/>
      <c r="E66" s="4"/>
      <c r="F66" s="4"/>
      <c r="G66" s="4"/>
      <c r="H66" s="4"/>
      <c r="I66" s="4"/>
      <c r="J66" s="4" t="str">
        <f t="shared" si="2"/>
        <v/>
      </c>
      <c r="K66" s="4"/>
      <c r="L66" s="4"/>
    </row>
    <row r="67">
      <c r="A67" s="5"/>
      <c r="B67" s="15"/>
      <c r="C67" s="7" t="str">
        <f>IFERROR(__xludf.DUMMYFUNCTION("iferror(iferror(INDEX(IMPORTRANGE(""12vtnxaE_Q1s4tyr10kZQx7ZF_xG0lBFae4jQEUtgsMU"",""All!B2:B""),MATCH($B67,IMPORTRANGE(""12vtnxaE_Q1s4tyr10kZQx7ZF_xG0lBFae4jQEUtgsMU"",""All!A2:A""),0)),INDEX(IMPORTRANGE(""13KC70HngS4DDi8y9E5khtSpQEPG6owaQ9z4E-tR5mnY"","&amp;"""Non-Food!B2:B""),MATCH($B67,IMPORTRANGE(""13KC70HngS4DDi8y9E5khtSpQEPG6owaQ9z4E-tR5mnY"",""Non-Food!A2:A""),0))),"""")"),"")</f>
        <v/>
      </c>
      <c r="D67" s="4"/>
      <c r="E67" s="4"/>
      <c r="F67" s="4"/>
      <c r="G67" s="4"/>
      <c r="H67" s="4"/>
      <c r="I67" s="4"/>
      <c r="J67" s="4" t="str">
        <f t="shared" si="2"/>
        <v/>
      </c>
      <c r="K67" s="4"/>
      <c r="L67" s="4"/>
    </row>
    <row r="68">
      <c r="A68" s="4"/>
      <c r="B68" s="15"/>
      <c r="C68" s="7" t="str">
        <f>IFERROR(__xludf.DUMMYFUNCTION("iferror(iferror(INDEX(IMPORTRANGE(""12vtnxaE_Q1s4tyr10kZQx7ZF_xG0lBFae4jQEUtgsMU"",""All!B2:B""),MATCH($B68,IMPORTRANGE(""12vtnxaE_Q1s4tyr10kZQx7ZF_xG0lBFae4jQEUtgsMU"",""All!A2:A""),0)),INDEX(IMPORTRANGE(""13KC70HngS4DDi8y9E5khtSpQEPG6owaQ9z4E-tR5mnY"","&amp;"""Non-Food!B2:B""),MATCH($B68,IMPORTRANGE(""13KC70HngS4DDi8y9E5khtSpQEPG6owaQ9z4E-tR5mnY"",""Non-Food!A2:A""),0))),"""")"),"")</f>
        <v/>
      </c>
      <c r="D68" s="4"/>
      <c r="E68" s="4"/>
      <c r="F68" s="4"/>
      <c r="G68" s="4"/>
      <c r="H68" s="4"/>
      <c r="I68" s="4"/>
      <c r="J68" s="4" t="str">
        <f t="shared" si="2"/>
        <v/>
      </c>
      <c r="K68" s="4"/>
      <c r="L68" s="4"/>
    </row>
    <row r="69">
      <c r="A69" s="4"/>
      <c r="B69" s="15"/>
      <c r="C69" s="7" t="str">
        <f>IFERROR(__xludf.DUMMYFUNCTION("iferror(iferror(INDEX(IMPORTRANGE(""12vtnxaE_Q1s4tyr10kZQx7ZF_xG0lBFae4jQEUtgsMU"",""All!B2:B""),MATCH($B69,IMPORTRANGE(""12vtnxaE_Q1s4tyr10kZQx7ZF_xG0lBFae4jQEUtgsMU"",""All!A2:A""),0)),INDEX(IMPORTRANGE(""13KC70HngS4DDi8y9E5khtSpQEPG6owaQ9z4E-tR5mnY"","&amp;"""Non-Food!B2:B""),MATCH($B69,IMPORTRANGE(""13KC70HngS4DDi8y9E5khtSpQEPG6owaQ9z4E-tR5mnY"",""Non-Food!A2:A""),0))),"""")"),"")</f>
        <v/>
      </c>
      <c r="D69" s="4"/>
      <c r="E69" s="4"/>
      <c r="F69" s="4"/>
      <c r="G69" s="4"/>
      <c r="H69" s="4"/>
      <c r="I69" s="4"/>
      <c r="J69" s="4" t="str">
        <f t="shared" si="2"/>
        <v/>
      </c>
      <c r="K69" s="4"/>
      <c r="L69" s="4"/>
    </row>
    <row r="70">
      <c r="A70" s="4"/>
      <c r="B70" s="15"/>
      <c r="C70" s="7" t="str">
        <f>IFERROR(__xludf.DUMMYFUNCTION("iferror(iferror(INDEX(IMPORTRANGE(""12vtnxaE_Q1s4tyr10kZQx7ZF_xG0lBFae4jQEUtgsMU"",""All!B2:B""),MATCH($B70,IMPORTRANGE(""12vtnxaE_Q1s4tyr10kZQx7ZF_xG0lBFae4jQEUtgsMU"",""All!A2:A""),0)),INDEX(IMPORTRANGE(""13KC70HngS4DDi8y9E5khtSpQEPG6owaQ9z4E-tR5mnY"","&amp;"""Non-Food!B2:B""),MATCH($B70,IMPORTRANGE(""13KC70HngS4DDi8y9E5khtSpQEPG6owaQ9z4E-tR5mnY"",""Non-Food!A2:A""),0))),"""")"),"")</f>
        <v/>
      </c>
      <c r="D70" s="4"/>
      <c r="E70" s="4"/>
      <c r="F70" s="4"/>
      <c r="G70" s="4"/>
      <c r="H70" s="4"/>
      <c r="I70" s="4"/>
      <c r="J70" s="4" t="str">
        <f t="shared" si="2"/>
        <v/>
      </c>
      <c r="K70" s="4"/>
      <c r="L70" s="4"/>
    </row>
    <row r="71">
      <c r="A71" s="4"/>
      <c r="B71" s="15"/>
      <c r="C71" s="7" t="str">
        <f>IFERROR(__xludf.DUMMYFUNCTION("iferror(iferror(INDEX(IMPORTRANGE(""12vtnxaE_Q1s4tyr10kZQx7ZF_xG0lBFae4jQEUtgsMU"",""All!B2:B""),MATCH($B71,IMPORTRANGE(""12vtnxaE_Q1s4tyr10kZQx7ZF_xG0lBFae4jQEUtgsMU"",""All!A2:A""),0)),INDEX(IMPORTRANGE(""13KC70HngS4DDi8y9E5khtSpQEPG6owaQ9z4E-tR5mnY"","&amp;"""Non-Food!B2:B""),MATCH($B71,IMPORTRANGE(""13KC70HngS4DDi8y9E5khtSpQEPG6owaQ9z4E-tR5mnY"",""Non-Food!A2:A""),0))),"""")"),"")</f>
        <v/>
      </c>
      <c r="D71" s="4"/>
      <c r="E71" s="4"/>
      <c r="F71" s="4"/>
      <c r="G71" s="4"/>
      <c r="H71" s="4"/>
      <c r="I71" s="4"/>
      <c r="J71" s="4" t="str">
        <f t="shared" si="2"/>
        <v/>
      </c>
      <c r="K71" s="4"/>
      <c r="L71" s="4"/>
    </row>
    <row r="72">
      <c r="A72" s="4"/>
      <c r="B72" s="15"/>
      <c r="C72" s="7" t="str">
        <f>IFERROR(__xludf.DUMMYFUNCTION("iferror(iferror(INDEX(IMPORTRANGE(""12vtnxaE_Q1s4tyr10kZQx7ZF_xG0lBFae4jQEUtgsMU"",""All!B2:B""),MATCH($B72,IMPORTRANGE(""12vtnxaE_Q1s4tyr10kZQx7ZF_xG0lBFae4jQEUtgsMU"",""All!A2:A""),0)),INDEX(IMPORTRANGE(""13KC70HngS4DDi8y9E5khtSpQEPG6owaQ9z4E-tR5mnY"","&amp;"""Non-Food!B2:B""),MATCH($B72,IMPORTRANGE(""13KC70HngS4DDi8y9E5khtSpQEPG6owaQ9z4E-tR5mnY"",""Non-Food!A2:A""),0))),"""")"),"")</f>
        <v/>
      </c>
      <c r="D72" s="4"/>
      <c r="E72" s="4"/>
      <c r="F72" s="4"/>
      <c r="G72" s="4"/>
      <c r="H72" s="4"/>
      <c r="I72" s="4"/>
      <c r="J72" s="4" t="str">
        <f t="shared" si="2"/>
        <v/>
      </c>
      <c r="K72" s="4"/>
      <c r="L72" s="4"/>
    </row>
    <row r="73">
      <c r="A73" s="4"/>
      <c r="B73" s="15"/>
      <c r="C73" s="7" t="str">
        <f>IFERROR(__xludf.DUMMYFUNCTION("iferror(iferror(INDEX(IMPORTRANGE(""12vtnxaE_Q1s4tyr10kZQx7ZF_xG0lBFae4jQEUtgsMU"",""All!B2:B""),MATCH($B73,IMPORTRANGE(""12vtnxaE_Q1s4tyr10kZQx7ZF_xG0lBFae4jQEUtgsMU"",""All!A2:A""),0)),INDEX(IMPORTRANGE(""13KC70HngS4DDi8y9E5khtSpQEPG6owaQ9z4E-tR5mnY"","&amp;"""Non-Food!B2:B""),MATCH($B73,IMPORTRANGE(""13KC70HngS4DDi8y9E5khtSpQEPG6owaQ9z4E-tR5mnY"",""Non-Food!A2:A""),0))),"""")"),"")</f>
        <v/>
      </c>
      <c r="D73" s="4"/>
      <c r="E73" s="4"/>
      <c r="F73" s="4"/>
      <c r="G73" s="4"/>
      <c r="H73" s="4"/>
      <c r="I73" s="4"/>
      <c r="J73" s="4" t="str">
        <f t="shared" si="2"/>
        <v/>
      </c>
      <c r="K73" s="4"/>
      <c r="L73" s="4"/>
    </row>
    <row r="74">
      <c r="A74" s="4"/>
      <c r="B74" s="15"/>
      <c r="C74" s="7" t="str">
        <f>IFERROR(__xludf.DUMMYFUNCTION("iferror(iferror(INDEX(IMPORTRANGE(""12vtnxaE_Q1s4tyr10kZQx7ZF_xG0lBFae4jQEUtgsMU"",""All!B2:B""),MATCH($B74,IMPORTRANGE(""12vtnxaE_Q1s4tyr10kZQx7ZF_xG0lBFae4jQEUtgsMU"",""All!A2:A""),0)),INDEX(IMPORTRANGE(""13KC70HngS4DDi8y9E5khtSpQEPG6owaQ9z4E-tR5mnY"","&amp;"""Non-Food!B2:B""),MATCH($B74,IMPORTRANGE(""13KC70HngS4DDi8y9E5khtSpQEPG6owaQ9z4E-tR5mnY"",""Non-Food!A2:A""),0))),"""")"),"")</f>
        <v/>
      </c>
      <c r="D74" s="4"/>
      <c r="E74" s="4"/>
      <c r="F74" s="4"/>
      <c r="G74" s="4"/>
      <c r="H74" s="4"/>
      <c r="I74" s="4"/>
      <c r="J74" s="4" t="str">
        <f t="shared" si="2"/>
        <v/>
      </c>
      <c r="K74" s="4"/>
      <c r="L74" s="4"/>
    </row>
    <row r="75">
      <c r="A75" s="4"/>
      <c r="B75" s="15"/>
      <c r="C75" s="7" t="str">
        <f>IFERROR(__xludf.DUMMYFUNCTION("iferror(iferror(INDEX(IMPORTRANGE(""12vtnxaE_Q1s4tyr10kZQx7ZF_xG0lBFae4jQEUtgsMU"",""All!B2:B""),MATCH($B75,IMPORTRANGE(""12vtnxaE_Q1s4tyr10kZQx7ZF_xG0lBFae4jQEUtgsMU"",""All!A2:A""),0)),INDEX(IMPORTRANGE(""13KC70HngS4DDi8y9E5khtSpQEPG6owaQ9z4E-tR5mnY"","&amp;"""Non-Food!B2:B""),MATCH($B75,IMPORTRANGE(""13KC70HngS4DDi8y9E5khtSpQEPG6owaQ9z4E-tR5mnY"",""Non-Food!A2:A""),0))),"""")"),"")</f>
        <v/>
      </c>
      <c r="D75" s="4"/>
      <c r="E75" s="4"/>
      <c r="F75" s="4"/>
      <c r="G75" s="4"/>
      <c r="H75" s="4"/>
      <c r="I75" s="4"/>
      <c r="J75" s="4" t="str">
        <f t="shared" si="2"/>
        <v/>
      </c>
      <c r="K75" s="4"/>
      <c r="L75" s="4"/>
    </row>
    <row r="76">
      <c r="A76" s="4"/>
      <c r="B76" s="15"/>
      <c r="C76" s="7" t="str">
        <f>IFERROR(__xludf.DUMMYFUNCTION("iferror(iferror(INDEX(IMPORTRANGE(""12vtnxaE_Q1s4tyr10kZQx7ZF_xG0lBFae4jQEUtgsMU"",""All!B2:B""),MATCH($B76,IMPORTRANGE(""12vtnxaE_Q1s4tyr10kZQx7ZF_xG0lBFae4jQEUtgsMU"",""All!A2:A""),0)),INDEX(IMPORTRANGE(""13KC70HngS4DDi8y9E5khtSpQEPG6owaQ9z4E-tR5mnY"","&amp;"""Non-Food!B2:B""),MATCH($B76,IMPORTRANGE(""13KC70HngS4DDi8y9E5khtSpQEPG6owaQ9z4E-tR5mnY"",""Non-Food!A2:A""),0))),"""")"),"")</f>
        <v/>
      </c>
      <c r="D76" s="4"/>
      <c r="E76" s="4"/>
      <c r="F76" s="4"/>
      <c r="G76" s="4"/>
      <c r="H76" s="4"/>
      <c r="I76" s="4"/>
      <c r="J76" s="4" t="str">
        <f t="shared" si="2"/>
        <v/>
      </c>
      <c r="K76" s="4"/>
      <c r="L76" s="4"/>
    </row>
    <row r="77">
      <c r="A77" s="4"/>
      <c r="B77" s="15"/>
      <c r="C77" s="7" t="str">
        <f>IFERROR(__xludf.DUMMYFUNCTION("iferror(iferror(INDEX(IMPORTRANGE(""12vtnxaE_Q1s4tyr10kZQx7ZF_xG0lBFae4jQEUtgsMU"",""All!B2:B""),MATCH($B77,IMPORTRANGE(""12vtnxaE_Q1s4tyr10kZQx7ZF_xG0lBFae4jQEUtgsMU"",""All!A2:A""),0)),INDEX(IMPORTRANGE(""13KC70HngS4DDi8y9E5khtSpQEPG6owaQ9z4E-tR5mnY"","&amp;"""Non-Food!B2:B""),MATCH($B77,IMPORTRANGE(""13KC70HngS4DDi8y9E5khtSpQEPG6owaQ9z4E-tR5mnY"",""Non-Food!A2:A""),0))),"""")"),"")</f>
        <v/>
      </c>
      <c r="D77" s="4"/>
      <c r="E77" s="4"/>
      <c r="F77" s="4"/>
      <c r="G77" s="4"/>
      <c r="H77" s="4"/>
      <c r="I77" s="4"/>
      <c r="J77" s="4" t="str">
        <f t="shared" si="2"/>
        <v/>
      </c>
      <c r="K77" s="4"/>
      <c r="L77" s="4"/>
    </row>
    <row r="78">
      <c r="A78" s="4"/>
      <c r="B78" s="15"/>
      <c r="C78" s="7" t="str">
        <f>IFERROR(__xludf.DUMMYFUNCTION("iferror(iferror(INDEX(IMPORTRANGE(""12vtnxaE_Q1s4tyr10kZQx7ZF_xG0lBFae4jQEUtgsMU"",""All!B2:B""),MATCH($B78,IMPORTRANGE(""12vtnxaE_Q1s4tyr10kZQx7ZF_xG0lBFae4jQEUtgsMU"",""All!A2:A""),0)),INDEX(IMPORTRANGE(""13KC70HngS4DDi8y9E5khtSpQEPG6owaQ9z4E-tR5mnY"","&amp;"""Non-Food!B2:B""),MATCH($B78,IMPORTRANGE(""13KC70HngS4DDi8y9E5khtSpQEPG6owaQ9z4E-tR5mnY"",""Non-Food!A2:A""),0))),"""")"),"")</f>
        <v/>
      </c>
      <c r="D78" s="4"/>
      <c r="E78" s="4"/>
      <c r="F78" s="4"/>
      <c r="G78" s="4"/>
      <c r="H78" s="4"/>
      <c r="I78" s="4"/>
      <c r="J78" s="4" t="str">
        <f t="shared" si="2"/>
        <v/>
      </c>
      <c r="K78" s="4"/>
      <c r="L78" s="4"/>
    </row>
    <row r="79">
      <c r="A79" s="4"/>
      <c r="B79" s="15"/>
      <c r="C79" s="7" t="str">
        <f>IFERROR(__xludf.DUMMYFUNCTION("iferror(iferror(INDEX(IMPORTRANGE(""12vtnxaE_Q1s4tyr10kZQx7ZF_xG0lBFae4jQEUtgsMU"",""All!B2:B""),MATCH($B79,IMPORTRANGE(""12vtnxaE_Q1s4tyr10kZQx7ZF_xG0lBFae4jQEUtgsMU"",""All!A2:A""),0)),INDEX(IMPORTRANGE(""13KC70HngS4DDi8y9E5khtSpQEPG6owaQ9z4E-tR5mnY"","&amp;"""Non-Food!B2:B""),MATCH($B79,IMPORTRANGE(""13KC70HngS4DDi8y9E5khtSpQEPG6owaQ9z4E-tR5mnY"",""Non-Food!A2:A""),0))),"""")"),"")</f>
        <v/>
      </c>
      <c r="D79" s="4"/>
      <c r="E79" s="4"/>
      <c r="F79" s="4"/>
      <c r="G79" s="4"/>
      <c r="H79" s="4"/>
      <c r="I79" s="4"/>
      <c r="J79" s="4" t="str">
        <f t="shared" si="2"/>
        <v/>
      </c>
      <c r="K79" s="4"/>
      <c r="L79" s="4"/>
    </row>
    <row r="80">
      <c r="A80" s="4"/>
      <c r="B80" s="15"/>
      <c r="C80" s="7" t="str">
        <f>IFERROR(__xludf.DUMMYFUNCTION("iferror(iferror(INDEX(IMPORTRANGE(""12vtnxaE_Q1s4tyr10kZQx7ZF_xG0lBFae4jQEUtgsMU"",""All!B2:B""),MATCH($B80,IMPORTRANGE(""12vtnxaE_Q1s4tyr10kZQx7ZF_xG0lBFae4jQEUtgsMU"",""All!A2:A""),0)),INDEX(IMPORTRANGE(""13KC70HngS4DDi8y9E5khtSpQEPG6owaQ9z4E-tR5mnY"","&amp;"""Non-Food!B2:B""),MATCH($B80,IMPORTRANGE(""13KC70HngS4DDi8y9E5khtSpQEPG6owaQ9z4E-tR5mnY"",""Non-Food!A2:A""),0))),"""")"),"")</f>
        <v/>
      </c>
      <c r="D80" s="4"/>
      <c r="E80" s="4"/>
      <c r="F80" s="4"/>
      <c r="G80" s="4"/>
      <c r="H80" s="4"/>
      <c r="I80" s="4"/>
      <c r="J80" s="4" t="str">
        <f t="shared" si="2"/>
        <v/>
      </c>
      <c r="K80" s="4"/>
      <c r="L80" s="4"/>
    </row>
    <row r="81">
      <c r="A81" s="4"/>
      <c r="B81" s="15"/>
      <c r="C81" s="7" t="str">
        <f>IFERROR(__xludf.DUMMYFUNCTION("iferror(iferror(INDEX(IMPORTRANGE(""12vtnxaE_Q1s4tyr10kZQx7ZF_xG0lBFae4jQEUtgsMU"",""All!B2:B""),MATCH($B81,IMPORTRANGE(""12vtnxaE_Q1s4tyr10kZQx7ZF_xG0lBFae4jQEUtgsMU"",""All!A2:A""),0)),INDEX(IMPORTRANGE(""13KC70HngS4DDi8y9E5khtSpQEPG6owaQ9z4E-tR5mnY"","&amp;"""Non-Food!B2:B""),MATCH($B81,IMPORTRANGE(""13KC70HngS4DDi8y9E5khtSpQEPG6owaQ9z4E-tR5mnY"",""Non-Food!A2:A""),0))),"""")"),"")</f>
        <v/>
      </c>
      <c r="D81" s="4"/>
      <c r="E81" s="4"/>
      <c r="F81" s="4"/>
      <c r="G81" s="4"/>
      <c r="H81" s="4"/>
      <c r="I81" s="4"/>
      <c r="J81" s="4" t="str">
        <f t="shared" si="2"/>
        <v/>
      </c>
      <c r="K81" s="4"/>
      <c r="L81" s="4"/>
    </row>
    <row r="82">
      <c r="A82" s="4"/>
      <c r="B82" s="15"/>
      <c r="C82" s="7" t="str">
        <f>IFERROR(__xludf.DUMMYFUNCTION("iferror(iferror(INDEX(IMPORTRANGE(""12vtnxaE_Q1s4tyr10kZQx7ZF_xG0lBFae4jQEUtgsMU"",""All!B2:B""),MATCH($B82,IMPORTRANGE(""12vtnxaE_Q1s4tyr10kZQx7ZF_xG0lBFae4jQEUtgsMU"",""All!A2:A""),0)),INDEX(IMPORTRANGE(""13KC70HngS4DDi8y9E5khtSpQEPG6owaQ9z4E-tR5mnY"","&amp;"""Non-Food!B2:B""),MATCH($B82,IMPORTRANGE(""13KC70HngS4DDi8y9E5khtSpQEPG6owaQ9z4E-tR5mnY"",""Non-Food!A2:A""),0))),"""")"),"")</f>
        <v/>
      </c>
      <c r="D82" s="4"/>
      <c r="E82" s="4"/>
      <c r="F82" s="4"/>
      <c r="G82" s="4"/>
      <c r="H82" s="4"/>
      <c r="I82" s="4"/>
      <c r="J82" s="4" t="str">
        <f t="shared" si="2"/>
        <v/>
      </c>
      <c r="K82" s="4"/>
      <c r="L82" s="4"/>
    </row>
    <row r="83">
      <c r="A83" s="4"/>
      <c r="B83" s="15"/>
      <c r="C83" s="7" t="str">
        <f>IFERROR(__xludf.DUMMYFUNCTION("iferror(iferror(INDEX(IMPORTRANGE(""12vtnxaE_Q1s4tyr10kZQx7ZF_xG0lBFae4jQEUtgsMU"",""All!B2:B""),MATCH($B83,IMPORTRANGE(""12vtnxaE_Q1s4tyr10kZQx7ZF_xG0lBFae4jQEUtgsMU"",""All!A2:A""),0)),INDEX(IMPORTRANGE(""13KC70HngS4DDi8y9E5khtSpQEPG6owaQ9z4E-tR5mnY"","&amp;"""Non-Food!B2:B""),MATCH($B83,IMPORTRANGE(""13KC70HngS4DDi8y9E5khtSpQEPG6owaQ9z4E-tR5mnY"",""Non-Food!A2:A""),0))),"""")"),"")</f>
        <v/>
      </c>
      <c r="D83" s="4"/>
      <c r="E83" s="4"/>
      <c r="F83" s="4"/>
      <c r="G83" s="4"/>
      <c r="H83" s="4"/>
      <c r="I83" s="4"/>
      <c r="J83" s="4" t="str">
        <f t="shared" si="2"/>
        <v/>
      </c>
      <c r="K83" s="4"/>
      <c r="L83" s="4"/>
    </row>
    <row r="84">
      <c r="A84" s="4"/>
      <c r="B84" s="15"/>
      <c r="C84" s="7" t="str">
        <f>IFERROR(__xludf.DUMMYFUNCTION("iferror(iferror(INDEX(IMPORTRANGE(""12vtnxaE_Q1s4tyr10kZQx7ZF_xG0lBFae4jQEUtgsMU"",""All!B2:B""),MATCH($B84,IMPORTRANGE(""12vtnxaE_Q1s4tyr10kZQx7ZF_xG0lBFae4jQEUtgsMU"",""All!A2:A""),0)),INDEX(IMPORTRANGE(""13KC70HngS4DDi8y9E5khtSpQEPG6owaQ9z4E-tR5mnY"","&amp;"""Non-Food!B2:B""),MATCH($B84,IMPORTRANGE(""13KC70HngS4DDi8y9E5khtSpQEPG6owaQ9z4E-tR5mnY"",""Non-Food!A2:A""),0))),"""")"),"")</f>
        <v/>
      </c>
      <c r="D84" s="4"/>
      <c r="E84" s="4"/>
      <c r="F84" s="4"/>
      <c r="G84" s="4"/>
      <c r="H84" s="4"/>
      <c r="I84" s="4"/>
      <c r="J84" s="4" t="str">
        <f t="shared" si="2"/>
        <v/>
      </c>
      <c r="K84" s="4"/>
      <c r="L84" s="4"/>
    </row>
    <row r="85">
      <c r="A85" s="4"/>
      <c r="B85" s="15"/>
      <c r="C85" s="7" t="str">
        <f>IFERROR(__xludf.DUMMYFUNCTION("iferror(iferror(INDEX(IMPORTRANGE(""12vtnxaE_Q1s4tyr10kZQx7ZF_xG0lBFae4jQEUtgsMU"",""All!B2:B""),MATCH($B85,IMPORTRANGE(""12vtnxaE_Q1s4tyr10kZQx7ZF_xG0lBFae4jQEUtgsMU"",""All!A2:A""),0)),INDEX(IMPORTRANGE(""13KC70HngS4DDi8y9E5khtSpQEPG6owaQ9z4E-tR5mnY"","&amp;"""Non-Food!B2:B""),MATCH($B85,IMPORTRANGE(""13KC70HngS4DDi8y9E5khtSpQEPG6owaQ9z4E-tR5mnY"",""Non-Food!A2:A""),0))),"""")"),"")</f>
        <v/>
      </c>
      <c r="D85" s="4"/>
      <c r="E85" s="4"/>
      <c r="F85" s="4"/>
      <c r="G85" s="4"/>
      <c r="H85" s="4"/>
      <c r="I85" s="4"/>
      <c r="J85" s="4" t="str">
        <f t="shared" si="2"/>
        <v/>
      </c>
      <c r="K85" s="4"/>
      <c r="L85" s="4"/>
    </row>
    <row r="86">
      <c r="A86" s="4"/>
      <c r="B86" s="15"/>
      <c r="C86" s="7" t="str">
        <f>IFERROR(__xludf.DUMMYFUNCTION("iferror(iferror(INDEX(IMPORTRANGE(""12vtnxaE_Q1s4tyr10kZQx7ZF_xG0lBFae4jQEUtgsMU"",""All!B2:B""),MATCH($B86,IMPORTRANGE(""12vtnxaE_Q1s4tyr10kZQx7ZF_xG0lBFae4jQEUtgsMU"",""All!A2:A""),0)),INDEX(IMPORTRANGE(""13KC70HngS4DDi8y9E5khtSpQEPG6owaQ9z4E-tR5mnY"","&amp;"""Non-Food!B2:B""),MATCH($B86,IMPORTRANGE(""13KC70HngS4DDi8y9E5khtSpQEPG6owaQ9z4E-tR5mnY"",""Non-Food!A2:A""),0))),"""")"),"")</f>
        <v/>
      </c>
      <c r="D86" s="4"/>
      <c r="E86" s="4"/>
      <c r="F86" s="4"/>
      <c r="G86" s="4"/>
      <c r="H86" s="4"/>
      <c r="I86" s="4"/>
      <c r="J86" s="4" t="str">
        <f t="shared" si="2"/>
        <v/>
      </c>
      <c r="K86" s="4"/>
      <c r="L86" s="4"/>
    </row>
    <row r="87">
      <c r="A87" s="4"/>
      <c r="B87" s="15"/>
      <c r="C87" s="7" t="str">
        <f>IFERROR(__xludf.DUMMYFUNCTION("iferror(iferror(INDEX(IMPORTRANGE(""12vtnxaE_Q1s4tyr10kZQx7ZF_xG0lBFae4jQEUtgsMU"",""All!B2:B""),MATCH($B87,IMPORTRANGE(""12vtnxaE_Q1s4tyr10kZQx7ZF_xG0lBFae4jQEUtgsMU"",""All!A2:A""),0)),INDEX(IMPORTRANGE(""13KC70HngS4DDi8y9E5khtSpQEPG6owaQ9z4E-tR5mnY"","&amp;"""Non-Food!B2:B""),MATCH($B87,IMPORTRANGE(""13KC70HngS4DDi8y9E5khtSpQEPG6owaQ9z4E-tR5mnY"",""Non-Food!A2:A""),0))),"""")"),"")</f>
        <v/>
      </c>
      <c r="D87" s="4"/>
      <c r="E87" s="4"/>
      <c r="F87" s="4"/>
      <c r="G87" s="4"/>
      <c r="H87" s="4"/>
      <c r="I87" s="4"/>
      <c r="J87" s="4" t="str">
        <f t="shared" si="2"/>
        <v/>
      </c>
      <c r="K87" s="4"/>
      <c r="L87" s="4"/>
    </row>
    <row r="88">
      <c r="A88" s="4"/>
      <c r="B88" s="15"/>
      <c r="C88" s="7" t="str">
        <f>IFERROR(__xludf.DUMMYFUNCTION("iferror(iferror(INDEX(IMPORTRANGE(""12vtnxaE_Q1s4tyr10kZQx7ZF_xG0lBFae4jQEUtgsMU"",""All!B2:B""),MATCH($B88,IMPORTRANGE(""12vtnxaE_Q1s4tyr10kZQx7ZF_xG0lBFae4jQEUtgsMU"",""All!A2:A""),0)),INDEX(IMPORTRANGE(""13KC70HngS4DDi8y9E5khtSpQEPG6owaQ9z4E-tR5mnY"","&amp;"""Non-Food!B2:B""),MATCH($B88,IMPORTRANGE(""13KC70HngS4DDi8y9E5khtSpQEPG6owaQ9z4E-tR5mnY"",""Non-Food!A2:A""),0))),"""")"),"")</f>
        <v/>
      </c>
      <c r="D88" s="4"/>
      <c r="E88" s="4"/>
      <c r="F88" s="4"/>
      <c r="G88" s="4"/>
      <c r="H88" s="4"/>
      <c r="I88" s="4"/>
      <c r="J88" s="4" t="str">
        <f t="shared" si="2"/>
        <v/>
      </c>
      <c r="K88" s="4"/>
      <c r="L88" s="4"/>
    </row>
    <row r="89">
      <c r="A89" s="4"/>
      <c r="B89" s="15"/>
      <c r="C89" s="7" t="str">
        <f>IFERROR(__xludf.DUMMYFUNCTION("iferror(iferror(INDEX(IMPORTRANGE(""12vtnxaE_Q1s4tyr10kZQx7ZF_xG0lBFae4jQEUtgsMU"",""All!B2:B""),MATCH($B89,IMPORTRANGE(""12vtnxaE_Q1s4tyr10kZQx7ZF_xG0lBFae4jQEUtgsMU"",""All!A2:A""),0)),INDEX(IMPORTRANGE(""13KC70HngS4DDi8y9E5khtSpQEPG6owaQ9z4E-tR5mnY"","&amp;"""Non-Food!B2:B""),MATCH($B89,IMPORTRANGE(""13KC70HngS4DDi8y9E5khtSpQEPG6owaQ9z4E-tR5mnY"",""Non-Food!A2:A""),0))),"""")"),"")</f>
        <v/>
      </c>
      <c r="D89" s="4"/>
      <c r="E89" s="4"/>
      <c r="F89" s="4"/>
      <c r="G89" s="4"/>
      <c r="H89" s="4"/>
      <c r="I89" s="4"/>
      <c r="J89" s="4" t="str">
        <f t="shared" si="2"/>
        <v/>
      </c>
      <c r="K89" s="4"/>
      <c r="L89" s="4"/>
    </row>
    <row r="90">
      <c r="A90" s="4"/>
      <c r="B90" s="15"/>
      <c r="C90" s="7" t="str">
        <f>IFERROR(__xludf.DUMMYFUNCTION("iferror(iferror(INDEX(IMPORTRANGE(""12vtnxaE_Q1s4tyr10kZQx7ZF_xG0lBFae4jQEUtgsMU"",""All!B2:B""),MATCH($B90,IMPORTRANGE(""12vtnxaE_Q1s4tyr10kZQx7ZF_xG0lBFae4jQEUtgsMU"",""All!A2:A""),0)),INDEX(IMPORTRANGE(""13KC70HngS4DDi8y9E5khtSpQEPG6owaQ9z4E-tR5mnY"","&amp;"""Non-Food!B2:B""),MATCH($B90,IMPORTRANGE(""13KC70HngS4DDi8y9E5khtSpQEPG6owaQ9z4E-tR5mnY"",""Non-Food!A2:A""),0))),"""")"),"")</f>
        <v/>
      </c>
      <c r="D90" s="4"/>
      <c r="E90" s="4"/>
      <c r="F90" s="4"/>
      <c r="G90" s="4"/>
      <c r="H90" s="4"/>
      <c r="I90" s="4"/>
      <c r="J90" s="4" t="str">
        <f t="shared" si="2"/>
        <v/>
      </c>
      <c r="K90" s="4"/>
      <c r="L90" s="4"/>
    </row>
    <row r="91">
      <c r="A91" s="4"/>
      <c r="B91" s="15"/>
      <c r="C91" s="7" t="str">
        <f>IFERROR(__xludf.DUMMYFUNCTION("iferror(iferror(INDEX(IMPORTRANGE(""12vtnxaE_Q1s4tyr10kZQx7ZF_xG0lBFae4jQEUtgsMU"",""All!B2:B""),MATCH($B91,IMPORTRANGE(""12vtnxaE_Q1s4tyr10kZQx7ZF_xG0lBFae4jQEUtgsMU"",""All!A2:A""),0)),INDEX(IMPORTRANGE(""13KC70HngS4DDi8y9E5khtSpQEPG6owaQ9z4E-tR5mnY"","&amp;"""Non-Food!B2:B""),MATCH($B91,IMPORTRANGE(""13KC70HngS4DDi8y9E5khtSpQEPG6owaQ9z4E-tR5mnY"",""Non-Food!A2:A""),0))),"""")"),"")</f>
        <v/>
      </c>
      <c r="D91" s="4"/>
      <c r="E91" s="4"/>
      <c r="F91" s="4"/>
      <c r="G91" s="4"/>
      <c r="H91" s="4"/>
      <c r="I91" s="4"/>
      <c r="J91" s="4" t="str">
        <f t="shared" si="2"/>
        <v/>
      </c>
      <c r="K91" s="4"/>
      <c r="L91" s="4"/>
    </row>
    <row r="92">
      <c r="A92" s="4"/>
      <c r="B92" s="15"/>
      <c r="C92" s="7" t="str">
        <f>IFERROR(__xludf.DUMMYFUNCTION("iferror(iferror(INDEX(IMPORTRANGE(""12vtnxaE_Q1s4tyr10kZQx7ZF_xG0lBFae4jQEUtgsMU"",""All!B2:B""),MATCH($B92,IMPORTRANGE(""12vtnxaE_Q1s4tyr10kZQx7ZF_xG0lBFae4jQEUtgsMU"",""All!A2:A""),0)),INDEX(IMPORTRANGE(""13KC70HngS4DDi8y9E5khtSpQEPG6owaQ9z4E-tR5mnY"","&amp;"""Non-Food!B2:B""),MATCH($B92,IMPORTRANGE(""13KC70HngS4DDi8y9E5khtSpQEPG6owaQ9z4E-tR5mnY"",""Non-Food!A2:A""),0))),"""")"),"")</f>
        <v/>
      </c>
      <c r="D92" s="4"/>
      <c r="E92" s="4"/>
      <c r="F92" s="4"/>
      <c r="G92" s="4"/>
      <c r="H92" s="4"/>
      <c r="I92" s="4"/>
      <c r="J92" s="4" t="str">
        <f t="shared" si="2"/>
        <v/>
      </c>
      <c r="K92" s="4"/>
      <c r="L92" s="4"/>
    </row>
    <row r="93">
      <c r="A93" s="4"/>
      <c r="B93" s="15"/>
      <c r="C93" s="7" t="str">
        <f>IFERROR(__xludf.DUMMYFUNCTION("iferror(iferror(INDEX(IMPORTRANGE(""12vtnxaE_Q1s4tyr10kZQx7ZF_xG0lBFae4jQEUtgsMU"",""All!B2:B""),MATCH($B93,IMPORTRANGE(""12vtnxaE_Q1s4tyr10kZQx7ZF_xG0lBFae4jQEUtgsMU"",""All!A2:A""),0)),INDEX(IMPORTRANGE(""13KC70HngS4DDi8y9E5khtSpQEPG6owaQ9z4E-tR5mnY"","&amp;"""Non-Food!B2:B""),MATCH($B93,IMPORTRANGE(""13KC70HngS4DDi8y9E5khtSpQEPG6owaQ9z4E-tR5mnY"",""Non-Food!A2:A""),0))),"""")"),"")</f>
        <v/>
      </c>
      <c r="D93" s="4"/>
      <c r="E93" s="4"/>
      <c r="F93" s="4"/>
      <c r="G93" s="4"/>
      <c r="H93" s="4"/>
      <c r="I93" s="4"/>
      <c r="J93" s="4" t="str">
        <f t="shared" si="2"/>
        <v/>
      </c>
      <c r="K93" s="4"/>
      <c r="L93" s="4"/>
    </row>
    <row r="94">
      <c r="A94" s="4"/>
      <c r="B94" s="15"/>
      <c r="C94" s="7" t="str">
        <f>IFERROR(__xludf.DUMMYFUNCTION("iferror(iferror(INDEX(IMPORTRANGE(""12vtnxaE_Q1s4tyr10kZQx7ZF_xG0lBFae4jQEUtgsMU"",""All!B2:B""),MATCH($B94,IMPORTRANGE(""12vtnxaE_Q1s4tyr10kZQx7ZF_xG0lBFae4jQEUtgsMU"",""All!A2:A""),0)),INDEX(IMPORTRANGE(""13KC70HngS4DDi8y9E5khtSpQEPG6owaQ9z4E-tR5mnY"","&amp;"""Non-Food!B2:B""),MATCH($B94,IMPORTRANGE(""13KC70HngS4DDi8y9E5khtSpQEPG6owaQ9z4E-tR5mnY"",""Non-Food!A2:A""),0))),"""")"),"")</f>
        <v/>
      </c>
      <c r="D94" s="4"/>
      <c r="E94" s="4"/>
      <c r="F94" s="4"/>
      <c r="G94" s="4"/>
      <c r="H94" s="4"/>
      <c r="I94" s="4"/>
      <c r="J94" s="4" t="str">
        <f t="shared" si="2"/>
        <v/>
      </c>
      <c r="K94" s="4"/>
      <c r="L94" s="4"/>
    </row>
    <row r="95">
      <c r="A95" s="4"/>
      <c r="B95" s="15"/>
      <c r="C95" s="7" t="str">
        <f>IFERROR(__xludf.DUMMYFUNCTION("iferror(iferror(INDEX(IMPORTRANGE(""12vtnxaE_Q1s4tyr10kZQx7ZF_xG0lBFae4jQEUtgsMU"",""All!B2:B""),MATCH($B95,IMPORTRANGE(""12vtnxaE_Q1s4tyr10kZQx7ZF_xG0lBFae4jQEUtgsMU"",""All!A2:A""),0)),INDEX(IMPORTRANGE(""13KC70HngS4DDi8y9E5khtSpQEPG6owaQ9z4E-tR5mnY"","&amp;"""Non-Food!B2:B""),MATCH($B95,IMPORTRANGE(""13KC70HngS4DDi8y9E5khtSpQEPG6owaQ9z4E-tR5mnY"",""Non-Food!A2:A""),0))),"""")"),"")</f>
        <v/>
      </c>
      <c r="D95" s="4"/>
      <c r="E95" s="4"/>
      <c r="F95" s="4"/>
      <c r="G95" s="4"/>
      <c r="H95" s="4"/>
      <c r="I95" s="4"/>
      <c r="J95" s="4" t="str">
        <f t="shared" si="2"/>
        <v/>
      </c>
      <c r="K95" s="4"/>
      <c r="L95" s="4"/>
    </row>
    <row r="96">
      <c r="A96" s="4"/>
      <c r="B96" s="15"/>
      <c r="C96" s="7" t="str">
        <f>IFERROR(__xludf.DUMMYFUNCTION("iferror(iferror(INDEX(IMPORTRANGE(""12vtnxaE_Q1s4tyr10kZQx7ZF_xG0lBFae4jQEUtgsMU"",""All!B2:B""),MATCH($B96,IMPORTRANGE(""12vtnxaE_Q1s4tyr10kZQx7ZF_xG0lBFae4jQEUtgsMU"",""All!A2:A""),0)),INDEX(IMPORTRANGE(""13KC70HngS4DDi8y9E5khtSpQEPG6owaQ9z4E-tR5mnY"","&amp;"""Non-Food!B2:B""),MATCH($B96,IMPORTRANGE(""13KC70HngS4DDi8y9E5khtSpQEPG6owaQ9z4E-tR5mnY"",""Non-Food!A2:A""),0))),"""")"),"")</f>
        <v/>
      </c>
      <c r="D96" s="4"/>
      <c r="E96" s="4"/>
      <c r="F96" s="4"/>
      <c r="G96" s="4"/>
      <c r="H96" s="4"/>
      <c r="I96" s="4"/>
      <c r="J96" s="4" t="str">
        <f t="shared" si="2"/>
        <v/>
      </c>
      <c r="K96" s="4"/>
      <c r="L96" s="4"/>
    </row>
    <row r="97">
      <c r="A97" s="4"/>
      <c r="B97" s="15"/>
      <c r="C97" s="7" t="str">
        <f>IFERROR(__xludf.DUMMYFUNCTION("iferror(iferror(INDEX(IMPORTRANGE(""12vtnxaE_Q1s4tyr10kZQx7ZF_xG0lBFae4jQEUtgsMU"",""All!B2:B""),MATCH($B97,IMPORTRANGE(""12vtnxaE_Q1s4tyr10kZQx7ZF_xG0lBFae4jQEUtgsMU"",""All!A2:A""),0)),INDEX(IMPORTRANGE(""13KC70HngS4DDi8y9E5khtSpQEPG6owaQ9z4E-tR5mnY"","&amp;"""Non-Food!B2:B""),MATCH($B97,IMPORTRANGE(""13KC70HngS4DDi8y9E5khtSpQEPG6owaQ9z4E-tR5mnY"",""Non-Food!A2:A""),0))),"""")"),"")</f>
        <v/>
      </c>
      <c r="D97" s="4"/>
      <c r="E97" s="4"/>
      <c r="F97" s="4"/>
      <c r="G97" s="4"/>
      <c r="H97" s="4"/>
      <c r="I97" s="4"/>
      <c r="J97" s="4" t="str">
        <f t="shared" si="2"/>
        <v/>
      </c>
      <c r="K97" s="4"/>
      <c r="L97" s="4"/>
    </row>
    <row r="98">
      <c r="A98" s="4"/>
      <c r="B98" s="15"/>
      <c r="C98" s="7" t="str">
        <f>IFERROR(__xludf.DUMMYFUNCTION("iferror(iferror(INDEX(IMPORTRANGE(""12vtnxaE_Q1s4tyr10kZQx7ZF_xG0lBFae4jQEUtgsMU"",""All!B2:B""),MATCH($B98,IMPORTRANGE(""12vtnxaE_Q1s4tyr10kZQx7ZF_xG0lBFae4jQEUtgsMU"",""All!A2:A""),0)),INDEX(IMPORTRANGE(""13KC70HngS4DDi8y9E5khtSpQEPG6owaQ9z4E-tR5mnY"","&amp;"""Non-Food!B2:B""),MATCH($B98,IMPORTRANGE(""13KC70HngS4DDi8y9E5khtSpQEPG6owaQ9z4E-tR5mnY"",""Non-Food!A2:A""),0))),"""")"),"")</f>
        <v/>
      </c>
      <c r="D98" s="4"/>
      <c r="E98" s="4"/>
      <c r="F98" s="4"/>
      <c r="G98" s="4"/>
      <c r="H98" s="4"/>
      <c r="I98" s="4"/>
      <c r="J98" s="4" t="str">
        <f t="shared" si="2"/>
        <v/>
      </c>
      <c r="K98" s="4"/>
      <c r="L98" s="4"/>
    </row>
    <row r="99">
      <c r="A99" s="4"/>
      <c r="B99" s="15"/>
      <c r="C99" s="7" t="str">
        <f>IFERROR(__xludf.DUMMYFUNCTION("iferror(iferror(INDEX(IMPORTRANGE(""12vtnxaE_Q1s4tyr10kZQx7ZF_xG0lBFae4jQEUtgsMU"",""All!B2:B""),MATCH($B99,IMPORTRANGE(""12vtnxaE_Q1s4tyr10kZQx7ZF_xG0lBFae4jQEUtgsMU"",""All!A2:A""),0)),INDEX(IMPORTRANGE(""13KC70HngS4DDi8y9E5khtSpQEPG6owaQ9z4E-tR5mnY"","&amp;"""Non-Food!B2:B""),MATCH($B99,IMPORTRANGE(""13KC70HngS4DDi8y9E5khtSpQEPG6owaQ9z4E-tR5mnY"",""Non-Food!A2:A""),0))),"""")"),"")</f>
        <v/>
      </c>
      <c r="D99" s="4"/>
      <c r="E99" s="4"/>
      <c r="F99" s="4"/>
      <c r="G99" s="4"/>
      <c r="H99" s="4"/>
      <c r="I99" s="4"/>
      <c r="J99" s="4" t="str">
        <f t="shared" si="2"/>
        <v/>
      </c>
      <c r="K99" s="4"/>
      <c r="L99" s="4"/>
    </row>
    <row r="100">
      <c r="A100" s="4"/>
      <c r="B100" s="15"/>
      <c r="C100" s="7" t="str">
        <f>IFERROR(__xludf.DUMMYFUNCTION("iferror(iferror(INDEX(IMPORTRANGE(""12vtnxaE_Q1s4tyr10kZQx7ZF_xG0lBFae4jQEUtgsMU"",""All!B2:B""),MATCH($B100,IMPORTRANGE(""12vtnxaE_Q1s4tyr10kZQx7ZF_xG0lBFae4jQEUtgsMU"",""All!A2:A""),0)),INDEX(IMPORTRANGE(""13KC70HngS4DDi8y9E5khtSpQEPG6owaQ9z4E-tR5mnY"","&amp;"""Non-Food!B2:B""),MATCH($B100,IMPORTRANGE(""13KC70HngS4DDi8y9E5khtSpQEPG6owaQ9z4E-tR5mnY"",""Non-Food!A2:A""),0))),"""")"),"")</f>
        <v/>
      </c>
      <c r="D100" s="4"/>
      <c r="E100" s="4"/>
      <c r="F100" s="4"/>
      <c r="G100" s="4"/>
      <c r="H100" s="4"/>
      <c r="I100" s="4"/>
      <c r="J100" s="4" t="str">
        <f t="shared" si="2"/>
        <v/>
      </c>
      <c r="K100" s="4"/>
      <c r="L100" s="4"/>
    </row>
    <row r="101">
      <c r="A101" s="4"/>
      <c r="B101" s="15"/>
      <c r="C101" s="7" t="str">
        <f>IFERROR(__xludf.DUMMYFUNCTION("iferror(iferror(INDEX(IMPORTRANGE(""12vtnxaE_Q1s4tyr10kZQx7ZF_xG0lBFae4jQEUtgsMU"",""All!B2:B""),MATCH($B101,IMPORTRANGE(""12vtnxaE_Q1s4tyr10kZQx7ZF_xG0lBFae4jQEUtgsMU"",""All!A2:A""),0)),INDEX(IMPORTRANGE(""13KC70HngS4DDi8y9E5khtSpQEPG6owaQ9z4E-tR5mnY"","&amp;"""Non-Food!B2:B""),MATCH($B101,IMPORTRANGE(""13KC70HngS4DDi8y9E5khtSpQEPG6owaQ9z4E-tR5mnY"",""Non-Food!A2:A""),0))),"""")"),"")</f>
        <v/>
      </c>
      <c r="D101" s="4"/>
      <c r="E101" s="4"/>
      <c r="F101" s="4"/>
      <c r="G101" s="4"/>
      <c r="H101" s="4"/>
      <c r="I101" s="4"/>
      <c r="J101" s="4" t="str">
        <f t="shared" si="2"/>
        <v/>
      </c>
      <c r="K101" s="4"/>
      <c r="L101" s="4"/>
    </row>
    <row r="102">
      <c r="A102" s="4"/>
      <c r="B102" s="15"/>
      <c r="C102" s="7" t="str">
        <f>IFERROR(__xludf.DUMMYFUNCTION("iferror(iferror(INDEX(IMPORTRANGE(""12vtnxaE_Q1s4tyr10kZQx7ZF_xG0lBFae4jQEUtgsMU"",""All!B2:B""),MATCH($B102,IMPORTRANGE(""12vtnxaE_Q1s4tyr10kZQx7ZF_xG0lBFae4jQEUtgsMU"",""All!A2:A""),0)),INDEX(IMPORTRANGE(""13KC70HngS4DDi8y9E5khtSpQEPG6owaQ9z4E-tR5mnY"","&amp;"""Non-Food!B2:B""),MATCH($B102,IMPORTRANGE(""13KC70HngS4DDi8y9E5khtSpQEPG6owaQ9z4E-tR5mnY"",""Non-Food!A2:A""),0))),"""")"),"")</f>
        <v/>
      </c>
      <c r="D102" s="4"/>
      <c r="E102" s="4"/>
      <c r="F102" s="4"/>
      <c r="G102" s="4"/>
      <c r="H102" s="4"/>
      <c r="I102" s="4"/>
      <c r="J102" s="4" t="str">
        <f t="shared" si="2"/>
        <v/>
      </c>
      <c r="K102" s="4"/>
      <c r="L102" s="4"/>
    </row>
    <row r="103">
      <c r="A103" s="4"/>
      <c r="B103" s="15"/>
      <c r="C103" s="7" t="str">
        <f>IFERROR(__xludf.DUMMYFUNCTION("iferror(iferror(INDEX(IMPORTRANGE(""12vtnxaE_Q1s4tyr10kZQx7ZF_xG0lBFae4jQEUtgsMU"",""All!B2:B""),MATCH($B103,IMPORTRANGE(""12vtnxaE_Q1s4tyr10kZQx7ZF_xG0lBFae4jQEUtgsMU"",""All!A2:A""),0)),INDEX(IMPORTRANGE(""13KC70HngS4DDi8y9E5khtSpQEPG6owaQ9z4E-tR5mnY"","&amp;"""Non-Food!B2:B""),MATCH($B103,IMPORTRANGE(""13KC70HngS4DDi8y9E5khtSpQEPG6owaQ9z4E-tR5mnY"",""Non-Food!A2:A""),0))),"""")"),"")</f>
        <v/>
      </c>
      <c r="D103" s="4"/>
      <c r="E103" s="4"/>
      <c r="F103" s="4"/>
      <c r="G103" s="4"/>
      <c r="H103" s="4"/>
      <c r="I103" s="4"/>
      <c r="J103" s="4" t="str">
        <f t="shared" si="2"/>
        <v/>
      </c>
      <c r="K103" s="4"/>
      <c r="L103" s="4"/>
    </row>
    <row r="104">
      <c r="A104" s="4"/>
      <c r="B104" s="15"/>
      <c r="C104" s="7" t="str">
        <f>IFERROR(__xludf.DUMMYFUNCTION("iferror(iferror(INDEX(IMPORTRANGE(""12vtnxaE_Q1s4tyr10kZQx7ZF_xG0lBFae4jQEUtgsMU"",""All!B2:B""),MATCH($B104,IMPORTRANGE(""12vtnxaE_Q1s4tyr10kZQx7ZF_xG0lBFae4jQEUtgsMU"",""All!A2:A""),0)),INDEX(IMPORTRANGE(""13KC70HngS4DDi8y9E5khtSpQEPG6owaQ9z4E-tR5mnY"","&amp;"""Non-Food!B2:B""),MATCH($B104,IMPORTRANGE(""13KC70HngS4DDi8y9E5khtSpQEPG6owaQ9z4E-tR5mnY"",""Non-Food!A2:A""),0))),"""")"),"")</f>
        <v/>
      </c>
      <c r="D104" s="4"/>
      <c r="E104" s="4"/>
      <c r="F104" s="4"/>
      <c r="G104" s="4"/>
      <c r="H104" s="4"/>
      <c r="I104" s="4"/>
      <c r="J104" s="4" t="str">
        <f t="shared" si="2"/>
        <v/>
      </c>
      <c r="K104" s="4"/>
      <c r="L104" s="4"/>
    </row>
    <row r="105">
      <c r="A105" s="4"/>
      <c r="B105" s="15"/>
      <c r="C105" s="7" t="str">
        <f>IFERROR(__xludf.DUMMYFUNCTION("iferror(iferror(INDEX(IMPORTRANGE(""12vtnxaE_Q1s4tyr10kZQx7ZF_xG0lBFae4jQEUtgsMU"",""All!B2:B""),MATCH($B105,IMPORTRANGE(""12vtnxaE_Q1s4tyr10kZQx7ZF_xG0lBFae4jQEUtgsMU"",""All!A2:A""),0)),INDEX(IMPORTRANGE(""13KC70HngS4DDi8y9E5khtSpQEPG6owaQ9z4E-tR5mnY"","&amp;"""Non-Food!B2:B""),MATCH($B105,IMPORTRANGE(""13KC70HngS4DDi8y9E5khtSpQEPG6owaQ9z4E-tR5mnY"",""Non-Food!A2:A""),0))),"""")"),"")</f>
        <v/>
      </c>
      <c r="D105" s="4"/>
      <c r="E105" s="4"/>
      <c r="F105" s="4"/>
      <c r="G105" s="4"/>
      <c r="H105" s="4"/>
      <c r="I105" s="4"/>
      <c r="J105" s="4" t="str">
        <f t="shared" si="2"/>
        <v/>
      </c>
      <c r="K105" s="4"/>
      <c r="L105" s="4"/>
    </row>
    <row r="106">
      <c r="A106" s="4"/>
      <c r="B106" s="15"/>
      <c r="C106" s="7" t="str">
        <f>IFERROR(__xludf.DUMMYFUNCTION("iferror(iferror(INDEX(IMPORTRANGE(""12vtnxaE_Q1s4tyr10kZQx7ZF_xG0lBFae4jQEUtgsMU"",""All!B2:B""),MATCH($B106,IMPORTRANGE(""12vtnxaE_Q1s4tyr10kZQx7ZF_xG0lBFae4jQEUtgsMU"",""All!A2:A""),0)),INDEX(IMPORTRANGE(""13KC70HngS4DDi8y9E5khtSpQEPG6owaQ9z4E-tR5mnY"","&amp;"""Non-Food!B2:B""),MATCH($B106,IMPORTRANGE(""13KC70HngS4DDi8y9E5khtSpQEPG6owaQ9z4E-tR5mnY"",""Non-Food!A2:A""),0))),"""")"),"")</f>
        <v/>
      </c>
      <c r="D106" s="4"/>
      <c r="E106" s="4"/>
      <c r="F106" s="4"/>
      <c r="G106" s="4"/>
      <c r="H106" s="4"/>
      <c r="I106" s="4"/>
      <c r="J106" s="4" t="str">
        <f t="shared" si="2"/>
        <v/>
      </c>
      <c r="K106" s="4"/>
      <c r="L106" s="4"/>
    </row>
    <row r="107">
      <c r="A107" s="4"/>
      <c r="B107" s="15"/>
      <c r="C107" s="7" t="str">
        <f>IFERROR(__xludf.DUMMYFUNCTION("iferror(iferror(INDEX(IMPORTRANGE(""12vtnxaE_Q1s4tyr10kZQx7ZF_xG0lBFae4jQEUtgsMU"",""All!B2:B""),MATCH($B107,IMPORTRANGE(""12vtnxaE_Q1s4tyr10kZQx7ZF_xG0lBFae4jQEUtgsMU"",""All!A2:A""),0)),INDEX(IMPORTRANGE(""13KC70HngS4DDi8y9E5khtSpQEPG6owaQ9z4E-tR5mnY"","&amp;"""Non-Food!B2:B""),MATCH($B107,IMPORTRANGE(""13KC70HngS4DDi8y9E5khtSpQEPG6owaQ9z4E-tR5mnY"",""Non-Food!A2:A""),0))),"""")"),"")</f>
        <v/>
      </c>
      <c r="D107" s="4"/>
      <c r="E107" s="4"/>
      <c r="F107" s="4"/>
      <c r="G107" s="4"/>
      <c r="H107" s="4"/>
      <c r="I107" s="4"/>
      <c r="J107" s="4" t="str">
        <f t="shared" si="2"/>
        <v/>
      </c>
      <c r="K107" s="4"/>
      <c r="L107" s="4"/>
    </row>
    <row r="108">
      <c r="A108" s="4"/>
      <c r="B108" s="15"/>
      <c r="C108" s="7" t="str">
        <f>IFERROR(__xludf.DUMMYFUNCTION("iferror(iferror(INDEX(IMPORTRANGE(""12vtnxaE_Q1s4tyr10kZQx7ZF_xG0lBFae4jQEUtgsMU"",""All!B2:B""),MATCH($B108,IMPORTRANGE(""12vtnxaE_Q1s4tyr10kZQx7ZF_xG0lBFae4jQEUtgsMU"",""All!A2:A""),0)),INDEX(IMPORTRANGE(""13KC70HngS4DDi8y9E5khtSpQEPG6owaQ9z4E-tR5mnY"","&amp;"""Non-Food!B2:B""),MATCH($B108,IMPORTRANGE(""13KC70HngS4DDi8y9E5khtSpQEPG6owaQ9z4E-tR5mnY"",""Non-Food!A2:A""),0))),"""")"),"")</f>
        <v/>
      </c>
      <c r="D108" s="4"/>
      <c r="E108" s="4"/>
      <c r="F108" s="4"/>
      <c r="G108" s="4"/>
      <c r="H108" s="4"/>
      <c r="I108" s="4"/>
      <c r="J108" s="4" t="str">
        <f t="shared" si="2"/>
        <v/>
      </c>
      <c r="K108" s="4"/>
      <c r="L108" s="4"/>
    </row>
    <row r="109">
      <c r="A109" s="4"/>
      <c r="B109" s="15"/>
      <c r="C109" s="7" t="str">
        <f>IFERROR(__xludf.DUMMYFUNCTION("iferror(iferror(INDEX(IMPORTRANGE(""12vtnxaE_Q1s4tyr10kZQx7ZF_xG0lBFae4jQEUtgsMU"",""All!B2:B""),MATCH($B109,IMPORTRANGE(""12vtnxaE_Q1s4tyr10kZQx7ZF_xG0lBFae4jQEUtgsMU"",""All!A2:A""),0)),INDEX(IMPORTRANGE(""13KC70HngS4DDi8y9E5khtSpQEPG6owaQ9z4E-tR5mnY"","&amp;"""Non-Food!B2:B""),MATCH($B109,IMPORTRANGE(""13KC70HngS4DDi8y9E5khtSpQEPG6owaQ9z4E-tR5mnY"",""Non-Food!A2:A""),0))),"""")"),"")</f>
        <v/>
      </c>
      <c r="D109" s="4"/>
      <c r="E109" s="4"/>
      <c r="F109" s="4"/>
      <c r="G109" s="4"/>
      <c r="H109" s="4"/>
      <c r="I109" s="4"/>
      <c r="J109" s="4" t="str">
        <f t="shared" si="2"/>
        <v/>
      </c>
      <c r="K109" s="4"/>
      <c r="L109" s="4"/>
    </row>
    <row r="110">
      <c r="A110" s="4"/>
      <c r="B110" s="15"/>
      <c r="C110" s="7" t="str">
        <f>IFERROR(__xludf.DUMMYFUNCTION("iferror(iferror(INDEX(IMPORTRANGE(""12vtnxaE_Q1s4tyr10kZQx7ZF_xG0lBFae4jQEUtgsMU"",""All!B2:B""),MATCH($B110,IMPORTRANGE(""12vtnxaE_Q1s4tyr10kZQx7ZF_xG0lBFae4jQEUtgsMU"",""All!A2:A""),0)),INDEX(IMPORTRANGE(""13KC70HngS4DDi8y9E5khtSpQEPG6owaQ9z4E-tR5mnY"","&amp;"""Non-Food!B2:B""),MATCH($B110,IMPORTRANGE(""13KC70HngS4DDi8y9E5khtSpQEPG6owaQ9z4E-tR5mnY"",""Non-Food!A2:A""),0))),"""")"),"")</f>
        <v/>
      </c>
      <c r="D110" s="4"/>
      <c r="E110" s="4"/>
      <c r="F110" s="4"/>
      <c r="G110" s="4"/>
      <c r="H110" s="4"/>
      <c r="I110" s="4"/>
      <c r="J110" s="4" t="str">
        <f t="shared" si="2"/>
        <v/>
      </c>
      <c r="K110" s="4"/>
      <c r="L110" s="4"/>
    </row>
    <row r="111">
      <c r="A111" s="4"/>
      <c r="B111" s="15"/>
      <c r="C111" s="7" t="str">
        <f>IFERROR(__xludf.DUMMYFUNCTION("iferror(iferror(INDEX(IMPORTRANGE(""12vtnxaE_Q1s4tyr10kZQx7ZF_xG0lBFae4jQEUtgsMU"",""All!B2:B""),MATCH($B111,IMPORTRANGE(""12vtnxaE_Q1s4tyr10kZQx7ZF_xG0lBFae4jQEUtgsMU"",""All!A2:A""),0)),INDEX(IMPORTRANGE(""13KC70HngS4DDi8y9E5khtSpQEPG6owaQ9z4E-tR5mnY"","&amp;"""Non-Food!B2:B""),MATCH($B111,IMPORTRANGE(""13KC70HngS4DDi8y9E5khtSpQEPG6owaQ9z4E-tR5mnY"",""Non-Food!A2:A""),0))),"""")"),"")</f>
        <v/>
      </c>
      <c r="D111" s="4"/>
      <c r="E111" s="4"/>
      <c r="F111" s="4"/>
      <c r="G111" s="4"/>
      <c r="H111" s="4"/>
      <c r="I111" s="4"/>
      <c r="J111" s="4" t="str">
        <f t="shared" si="2"/>
        <v/>
      </c>
      <c r="K111" s="4"/>
      <c r="L111" s="4"/>
    </row>
    <row r="112">
      <c r="A112" s="4"/>
      <c r="B112" s="15"/>
      <c r="C112" s="7" t="str">
        <f>IFERROR(__xludf.DUMMYFUNCTION("iferror(iferror(INDEX(IMPORTRANGE(""12vtnxaE_Q1s4tyr10kZQx7ZF_xG0lBFae4jQEUtgsMU"",""All!B2:B""),MATCH($B112,IMPORTRANGE(""12vtnxaE_Q1s4tyr10kZQx7ZF_xG0lBFae4jQEUtgsMU"",""All!A2:A""),0)),INDEX(IMPORTRANGE(""13KC70HngS4DDi8y9E5khtSpQEPG6owaQ9z4E-tR5mnY"","&amp;"""Non-Food!B2:B""),MATCH($B112,IMPORTRANGE(""13KC70HngS4DDi8y9E5khtSpQEPG6owaQ9z4E-tR5mnY"",""Non-Food!A2:A""),0))),"""")"),"")</f>
        <v/>
      </c>
      <c r="D112" s="4"/>
      <c r="E112" s="4"/>
      <c r="F112" s="4"/>
      <c r="G112" s="4"/>
      <c r="H112" s="4"/>
      <c r="I112" s="4"/>
      <c r="J112" s="4" t="str">
        <f t="shared" si="2"/>
        <v/>
      </c>
      <c r="K112" s="4"/>
      <c r="L112" s="4"/>
    </row>
    <row r="113">
      <c r="A113" s="4"/>
      <c r="B113" s="15"/>
      <c r="C113" s="7" t="str">
        <f>IFERROR(__xludf.DUMMYFUNCTION("iferror(iferror(INDEX(IMPORTRANGE(""12vtnxaE_Q1s4tyr10kZQx7ZF_xG0lBFae4jQEUtgsMU"",""All!B2:B""),MATCH($B113,IMPORTRANGE(""12vtnxaE_Q1s4tyr10kZQx7ZF_xG0lBFae4jQEUtgsMU"",""All!A2:A""),0)),INDEX(IMPORTRANGE(""13KC70HngS4DDi8y9E5khtSpQEPG6owaQ9z4E-tR5mnY"","&amp;"""Non-Food!B2:B""),MATCH($B113,IMPORTRANGE(""13KC70HngS4DDi8y9E5khtSpQEPG6owaQ9z4E-tR5mnY"",""Non-Food!A2:A""),0))),"""")"),"")</f>
        <v/>
      </c>
      <c r="D113" s="4"/>
      <c r="E113" s="4"/>
      <c r="F113" s="4"/>
      <c r="G113" s="4"/>
      <c r="H113" s="4"/>
      <c r="I113" s="4"/>
      <c r="J113" s="4" t="str">
        <f t="shared" si="2"/>
        <v/>
      </c>
      <c r="K113" s="4"/>
      <c r="L113" s="4"/>
    </row>
    <row r="114">
      <c r="A114" s="4"/>
      <c r="B114" s="15"/>
      <c r="C114" s="7" t="str">
        <f>IFERROR(__xludf.DUMMYFUNCTION("iferror(iferror(INDEX(IMPORTRANGE(""12vtnxaE_Q1s4tyr10kZQx7ZF_xG0lBFae4jQEUtgsMU"",""All!B2:B""),MATCH($B114,IMPORTRANGE(""12vtnxaE_Q1s4tyr10kZQx7ZF_xG0lBFae4jQEUtgsMU"",""All!A2:A""),0)),INDEX(IMPORTRANGE(""13KC70HngS4DDi8y9E5khtSpQEPG6owaQ9z4E-tR5mnY"","&amp;"""Non-Food!B2:B""),MATCH($B114,IMPORTRANGE(""13KC70HngS4DDi8y9E5khtSpQEPG6owaQ9z4E-tR5mnY"",""Non-Food!A2:A""),0))),"""")"),"")</f>
        <v/>
      </c>
      <c r="D114" s="4"/>
      <c r="E114" s="4"/>
      <c r="F114" s="4"/>
      <c r="G114" s="4"/>
      <c r="H114" s="4"/>
      <c r="I114" s="4"/>
      <c r="J114" s="4" t="str">
        <f t="shared" si="2"/>
        <v/>
      </c>
      <c r="K114" s="4"/>
      <c r="L114" s="4"/>
    </row>
    <row r="115">
      <c r="A115" s="4"/>
      <c r="B115" s="15"/>
      <c r="C115" s="7" t="str">
        <f>IFERROR(__xludf.DUMMYFUNCTION("iferror(iferror(INDEX(IMPORTRANGE(""12vtnxaE_Q1s4tyr10kZQx7ZF_xG0lBFae4jQEUtgsMU"",""All!B2:B""),MATCH($B115,IMPORTRANGE(""12vtnxaE_Q1s4tyr10kZQx7ZF_xG0lBFae4jQEUtgsMU"",""All!A2:A""),0)),INDEX(IMPORTRANGE(""13KC70HngS4DDi8y9E5khtSpQEPG6owaQ9z4E-tR5mnY"","&amp;"""Non-Food!B2:B""),MATCH($B115,IMPORTRANGE(""13KC70HngS4DDi8y9E5khtSpQEPG6owaQ9z4E-tR5mnY"",""Non-Food!A2:A""),0))),"""")"),"")</f>
        <v/>
      </c>
      <c r="D115" s="4"/>
      <c r="E115" s="4"/>
      <c r="F115" s="4"/>
      <c r="G115" s="4"/>
      <c r="H115" s="4"/>
      <c r="I115" s="4"/>
      <c r="J115" s="4" t="str">
        <f t="shared" si="2"/>
        <v/>
      </c>
      <c r="K115" s="4"/>
      <c r="L115" s="4"/>
    </row>
    <row r="116">
      <c r="A116" s="4"/>
      <c r="B116" s="15"/>
      <c r="C116" s="7" t="str">
        <f>IFERROR(__xludf.DUMMYFUNCTION("iferror(iferror(INDEX(IMPORTRANGE(""12vtnxaE_Q1s4tyr10kZQx7ZF_xG0lBFae4jQEUtgsMU"",""All!B2:B""),MATCH($B116,IMPORTRANGE(""12vtnxaE_Q1s4tyr10kZQx7ZF_xG0lBFae4jQEUtgsMU"",""All!A2:A""),0)),INDEX(IMPORTRANGE(""13KC70HngS4DDi8y9E5khtSpQEPG6owaQ9z4E-tR5mnY"","&amp;"""Non-Food!B2:B""),MATCH($B116,IMPORTRANGE(""13KC70HngS4DDi8y9E5khtSpQEPG6owaQ9z4E-tR5mnY"",""Non-Food!A2:A""),0))),"""")"),"")</f>
        <v/>
      </c>
      <c r="D116" s="4"/>
      <c r="E116" s="4"/>
      <c r="F116" s="4"/>
      <c r="G116" s="4"/>
      <c r="H116" s="4"/>
      <c r="I116" s="4"/>
      <c r="J116" s="4" t="str">
        <f t="shared" si="2"/>
        <v/>
      </c>
      <c r="K116" s="4"/>
      <c r="L116" s="4"/>
    </row>
    <row r="117">
      <c r="A117" s="4"/>
      <c r="B117" s="15"/>
      <c r="C117" s="7" t="str">
        <f>IFERROR(__xludf.DUMMYFUNCTION("iferror(iferror(INDEX(IMPORTRANGE(""12vtnxaE_Q1s4tyr10kZQx7ZF_xG0lBFae4jQEUtgsMU"",""All!B2:B""),MATCH($B117,IMPORTRANGE(""12vtnxaE_Q1s4tyr10kZQx7ZF_xG0lBFae4jQEUtgsMU"",""All!A2:A""),0)),INDEX(IMPORTRANGE(""13KC70HngS4DDi8y9E5khtSpQEPG6owaQ9z4E-tR5mnY"","&amp;"""Non-Food!B2:B""),MATCH($B117,IMPORTRANGE(""13KC70HngS4DDi8y9E5khtSpQEPG6owaQ9z4E-tR5mnY"",""Non-Food!A2:A""),0))),"""")"),"")</f>
        <v/>
      </c>
      <c r="D117" s="4"/>
      <c r="E117" s="4"/>
      <c r="F117" s="4"/>
      <c r="G117" s="4"/>
      <c r="H117" s="4"/>
      <c r="I117" s="4"/>
      <c r="J117" s="4" t="str">
        <f t="shared" si="2"/>
        <v/>
      </c>
      <c r="K117" s="4"/>
      <c r="L117" s="4"/>
    </row>
    <row r="118">
      <c r="A118" s="4"/>
      <c r="B118" s="15"/>
      <c r="C118" s="7" t="str">
        <f>IFERROR(__xludf.DUMMYFUNCTION("iferror(iferror(INDEX(IMPORTRANGE(""12vtnxaE_Q1s4tyr10kZQx7ZF_xG0lBFae4jQEUtgsMU"",""All!B2:B""),MATCH($B118,IMPORTRANGE(""12vtnxaE_Q1s4tyr10kZQx7ZF_xG0lBFae4jQEUtgsMU"",""All!A2:A""),0)),INDEX(IMPORTRANGE(""13KC70HngS4DDi8y9E5khtSpQEPG6owaQ9z4E-tR5mnY"","&amp;"""Non-Food!B2:B""),MATCH($B118,IMPORTRANGE(""13KC70HngS4DDi8y9E5khtSpQEPG6owaQ9z4E-tR5mnY"",""Non-Food!A2:A""),0))),"""")"),"")</f>
        <v/>
      </c>
      <c r="D118" s="4"/>
      <c r="E118" s="4"/>
      <c r="F118" s="4"/>
      <c r="G118" s="4"/>
      <c r="H118" s="4"/>
      <c r="I118" s="4"/>
      <c r="J118" s="4" t="str">
        <f t="shared" si="2"/>
        <v/>
      </c>
      <c r="K118" s="4"/>
      <c r="L118" s="4"/>
    </row>
    <row r="119">
      <c r="A119" s="4"/>
      <c r="B119" s="15"/>
      <c r="C119" s="7" t="str">
        <f>IFERROR(__xludf.DUMMYFUNCTION("iferror(iferror(INDEX(IMPORTRANGE(""12vtnxaE_Q1s4tyr10kZQx7ZF_xG0lBFae4jQEUtgsMU"",""All!B2:B""),MATCH($B119,IMPORTRANGE(""12vtnxaE_Q1s4tyr10kZQx7ZF_xG0lBFae4jQEUtgsMU"",""All!A2:A""),0)),INDEX(IMPORTRANGE(""13KC70HngS4DDi8y9E5khtSpQEPG6owaQ9z4E-tR5mnY"","&amp;"""Non-Food!B2:B""),MATCH($B119,IMPORTRANGE(""13KC70HngS4DDi8y9E5khtSpQEPG6owaQ9z4E-tR5mnY"",""Non-Food!A2:A""),0))),"""")"),"")</f>
        <v/>
      </c>
      <c r="D119" s="4"/>
      <c r="E119" s="4"/>
      <c r="F119" s="4"/>
      <c r="G119" s="4"/>
      <c r="H119" s="4"/>
      <c r="I119" s="4"/>
      <c r="J119" s="4" t="str">
        <f t="shared" si="2"/>
        <v/>
      </c>
      <c r="K119" s="4"/>
      <c r="L119" s="4"/>
    </row>
    <row r="120">
      <c r="A120" s="4"/>
      <c r="B120" s="15"/>
      <c r="C120" s="7" t="str">
        <f>IFERROR(__xludf.DUMMYFUNCTION("iferror(iferror(INDEX(IMPORTRANGE(""12vtnxaE_Q1s4tyr10kZQx7ZF_xG0lBFae4jQEUtgsMU"",""All!B2:B""),MATCH($B120,IMPORTRANGE(""12vtnxaE_Q1s4tyr10kZQx7ZF_xG0lBFae4jQEUtgsMU"",""All!A2:A""),0)),INDEX(IMPORTRANGE(""13KC70HngS4DDi8y9E5khtSpQEPG6owaQ9z4E-tR5mnY"","&amp;"""Non-Food!B2:B""),MATCH($B120,IMPORTRANGE(""13KC70HngS4DDi8y9E5khtSpQEPG6owaQ9z4E-tR5mnY"",""Non-Food!A2:A""),0))),"""")"),"")</f>
        <v/>
      </c>
      <c r="D120" s="4"/>
      <c r="E120" s="4"/>
      <c r="F120" s="4"/>
      <c r="G120" s="4"/>
      <c r="H120" s="4"/>
      <c r="I120" s="4"/>
      <c r="J120" s="4" t="str">
        <f t="shared" si="2"/>
        <v/>
      </c>
      <c r="K120" s="4"/>
      <c r="L120" s="4"/>
    </row>
    <row r="121">
      <c r="A121" s="4"/>
      <c r="B121" s="15"/>
      <c r="C121" s="7" t="str">
        <f>IFERROR(__xludf.DUMMYFUNCTION("iferror(iferror(INDEX(IMPORTRANGE(""12vtnxaE_Q1s4tyr10kZQx7ZF_xG0lBFae4jQEUtgsMU"",""All!B2:B""),MATCH($B121,IMPORTRANGE(""12vtnxaE_Q1s4tyr10kZQx7ZF_xG0lBFae4jQEUtgsMU"",""All!A2:A""),0)),INDEX(IMPORTRANGE(""13KC70HngS4DDi8y9E5khtSpQEPG6owaQ9z4E-tR5mnY"","&amp;"""Non-Food!B2:B""),MATCH($B121,IMPORTRANGE(""13KC70HngS4DDi8y9E5khtSpQEPG6owaQ9z4E-tR5mnY"",""Non-Food!A2:A""),0))),"""")"),"")</f>
        <v/>
      </c>
      <c r="D121" s="4"/>
      <c r="E121" s="4"/>
      <c r="F121" s="4"/>
      <c r="G121" s="4"/>
      <c r="H121" s="4"/>
      <c r="I121" s="4"/>
      <c r="J121" s="4" t="str">
        <f t="shared" si="2"/>
        <v/>
      </c>
      <c r="K121" s="4"/>
      <c r="L121" s="4"/>
    </row>
    <row r="122">
      <c r="A122" s="4"/>
      <c r="B122" s="15"/>
      <c r="C122" s="7" t="str">
        <f>IFERROR(__xludf.DUMMYFUNCTION("iferror(iferror(INDEX(IMPORTRANGE(""12vtnxaE_Q1s4tyr10kZQx7ZF_xG0lBFae4jQEUtgsMU"",""All!B2:B""),MATCH($B122,IMPORTRANGE(""12vtnxaE_Q1s4tyr10kZQx7ZF_xG0lBFae4jQEUtgsMU"",""All!A2:A""),0)),INDEX(IMPORTRANGE(""13KC70HngS4DDi8y9E5khtSpQEPG6owaQ9z4E-tR5mnY"","&amp;"""Non-Food!B2:B""),MATCH($B122,IMPORTRANGE(""13KC70HngS4DDi8y9E5khtSpQEPG6owaQ9z4E-tR5mnY"",""Non-Food!A2:A""),0))),"""")"),"")</f>
        <v/>
      </c>
      <c r="D122" s="4"/>
      <c r="E122" s="4"/>
      <c r="F122" s="4"/>
      <c r="G122" s="4"/>
      <c r="H122" s="4"/>
      <c r="I122" s="4"/>
      <c r="J122" s="4" t="str">
        <f t="shared" si="2"/>
        <v/>
      </c>
      <c r="K122" s="4"/>
      <c r="L122" s="4"/>
    </row>
    <row r="123">
      <c r="A123" s="4"/>
      <c r="B123" s="15"/>
      <c r="C123" s="7" t="str">
        <f>IFERROR(__xludf.DUMMYFUNCTION("iferror(iferror(INDEX(IMPORTRANGE(""12vtnxaE_Q1s4tyr10kZQx7ZF_xG0lBFae4jQEUtgsMU"",""All!B2:B""),MATCH($B123,IMPORTRANGE(""12vtnxaE_Q1s4tyr10kZQx7ZF_xG0lBFae4jQEUtgsMU"",""All!A2:A""),0)),INDEX(IMPORTRANGE(""13KC70HngS4DDi8y9E5khtSpQEPG6owaQ9z4E-tR5mnY"","&amp;"""Non-Food!B2:B""),MATCH($B123,IMPORTRANGE(""13KC70HngS4DDi8y9E5khtSpQEPG6owaQ9z4E-tR5mnY"",""Non-Food!A2:A""),0))),"""")"),"")</f>
        <v/>
      </c>
      <c r="D123" s="4"/>
      <c r="E123" s="4"/>
      <c r="F123" s="4"/>
      <c r="G123" s="4"/>
      <c r="H123" s="4"/>
      <c r="I123" s="4"/>
      <c r="J123" s="4" t="str">
        <f t="shared" si="2"/>
        <v/>
      </c>
      <c r="K123" s="4"/>
      <c r="L123" s="4"/>
    </row>
    <row r="124">
      <c r="A124" s="4"/>
      <c r="B124" s="15"/>
      <c r="C124" s="7" t="str">
        <f>IFERROR(__xludf.DUMMYFUNCTION("iferror(iferror(INDEX(IMPORTRANGE(""12vtnxaE_Q1s4tyr10kZQx7ZF_xG0lBFae4jQEUtgsMU"",""All!B2:B""),MATCH($B124,IMPORTRANGE(""12vtnxaE_Q1s4tyr10kZQx7ZF_xG0lBFae4jQEUtgsMU"",""All!A2:A""),0)),INDEX(IMPORTRANGE(""13KC70HngS4DDi8y9E5khtSpQEPG6owaQ9z4E-tR5mnY"","&amp;"""Non-Food!B2:B""),MATCH($B124,IMPORTRANGE(""13KC70HngS4DDi8y9E5khtSpQEPG6owaQ9z4E-tR5mnY"",""Non-Food!A2:A""),0))),"""")"),"")</f>
        <v/>
      </c>
      <c r="D124" s="4"/>
      <c r="E124" s="4"/>
      <c r="F124" s="4"/>
      <c r="G124" s="4"/>
      <c r="H124" s="4"/>
      <c r="I124" s="4"/>
      <c r="J124" s="4" t="str">
        <f t="shared" si="2"/>
        <v/>
      </c>
      <c r="K124" s="4"/>
      <c r="L124" s="4"/>
    </row>
    <row r="125">
      <c r="A125" s="4"/>
      <c r="B125" s="15"/>
      <c r="C125" s="7" t="str">
        <f>IFERROR(__xludf.DUMMYFUNCTION("iferror(iferror(INDEX(IMPORTRANGE(""12vtnxaE_Q1s4tyr10kZQx7ZF_xG0lBFae4jQEUtgsMU"",""All!B2:B""),MATCH($B125,IMPORTRANGE(""12vtnxaE_Q1s4tyr10kZQx7ZF_xG0lBFae4jQEUtgsMU"",""All!A2:A""),0)),INDEX(IMPORTRANGE(""13KC70HngS4DDi8y9E5khtSpQEPG6owaQ9z4E-tR5mnY"","&amp;"""Non-Food!B2:B""),MATCH($B125,IMPORTRANGE(""13KC70HngS4DDi8y9E5khtSpQEPG6owaQ9z4E-tR5mnY"",""Non-Food!A2:A""),0))),"""")"),"")</f>
        <v/>
      </c>
      <c r="D125" s="4"/>
      <c r="E125" s="4"/>
      <c r="F125" s="4"/>
      <c r="G125" s="4"/>
      <c r="H125" s="4"/>
      <c r="I125" s="4"/>
      <c r="J125" s="4" t="str">
        <f t="shared" si="2"/>
        <v/>
      </c>
      <c r="K125" s="4"/>
      <c r="L125" s="4"/>
    </row>
    <row r="126">
      <c r="A126" s="4"/>
      <c r="B126" s="15"/>
      <c r="C126" s="7" t="str">
        <f>IFERROR(__xludf.DUMMYFUNCTION("iferror(iferror(INDEX(IMPORTRANGE(""12vtnxaE_Q1s4tyr10kZQx7ZF_xG0lBFae4jQEUtgsMU"",""All!B2:B""),MATCH($B126,IMPORTRANGE(""12vtnxaE_Q1s4tyr10kZQx7ZF_xG0lBFae4jQEUtgsMU"",""All!A2:A""),0)),INDEX(IMPORTRANGE(""13KC70HngS4DDi8y9E5khtSpQEPG6owaQ9z4E-tR5mnY"","&amp;"""Non-Food!B2:B""),MATCH($B126,IMPORTRANGE(""13KC70HngS4DDi8y9E5khtSpQEPG6owaQ9z4E-tR5mnY"",""Non-Food!A2:A""),0))),"""")"),"")</f>
        <v/>
      </c>
      <c r="D126" s="4"/>
      <c r="E126" s="4"/>
      <c r="F126" s="4"/>
      <c r="G126" s="4"/>
      <c r="H126" s="4"/>
      <c r="I126" s="4"/>
      <c r="J126" s="4" t="str">
        <f t="shared" si="2"/>
        <v/>
      </c>
      <c r="K126" s="4"/>
      <c r="L126" s="4"/>
    </row>
    <row r="127">
      <c r="A127" s="4"/>
      <c r="B127" s="15"/>
      <c r="C127" s="7" t="str">
        <f>IFERROR(__xludf.DUMMYFUNCTION("iferror(iferror(INDEX(IMPORTRANGE(""12vtnxaE_Q1s4tyr10kZQx7ZF_xG0lBFae4jQEUtgsMU"",""All!B2:B""),MATCH($B127,IMPORTRANGE(""12vtnxaE_Q1s4tyr10kZQx7ZF_xG0lBFae4jQEUtgsMU"",""All!A2:A""),0)),INDEX(IMPORTRANGE(""13KC70HngS4DDi8y9E5khtSpQEPG6owaQ9z4E-tR5mnY"","&amp;"""Non-Food!B2:B""),MATCH($B127,IMPORTRANGE(""13KC70HngS4DDi8y9E5khtSpQEPG6owaQ9z4E-tR5mnY"",""Non-Food!A2:A""),0))),"""")"),"")</f>
        <v/>
      </c>
      <c r="D127" s="4"/>
      <c r="E127" s="4"/>
      <c r="F127" s="4"/>
      <c r="G127" s="4"/>
      <c r="H127" s="4"/>
      <c r="I127" s="4"/>
      <c r="J127" s="4" t="str">
        <f t="shared" si="2"/>
        <v/>
      </c>
      <c r="K127" s="4"/>
      <c r="L127" s="4"/>
    </row>
    <row r="128">
      <c r="A128" s="4"/>
      <c r="B128" s="15"/>
      <c r="C128" s="7" t="str">
        <f>IFERROR(__xludf.DUMMYFUNCTION("iferror(iferror(INDEX(IMPORTRANGE(""12vtnxaE_Q1s4tyr10kZQx7ZF_xG0lBFae4jQEUtgsMU"",""All!B2:B""),MATCH($B128,IMPORTRANGE(""12vtnxaE_Q1s4tyr10kZQx7ZF_xG0lBFae4jQEUtgsMU"",""All!A2:A""),0)),INDEX(IMPORTRANGE(""13KC70HngS4DDi8y9E5khtSpQEPG6owaQ9z4E-tR5mnY"","&amp;"""Non-Food!B2:B""),MATCH($B128,IMPORTRANGE(""13KC70HngS4DDi8y9E5khtSpQEPG6owaQ9z4E-tR5mnY"",""Non-Food!A2:A""),0))),"""")"),"")</f>
        <v/>
      </c>
      <c r="D128" s="4"/>
      <c r="E128" s="4"/>
      <c r="F128" s="4"/>
      <c r="G128" s="4"/>
      <c r="H128" s="4"/>
      <c r="I128" s="4"/>
      <c r="J128" s="4" t="str">
        <f t="shared" si="2"/>
        <v/>
      </c>
      <c r="K128" s="4"/>
      <c r="L128" s="4"/>
    </row>
    <row r="129">
      <c r="A129" s="4"/>
      <c r="B129" s="15"/>
      <c r="C129" s="7" t="str">
        <f>IFERROR(__xludf.DUMMYFUNCTION("iferror(iferror(INDEX(IMPORTRANGE(""12vtnxaE_Q1s4tyr10kZQx7ZF_xG0lBFae4jQEUtgsMU"",""All!B2:B""),MATCH($B129,IMPORTRANGE(""12vtnxaE_Q1s4tyr10kZQx7ZF_xG0lBFae4jQEUtgsMU"",""All!A2:A""),0)),INDEX(IMPORTRANGE(""13KC70HngS4DDi8y9E5khtSpQEPG6owaQ9z4E-tR5mnY"","&amp;"""Non-Food!B2:B""),MATCH($B129,IMPORTRANGE(""13KC70HngS4DDi8y9E5khtSpQEPG6owaQ9z4E-tR5mnY"",""Non-Food!A2:A""),0))),"""")"),"")</f>
        <v/>
      </c>
      <c r="D129" s="4"/>
      <c r="E129" s="4"/>
      <c r="F129" s="4"/>
      <c r="G129" s="4"/>
      <c r="H129" s="4"/>
      <c r="I129" s="4"/>
      <c r="J129" s="4" t="str">
        <f t="shared" si="2"/>
        <v/>
      </c>
      <c r="K129" s="4"/>
      <c r="L129" s="4"/>
    </row>
    <row r="130">
      <c r="A130" s="4"/>
      <c r="B130" s="15"/>
      <c r="C130" s="7" t="str">
        <f>IFERROR(__xludf.DUMMYFUNCTION("iferror(iferror(INDEX(IMPORTRANGE(""12vtnxaE_Q1s4tyr10kZQx7ZF_xG0lBFae4jQEUtgsMU"",""All!B2:B""),MATCH($B130,IMPORTRANGE(""12vtnxaE_Q1s4tyr10kZQx7ZF_xG0lBFae4jQEUtgsMU"",""All!A2:A""),0)),INDEX(IMPORTRANGE(""13KC70HngS4DDi8y9E5khtSpQEPG6owaQ9z4E-tR5mnY"","&amp;"""Non-Food!B2:B""),MATCH($B130,IMPORTRANGE(""13KC70HngS4DDi8y9E5khtSpQEPG6owaQ9z4E-tR5mnY"",""Non-Food!A2:A""),0))),"""")"),"")</f>
        <v/>
      </c>
      <c r="D130" s="4"/>
      <c r="E130" s="4"/>
      <c r="F130" s="4"/>
      <c r="G130" s="4"/>
      <c r="H130" s="4"/>
      <c r="I130" s="4"/>
      <c r="J130" s="4" t="str">
        <f t="shared" si="2"/>
        <v/>
      </c>
      <c r="K130" s="4"/>
      <c r="L130" s="4"/>
    </row>
    <row r="131">
      <c r="A131" s="4"/>
      <c r="B131" s="15"/>
      <c r="C131" s="7" t="str">
        <f>IFERROR(__xludf.DUMMYFUNCTION("iferror(iferror(INDEX(IMPORTRANGE(""12vtnxaE_Q1s4tyr10kZQx7ZF_xG0lBFae4jQEUtgsMU"",""All!B2:B""),MATCH($B131,IMPORTRANGE(""12vtnxaE_Q1s4tyr10kZQx7ZF_xG0lBFae4jQEUtgsMU"",""All!A2:A""),0)),INDEX(IMPORTRANGE(""13KC70HngS4DDi8y9E5khtSpQEPG6owaQ9z4E-tR5mnY"","&amp;"""Non-Food!B2:B""),MATCH($B131,IMPORTRANGE(""13KC70HngS4DDi8y9E5khtSpQEPG6owaQ9z4E-tR5mnY"",""Non-Food!A2:A""),0))),"""")"),"")</f>
        <v/>
      </c>
      <c r="D131" s="4"/>
      <c r="E131" s="4"/>
      <c r="F131" s="4"/>
      <c r="G131" s="4"/>
      <c r="H131" s="4"/>
      <c r="I131" s="4"/>
      <c r="J131" s="4" t="str">
        <f t="shared" si="2"/>
        <v/>
      </c>
      <c r="K131" s="4"/>
      <c r="L131" s="4"/>
    </row>
    <row r="132">
      <c r="A132" s="4"/>
      <c r="B132" s="15"/>
      <c r="C132" s="7" t="str">
        <f>IFERROR(__xludf.DUMMYFUNCTION("iferror(iferror(INDEX(IMPORTRANGE(""12vtnxaE_Q1s4tyr10kZQx7ZF_xG0lBFae4jQEUtgsMU"",""All!B2:B""),MATCH($B132,IMPORTRANGE(""12vtnxaE_Q1s4tyr10kZQx7ZF_xG0lBFae4jQEUtgsMU"",""All!A2:A""),0)),INDEX(IMPORTRANGE(""13KC70HngS4DDi8y9E5khtSpQEPG6owaQ9z4E-tR5mnY"","&amp;"""Non-Food!B2:B""),MATCH($B132,IMPORTRANGE(""13KC70HngS4DDi8y9E5khtSpQEPG6owaQ9z4E-tR5mnY"",""Non-Food!A2:A""),0))),"""")"),"")</f>
        <v/>
      </c>
      <c r="D132" s="4"/>
      <c r="E132" s="4"/>
      <c r="F132" s="4"/>
      <c r="G132" s="4"/>
      <c r="H132" s="4"/>
      <c r="I132" s="4"/>
      <c r="J132" s="4" t="str">
        <f t="shared" si="2"/>
        <v/>
      </c>
      <c r="K132" s="4"/>
      <c r="L132" s="4"/>
    </row>
    <row r="133">
      <c r="A133" s="4"/>
      <c r="B133" s="15"/>
      <c r="C133" s="7" t="str">
        <f>IFERROR(__xludf.DUMMYFUNCTION("iferror(iferror(INDEX(IMPORTRANGE(""12vtnxaE_Q1s4tyr10kZQx7ZF_xG0lBFae4jQEUtgsMU"",""All!B2:B""),MATCH($B133,IMPORTRANGE(""12vtnxaE_Q1s4tyr10kZQx7ZF_xG0lBFae4jQEUtgsMU"",""All!A2:A""),0)),INDEX(IMPORTRANGE(""13KC70HngS4DDi8y9E5khtSpQEPG6owaQ9z4E-tR5mnY"","&amp;"""Non-Food!B2:B""),MATCH($B133,IMPORTRANGE(""13KC70HngS4DDi8y9E5khtSpQEPG6owaQ9z4E-tR5mnY"",""Non-Food!A2:A""),0))),"""")"),"")</f>
        <v/>
      </c>
      <c r="D133" s="4"/>
      <c r="E133" s="4"/>
      <c r="F133" s="4"/>
      <c r="G133" s="4"/>
      <c r="H133" s="4"/>
      <c r="I133" s="4"/>
      <c r="J133" s="4" t="str">
        <f t="shared" si="2"/>
        <v/>
      </c>
      <c r="K133" s="4"/>
      <c r="L133" s="4"/>
    </row>
    <row r="134">
      <c r="A134" s="4"/>
      <c r="B134" s="15"/>
      <c r="C134" s="7" t="str">
        <f>IFERROR(__xludf.DUMMYFUNCTION("iferror(iferror(INDEX(IMPORTRANGE(""12vtnxaE_Q1s4tyr10kZQx7ZF_xG0lBFae4jQEUtgsMU"",""All!B2:B""),MATCH($B134,IMPORTRANGE(""12vtnxaE_Q1s4tyr10kZQx7ZF_xG0lBFae4jQEUtgsMU"",""All!A2:A""),0)),INDEX(IMPORTRANGE(""13KC70HngS4DDi8y9E5khtSpQEPG6owaQ9z4E-tR5mnY"","&amp;"""Non-Food!B2:B""),MATCH($B134,IMPORTRANGE(""13KC70HngS4DDi8y9E5khtSpQEPG6owaQ9z4E-tR5mnY"",""Non-Food!A2:A""),0))),"""")"),"")</f>
        <v/>
      </c>
      <c r="D134" s="4"/>
      <c r="E134" s="4"/>
      <c r="F134" s="4"/>
      <c r="G134" s="4"/>
      <c r="H134" s="4"/>
      <c r="I134" s="4"/>
      <c r="J134" s="4" t="str">
        <f t="shared" si="2"/>
        <v/>
      </c>
      <c r="K134" s="4"/>
      <c r="L134" s="4"/>
    </row>
    <row r="135">
      <c r="A135" s="4"/>
      <c r="B135" s="15"/>
      <c r="C135" s="7" t="str">
        <f>IFERROR(__xludf.DUMMYFUNCTION("iferror(iferror(INDEX(IMPORTRANGE(""12vtnxaE_Q1s4tyr10kZQx7ZF_xG0lBFae4jQEUtgsMU"",""All!B2:B""),MATCH($B135,IMPORTRANGE(""12vtnxaE_Q1s4tyr10kZQx7ZF_xG0lBFae4jQEUtgsMU"",""All!A2:A""),0)),INDEX(IMPORTRANGE(""13KC70HngS4DDi8y9E5khtSpQEPG6owaQ9z4E-tR5mnY"","&amp;"""Non-Food!B2:B""),MATCH($B135,IMPORTRANGE(""13KC70HngS4DDi8y9E5khtSpQEPG6owaQ9z4E-tR5mnY"",""Non-Food!A2:A""),0))),"""")"),"")</f>
        <v/>
      </c>
      <c r="D135" s="4"/>
      <c r="E135" s="4"/>
      <c r="F135" s="4"/>
      <c r="G135" s="4"/>
      <c r="H135" s="4"/>
      <c r="I135" s="4"/>
      <c r="J135" s="4" t="str">
        <f t="shared" si="2"/>
        <v/>
      </c>
      <c r="K135" s="4"/>
      <c r="L135" s="4"/>
    </row>
    <row r="136">
      <c r="A136" s="4"/>
      <c r="B136" s="15"/>
      <c r="C136" s="7" t="str">
        <f>IFERROR(__xludf.DUMMYFUNCTION("iferror(iferror(INDEX(IMPORTRANGE(""12vtnxaE_Q1s4tyr10kZQx7ZF_xG0lBFae4jQEUtgsMU"",""All!B2:B""),MATCH($B136,IMPORTRANGE(""12vtnxaE_Q1s4tyr10kZQx7ZF_xG0lBFae4jQEUtgsMU"",""All!A2:A""),0)),INDEX(IMPORTRANGE(""13KC70HngS4DDi8y9E5khtSpQEPG6owaQ9z4E-tR5mnY"","&amp;"""Non-Food!B2:B""),MATCH($B136,IMPORTRANGE(""13KC70HngS4DDi8y9E5khtSpQEPG6owaQ9z4E-tR5mnY"",""Non-Food!A2:A""),0))),"""")"),"")</f>
        <v/>
      </c>
      <c r="D136" s="4"/>
      <c r="E136" s="4"/>
      <c r="F136" s="4"/>
      <c r="G136" s="4"/>
      <c r="H136" s="4"/>
      <c r="I136" s="4"/>
      <c r="J136" s="4" t="str">
        <f t="shared" si="2"/>
        <v/>
      </c>
      <c r="K136" s="4"/>
      <c r="L136" s="4"/>
    </row>
    <row r="137">
      <c r="A137" s="4"/>
      <c r="B137" s="15"/>
      <c r="C137" s="7" t="str">
        <f>IFERROR(__xludf.DUMMYFUNCTION("iferror(iferror(INDEX(IMPORTRANGE(""12vtnxaE_Q1s4tyr10kZQx7ZF_xG0lBFae4jQEUtgsMU"",""All!B2:B""),MATCH($B137,IMPORTRANGE(""12vtnxaE_Q1s4tyr10kZQx7ZF_xG0lBFae4jQEUtgsMU"",""All!A2:A""),0)),INDEX(IMPORTRANGE(""13KC70HngS4DDi8y9E5khtSpQEPG6owaQ9z4E-tR5mnY"","&amp;"""Non-Food!B2:B""),MATCH($B137,IMPORTRANGE(""13KC70HngS4DDi8y9E5khtSpQEPG6owaQ9z4E-tR5mnY"",""Non-Food!A2:A""),0))),"""")"),"")</f>
        <v/>
      </c>
      <c r="D137" s="4"/>
      <c r="E137" s="4"/>
      <c r="F137" s="4"/>
      <c r="G137" s="4"/>
      <c r="H137" s="4"/>
      <c r="I137" s="4"/>
      <c r="J137" s="4" t="str">
        <f t="shared" si="2"/>
        <v/>
      </c>
      <c r="K137" s="4"/>
      <c r="L137" s="4"/>
    </row>
    <row r="138">
      <c r="A138" s="4"/>
      <c r="B138" s="15"/>
      <c r="C138" s="7" t="str">
        <f>IFERROR(__xludf.DUMMYFUNCTION("iferror(iferror(INDEX(IMPORTRANGE(""12vtnxaE_Q1s4tyr10kZQx7ZF_xG0lBFae4jQEUtgsMU"",""All!B2:B""),MATCH($B138,IMPORTRANGE(""12vtnxaE_Q1s4tyr10kZQx7ZF_xG0lBFae4jQEUtgsMU"",""All!A2:A""),0)),INDEX(IMPORTRANGE(""13KC70HngS4DDi8y9E5khtSpQEPG6owaQ9z4E-tR5mnY"","&amp;"""Non-Food!B2:B""),MATCH($B138,IMPORTRANGE(""13KC70HngS4DDi8y9E5khtSpQEPG6owaQ9z4E-tR5mnY"",""Non-Food!A2:A""),0))),"""")"),"")</f>
        <v/>
      </c>
      <c r="D138" s="4"/>
      <c r="E138" s="4"/>
      <c r="F138" s="4"/>
      <c r="G138" s="4"/>
      <c r="H138" s="4"/>
      <c r="I138" s="4"/>
      <c r="J138" s="4" t="str">
        <f t="shared" si="2"/>
        <v/>
      </c>
      <c r="K138" s="4"/>
      <c r="L138" s="4"/>
    </row>
    <row r="139">
      <c r="A139" s="4"/>
      <c r="B139" s="15"/>
      <c r="C139" s="7" t="str">
        <f>IFERROR(__xludf.DUMMYFUNCTION("iferror(iferror(INDEX(IMPORTRANGE(""12vtnxaE_Q1s4tyr10kZQx7ZF_xG0lBFae4jQEUtgsMU"",""All!B2:B""),MATCH($B139,IMPORTRANGE(""12vtnxaE_Q1s4tyr10kZQx7ZF_xG0lBFae4jQEUtgsMU"",""All!A2:A""),0)),INDEX(IMPORTRANGE(""13KC70HngS4DDi8y9E5khtSpQEPG6owaQ9z4E-tR5mnY"","&amp;"""Non-Food!B2:B""),MATCH($B139,IMPORTRANGE(""13KC70HngS4DDi8y9E5khtSpQEPG6owaQ9z4E-tR5mnY"",""Non-Food!A2:A""),0))),"""")"),"")</f>
        <v/>
      </c>
      <c r="D139" s="4"/>
      <c r="E139" s="4"/>
      <c r="F139" s="4"/>
      <c r="G139" s="4"/>
      <c r="H139" s="4"/>
      <c r="I139" s="4"/>
      <c r="J139" s="4" t="str">
        <f t="shared" si="2"/>
        <v/>
      </c>
      <c r="K139" s="4"/>
      <c r="L139" s="4"/>
    </row>
    <row r="140">
      <c r="A140" s="4"/>
      <c r="B140" s="15"/>
      <c r="C140" s="7" t="str">
        <f>IFERROR(__xludf.DUMMYFUNCTION("iferror(iferror(INDEX(IMPORTRANGE(""12vtnxaE_Q1s4tyr10kZQx7ZF_xG0lBFae4jQEUtgsMU"",""All!B2:B""),MATCH($B140,IMPORTRANGE(""12vtnxaE_Q1s4tyr10kZQx7ZF_xG0lBFae4jQEUtgsMU"",""All!A2:A""),0)),INDEX(IMPORTRANGE(""13KC70HngS4DDi8y9E5khtSpQEPG6owaQ9z4E-tR5mnY"","&amp;"""Non-Food!B2:B""),MATCH($B140,IMPORTRANGE(""13KC70HngS4DDi8y9E5khtSpQEPG6owaQ9z4E-tR5mnY"",""Non-Food!A2:A""),0))),"""")"),"")</f>
        <v/>
      </c>
      <c r="D140" s="4"/>
      <c r="E140" s="4"/>
      <c r="F140" s="4"/>
      <c r="G140" s="4"/>
      <c r="H140" s="4"/>
      <c r="I140" s="4"/>
      <c r="J140" s="4" t="str">
        <f t="shared" si="2"/>
        <v/>
      </c>
      <c r="K140" s="4"/>
      <c r="L140" s="4"/>
    </row>
    <row r="141">
      <c r="A141" s="4"/>
      <c r="B141" s="15"/>
      <c r="C141" s="7" t="str">
        <f>IFERROR(__xludf.DUMMYFUNCTION("iferror(iferror(INDEX(IMPORTRANGE(""12vtnxaE_Q1s4tyr10kZQx7ZF_xG0lBFae4jQEUtgsMU"",""All!B2:B""),MATCH($B141,IMPORTRANGE(""12vtnxaE_Q1s4tyr10kZQx7ZF_xG0lBFae4jQEUtgsMU"",""All!A2:A""),0)),INDEX(IMPORTRANGE(""13KC70HngS4DDi8y9E5khtSpQEPG6owaQ9z4E-tR5mnY"","&amp;"""Non-Food!B2:B""),MATCH($B141,IMPORTRANGE(""13KC70HngS4DDi8y9E5khtSpQEPG6owaQ9z4E-tR5mnY"",""Non-Food!A2:A""),0))),"""")"),"")</f>
        <v/>
      </c>
      <c r="D141" s="4"/>
      <c r="E141" s="4"/>
      <c r="F141" s="4"/>
      <c r="G141" s="4"/>
      <c r="H141" s="4"/>
      <c r="I141" s="4"/>
      <c r="J141" s="4" t="str">
        <f t="shared" si="2"/>
        <v/>
      </c>
      <c r="K141" s="4"/>
      <c r="L141" s="4"/>
    </row>
    <row r="142">
      <c r="A142" s="4"/>
      <c r="B142" s="15"/>
      <c r="C142" s="7" t="str">
        <f>IFERROR(__xludf.DUMMYFUNCTION("iferror(iferror(INDEX(IMPORTRANGE(""12vtnxaE_Q1s4tyr10kZQx7ZF_xG0lBFae4jQEUtgsMU"",""All!B2:B""),MATCH($B142,IMPORTRANGE(""12vtnxaE_Q1s4tyr10kZQx7ZF_xG0lBFae4jQEUtgsMU"",""All!A2:A""),0)),INDEX(IMPORTRANGE(""13KC70HngS4DDi8y9E5khtSpQEPG6owaQ9z4E-tR5mnY"","&amp;"""Non-Food!B2:B""),MATCH($B142,IMPORTRANGE(""13KC70HngS4DDi8y9E5khtSpQEPG6owaQ9z4E-tR5mnY"",""Non-Food!A2:A""),0))),"""")"),"")</f>
        <v/>
      </c>
      <c r="D142" s="4"/>
      <c r="E142" s="4"/>
      <c r="F142" s="4"/>
      <c r="G142" s="4"/>
      <c r="H142" s="4"/>
      <c r="I142" s="4"/>
      <c r="J142" s="4" t="str">
        <f t="shared" si="2"/>
        <v/>
      </c>
      <c r="K142" s="4"/>
      <c r="L142" s="4"/>
    </row>
    <row r="143">
      <c r="A143" s="4"/>
      <c r="B143" s="15"/>
      <c r="C143" s="7" t="str">
        <f>IFERROR(__xludf.DUMMYFUNCTION("iferror(iferror(INDEX(IMPORTRANGE(""12vtnxaE_Q1s4tyr10kZQx7ZF_xG0lBFae4jQEUtgsMU"",""All!B2:B""),MATCH($B143,IMPORTRANGE(""12vtnxaE_Q1s4tyr10kZQx7ZF_xG0lBFae4jQEUtgsMU"",""All!A2:A""),0)),INDEX(IMPORTRANGE(""13KC70HngS4DDi8y9E5khtSpQEPG6owaQ9z4E-tR5mnY"","&amp;"""Non-Food!B2:B""),MATCH($B143,IMPORTRANGE(""13KC70HngS4DDi8y9E5khtSpQEPG6owaQ9z4E-tR5mnY"",""Non-Food!A2:A""),0))),"""")"),"")</f>
        <v/>
      </c>
      <c r="D143" s="4"/>
      <c r="E143" s="4"/>
      <c r="F143" s="4"/>
      <c r="G143" s="4"/>
      <c r="H143" s="4"/>
      <c r="I143" s="4"/>
      <c r="J143" s="4" t="str">
        <f t="shared" si="2"/>
        <v/>
      </c>
      <c r="K143" s="4"/>
      <c r="L143" s="4"/>
    </row>
    <row r="144">
      <c r="A144" s="4"/>
      <c r="B144" s="15"/>
      <c r="C144" s="7" t="str">
        <f>IFERROR(__xludf.DUMMYFUNCTION("iferror(iferror(INDEX(IMPORTRANGE(""12vtnxaE_Q1s4tyr10kZQx7ZF_xG0lBFae4jQEUtgsMU"",""All!B2:B""),MATCH($B144,IMPORTRANGE(""12vtnxaE_Q1s4tyr10kZQx7ZF_xG0lBFae4jQEUtgsMU"",""All!A2:A""),0)),INDEX(IMPORTRANGE(""13KC70HngS4DDi8y9E5khtSpQEPG6owaQ9z4E-tR5mnY"","&amp;"""Non-Food!B2:B""),MATCH($B144,IMPORTRANGE(""13KC70HngS4DDi8y9E5khtSpQEPG6owaQ9z4E-tR5mnY"",""Non-Food!A2:A""),0))),"""")"),"")</f>
        <v/>
      </c>
      <c r="D144" s="4"/>
      <c r="E144" s="4"/>
      <c r="F144" s="4"/>
      <c r="G144" s="4"/>
      <c r="H144" s="4"/>
      <c r="I144" s="4"/>
      <c r="J144" s="4" t="str">
        <f t="shared" si="2"/>
        <v/>
      </c>
      <c r="K144" s="4"/>
      <c r="L144" s="4"/>
    </row>
    <row r="145">
      <c r="A145" s="4"/>
      <c r="B145" s="15"/>
      <c r="C145" s="7" t="str">
        <f>IFERROR(__xludf.DUMMYFUNCTION("iferror(iferror(INDEX(IMPORTRANGE(""12vtnxaE_Q1s4tyr10kZQx7ZF_xG0lBFae4jQEUtgsMU"",""All!B2:B""),MATCH($B145,IMPORTRANGE(""12vtnxaE_Q1s4tyr10kZQx7ZF_xG0lBFae4jQEUtgsMU"",""All!A2:A""),0)),INDEX(IMPORTRANGE(""13KC70HngS4DDi8y9E5khtSpQEPG6owaQ9z4E-tR5mnY"","&amp;"""Non-Food!B2:B""),MATCH($B145,IMPORTRANGE(""13KC70HngS4DDi8y9E5khtSpQEPG6owaQ9z4E-tR5mnY"",""Non-Food!A2:A""),0))),"""")"),"")</f>
        <v/>
      </c>
      <c r="D145" s="4"/>
      <c r="E145" s="4"/>
      <c r="F145" s="4"/>
      <c r="G145" s="4"/>
      <c r="H145" s="4"/>
      <c r="I145" s="4"/>
      <c r="J145" s="4" t="str">
        <f t="shared" si="2"/>
        <v/>
      </c>
      <c r="K145" s="4"/>
      <c r="L145" s="4"/>
    </row>
    <row r="146">
      <c r="A146" s="4"/>
      <c r="B146" s="15"/>
      <c r="C146" s="7" t="str">
        <f>IFERROR(__xludf.DUMMYFUNCTION("iferror(iferror(INDEX(IMPORTRANGE(""12vtnxaE_Q1s4tyr10kZQx7ZF_xG0lBFae4jQEUtgsMU"",""All!B2:B""),MATCH($B146,IMPORTRANGE(""12vtnxaE_Q1s4tyr10kZQx7ZF_xG0lBFae4jQEUtgsMU"",""All!A2:A""),0)),INDEX(IMPORTRANGE(""13KC70HngS4DDi8y9E5khtSpQEPG6owaQ9z4E-tR5mnY"","&amp;"""Non-Food!B2:B""),MATCH($B146,IMPORTRANGE(""13KC70HngS4DDi8y9E5khtSpQEPG6owaQ9z4E-tR5mnY"",""Non-Food!A2:A""),0))),"""")"),"")</f>
        <v/>
      </c>
      <c r="D146" s="4"/>
      <c r="E146" s="4"/>
      <c r="F146" s="4"/>
      <c r="G146" s="4"/>
      <c r="H146" s="4"/>
      <c r="I146" s="4"/>
      <c r="J146" s="4" t="str">
        <f t="shared" si="2"/>
        <v/>
      </c>
      <c r="K146" s="4"/>
      <c r="L146" s="4"/>
    </row>
    <row r="147">
      <c r="A147" s="4"/>
      <c r="B147" s="15"/>
      <c r="C147" s="7" t="str">
        <f>IFERROR(__xludf.DUMMYFUNCTION("iferror(iferror(INDEX(IMPORTRANGE(""12vtnxaE_Q1s4tyr10kZQx7ZF_xG0lBFae4jQEUtgsMU"",""All!B2:B""),MATCH($B147,IMPORTRANGE(""12vtnxaE_Q1s4tyr10kZQx7ZF_xG0lBFae4jQEUtgsMU"",""All!A2:A""),0)),INDEX(IMPORTRANGE(""13KC70HngS4DDi8y9E5khtSpQEPG6owaQ9z4E-tR5mnY"","&amp;"""Non-Food!B2:B""),MATCH($B147,IMPORTRANGE(""13KC70HngS4DDi8y9E5khtSpQEPG6owaQ9z4E-tR5mnY"",""Non-Food!A2:A""),0))),"""")"),"")</f>
        <v/>
      </c>
      <c r="D147" s="4"/>
      <c r="E147" s="4"/>
      <c r="F147" s="4"/>
      <c r="G147" s="4"/>
      <c r="H147" s="4"/>
      <c r="I147" s="4"/>
      <c r="J147" s="4" t="str">
        <f t="shared" si="2"/>
        <v/>
      </c>
      <c r="K147" s="4"/>
      <c r="L147" s="4"/>
    </row>
    <row r="148">
      <c r="A148" s="4"/>
      <c r="B148" s="15"/>
      <c r="C148" s="7" t="str">
        <f>IFERROR(__xludf.DUMMYFUNCTION("iferror(iferror(INDEX(IMPORTRANGE(""12vtnxaE_Q1s4tyr10kZQx7ZF_xG0lBFae4jQEUtgsMU"",""All!B2:B""),MATCH($B148,IMPORTRANGE(""12vtnxaE_Q1s4tyr10kZQx7ZF_xG0lBFae4jQEUtgsMU"",""All!A2:A""),0)),INDEX(IMPORTRANGE(""13KC70HngS4DDi8y9E5khtSpQEPG6owaQ9z4E-tR5mnY"","&amp;"""Non-Food!B2:B""),MATCH($B148,IMPORTRANGE(""13KC70HngS4DDi8y9E5khtSpQEPG6owaQ9z4E-tR5mnY"",""Non-Food!A2:A""),0))),"""")"),"")</f>
        <v/>
      </c>
      <c r="D148" s="4"/>
      <c r="E148" s="4"/>
      <c r="F148" s="4"/>
      <c r="G148" s="4"/>
      <c r="H148" s="4"/>
      <c r="I148" s="4"/>
      <c r="J148" s="4" t="str">
        <f t="shared" si="2"/>
        <v/>
      </c>
      <c r="K148" s="4"/>
      <c r="L148" s="4"/>
    </row>
    <row r="149">
      <c r="A149" s="4"/>
      <c r="B149" s="15"/>
      <c r="C149" s="7" t="str">
        <f>IFERROR(__xludf.DUMMYFUNCTION("iferror(iferror(INDEX(IMPORTRANGE(""12vtnxaE_Q1s4tyr10kZQx7ZF_xG0lBFae4jQEUtgsMU"",""All!B2:B""),MATCH($B149,IMPORTRANGE(""12vtnxaE_Q1s4tyr10kZQx7ZF_xG0lBFae4jQEUtgsMU"",""All!A2:A""),0)),INDEX(IMPORTRANGE(""13KC70HngS4DDi8y9E5khtSpQEPG6owaQ9z4E-tR5mnY"","&amp;"""Non-Food!B2:B""),MATCH($B149,IMPORTRANGE(""13KC70HngS4DDi8y9E5khtSpQEPG6owaQ9z4E-tR5mnY"",""Non-Food!A2:A""),0))),"""")"),"")</f>
        <v/>
      </c>
      <c r="D149" s="4"/>
      <c r="E149" s="4"/>
      <c r="F149" s="4"/>
      <c r="G149" s="4"/>
      <c r="H149" s="4"/>
      <c r="I149" s="4"/>
      <c r="J149" s="4" t="str">
        <f t="shared" si="2"/>
        <v/>
      </c>
      <c r="K149" s="4"/>
      <c r="L149" s="4"/>
    </row>
    <row r="150">
      <c r="A150" s="4"/>
      <c r="B150" s="15"/>
      <c r="C150" s="7" t="str">
        <f>IFERROR(__xludf.DUMMYFUNCTION("iferror(iferror(INDEX(IMPORTRANGE(""12vtnxaE_Q1s4tyr10kZQx7ZF_xG0lBFae4jQEUtgsMU"",""All!B2:B""),MATCH($B150,IMPORTRANGE(""12vtnxaE_Q1s4tyr10kZQx7ZF_xG0lBFae4jQEUtgsMU"",""All!A2:A""),0)),INDEX(IMPORTRANGE(""13KC70HngS4DDi8y9E5khtSpQEPG6owaQ9z4E-tR5mnY"","&amp;"""Non-Food!B2:B""),MATCH($B150,IMPORTRANGE(""13KC70HngS4DDi8y9E5khtSpQEPG6owaQ9z4E-tR5mnY"",""Non-Food!A2:A""),0))),"""")"),"")</f>
        <v/>
      </c>
      <c r="D150" s="4"/>
      <c r="E150" s="4"/>
      <c r="F150" s="4"/>
      <c r="G150" s="4"/>
      <c r="H150" s="4"/>
      <c r="I150" s="4"/>
      <c r="J150" s="4" t="str">
        <f t="shared" si="2"/>
        <v/>
      </c>
      <c r="K150" s="4"/>
      <c r="L150" s="4"/>
    </row>
    <row r="151">
      <c r="A151" s="4"/>
      <c r="B151" s="15"/>
      <c r="C151" s="7" t="str">
        <f>IFERROR(__xludf.DUMMYFUNCTION("iferror(iferror(INDEX(IMPORTRANGE(""12vtnxaE_Q1s4tyr10kZQx7ZF_xG0lBFae4jQEUtgsMU"",""All!B2:B""),MATCH($B151,IMPORTRANGE(""12vtnxaE_Q1s4tyr10kZQx7ZF_xG0lBFae4jQEUtgsMU"",""All!A2:A""),0)),INDEX(IMPORTRANGE(""13KC70HngS4DDi8y9E5khtSpQEPG6owaQ9z4E-tR5mnY"","&amp;"""Non-Food!B2:B""),MATCH($B151,IMPORTRANGE(""13KC70HngS4DDi8y9E5khtSpQEPG6owaQ9z4E-tR5mnY"",""Non-Food!A2:A""),0))),"""")"),"")</f>
        <v/>
      </c>
      <c r="D151" s="4"/>
      <c r="E151" s="4"/>
      <c r="F151" s="4"/>
      <c r="G151" s="4"/>
      <c r="H151" s="4"/>
      <c r="I151" s="4"/>
      <c r="J151" s="4" t="str">
        <f t="shared" si="2"/>
        <v/>
      </c>
      <c r="K151" s="4"/>
      <c r="L151" s="4"/>
    </row>
    <row r="152">
      <c r="A152" s="4"/>
      <c r="B152" s="15"/>
      <c r="C152" s="7" t="str">
        <f>IFERROR(__xludf.DUMMYFUNCTION("iferror(iferror(INDEX(IMPORTRANGE(""12vtnxaE_Q1s4tyr10kZQx7ZF_xG0lBFae4jQEUtgsMU"",""All!B2:B""),MATCH($B152,IMPORTRANGE(""12vtnxaE_Q1s4tyr10kZQx7ZF_xG0lBFae4jQEUtgsMU"",""All!A2:A""),0)),INDEX(IMPORTRANGE(""13KC70HngS4DDi8y9E5khtSpQEPG6owaQ9z4E-tR5mnY"","&amp;"""Non-Food!B2:B""),MATCH($B152,IMPORTRANGE(""13KC70HngS4DDi8y9E5khtSpQEPG6owaQ9z4E-tR5mnY"",""Non-Food!A2:A""),0))),"""")"),"")</f>
        <v/>
      </c>
      <c r="D152" s="4"/>
      <c r="E152" s="4"/>
      <c r="F152" s="4"/>
      <c r="G152" s="4"/>
      <c r="H152" s="4"/>
      <c r="I152" s="4"/>
      <c r="J152" s="4" t="str">
        <f t="shared" si="2"/>
        <v/>
      </c>
      <c r="K152" s="4"/>
      <c r="L152" s="4"/>
    </row>
    <row r="153">
      <c r="A153" s="4"/>
      <c r="B153" s="15"/>
      <c r="C153" s="7" t="str">
        <f>IFERROR(__xludf.DUMMYFUNCTION("iferror(iferror(INDEX(IMPORTRANGE(""12vtnxaE_Q1s4tyr10kZQx7ZF_xG0lBFae4jQEUtgsMU"",""All!B2:B""),MATCH($B153,IMPORTRANGE(""12vtnxaE_Q1s4tyr10kZQx7ZF_xG0lBFae4jQEUtgsMU"",""All!A2:A""),0)),INDEX(IMPORTRANGE(""13KC70HngS4DDi8y9E5khtSpQEPG6owaQ9z4E-tR5mnY"","&amp;"""Non-Food!B2:B""),MATCH($B153,IMPORTRANGE(""13KC70HngS4DDi8y9E5khtSpQEPG6owaQ9z4E-tR5mnY"",""Non-Food!A2:A""),0))),"""")"),"")</f>
        <v/>
      </c>
      <c r="D153" s="4"/>
      <c r="E153" s="4"/>
      <c r="F153" s="4"/>
      <c r="G153" s="4"/>
      <c r="H153" s="4"/>
      <c r="I153" s="4"/>
      <c r="J153" s="4" t="str">
        <f t="shared" si="2"/>
        <v/>
      </c>
      <c r="K153" s="4"/>
      <c r="L153" s="4"/>
    </row>
    <row r="154">
      <c r="A154" s="4"/>
      <c r="B154" s="15"/>
      <c r="C154" s="7" t="str">
        <f>IFERROR(__xludf.DUMMYFUNCTION("iferror(iferror(INDEX(IMPORTRANGE(""12vtnxaE_Q1s4tyr10kZQx7ZF_xG0lBFae4jQEUtgsMU"",""All!B2:B""),MATCH($B154,IMPORTRANGE(""12vtnxaE_Q1s4tyr10kZQx7ZF_xG0lBFae4jQEUtgsMU"",""All!A2:A""),0)),INDEX(IMPORTRANGE(""13KC70HngS4DDi8y9E5khtSpQEPG6owaQ9z4E-tR5mnY"","&amp;"""Non-Food!B2:B""),MATCH($B154,IMPORTRANGE(""13KC70HngS4DDi8y9E5khtSpQEPG6owaQ9z4E-tR5mnY"",""Non-Food!A2:A""),0))),"""")"),"")</f>
        <v/>
      </c>
      <c r="D154" s="4"/>
      <c r="E154" s="4"/>
      <c r="F154" s="4"/>
      <c r="G154" s="4"/>
      <c r="H154" s="4"/>
      <c r="I154" s="4"/>
      <c r="J154" s="4" t="str">
        <f t="shared" si="2"/>
        <v/>
      </c>
      <c r="K154" s="4"/>
      <c r="L154" s="4"/>
    </row>
    <row r="155">
      <c r="A155" s="4"/>
      <c r="B155" s="15"/>
      <c r="C155" s="7" t="str">
        <f>IFERROR(__xludf.DUMMYFUNCTION("iferror(iferror(INDEX(IMPORTRANGE(""12vtnxaE_Q1s4tyr10kZQx7ZF_xG0lBFae4jQEUtgsMU"",""All!B2:B""),MATCH($B155,IMPORTRANGE(""12vtnxaE_Q1s4tyr10kZQx7ZF_xG0lBFae4jQEUtgsMU"",""All!A2:A""),0)),INDEX(IMPORTRANGE(""13KC70HngS4DDi8y9E5khtSpQEPG6owaQ9z4E-tR5mnY"","&amp;"""Non-Food!B2:B""),MATCH($B155,IMPORTRANGE(""13KC70HngS4DDi8y9E5khtSpQEPG6owaQ9z4E-tR5mnY"",""Non-Food!A2:A""),0))),"""")"),"")</f>
        <v/>
      </c>
      <c r="D155" s="4"/>
      <c r="E155" s="4"/>
      <c r="F155" s="4"/>
      <c r="G155" s="4"/>
      <c r="H155" s="4"/>
      <c r="I155" s="4"/>
      <c r="J155" s="4" t="str">
        <f t="shared" si="2"/>
        <v/>
      </c>
      <c r="K155" s="4"/>
      <c r="L155" s="4"/>
    </row>
    <row r="156">
      <c r="A156" s="4"/>
      <c r="B156" s="15"/>
      <c r="C156" s="7" t="str">
        <f>IFERROR(__xludf.DUMMYFUNCTION("iferror(iferror(INDEX(IMPORTRANGE(""12vtnxaE_Q1s4tyr10kZQx7ZF_xG0lBFae4jQEUtgsMU"",""All!B2:B""),MATCH($B156,IMPORTRANGE(""12vtnxaE_Q1s4tyr10kZQx7ZF_xG0lBFae4jQEUtgsMU"",""All!A2:A""),0)),INDEX(IMPORTRANGE(""13KC70HngS4DDi8y9E5khtSpQEPG6owaQ9z4E-tR5mnY"","&amp;"""Non-Food!B2:B""),MATCH($B156,IMPORTRANGE(""13KC70HngS4DDi8y9E5khtSpQEPG6owaQ9z4E-tR5mnY"",""Non-Food!A2:A""),0))),"""")"),"")</f>
        <v/>
      </c>
      <c r="D156" s="4"/>
      <c r="E156" s="4"/>
      <c r="F156" s="4"/>
      <c r="G156" s="4"/>
      <c r="H156" s="4"/>
      <c r="I156" s="4"/>
      <c r="J156" s="4" t="str">
        <f t="shared" si="2"/>
        <v/>
      </c>
      <c r="K156" s="4"/>
      <c r="L156" s="4"/>
    </row>
    <row r="157">
      <c r="A157" s="4"/>
      <c r="B157" s="15"/>
      <c r="C157" s="7" t="str">
        <f>IFERROR(__xludf.DUMMYFUNCTION("iferror(iferror(INDEX(IMPORTRANGE(""12vtnxaE_Q1s4tyr10kZQx7ZF_xG0lBFae4jQEUtgsMU"",""All!B2:B""),MATCH($B157,IMPORTRANGE(""12vtnxaE_Q1s4tyr10kZQx7ZF_xG0lBFae4jQEUtgsMU"",""All!A2:A""),0)),INDEX(IMPORTRANGE(""13KC70HngS4DDi8y9E5khtSpQEPG6owaQ9z4E-tR5mnY"","&amp;"""Non-Food!B2:B""),MATCH($B157,IMPORTRANGE(""13KC70HngS4DDi8y9E5khtSpQEPG6owaQ9z4E-tR5mnY"",""Non-Food!A2:A""),0))),"""")"),"")</f>
        <v/>
      </c>
      <c r="D157" s="4"/>
      <c r="E157" s="4"/>
      <c r="F157" s="4"/>
      <c r="G157" s="4"/>
      <c r="H157" s="4"/>
      <c r="I157" s="4"/>
      <c r="J157" s="4" t="str">
        <f t="shared" si="2"/>
        <v/>
      </c>
      <c r="K157" s="4"/>
      <c r="L157" s="4"/>
    </row>
    <row r="158">
      <c r="A158" s="4"/>
      <c r="B158" s="15"/>
      <c r="C158" s="7" t="str">
        <f>IFERROR(__xludf.DUMMYFUNCTION("iferror(iferror(INDEX(IMPORTRANGE(""12vtnxaE_Q1s4tyr10kZQx7ZF_xG0lBFae4jQEUtgsMU"",""All!B2:B""),MATCH($B158,IMPORTRANGE(""12vtnxaE_Q1s4tyr10kZQx7ZF_xG0lBFae4jQEUtgsMU"",""All!A2:A""),0)),INDEX(IMPORTRANGE(""13KC70HngS4DDi8y9E5khtSpQEPG6owaQ9z4E-tR5mnY"","&amp;"""Non-Food!B2:B""),MATCH($B158,IMPORTRANGE(""13KC70HngS4DDi8y9E5khtSpQEPG6owaQ9z4E-tR5mnY"",""Non-Food!A2:A""),0))),"""")"),"")</f>
        <v/>
      </c>
      <c r="D158" s="4"/>
      <c r="E158" s="4"/>
      <c r="F158" s="4"/>
      <c r="G158" s="4"/>
      <c r="H158" s="4"/>
      <c r="I158" s="4"/>
      <c r="J158" s="4" t="str">
        <f t="shared" si="2"/>
        <v/>
      </c>
      <c r="K158" s="4"/>
      <c r="L158" s="4"/>
    </row>
    <row r="159">
      <c r="A159" s="4"/>
      <c r="B159" s="15"/>
      <c r="C159" s="7" t="str">
        <f>IFERROR(__xludf.DUMMYFUNCTION("iferror(iferror(INDEX(IMPORTRANGE(""12vtnxaE_Q1s4tyr10kZQx7ZF_xG0lBFae4jQEUtgsMU"",""All!B2:B""),MATCH($B159,IMPORTRANGE(""12vtnxaE_Q1s4tyr10kZQx7ZF_xG0lBFae4jQEUtgsMU"",""All!A2:A""),0)),INDEX(IMPORTRANGE(""13KC70HngS4DDi8y9E5khtSpQEPG6owaQ9z4E-tR5mnY"","&amp;"""Non-Food!B2:B""),MATCH($B159,IMPORTRANGE(""13KC70HngS4DDi8y9E5khtSpQEPG6owaQ9z4E-tR5mnY"",""Non-Food!A2:A""),0))),"""")"),"")</f>
        <v/>
      </c>
      <c r="D159" s="4"/>
      <c r="E159" s="4"/>
      <c r="F159" s="4"/>
      <c r="G159" s="4"/>
      <c r="H159" s="4"/>
      <c r="I159" s="4"/>
      <c r="J159" s="4" t="str">
        <f t="shared" si="2"/>
        <v/>
      </c>
      <c r="K159" s="4"/>
      <c r="L159" s="4"/>
    </row>
    <row r="160">
      <c r="A160" s="4"/>
      <c r="B160" s="15"/>
      <c r="C160" s="7" t="str">
        <f>IFERROR(__xludf.DUMMYFUNCTION("iferror(iferror(INDEX(IMPORTRANGE(""12vtnxaE_Q1s4tyr10kZQx7ZF_xG0lBFae4jQEUtgsMU"",""All!B2:B""),MATCH($B160,IMPORTRANGE(""12vtnxaE_Q1s4tyr10kZQx7ZF_xG0lBFae4jQEUtgsMU"",""All!A2:A""),0)),INDEX(IMPORTRANGE(""13KC70HngS4DDi8y9E5khtSpQEPG6owaQ9z4E-tR5mnY"","&amp;"""Non-Food!B2:B""),MATCH($B160,IMPORTRANGE(""13KC70HngS4DDi8y9E5khtSpQEPG6owaQ9z4E-tR5mnY"",""Non-Food!A2:A""),0))),"""")"),"")</f>
        <v/>
      </c>
      <c r="D160" s="4"/>
      <c r="E160" s="4"/>
      <c r="F160" s="4"/>
      <c r="G160" s="4"/>
      <c r="H160" s="4"/>
      <c r="I160" s="4"/>
      <c r="J160" s="4" t="str">
        <f t="shared" si="2"/>
        <v/>
      </c>
      <c r="K160" s="4"/>
      <c r="L160" s="4"/>
    </row>
    <row r="161">
      <c r="A161" s="4"/>
      <c r="B161" s="15"/>
      <c r="C161" s="7" t="str">
        <f>IFERROR(__xludf.DUMMYFUNCTION("iferror(iferror(INDEX(IMPORTRANGE(""12vtnxaE_Q1s4tyr10kZQx7ZF_xG0lBFae4jQEUtgsMU"",""All!B2:B""),MATCH($B161,IMPORTRANGE(""12vtnxaE_Q1s4tyr10kZQx7ZF_xG0lBFae4jQEUtgsMU"",""All!A2:A""),0)),INDEX(IMPORTRANGE(""13KC70HngS4DDi8y9E5khtSpQEPG6owaQ9z4E-tR5mnY"","&amp;"""Non-Food!B2:B""),MATCH($B161,IMPORTRANGE(""13KC70HngS4DDi8y9E5khtSpQEPG6owaQ9z4E-tR5mnY"",""Non-Food!A2:A""),0))),"""")"),"")</f>
        <v/>
      </c>
      <c r="D161" s="4"/>
      <c r="E161" s="4"/>
      <c r="F161" s="4"/>
      <c r="G161" s="4"/>
      <c r="H161" s="4"/>
      <c r="I161" s="4"/>
      <c r="J161" s="4" t="str">
        <f t="shared" si="2"/>
        <v/>
      </c>
      <c r="K161" s="4"/>
      <c r="L161" s="4"/>
    </row>
    <row r="162">
      <c r="A162" s="4"/>
      <c r="B162" s="15"/>
      <c r="C162" s="7" t="str">
        <f>IFERROR(__xludf.DUMMYFUNCTION("iferror(iferror(INDEX(IMPORTRANGE(""12vtnxaE_Q1s4tyr10kZQx7ZF_xG0lBFae4jQEUtgsMU"",""All!B2:B""),MATCH($B162,IMPORTRANGE(""12vtnxaE_Q1s4tyr10kZQx7ZF_xG0lBFae4jQEUtgsMU"",""All!A2:A""),0)),INDEX(IMPORTRANGE(""13KC70HngS4DDi8y9E5khtSpQEPG6owaQ9z4E-tR5mnY"","&amp;"""Non-Food!B2:B""),MATCH($B162,IMPORTRANGE(""13KC70HngS4DDi8y9E5khtSpQEPG6owaQ9z4E-tR5mnY"",""Non-Food!A2:A""),0))),"""")"),"")</f>
        <v/>
      </c>
      <c r="D162" s="4"/>
      <c r="E162" s="4"/>
      <c r="F162" s="4"/>
      <c r="G162" s="4"/>
      <c r="H162" s="4"/>
      <c r="I162" s="4"/>
      <c r="J162" s="4" t="str">
        <f t="shared" si="2"/>
        <v/>
      </c>
      <c r="K162" s="4"/>
      <c r="L162" s="4"/>
    </row>
    <row r="163">
      <c r="A163" s="4"/>
      <c r="B163" s="15"/>
      <c r="C163" s="7" t="str">
        <f>IFERROR(__xludf.DUMMYFUNCTION("iferror(iferror(INDEX(IMPORTRANGE(""12vtnxaE_Q1s4tyr10kZQx7ZF_xG0lBFae4jQEUtgsMU"",""All!B2:B""),MATCH($B163,IMPORTRANGE(""12vtnxaE_Q1s4tyr10kZQx7ZF_xG0lBFae4jQEUtgsMU"",""All!A2:A""),0)),INDEX(IMPORTRANGE(""13KC70HngS4DDi8y9E5khtSpQEPG6owaQ9z4E-tR5mnY"","&amp;"""Non-Food!B2:B""),MATCH($B163,IMPORTRANGE(""13KC70HngS4DDi8y9E5khtSpQEPG6owaQ9z4E-tR5mnY"",""Non-Food!A2:A""),0))),"""")"),"")</f>
        <v/>
      </c>
      <c r="D163" s="4"/>
      <c r="E163" s="4"/>
      <c r="F163" s="4"/>
      <c r="G163" s="4"/>
      <c r="H163" s="4"/>
      <c r="I163" s="4"/>
      <c r="J163" s="4" t="str">
        <f t="shared" si="2"/>
        <v/>
      </c>
      <c r="K163" s="4"/>
      <c r="L163" s="4"/>
    </row>
    <row r="164">
      <c r="A164" s="4"/>
      <c r="B164" s="15"/>
      <c r="C164" s="7" t="str">
        <f>IFERROR(__xludf.DUMMYFUNCTION("iferror(iferror(INDEX(IMPORTRANGE(""12vtnxaE_Q1s4tyr10kZQx7ZF_xG0lBFae4jQEUtgsMU"",""All!B2:B""),MATCH($B164,IMPORTRANGE(""12vtnxaE_Q1s4tyr10kZQx7ZF_xG0lBFae4jQEUtgsMU"",""All!A2:A""),0)),INDEX(IMPORTRANGE(""13KC70HngS4DDi8y9E5khtSpQEPG6owaQ9z4E-tR5mnY"","&amp;"""Non-Food!B2:B""),MATCH($B164,IMPORTRANGE(""13KC70HngS4DDi8y9E5khtSpQEPG6owaQ9z4E-tR5mnY"",""Non-Food!A2:A""),0))),"""")"),"")</f>
        <v/>
      </c>
      <c r="D164" s="4"/>
      <c r="E164" s="4"/>
      <c r="F164" s="4"/>
      <c r="G164" s="4"/>
      <c r="H164" s="4"/>
      <c r="I164" s="4"/>
      <c r="J164" s="4" t="str">
        <f t="shared" si="2"/>
        <v/>
      </c>
      <c r="K164" s="4"/>
      <c r="L164" s="4"/>
    </row>
    <row r="165">
      <c r="A165" s="4"/>
      <c r="B165" s="15"/>
      <c r="C165" s="7" t="str">
        <f>IFERROR(__xludf.DUMMYFUNCTION("iferror(iferror(INDEX(IMPORTRANGE(""12vtnxaE_Q1s4tyr10kZQx7ZF_xG0lBFae4jQEUtgsMU"",""All!B2:B""),MATCH($B165,IMPORTRANGE(""12vtnxaE_Q1s4tyr10kZQx7ZF_xG0lBFae4jQEUtgsMU"",""All!A2:A""),0)),INDEX(IMPORTRANGE(""13KC70HngS4DDi8y9E5khtSpQEPG6owaQ9z4E-tR5mnY"","&amp;"""Non-Food!B2:B""),MATCH($B165,IMPORTRANGE(""13KC70HngS4DDi8y9E5khtSpQEPG6owaQ9z4E-tR5mnY"",""Non-Food!A2:A""),0))),"""")"),"")</f>
        <v/>
      </c>
      <c r="D165" s="4"/>
      <c r="E165" s="4"/>
      <c r="F165" s="4"/>
      <c r="G165" s="4"/>
      <c r="H165" s="4"/>
      <c r="I165" s="4"/>
      <c r="J165" s="4" t="str">
        <f t="shared" si="2"/>
        <v/>
      </c>
      <c r="K165" s="4"/>
      <c r="L165" s="4"/>
    </row>
    <row r="166">
      <c r="A166" s="4"/>
      <c r="B166" s="15"/>
      <c r="C166" s="7" t="str">
        <f>IFERROR(__xludf.DUMMYFUNCTION("iferror(iferror(INDEX(IMPORTRANGE(""12vtnxaE_Q1s4tyr10kZQx7ZF_xG0lBFae4jQEUtgsMU"",""All!B2:B""),MATCH($B166,IMPORTRANGE(""12vtnxaE_Q1s4tyr10kZQx7ZF_xG0lBFae4jQEUtgsMU"",""All!A2:A""),0)),INDEX(IMPORTRANGE(""13KC70HngS4DDi8y9E5khtSpQEPG6owaQ9z4E-tR5mnY"","&amp;"""Non-Food!B2:B""),MATCH($B166,IMPORTRANGE(""13KC70HngS4DDi8y9E5khtSpQEPG6owaQ9z4E-tR5mnY"",""Non-Food!A2:A""),0))),"""")"),"")</f>
        <v/>
      </c>
      <c r="D166" s="4"/>
      <c r="E166" s="4"/>
      <c r="F166" s="4"/>
      <c r="G166" s="4"/>
      <c r="H166" s="4"/>
      <c r="I166" s="4"/>
      <c r="J166" s="4" t="str">
        <f t="shared" si="2"/>
        <v/>
      </c>
      <c r="K166" s="4"/>
      <c r="L166" s="4"/>
    </row>
    <row r="167">
      <c r="A167" s="4"/>
      <c r="B167" s="15"/>
      <c r="C167" s="7" t="str">
        <f>IFERROR(__xludf.DUMMYFUNCTION("iferror(iferror(INDEX(IMPORTRANGE(""12vtnxaE_Q1s4tyr10kZQx7ZF_xG0lBFae4jQEUtgsMU"",""All!B2:B""),MATCH($B167,IMPORTRANGE(""12vtnxaE_Q1s4tyr10kZQx7ZF_xG0lBFae4jQEUtgsMU"",""All!A2:A""),0)),INDEX(IMPORTRANGE(""13KC70HngS4DDi8y9E5khtSpQEPG6owaQ9z4E-tR5mnY"","&amp;"""Non-Food!B2:B""),MATCH($B167,IMPORTRANGE(""13KC70HngS4DDi8y9E5khtSpQEPG6owaQ9z4E-tR5mnY"",""Non-Food!A2:A""),0))),"""")"),"")</f>
        <v/>
      </c>
      <c r="D167" s="4"/>
      <c r="E167" s="4"/>
      <c r="F167" s="4"/>
      <c r="G167" s="4"/>
      <c r="H167" s="4"/>
      <c r="I167" s="4"/>
      <c r="J167" s="4" t="str">
        <f t="shared" si="2"/>
        <v/>
      </c>
      <c r="K167" s="4"/>
      <c r="L167" s="4"/>
    </row>
    <row r="168">
      <c r="A168" s="4"/>
      <c r="B168" s="15"/>
      <c r="C168" s="7" t="str">
        <f>IFERROR(__xludf.DUMMYFUNCTION("iferror(iferror(INDEX(IMPORTRANGE(""12vtnxaE_Q1s4tyr10kZQx7ZF_xG0lBFae4jQEUtgsMU"",""All!B2:B""),MATCH($B168,IMPORTRANGE(""12vtnxaE_Q1s4tyr10kZQx7ZF_xG0lBFae4jQEUtgsMU"",""All!A2:A""),0)),INDEX(IMPORTRANGE(""13KC70HngS4DDi8y9E5khtSpQEPG6owaQ9z4E-tR5mnY"","&amp;"""Non-Food!B2:B""),MATCH($B168,IMPORTRANGE(""13KC70HngS4DDi8y9E5khtSpQEPG6owaQ9z4E-tR5mnY"",""Non-Food!A2:A""),0))),"""")"),"")</f>
        <v/>
      </c>
      <c r="D168" s="4"/>
      <c r="E168" s="4"/>
      <c r="F168" s="4"/>
      <c r="G168" s="4"/>
      <c r="H168" s="4"/>
      <c r="I168" s="4"/>
      <c r="J168" s="4" t="str">
        <f t="shared" si="2"/>
        <v/>
      </c>
      <c r="K168" s="4"/>
      <c r="L168" s="4"/>
    </row>
    <row r="169">
      <c r="A169" s="4"/>
      <c r="B169" s="15"/>
      <c r="C169" s="7" t="str">
        <f>IFERROR(__xludf.DUMMYFUNCTION("iferror(iferror(INDEX(IMPORTRANGE(""12vtnxaE_Q1s4tyr10kZQx7ZF_xG0lBFae4jQEUtgsMU"",""All!B2:B""),MATCH($B169,IMPORTRANGE(""12vtnxaE_Q1s4tyr10kZQx7ZF_xG0lBFae4jQEUtgsMU"",""All!A2:A""),0)),INDEX(IMPORTRANGE(""13KC70HngS4DDi8y9E5khtSpQEPG6owaQ9z4E-tR5mnY"","&amp;"""Non-Food!B2:B""),MATCH($B169,IMPORTRANGE(""13KC70HngS4DDi8y9E5khtSpQEPG6owaQ9z4E-tR5mnY"",""Non-Food!A2:A""),0))),"""")"),"")</f>
        <v/>
      </c>
      <c r="D169" s="4"/>
      <c r="E169" s="4"/>
      <c r="F169" s="4"/>
      <c r="G169" s="4"/>
      <c r="H169" s="4"/>
      <c r="I169" s="4"/>
      <c r="J169" s="4" t="str">
        <f t="shared" si="2"/>
        <v/>
      </c>
      <c r="K169" s="4"/>
      <c r="L169" s="4"/>
    </row>
    <row r="170">
      <c r="A170" s="4"/>
      <c r="B170" s="15"/>
      <c r="C170" s="7" t="str">
        <f>IFERROR(__xludf.DUMMYFUNCTION("iferror(iferror(INDEX(IMPORTRANGE(""12vtnxaE_Q1s4tyr10kZQx7ZF_xG0lBFae4jQEUtgsMU"",""All!B2:B""),MATCH($B170,IMPORTRANGE(""12vtnxaE_Q1s4tyr10kZQx7ZF_xG0lBFae4jQEUtgsMU"",""All!A2:A""),0)),INDEX(IMPORTRANGE(""13KC70HngS4DDi8y9E5khtSpQEPG6owaQ9z4E-tR5mnY"","&amp;"""Non-Food!B2:B""),MATCH($B170,IMPORTRANGE(""13KC70HngS4DDi8y9E5khtSpQEPG6owaQ9z4E-tR5mnY"",""Non-Food!A2:A""),0))),"""")"),"")</f>
        <v/>
      </c>
      <c r="D170" s="4"/>
      <c r="E170" s="4"/>
      <c r="F170" s="4"/>
      <c r="G170" s="4"/>
      <c r="H170" s="4"/>
      <c r="I170" s="4"/>
      <c r="J170" s="4" t="str">
        <f t="shared" si="2"/>
        <v/>
      </c>
      <c r="K170" s="4"/>
      <c r="L170" s="4"/>
    </row>
    <row r="171">
      <c r="A171" s="4"/>
      <c r="B171" s="15"/>
      <c r="C171" s="7" t="str">
        <f>IFERROR(__xludf.DUMMYFUNCTION("iferror(iferror(INDEX(IMPORTRANGE(""12vtnxaE_Q1s4tyr10kZQx7ZF_xG0lBFae4jQEUtgsMU"",""All!B2:B""),MATCH($B171,IMPORTRANGE(""12vtnxaE_Q1s4tyr10kZQx7ZF_xG0lBFae4jQEUtgsMU"",""All!A2:A""),0)),INDEX(IMPORTRANGE(""13KC70HngS4DDi8y9E5khtSpQEPG6owaQ9z4E-tR5mnY"","&amp;"""Non-Food!B2:B""),MATCH($B171,IMPORTRANGE(""13KC70HngS4DDi8y9E5khtSpQEPG6owaQ9z4E-tR5mnY"",""Non-Food!A2:A""),0))),"""")"),"")</f>
        <v/>
      </c>
      <c r="D171" s="4"/>
      <c r="E171" s="4"/>
      <c r="F171" s="4"/>
      <c r="G171" s="4"/>
      <c r="H171" s="4"/>
      <c r="I171" s="4"/>
      <c r="J171" s="4" t="str">
        <f t="shared" si="2"/>
        <v/>
      </c>
      <c r="K171" s="4"/>
      <c r="L171" s="4"/>
    </row>
    <row r="172">
      <c r="A172" s="4"/>
      <c r="B172" s="15"/>
      <c r="C172" s="7" t="str">
        <f>IFERROR(__xludf.DUMMYFUNCTION("iferror(iferror(INDEX(IMPORTRANGE(""12vtnxaE_Q1s4tyr10kZQx7ZF_xG0lBFae4jQEUtgsMU"",""All!B2:B""),MATCH($B172,IMPORTRANGE(""12vtnxaE_Q1s4tyr10kZQx7ZF_xG0lBFae4jQEUtgsMU"",""All!A2:A""),0)),INDEX(IMPORTRANGE(""13KC70HngS4DDi8y9E5khtSpQEPG6owaQ9z4E-tR5mnY"","&amp;"""Non-Food!B2:B""),MATCH($B172,IMPORTRANGE(""13KC70HngS4DDi8y9E5khtSpQEPG6owaQ9z4E-tR5mnY"",""Non-Food!A2:A""),0))),"""")"),"")</f>
        <v/>
      </c>
      <c r="D172" s="4"/>
      <c r="E172" s="4"/>
      <c r="F172" s="4"/>
      <c r="G172" s="4"/>
      <c r="H172" s="4"/>
      <c r="I172" s="4"/>
      <c r="J172" s="4" t="str">
        <f t="shared" si="2"/>
        <v/>
      </c>
      <c r="K172" s="4"/>
      <c r="L172" s="4"/>
    </row>
    <row r="173">
      <c r="A173" s="4"/>
      <c r="B173" s="15"/>
      <c r="C173" s="7" t="str">
        <f>IFERROR(__xludf.DUMMYFUNCTION("iferror(iferror(INDEX(IMPORTRANGE(""12vtnxaE_Q1s4tyr10kZQx7ZF_xG0lBFae4jQEUtgsMU"",""All!B2:B""),MATCH($B173,IMPORTRANGE(""12vtnxaE_Q1s4tyr10kZQx7ZF_xG0lBFae4jQEUtgsMU"",""All!A2:A""),0)),INDEX(IMPORTRANGE(""13KC70HngS4DDi8y9E5khtSpQEPG6owaQ9z4E-tR5mnY"","&amp;"""Non-Food!B2:B""),MATCH($B173,IMPORTRANGE(""13KC70HngS4DDi8y9E5khtSpQEPG6owaQ9z4E-tR5mnY"",""Non-Food!A2:A""),0))),"""")"),"")</f>
        <v/>
      </c>
      <c r="D173" s="4"/>
      <c r="E173" s="4"/>
      <c r="F173" s="4"/>
      <c r="G173" s="4"/>
      <c r="H173" s="4"/>
      <c r="I173" s="4"/>
      <c r="J173" s="4" t="str">
        <f t="shared" si="2"/>
        <v/>
      </c>
      <c r="K173" s="4"/>
      <c r="L173" s="4"/>
    </row>
    <row r="174">
      <c r="A174" s="4"/>
      <c r="B174" s="15"/>
      <c r="C174" s="7" t="str">
        <f>IFERROR(__xludf.DUMMYFUNCTION("iferror(iferror(INDEX(IMPORTRANGE(""12vtnxaE_Q1s4tyr10kZQx7ZF_xG0lBFae4jQEUtgsMU"",""All!B2:B""),MATCH($B174,IMPORTRANGE(""12vtnxaE_Q1s4tyr10kZQx7ZF_xG0lBFae4jQEUtgsMU"",""All!A2:A""),0)),INDEX(IMPORTRANGE(""13KC70HngS4DDi8y9E5khtSpQEPG6owaQ9z4E-tR5mnY"","&amp;"""Non-Food!B2:B""),MATCH($B174,IMPORTRANGE(""13KC70HngS4DDi8y9E5khtSpQEPG6owaQ9z4E-tR5mnY"",""Non-Food!A2:A""),0))),"""")"),"")</f>
        <v/>
      </c>
      <c r="D174" s="4"/>
      <c r="E174" s="4"/>
      <c r="F174" s="4"/>
      <c r="G174" s="4"/>
      <c r="H174" s="4"/>
      <c r="I174" s="4"/>
      <c r="J174" s="4" t="str">
        <f t="shared" si="2"/>
        <v/>
      </c>
      <c r="K174" s="4"/>
      <c r="L174" s="4"/>
    </row>
    <row r="175">
      <c r="A175" s="4"/>
      <c r="B175" s="15"/>
      <c r="C175" s="7" t="str">
        <f>IFERROR(__xludf.DUMMYFUNCTION("iferror(iferror(INDEX(IMPORTRANGE(""12vtnxaE_Q1s4tyr10kZQx7ZF_xG0lBFae4jQEUtgsMU"",""All!B2:B""),MATCH($B175,IMPORTRANGE(""12vtnxaE_Q1s4tyr10kZQx7ZF_xG0lBFae4jQEUtgsMU"",""All!A2:A""),0)),INDEX(IMPORTRANGE(""13KC70HngS4DDi8y9E5khtSpQEPG6owaQ9z4E-tR5mnY"","&amp;"""Non-Food!B2:B""),MATCH($B175,IMPORTRANGE(""13KC70HngS4DDi8y9E5khtSpQEPG6owaQ9z4E-tR5mnY"",""Non-Food!A2:A""),0))),"""")"),"")</f>
        <v/>
      </c>
      <c r="D175" s="4"/>
      <c r="E175" s="4"/>
      <c r="F175" s="4"/>
      <c r="G175" s="4"/>
      <c r="H175" s="4"/>
      <c r="I175" s="4"/>
      <c r="J175" s="4" t="str">
        <f t="shared" si="2"/>
        <v/>
      </c>
      <c r="K175" s="4"/>
      <c r="L175" s="4"/>
    </row>
    <row r="176">
      <c r="A176" s="4"/>
      <c r="B176" s="15"/>
      <c r="C176" s="7" t="str">
        <f>IFERROR(__xludf.DUMMYFUNCTION("iferror(iferror(INDEX(IMPORTRANGE(""12vtnxaE_Q1s4tyr10kZQx7ZF_xG0lBFae4jQEUtgsMU"",""All!B2:B""),MATCH($B176,IMPORTRANGE(""12vtnxaE_Q1s4tyr10kZQx7ZF_xG0lBFae4jQEUtgsMU"",""All!A2:A""),0)),INDEX(IMPORTRANGE(""13KC70HngS4DDi8y9E5khtSpQEPG6owaQ9z4E-tR5mnY"","&amp;"""Non-Food!B2:B""),MATCH($B176,IMPORTRANGE(""13KC70HngS4DDi8y9E5khtSpQEPG6owaQ9z4E-tR5mnY"",""Non-Food!A2:A""),0))),"""")"),"")</f>
        <v/>
      </c>
      <c r="D176" s="4"/>
      <c r="E176" s="4"/>
      <c r="F176" s="4"/>
      <c r="G176" s="4"/>
      <c r="H176" s="4"/>
      <c r="I176" s="4"/>
      <c r="J176" s="4" t="str">
        <f t="shared" si="2"/>
        <v/>
      </c>
      <c r="K176" s="4"/>
      <c r="L176" s="4"/>
    </row>
    <row r="177">
      <c r="A177" s="4"/>
      <c r="B177" s="15"/>
      <c r="C177" s="7" t="str">
        <f>IFERROR(__xludf.DUMMYFUNCTION("iferror(iferror(INDEX(IMPORTRANGE(""12vtnxaE_Q1s4tyr10kZQx7ZF_xG0lBFae4jQEUtgsMU"",""All!B2:B""),MATCH($B177,IMPORTRANGE(""12vtnxaE_Q1s4tyr10kZQx7ZF_xG0lBFae4jQEUtgsMU"",""All!A2:A""),0)),INDEX(IMPORTRANGE(""13KC70HngS4DDi8y9E5khtSpQEPG6owaQ9z4E-tR5mnY"","&amp;"""Non-Food!B2:B""),MATCH($B177,IMPORTRANGE(""13KC70HngS4DDi8y9E5khtSpQEPG6owaQ9z4E-tR5mnY"",""Non-Food!A2:A""),0))),"""")"),"")</f>
        <v/>
      </c>
      <c r="D177" s="4"/>
      <c r="E177" s="4"/>
      <c r="F177" s="4"/>
      <c r="G177" s="4"/>
      <c r="H177" s="4"/>
      <c r="I177" s="4"/>
      <c r="J177" s="4" t="str">
        <f t="shared" si="2"/>
        <v/>
      </c>
      <c r="K177" s="4"/>
      <c r="L177" s="4"/>
    </row>
    <row r="178">
      <c r="A178" s="4"/>
      <c r="B178" s="15"/>
      <c r="C178" s="7" t="str">
        <f>IFERROR(__xludf.DUMMYFUNCTION("iferror(iferror(INDEX(IMPORTRANGE(""12vtnxaE_Q1s4tyr10kZQx7ZF_xG0lBFae4jQEUtgsMU"",""All!B2:B""),MATCH($B178,IMPORTRANGE(""12vtnxaE_Q1s4tyr10kZQx7ZF_xG0lBFae4jQEUtgsMU"",""All!A2:A""),0)),INDEX(IMPORTRANGE(""13KC70HngS4DDi8y9E5khtSpQEPG6owaQ9z4E-tR5mnY"","&amp;"""Non-Food!B2:B""),MATCH($B178,IMPORTRANGE(""13KC70HngS4DDi8y9E5khtSpQEPG6owaQ9z4E-tR5mnY"",""Non-Food!A2:A""),0))),"""")"),"")</f>
        <v/>
      </c>
      <c r="D178" s="4"/>
      <c r="E178" s="4"/>
      <c r="F178" s="4"/>
      <c r="G178" s="4"/>
      <c r="H178" s="4"/>
      <c r="I178" s="4"/>
      <c r="J178" s="4" t="str">
        <f t="shared" si="2"/>
        <v/>
      </c>
      <c r="K178" s="4"/>
      <c r="L178" s="4"/>
    </row>
    <row r="179">
      <c r="A179" s="4"/>
      <c r="B179" s="15"/>
      <c r="C179" s="7" t="str">
        <f>IFERROR(__xludf.DUMMYFUNCTION("iferror(iferror(INDEX(IMPORTRANGE(""12vtnxaE_Q1s4tyr10kZQx7ZF_xG0lBFae4jQEUtgsMU"",""All!B2:B""),MATCH($B179,IMPORTRANGE(""12vtnxaE_Q1s4tyr10kZQx7ZF_xG0lBFae4jQEUtgsMU"",""All!A2:A""),0)),INDEX(IMPORTRANGE(""13KC70HngS4DDi8y9E5khtSpQEPG6owaQ9z4E-tR5mnY"","&amp;"""Non-Food!B2:B""),MATCH($B179,IMPORTRANGE(""13KC70HngS4DDi8y9E5khtSpQEPG6owaQ9z4E-tR5mnY"",""Non-Food!A2:A""),0))),"""")"),"")</f>
        <v/>
      </c>
      <c r="D179" s="4"/>
      <c r="E179" s="4"/>
      <c r="F179" s="4"/>
      <c r="G179" s="4"/>
      <c r="H179" s="4"/>
      <c r="I179" s="4"/>
      <c r="J179" s="4" t="str">
        <f t="shared" si="2"/>
        <v/>
      </c>
      <c r="K179" s="4"/>
      <c r="L179" s="4"/>
    </row>
    <row r="180">
      <c r="A180" s="4"/>
      <c r="B180" s="15"/>
      <c r="C180" s="7" t="str">
        <f>IFERROR(__xludf.DUMMYFUNCTION("iferror(iferror(INDEX(IMPORTRANGE(""12vtnxaE_Q1s4tyr10kZQx7ZF_xG0lBFae4jQEUtgsMU"",""All!B2:B""),MATCH($B180,IMPORTRANGE(""12vtnxaE_Q1s4tyr10kZQx7ZF_xG0lBFae4jQEUtgsMU"",""All!A2:A""),0)),INDEX(IMPORTRANGE(""13KC70HngS4DDi8y9E5khtSpQEPG6owaQ9z4E-tR5mnY"","&amp;"""Non-Food!B2:B""),MATCH($B180,IMPORTRANGE(""13KC70HngS4DDi8y9E5khtSpQEPG6owaQ9z4E-tR5mnY"",""Non-Food!A2:A""),0))),"""")"),"")</f>
        <v/>
      </c>
      <c r="D180" s="4"/>
      <c r="E180" s="4"/>
      <c r="F180" s="4"/>
      <c r="G180" s="4"/>
      <c r="H180" s="4"/>
      <c r="I180" s="4"/>
      <c r="J180" s="4" t="str">
        <f t="shared" si="2"/>
        <v/>
      </c>
      <c r="K180" s="4"/>
      <c r="L180" s="4"/>
    </row>
    <row r="181">
      <c r="A181" s="4"/>
      <c r="B181" s="15"/>
      <c r="C181" s="7" t="str">
        <f>IFERROR(__xludf.DUMMYFUNCTION("iferror(iferror(INDEX(IMPORTRANGE(""12vtnxaE_Q1s4tyr10kZQx7ZF_xG0lBFae4jQEUtgsMU"",""All!B2:B""),MATCH($B181,IMPORTRANGE(""12vtnxaE_Q1s4tyr10kZQx7ZF_xG0lBFae4jQEUtgsMU"",""All!A2:A""),0)),INDEX(IMPORTRANGE(""13KC70HngS4DDi8y9E5khtSpQEPG6owaQ9z4E-tR5mnY"","&amp;"""Non-Food!B2:B""),MATCH($B181,IMPORTRANGE(""13KC70HngS4DDi8y9E5khtSpQEPG6owaQ9z4E-tR5mnY"",""Non-Food!A2:A""),0))),"""")"),"")</f>
        <v/>
      </c>
      <c r="D181" s="4"/>
      <c r="E181" s="4"/>
      <c r="F181" s="4"/>
      <c r="G181" s="4"/>
      <c r="H181" s="4"/>
      <c r="I181" s="4"/>
      <c r="J181" s="4" t="str">
        <f t="shared" si="2"/>
        <v/>
      </c>
      <c r="K181" s="4"/>
      <c r="L181" s="4"/>
    </row>
    <row r="182">
      <c r="A182" s="4"/>
      <c r="B182" s="15"/>
      <c r="C182" s="7" t="str">
        <f>IFERROR(__xludf.DUMMYFUNCTION("iferror(iferror(INDEX(IMPORTRANGE(""12vtnxaE_Q1s4tyr10kZQx7ZF_xG0lBFae4jQEUtgsMU"",""All!B2:B""),MATCH($B182,IMPORTRANGE(""12vtnxaE_Q1s4tyr10kZQx7ZF_xG0lBFae4jQEUtgsMU"",""All!A2:A""),0)),INDEX(IMPORTRANGE(""13KC70HngS4DDi8y9E5khtSpQEPG6owaQ9z4E-tR5mnY"","&amp;"""Non-Food!B2:B""),MATCH($B182,IMPORTRANGE(""13KC70HngS4DDi8y9E5khtSpQEPG6owaQ9z4E-tR5mnY"",""Non-Food!A2:A""),0))),"""")"),"")</f>
        <v/>
      </c>
      <c r="D182" s="4"/>
      <c r="E182" s="4"/>
      <c r="F182" s="4"/>
      <c r="G182" s="4"/>
      <c r="H182" s="4"/>
      <c r="I182" s="4"/>
      <c r="J182" s="4" t="str">
        <f t="shared" si="2"/>
        <v/>
      </c>
      <c r="K182" s="4"/>
      <c r="L182" s="4"/>
    </row>
    <row r="183">
      <c r="A183" s="4"/>
      <c r="B183" s="15"/>
      <c r="C183" s="7" t="str">
        <f>IFERROR(__xludf.DUMMYFUNCTION("iferror(iferror(INDEX(IMPORTRANGE(""12vtnxaE_Q1s4tyr10kZQx7ZF_xG0lBFae4jQEUtgsMU"",""All!B2:B""),MATCH($B183,IMPORTRANGE(""12vtnxaE_Q1s4tyr10kZQx7ZF_xG0lBFae4jQEUtgsMU"",""All!A2:A""),0)),INDEX(IMPORTRANGE(""13KC70HngS4DDi8y9E5khtSpQEPG6owaQ9z4E-tR5mnY"","&amp;"""Non-Food!B2:B""),MATCH($B183,IMPORTRANGE(""13KC70HngS4DDi8y9E5khtSpQEPG6owaQ9z4E-tR5mnY"",""Non-Food!A2:A""),0))),"""")"),"")</f>
        <v/>
      </c>
      <c r="D183" s="4"/>
      <c r="E183" s="4"/>
      <c r="F183" s="4"/>
      <c r="G183" s="4"/>
      <c r="H183" s="4"/>
      <c r="I183" s="4"/>
      <c r="J183" s="4" t="str">
        <f t="shared" si="2"/>
        <v/>
      </c>
      <c r="K183" s="4"/>
      <c r="L183" s="4"/>
    </row>
    <row r="184">
      <c r="A184" s="4"/>
      <c r="B184" s="15"/>
      <c r="C184" s="7" t="str">
        <f>IFERROR(__xludf.DUMMYFUNCTION("iferror(iferror(INDEX(IMPORTRANGE(""12vtnxaE_Q1s4tyr10kZQx7ZF_xG0lBFae4jQEUtgsMU"",""All!B2:B""),MATCH($B184,IMPORTRANGE(""12vtnxaE_Q1s4tyr10kZQx7ZF_xG0lBFae4jQEUtgsMU"",""All!A2:A""),0)),INDEX(IMPORTRANGE(""13KC70HngS4DDi8y9E5khtSpQEPG6owaQ9z4E-tR5mnY"","&amp;"""Non-Food!B2:B""),MATCH($B184,IMPORTRANGE(""13KC70HngS4DDi8y9E5khtSpQEPG6owaQ9z4E-tR5mnY"",""Non-Food!A2:A""),0))),"""")"),"")</f>
        <v/>
      </c>
      <c r="D184" s="4"/>
      <c r="E184" s="4"/>
      <c r="F184" s="4"/>
      <c r="G184" s="4"/>
      <c r="H184" s="4"/>
      <c r="I184" s="4"/>
      <c r="J184" s="4" t="str">
        <f t="shared" si="2"/>
        <v/>
      </c>
      <c r="K184" s="4"/>
      <c r="L184" s="4"/>
    </row>
    <row r="185">
      <c r="A185" s="4"/>
      <c r="B185" s="15"/>
      <c r="C185" s="7" t="str">
        <f>IFERROR(__xludf.DUMMYFUNCTION("iferror(iferror(INDEX(IMPORTRANGE(""12vtnxaE_Q1s4tyr10kZQx7ZF_xG0lBFae4jQEUtgsMU"",""All!B2:B""),MATCH($B185,IMPORTRANGE(""12vtnxaE_Q1s4tyr10kZQx7ZF_xG0lBFae4jQEUtgsMU"",""All!A2:A""),0)),INDEX(IMPORTRANGE(""13KC70HngS4DDi8y9E5khtSpQEPG6owaQ9z4E-tR5mnY"","&amp;"""Non-Food!B2:B""),MATCH($B185,IMPORTRANGE(""13KC70HngS4DDi8y9E5khtSpQEPG6owaQ9z4E-tR5mnY"",""Non-Food!A2:A""),0))),"""")"),"")</f>
        <v/>
      </c>
      <c r="D185" s="4"/>
      <c r="E185" s="4"/>
      <c r="F185" s="4"/>
      <c r="G185" s="4"/>
      <c r="H185" s="4"/>
      <c r="I185" s="4"/>
      <c r="J185" s="4" t="str">
        <f t="shared" si="2"/>
        <v/>
      </c>
      <c r="K185" s="4"/>
      <c r="L185" s="4"/>
    </row>
    <row r="186">
      <c r="A186" s="4"/>
      <c r="B186" s="15"/>
      <c r="C186" s="7" t="str">
        <f>IFERROR(__xludf.DUMMYFUNCTION("iferror(iferror(INDEX(IMPORTRANGE(""12vtnxaE_Q1s4tyr10kZQx7ZF_xG0lBFae4jQEUtgsMU"",""All!B2:B""),MATCH($B186,IMPORTRANGE(""12vtnxaE_Q1s4tyr10kZQx7ZF_xG0lBFae4jQEUtgsMU"",""All!A2:A""),0)),INDEX(IMPORTRANGE(""13KC70HngS4DDi8y9E5khtSpQEPG6owaQ9z4E-tR5mnY"","&amp;"""Non-Food!B2:B""),MATCH($B186,IMPORTRANGE(""13KC70HngS4DDi8y9E5khtSpQEPG6owaQ9z4E-tR5mnY"",""Non-Food!A2:A""),0))),"""")"),"")</f>
        <v/>
      </c>
      <c r="D186" s="4"/>
      <c r="E186" s="4"/>
      <c r="F186" s="4"/>
      <c r="G186" s="4"/>
      <c r="H186" s="4"/>
      <c r="I186" s="4"/>
      <c r="J186" s="4" t="str">
        <f t="shared" si="2"/>
        <v/>
      </c>
      <c r="K186" s="4"/>
      <c r="L186" s="4"/>
    </row>
    <row r="187">
      <c r="A187" s="4"/>
      <c r="B187" s="15"/>
      <c r="C187" s="7" t="str">
        <f>IFERROR(__xludf.DUMMYFUNCTION("iferror(iferror(INDEX(IMPORTRANGE(""12vtnxaE_Q1s4tyr10kZQx7ZF_xG0lBFae4jQEUtgsMU"",""All!B2:B""),MATCH($B187,IMPORTRANGE(""12vtnxaE_Q1s4tyr10kZQx7ZF_xG0lBFae4jQEUtgsMU"",""All!A2:A""),0)),INDEX(IMPORTRANGE(""13KC70HngS4DDi8y9E5khtSpQEPG6owaQ9z4E-tR5mnY"","&amp;"""Non-Food!B2:B""),MATCH($B187,IMPORTRANGE(""13KC70HngS4DDi8y9E5khtSpQEPG6owaQ9z4E-tR5mnY"",""Non-Food!A2:A""),0))),"""")"),"")</f>
        <v/>
      </c>
      <c r="D187" s="4"/>
      <c r="E187" s="4"/>
      <c r="F187" s="4"/>
      <c r="G187" s="4"/>
      <c r="H187" s="4"/>
      <c r="I187" s="4"/>
      <c r="J187" s="4" t="str">
        <f t="shared" si="2"/>
        <v/>
      </c>
      <c r="K187" s="4"/>
      <c r="L187" s="4"/>
    </row>
    <row r="188">
      <c r="A188" s="4"/>
      <c r="B188" s="15"/>
      <c r="C188" s="7" t="str">
        <f>IFERROR(__xludf.DUMMYFUNCTION("iferror(iferror(INDEX(IMPORTRANGE(""12vtnxaE_Q1s4tyr10kZQx7ZF_xG0lBFae4jQEUtgsMU"",""All!B2:B""),MATCH($B188,IMPORTRANGE(""12vtnxaE_Q1s4tyr10kZQx7ZF_xG0lBFae4jQEUtgsMU"",""All!A2:A""),0)),INDEX(IMPORTRANGE(""13KC70HngS4DDi8y9E5khtSpQEPG6owaQ9z4E-tR5mnY"","&amp;"""Non-Food!B2:B""),MATCH($B188,IMPORTRANGE(""13KC70HngS4DDi8y9E5khtSpQEPG6owaQ9z4E-tR5mnY"",""Non-Food!A2:A""),0))),"""")"),"")</f>
        <v/>
      </c>
      <c r="D188" s="4"/>
      <c r="E188" s="4"/>
      <c r="F188" s="4"/>
      <c r="G188" s="4"/>
      <c r="H188" s="4"/>
      <c r="I188" s="4"/>
      <c r="J188" s="4" t="str">
        <f t="shared" si="2"/>
        <v/>
      </c>
      <c r="K188" s="4"/>
      <c r="L188" s="4"/>
    </row>
    <row r="189">
      <c r="A189" s="4"/>
      <c r="B189" s="15"/>
      <c r="C189" s="7" t="str">
        <f>IFERROR(__xludf.DUMMYFUNCTION("iferror(iferror(INDEX(IMPORTRANGE(""12vtnxaE_Q1s4tyr10kZQx7ZF_xG0lBFae4jQEUtgsMU"",""All!B2:B""),MATCH($B189,IMPORTRANGE(""12vtnxaE_Q1s4tyr10kZQx7ZF_xG0lBFae4jQEUtgsMU"",""All!A2:A""),0)),INDEX(IMPORTRANGE(""13KC70HngS4DDi8y9E5khtSpQEPG6owaQ9z4E-tR5mnY"","&amp;"""Non-Food!B2:B""),MATCH($B189,IMPORTRANGE(""13KC70HngS4DDi8y9E5khtSpQEPG6owaQ9z4E-tR5mnY"",""Non-Food!A2:A""),0))),"""")"),"")</f>
        <v/>
      </c>
      <c r="D189" s="4"/>
      <c r="E189" s="4"/>
      <c r="F189" s="4"/>
      <c r="G189" s="4"/>
      <c r="H189" s="4"/>
      <c r="I189" s="4"/>
      <c r="J189" s="4" t="str">
        <f t="shared" si="2"/>
        <v/>
      </c>
      <c r="K189" s="4"/>
      <c r="L189" s="4"/>
    </row>
    <row r="190">
      <c r="A190" s="4"/>
      <c r="B190" s="15"/>
      <c r="C190" s="7" t="str">
        <f>IFERROR(__xludf.DUMMYFUNCTION("iferror(iferror(INDEX(IMPORTRANGE(""12vtnxaE_Q1s4tyr10kZQx7ZF_xG0lBFae4jQEUtgsMU"",""All!B2:B""),MATCH($B190,IMPORTRANGE(""12vtnxaE_Q1s4tyr10kZQx7ZF_xG0lBFae4jQEUtgsMU"",""All!A2:A""),0)),INDEX(IMPORTRANGE(""13KC70HngS4DDi8y9E5khtSpQEPG6owaQ9z4E-tR5mnY"","&amp;"""Non-Food!B2:B""),MATCH($B190,IMPORTRANGE(""13KC70HngS4DDi8y9E5khtSpQEPG6owaQ9z4E-tR5mnY"",""Non-Food!A2:A""),0))),"""")"),"")</f>
        <v/>
      </c>
      <c r="D190" s="4"/>
      <c r="E190" s="4"/>
      <c r="F190" s="4"/>
      <c r="G190" s="4"/>
      <c r="H190" s="4"/>
      <c r="I190" s="4"/>
      <c r="J190" s="4" t="str">
        <f t="shared" si="2"/>
        <v/>
      </c>
      <c r="K190" s="4"/>
      <c r="L190" s="4"/>
    </row>
    <row r="191">
      <c r="A191" s="4"/>
      <c r="B191" s="15"/>
      <c r="C191" s="7" t="str">
        <f>IFERROR(__xludf.DUMMYFUNCTION("iferror(iferror(INDEX(IMPORTRANGE(""12vtnxaE_Q1s4tyr10kZQx7ZF_xG0lBFae4jQEUtgsMU"",""All!B2:B""),MATCH($B191,IMPORTRANGE(""12vtnxaE_Q1s4tyr10kZQx7ZF_xG0lBFae4jQEUtgsMU"",""All!A2:A""),0)),INDEX(IMPORTRANGE(""13KC70HngS4DDi8y9E5khtSpQEPG6owaQ9z4E-tR5mnY"","&amp;"""Non-Food!B2:B""),MATCH($B191,IMPORTRANGE(""13KC70HngS4DDi8y9E5khtSpQEPG6owaQ9z4E-tR5mnY"",""Non-Food!A2:A""),0))),"""")"),"")</f>
        <v/>
      </c>
      <c r="D191" s="4"/>
      <c r="E191" s="4"/>
      <c r="F191" s="4"/>
      <c r="G191" s="4"/>
      <c r="H191" s="4"/>
      <c r="I191" s="4"/>
      <c r="J191" s="4" t="str">
        <f t="shared" si="2"/>
        <v/>
      </c>
      <c r="K191" s="4"/>
      <c r="L191" s="4"/>
    </row>
    <row r="192">
      <c r="A192" s="4"/>
      <c r="B192" s="15"/>
      <c r="C192" s="7" t="str">
        <f>IFERROR(__xludf.DUMMYFUNCTION("iferror(iferror(INDEX(IMPORTRANGE(""12vtnxaE_Q1s4tyr10kZQx7ZF_xG0lBFae4jQEUtgsMU"",""All!B2:B""),MATCH($B192,IMPORTRANGE(""12vtnxaE_Q1s4tyr10kZQx7ZF_xG0lBFae4jQEUtgsMU"",""All!A2:A""),0)),INDEX(IMPORTRANGE(""13KC70HngS4DDi8y9E5khtSpQEPG6owaQ9z4E-tR5mnY"","&amp;"""Non-Food!B2:B""),MATCH($B192,IMPORTRANGE(""13KC70HngS4DDi8y9E5khtSpQEPG6owaQ9z4E-tR5mnY"",""Non-Food!A2:A""),0))),"""")"),"")</f>
        <v/>
      </c>
      <c r="D192" s="4"/>
      <c r="E192" s="4"/>
      <c r="F192" s="4"/>
      <c r="G192" s="4"/>
      <c r="H192" s="4"/>
      <c r="I192" s="4"/>
      <c r="J192" s="4" t="str">
        <f t="shared" si="2"/>
        <v/>
      </c>
      <c r="K192" s="4"/>
      <c r="L192" s="4"/>
    </row>
    <row r="193">
      <c r="A193" s="4"/>
      <c r="B193" s="15"/>
      <c r="C193" s="7" t="str">
        <f>IFERROR(__xludf.DUMMYFUNCTION("iferror(iferror(INDEX(IMPORTRANGE(""12vtnxaE_Q1s4tyr10kZQx7ZF_xG0lBFae4jQEUtgsMU"",""All!B2:B""),MATCH($B193,IMPORTRANGE(""12vtnxaE_Q1s4tyr10kZQx7ZF_xG0lBFae4jQEUtgsMU"",""All!A2:A""),0)),INDEX(IMPORTRANGE(""13KC70HngS4DDi8y9E5khtSpQEPG6owaQ9z4E-tR5mnY"","&amp;"""Non-Food!B2:B""),MATCH($B193,IMPORTRANGE(""13KC70HngS4DDi8y9E5khtSpQEPG6owaQ9z4E-tR5mnY"",""Non-Food!A2:A""),0))),"""")"),"")</f>
        <v/>
      </c>
      <c r="D193" s="4"/>
      <c r="E193" s="4"/>
      <c r="F193" s="4"/>
      <c r="G193" s="4"/>
      <c r="H193" s="4"/>
      <c r="I193" s="4"/>
      <c r="J193" s="4" t="str">
        <f t="shared" si="2"/>
        <v/>
      </c>
      <c r="K193" s="4"/>
      <c r="L193" s="4"/>
    </row>
    <row r="194">
      <c r="A194" s="4"/>
      <c r="B194" s="15"/>
      <c r="C194" s="7" t="str">
        <f>IFERROR(__xludf.DUMMYFUNCTION("iferror(iferror(INDEX(IMPORTRANGE(""12vtnxaE_Q1s4tyr10kZQx7ZF_xG0lBFae4jQEUtgsMU"",""All!B2:B""),MATCH($B194,IMPORTRANGE(""12vtnxaE_Q1s4tyr10kZQx7ZF_xG0lBFae4jQEUtgsMU"",""All!A2:A""),0)),INDEX(IMPORTRANGE(""13KC70HngS4DDi8y9E5khtSpQEPG6owaQ9z4E-tR5mnY"","&amp;"""Non-Food!B2:B""),MATCH($B194,IMPORTRANGE(""13KC70HngS4DDi8y9E5khtSpQEPG6owaQ9z4E-tR5mnY"",""Non-Food!A2:A""),0))),"""")"),"")</f>
        <v/>
      </c>
      <c r="D194" s="4"/>
      <c r="E194" s="4"/>
      <c r="F194" s="4"/>
      <c r="G194" s="4"/>
      <c r="H194" s="4"/>
      <c r="I194" s="4"/>
      <c r="J194" s="4" t="str">
        <f t="shared" si="2"/>
        <v/>
      </c>
      <c r="K194" s="4"/>
      <c r="L194" s="4"/>
    </row>
    <row r="195">
      <c r="A195" s="4"/>
      <c r="B195" s="15"/>
      <c r="C195" s="7" t="str">
        <f>IFERROR(__xludf.DUMMYFUNCTION("iferror(iferror(INDEX(IMPORTRANGE(""12vtnxaE_Q1s4tyr10kZQx7ZF_xG0lBFae4jQEUtgsMU"",""All!B2:B""),MATCH($B195,IMPORTRANGE(""12vtnxaE_Q1s4tyr10kZQx7ZF_xG0lBFae4jQEUtgsMU"",""All!A2:A""),0)),INDEX(IMPORTRANGE(""13KC70HngS4DDi8y9E5khtSpQEPG6owaQ9z4E-tR5mnY"","&amp;"""Non-Food!B2:B""),MATCH($B195,IMPORTRANGE(""13KC70HngS4DDi8y9E5khtSpQEPG6owaQ9z4E-tR5mnY"",""Non-Food!A2:A""),0))),"""")"),"")</f>
        <v/>
      </c>
      <c r="D195" s="4"/>
      <c r="E195" s="4"/>
      <c r="F195" s="4"/>
      <c r="G195" s="4"/>
      <c r="H195" s="4"/>
      <c r="I195" s="4"/>
      <c r="J195" s="4" t="str">
        <f t="shared" si="2"/>
        <v/>
      </c>
      <c r="K195" s="4"/>
      <c r="L195" s="4"/>
    </row>
    <row r="196">
      <c r="A196" s="4"/>
      <c r="B196" s="15"/>
      <c r="C196" s="7" t="str">
        <f>IFERROR(__xludf.DUMMYFUNCTION("iferror(iferror(INDEX(IMPORTRANGE(""12vtnxaE_Q1s4tyr10kZQx7ZF_xG0lBFae4jQEUtgsMU"",""All!B2:B""),MATCH($B196,IMPORTRANGE(""12vtnxaE_Q1s4tyr10kZQx7ZF_xG0lBFae4jQEUtgsMU"",""All!A2:A""),0)),INDEX(IMPORTRANGE(""13KC70HngS4DDi8y9E5khtSpQEPG6owaQ9z4E-tR5mnY"","&amp;"""Non-Food!B2:B""),MATCH($B196,IMPORTRANGE(""13KC70HngS4DDi8y9E5khtSpQEPG6owaQ9z4E-tR5mnY"",""Non-Food!A2:A""),0))),"""")"),"")</f>
        <v/>
      </c>
      <c r="D196" s="4"/>
      <c r="E196" s="4"/>
      <c r="F196" s="4"/>
      <c r="G196" s="4"/>
      <c r="H196" s="4"/>
      <c r="I196" s="4"/>
      <c r="J196" s="4" t="str">
        <f t="shared" si="2"/>
        <v/>
      </c>
      <c r="K196" s="4"/>
      <c r="L196" s="4"/>
    </row>
    <row r="197">
      <c r="A197" s="4"/>
      <c r="B197" s="15"/>
      <c r="C197" s="7" t="str">
        <f>IFERROR(__xludf.DUMMYFUNCTION("iferror(iferror(INDEX(IMPORTRANGE(""12vtnxaE_Q1s4tyr10kZQx7ZF_xG0lBFae4jQEUtgsMU"",""All!B2:B""),MATCH($B197,IMPORTRANGE(""12vtnxaE_Q1s4tyr10kZQx7ZF_xG0lBFae4jQEUtgsMU"",""All!A2:A""),0)),INDEX(IMPORTRANGE(""13KC70HngS4DDi8y9E5khtSpQEPG6owaQ9z4E-tR5mnY"","&amp;"""Non-Food!B2:B""),MATCH($B197,IMPORTRANGE(""13KC70HngS4DDi8y9E5khtSpQEPG6owaQ9z4E-tR5mnY"",""Non-Food!A2:A""),0))),"""")"),"")</f>
        <v/>
      </c>
      <c r="D197" s="4"/>
      <c r="E197" s="4"/>
      <c r="F197" s="4"/>
      <c r="G197" s="4"/>
      <c r="H197" s="4"/>
      <c r="I197" s="4"/>
      <c r="J197" s="4" t="str">
        <f t="shared" si="2"/>
        <v/>
      </c>
      <c r="K197" s="4"/>
      <c r="L197" s="4"/>
    </row>
    <row r="198">
      <c r="A198" s="4"/>
      <c r="B198" s="15"/>
      <c r="C198" s="7" t="str">
        <f>IFERROR(__xludf.DUMMYFUNCTION("iferror(iferror(INDEX(IMPORTRANGE(""12vtnxaE_Q1s4tyr10kZQx7ZF_xG0lBFae4jQEUtgsMU"",""All!B2:B""),MATCH($B198,IMPORTRANGE(""12vtnxaE_Q1s4tyr10kZQx7ZF_xG0lBFae4jQEUtgsMU"",""All!A2:A""),0)),INDEX(IMPORTRANGE(""13KC70HngS4DDi8y9E5khtSpQEPG6owaQ9z4E-tR5mnY"","&amp;"""Non-Food!B2:B""),MATCH($B198,IMPORTRANGE(""13KC70HngS4DDi8y9E5khtSpQEPG6owaQ9z4E-tR5mnY"",""Non-Food!A2:A""),0))),"""")"),"")</f>
        <v/>
      </c>
      <c r="D198" s="4"/>
      <c r="E198" s="4"/>
      <c r="F198" s="4"/>
      <c r="G198" s="4"/>
      <c r="H198" s="4"/>
      <c r="I198" s="4"/>
      <c r="J198" s="4" t="str">
        <f t="shared" si="2"/>
        <v/>
      </c>
      <c r="K198" s="4"/>
      <c r="L198" s="4"/>
    </row>
    <row r="199">
      <c r="A199" s="4"/>
      <c r="B199" s="15"/>
      <c r="C199" s="7" t="str">
        <f>IFERROR(__xludf.DUMMYFUNCTION("iferror(iferror(INDEX(IMPORTRANGE(""12vtnxaE_Q1s4tyr10kZQx7ZF_xG0lBFae4jQEUtgsMU"",""All!B2:B""),MATCH($B199,IMPORTRANGE(""12vtnxaE_Q1s4tyr10kZQx7ZF_xG0lBFae4jQEUtgsMU"",""All!A2:A""),0)),INDEX(IMPORTRANGE(""13KC70HngS4DDi8y9E5khtSpQEPG6owaQ9z4E-tR5mnY"","&amp;"""Non-Food!B2:B""),MATCH($B199,IMPORTRANGE(""13KC70HngS4DDi8y9E5khtSpQEPG6owaQ9z4E-tR5mnY"",""Non-Food!A2:A""),0))),"""")"),"")</f>
        <v/>
      </c>
      <c r="D199" s="4"/>
      <c r="E199" s="4"/>
      <c r="F199" s="4"/>
      <c r="G199" s="4"/>
      <c r="H199" s="4"/>
      <c r="I199" s="4"/>
      <c r="J199" s="4" t="str">
        <f t="shared" si="2"/>
        <v/>
      </c>
      <c r="K199" s="4"/>
      <c r="L199" s="4"/>
    </row>
    <row r="200">
      <c r="A200" s="4"/>
      <c r="B200" s="15"/>
      <c r="C200" s="7" t="str">
        <f>IFERROR(__xludf.DUMMYFUNCTION("iferror(iferror(INDEX(IMPORTRANGE(""12vtnxaE_Q1s4tyr10kZQx7ZF_xG0lBFae4jQEUtgsMU"",""All!B2:B""),MATCH($B200,IMPORTRANGE(""12vtnxaE_Q1s4tyr10kZQx7ZF_xG0lBFae4jQEUtgsMU"",""All!A2:A""),0)),INDEX(IMPORTRANGE(""13KC70HngS4DDi8y9E5khtSpQEPG6owaQ9z4E-tR5mnY"","&amp;"""Non-Food!B2:B""),MATCH($B200,IMPORTRANGE(""13KC70HngS4DDi8y9E5khtSpQEPG6owaQ9z4E-tR5mnY"",""Non-Food!A2:A""),0))),"""")"),"")</f>
        <v/>
      </c>
      <c r="D200" s="4"/>
      <c r="E200" s="4"/>
      <c r="F200" s="4"/>
      <c r="G200" s="4"/>
      <c r="H200" s="4"/>
      <c r="I200" s="4"/>
      <c r="J200" s="4" t="str">
        <f t="shared" si="2"/>
        <v/>
      </c>
      <c r="K200" s="4"/>
      <c r="L200" s="4"/>
    </row>
    <row r="201">
      <c r="A201" s="4"/>
      <c r="B201" s="15"/>
      <c r="C201" s="7" t="str">
        <f>IFERROR(__xludf.DUMMYFUNCTION("iferror(iferror(INDEX(IMPORTRANGE(""12vtnxaE_Q1s4tyr10kZQx7ZF_xG0lBFae4jQEUtgsMU"",""All!B2:B""),MATCH($B201,IMPORTRANGE(""12vtnxaE_Q1s4tyr10kZQx7ZF_xG0lBFae4jQEUtgsMU"",""All!A2:A""),0)),INDEX(IMPORTRANGE(""13KC70HngS4DDi8y9E5khtSpQEPG6owaQ9z4E-tR5mnY"","&amp;"""Non-Food!B2:B""),MATCH($B201,IMPORTRANGE(""13KC70HngS4DDi8y9E5khtSpQEPG6owaQ9z4E-tR5mnY"",""Non-Food!A2:A""),0))),"""")"),"")</f>
        <v/>
      </c>
      <c r="D201" s="4"/>
      <c r="E201" s="4"/>
      <c r="F201" s="4"/>
      <c r="G201" s="4"/>
      <c r="H201" s="4"/>
      <c r="I201" s="4"/>
      <c r="J201" s="4" t="str">
        <f t="shared" si="2"/>
        <v/>
      </c>
      <c r="K201" s="4"/>
      <c r="L201" s="4"/>
    </row>
    <row r="202">
      <c r="A202" s="4"/>
      <c r="B202" s="15"/>
      <c r="C202" s="7" t="str">
        <f>IFERROR(__xludf.DUMMYFUNCTION("iferror(iferror(INDEX(IMPORTRANGE(""12vtnxaE_Q1s4tyr10kZQx7ZF_xG0lBFae4jQEUtgsMU"",""All!B2:B""),MATCH($B202,IMPORTRANGE(""12vtnxaE_Q1s4tyr10kZQx7ZF_xG0lBFae4jQEUtgsMU"",""All!A2:A""),0)),INDEX(IMPORTRANGE(""13KC70HngS4DDi8y9E5khtSpQEPG6owaQ9z4E-tR5mnY"","&amp;"""Non-Food!B2:B""),MATCH($B202,IMPORTRANGE(""13KC70HngS4DDi8y9E5khtSpQEPG6owaQ9z4E-tR5mnY"",""Non-Food!A2:A""),0))),"""")"),"")</f>
        <v/>
      </c>
      <c r="D202" s="4"/>
      <c r="E202" s="4"/>
      <c r="F202" s="4"/>
      <c r="G202" s="4"/>
      <c r="H202" s="4"/>
      <c r="I202" s="4"/>
      <c r="J202" s="4" t="str">
        <f t="shared" si="2"/>
        <v/>
      </c>
      <c r="K202" s="4"/>
      <c r="L202" s="4"/>
    </row>
    <row r="203">
      <c r="A203" s="4"/>
      <c r="B203" s="15"/>
      <c r="C203" s="7" t="str">
        <f>IFERROR(__xludf.DUMMYFUNCTION("iferror(iferror(INDEX(IMPORTRANGE(""12vtnxaE_Q1s4tyr10kZQx7ZF_xG0lBFae4jQEUtgsMU"",""All!B2:B""),MATCH($B203,IMPORTRANGE(""12vtnxaE_Q1s4tyr10kZQx7ZF_xG0lBFae4jQEUtgsMU"",""All!A2:A""),0)),INDEX(IMPORTRANGE(""13KC70HngS4DDi8y9E5khtSpQEPG6owaQ9z4E-tR5mnY"","&amp;"""Non-Food!B2:B""),MATCH($B203,IMPORTRANGE(""13KC70HngS4DDi8y9E5khtSpQEPG6owaQ9z4E-tR5mnY"",""Non-Food!A2:A""),0))),"""")"),"")</f>
        <v/>
      </c>
      <c r="D203" s="4"/>
      <c r="E203" s="4"/>
      <c r="F203" s="4"/>
      <c r="G203" s="4"/>
      <c r="H203" s="4"/>
      <c r="I203" s="4"/>
      <c r="J203" s="4" t="str">
        <f t="shared" si="2"/>
        <v/>
      </c>
      <c r="K203" s="4"/>
      <c r="L203" s="4"/>
    </row>
    <row r="204">
      <c r="A204" s="4"/>
      <c r="B204" s="15"/>
      <c r="C204" s="7" t="str">
        <f>IFERROR(__xludf.DUMMYFUNCTION("iferror(iferror(INDEX(IMPORTRANGE(""12vtnxaE_Q1s4tyr10kZQx7ZF_xG0lBFae4jQEUtgsMU"",""All!B2:B""),MATCH($B204,IMPORTRANGE(""12vtnxaE_Q1s4tyr10kZQx7ZF_xG0lBFae4jQEUtgsMU"",""All!A2:A""),0)),INDEX(IMPORTRANGE(""13KC70HngS4DDi8y9E5khtSpQEPG6owaQ9z4E-tR5mnY"","&amp;"""Non-Food!B2:B""),MATCH($B204,IMPORTRANGE(""13KC70HngS4DDi8y9E5khtSpQEPG6owaQ9z4E-tR5mnY"",""Non-Food!A2:A""),0))),"""")"),"")</f>
        <v/>
      </c>
      <c r="D204" s="4"/>
      <c r="E204" s="4"/>
      <c r="F204" s="4"/>
      <c r="G204" s="4"/>
      <c r="H204" s="4"/>
      <c r="I204" s="4"/>
      <c r="J204" s="4" t="str">
        <f t="shared" si="2"/>
        <v/>
      </c>
      <c r="K204" s="4"/>
      <c r="L204" s="4"/>
    </row>
    <row r="205">
      <c r="A205" s="4"/>
      <c r="B205" s="15"/>
      <c r="C205" s="7" t="str">
        <f>IFERROR(__xludf.DUMMYFUNCTION("iferror(iferror(INDEX(IMPORTRANGE(""12vtnxaE_Q1s4tyr10kZQx7ZF_xG0lBFae4jQEUtgsMU"",""All!B2:B""),MATCH($B205,IMPORTRANGE(""12vtnxaE_Q1s4tyr10kZQx7ZF_xG0lBFae4jQEUtgsMU"",""All!A2:A""),0)),INDEX(IMPORTRANGE(""13KC70HngS4DDi8y9E5khtSpQEPG6owaQ9z4E-tR5mnY"","&amp;"""Non-Food!B2:B""),MATCH($B205,IMPORTRANGE(""13KC70HngS4DDi8y9E5khtSpQEPG6owaQ9z4E-tR5mnY"",""Non-Food!A2:A""),0))),"""")"),"")</f>
        <v/>
      </c>
      <c r="D205" s="4"/>
      <c r="E205" s="4"/>
      <c r="F205" s="4"/>
      <c r="G205" s="4"/>
      <c r="H205" s="4"/>
      <c r="I205" s="4"/>
      <c r="J205" s="4" t="str">
        <f t="shared" si="2"/>
        <v/>
      </c>
      <c r="K205" s="4"/>
      <c r="L205" s="4"/>
    </row>
    <row r="206">
      <c r="A206" s="4"/>
      <c r="B206" s="15"/>
      <c r="C206" s="7" t="str">
        <f>IFERROR(__xludf.DUMMYFUNCTION("iferror(iferror(INDEX(IMPORTRANGE(""12vtnxaE_Q1s4tyr10kZQx7ZF_xG0lBFae4jQEUtgsMU"",""All!B2:B""),MATCH($B206,IMPORTRANGE(""12vtnxaE_Q1s4tyr10kZQx7ZF_xG0lBFae4jQEUtgsMU"",""All!A2:A""),0)),INDEX(IMPORTRANGE(""13KC70HngS4DDi8y9E5khtSpQEPG6owaQ9z4E-tR5mnY"","&amp;"""Non-Food!B2:B""),MATCH($B206,IMPORTRANGE(""13KC70HngS4DDi8y9E5khtSpQEPG6owaQ9z4E-tR5mnY"",""Non-Food!A2:A""),0))),"""")"),"")</f>
        <v/>
      </c>
      <c r="D206" s="4"/>
      <c r="E206" s="4"/>
      <c r="F206" s="4"/>
      <c r="G206" s="4"/>
      <c r="H206" s="4"/>
      <c r="I206" s="4"/>
      <c r="J206" s="4" t="str">
        <f t="shared" si="2"/>
        <v/>
      </c>
      <c r="K206" s="4"/>
      <c r="L206" s="4"/>
    </row>
    <row r="207">
      <c r="A207" s="4"/>
      <c r="B207" s="15"/>
      <c r="C207" s="7" t="str">
        <f>IFERROR(__xludf.DUMMYFUNCTION("iferror(iferror(INDEX(IMPORTRANGE(""12vtnxaE_Q1s4tyr10kZQx7ZF_xG0lBFae4jQEUtgsMU"",""All!B2:B""),MATCH($B207,IMPORTRANGE(""12vtnxaE_Q1s4tyr10kZQx7ZF_xG0lBFae4jQEUtgsMU"",""All!A2:A""),0)),INDEX(IMPORTRANGE(""13KC70HngS4DDi8y9E5khtSpQEPG6owaQ9z4E-tR5mnY"","&amp;"""Non-Food!B2:B""),MATCH($B207,IMPORTRANGE(""13KC70HngS4DDi8y9E5khtSpQEPG6owaQ9z4E-tR5mnY"",""Non-Food!A2:A""),0))),"""")"),"")</f>
        <v/>
      </c>
      <c r="D207" s="4"/>
      <c r="E207" s="4"/>
      <c r="F207" s="4"/>
      <c r="G207" s="4"/>
      <c r="H207" s="4"/>
      <c r="I207" s="4"/>
      <c r="J207" s="4" t="str">
        <f t="shared" si="2"/>
        <v/>
      </c>
      <c r="K207" s="4"/>
      <c r="L207" s="4"/>
    </row>
    <row r="208">
      <c r="A208" s="4"/>
      <c r="B208" s="15"/>
      <c r="C208" s="7" t="str">
        <f>IFERROR(__xludf.DUMMYFUNCTION("iferror(iferror(INDEX(IMPORTRANGE(""12vtnxaE_Q1s4tyr10kZQx7ZF_xG0lBFae4jQEUtgsMU"",""All!B2:B""),MATCH($B208,IMPORTRANGE(""12vtnxaE_Q1s4tyr10kZQx7ZF_xG0lBFae4jQEUtgsMU"",""All!A2:A""),0)),INDEX(IMPORTRANGE(""13KC70HngS4DDi8y9E5khtSpQEPG6owaQ9z4E-tR5mnY"","&amp;"""Non-Food!B2:B""),MATCH($B208,IMPORTRANGE(""13KC70HngS4DDi8y9E5khtSpQEPG6owaQ9z4E-tR5mnY"",""Non-Food!A2:A""),0))),"""")"),"")</f>
        <v/>
      </c>
      <c r="D208" s="4"/>
      <c r="E208" s="4"/>
      <c r="F208" s="4"/>
      <c r="G208" s="4"/>
      <c r="H208" s="4"/>
      <c r="I208" s="4"/>
      <c r="J208" s="4" t="str">
        <f t="shared" si="2"/>
        <v/>
      </c>
      <c r="K208" s="4"/>
      <c r="L208" s="4"/>
    </row>
    <row r="209">
      <c r="A209" s="4"/>
      <c r="B209" s="15"/>
      <c r="C209" s="7" t="str">
        <f>IFERROR(__xludf.DUMMYFUNCTION("iferror(iferror(INDEX(IMPORTRANGE(""12vtnxaE_Q1s4tyr10kZQx7ZF_xG0lBFae4jQEUtgsMU"",""All!B2:B""),MATCH($B209,IMPORTRANGE(""12vtnxaE_Q1s4tyr10kZQx7ZF_xG0lBFae4jQEUtgsMU"",""All!A2:A""),0)),INDEX(IMPORTRANGE(""13KC70HngS4DDi8y9E5khtSpQEPG6owaQ9z4E-tR5mnY"","&amp;"""Non-Food!B2:B""),MATCH($B209,IMPORTRANGE(""13KC70HngS4DDi8y9E5khtSpQEPG6owaQ9z4E-tR5mnY"",""Non-Food!A2:A""),0))),"""")"),"")</f>
        <v/>
      </c>
      <c r="D209" s="4"/>
      <c r="E209" s="4"/>
      <c r="F209" s="4"/>
      <c r="G209" s="4"/>
      <c r="H209" s="4"/>
      <c r="I209" s="4"/>
      <c r="J209" s="4" t="str">
        <f t="shared" si="2"/>
        <v/>
      </c>
      <c r="K209" s="4"/>
      <c r="L209" s="4"/>
    </row>
    <row r="210">
      <c r="A210" s="4"/>
      <c r="B210" s="15"/>
      <c r="C210" s="7" t="str">
        <f>IFERROR(__xludf.DUMMYFUNCTION("iferror(iferror(INDEX(IMPORTRANGE(""12vtnxaE_Q1s4tyr10kZQx7ZF_xG0lBFae4jQEUtgsMU"",""All!B2:B""),MATCH($B210,IMPORTRANGE(""12vtnxaE_Q1s4tyr10kZQx7ZF_xG0lBFae4jQEUtgsMU"",""All!A2:A""),0)),INDEX(IMPORTRANGE(""13KC70HngS4DDi8y9E5khtSpQEPG6owaQ9z4E-tR5mnY"","&amp;"""Non-Food!B2:B""),MATCH($B210,IMPORTRANGE(""13KC70HngS4DDi8y9E5khtSpQEPG6owaQ9z4E-tR5mnY"",""Non-Food!A2:A""),0))),"""")"),"")</f>
        <v/>
      </c>
      <c r="D210" s="4"/>
      <c r="E210" s="4"/>
      <c r="F210" s="4"/>
      <c r="G210" s="4"/>
      <c r="H210" s="4"/>
      <c r="I210" s="4"/>
      <c r="J210" s="4" t="str">
        <f t="shared" si="2"/>
        <v/>
      </c>
      <c r="K210" s="4"/>
      <c r="L210" s="4"/>
    </row>
    <row r="211">
      <c r="A211" s="4"/>
      <c r="B211" s="15"/>
      <c r="C211" s="7" t="str">
        <f>IFERROR(__xludf.DUMMYFUNCTION("iferror(iferror(INDEX(IMPORTRANGE(""12vtnxaE_Q1s4tyr10kZQx7ZF_xG0lBFae4jQEUtgsMU"",""All!B2:B""),MATCH($B211,IMPORTRANGE(""12vtnxaE_Q1s4tyr10kZQx7ZF_xG0lBFae4jQEUtgsMU"",""All!A2:A""),0)),INDEX(IMPORTRANGE(""13KC70HngS4DDi8y9E5khtSpQEPG6owaQ9z4E-tR5mnY"","&amp;"""Non-Food!B2:B""),MATCH($B211,IMPORTRANGE(""13KC70HngS4DDi8y9E5khtSpQEPG6owaQ9z4E-tR5mnY"",""Non-Food!A2:A""),0))),"""")"),"")</f>
        <v/>
      </c>
      <c r="D211" s="4"/>
      <c r="E211" s="4"/>
      <c r="F211" s="4"/>
      <c r="G211" s="4"/>
      <c r="H211" s="4"/>
      <c r="I211" s="4"/>
      <c r="J211" s="4" t="str">
        <f t="shared" si="2"/>
        <v/>
      </c>
      <c r="K211" s="4"/>
      <c r="L211" s="4"/>
    </row>
    <row r="212">
      <c r="A212" s="4"/>
      <c r="B212" s="15"/>
      <c r="C212" s="7" t="str">
        <f>IFERROR(__xludf.DUMMYFUNCTION("iferror(iferror(INDEX(IMPORTRANGE(""12vtnxaE_Q1s4tyr10kZQx7ZF_xG0lBFae4jQEUtgsMU"",""All!B2:B""),MATCH($B212,IMPORTRANGE(""12vtnxaE_Q1s4tyr10kZQx7ZF_xG0lBFae4jQEUtgsMU"",""All!A2:A""),0)),INDEX(IMPORTRANGE(""13KC70HngS4DDi8y9E5khtSpQEPG6owaQ9z4E-tR5mnY"","&amp;"""Non-Food!B2:B""),MATCH($B212,IMPORTRANGE(""13KC70HngS4DDi8y9E5khtSpQEPG6owaQ9z4E-tR5mnY"",""Non-Food!A2:A""),0))),"""")"),"")</f>
        <v/>
      </c>
      <c r="D212" s="4"/>
      <c r="E212" s="4"/>
      <c r="F212" s="4"/>
      <c r="G212" s="4"/>
      <c r="H212" s="4"/>
      <c r="I212" s="4"/>
      <c r="J212" s="4" t="str">
        <f t="shared" si="2"/>
        <v/>
      </c>
      <c r="K212" s="4"/>
      <c r="L212" s="4"/>
    </row>
    <row r="213">
      <c r="A213" s="4"/>
      <c r="B213" s="15"/>
      <c r="C213" s="7" t="str">
        <f>IFERROR(__xludf.DUMMYFUNCTION("iferror(iferror(INDEX(IMPORTRANGE(""12vtnxaE_Q1s4tyr10kZQx7ZF_xG0lBFae4jQEUtgsMU"",""All!B2:B""),MATCH($B213,IMPORTRANGE(""12vtnxaE_Q1s4tyr10kZQx7ZF_xG0lBFae4jQEUtgsMU"",""All!A2:A""),0)),INDEX(IMPORTRANGE(""13KC70HngS4DDi8y9E5khtSpQEPG6owaQ9z4E-tR5mnY"","&amp;"""Non-Food!B2:B""),MATCH($B213,IMPORTRANGE(""13KC70HngS4DDi8y9E5khtSpQEPG6owaQ9z4E-tR5mnY"",""Non-Food!A2:A""),0))),"""")"),"")</f>
        <v/>
      </c>
      <c r="D213" s="4"/>
      <c r="E213" s="4"/>
      <c r="F213" s="4"/>
      <c r="G213" s="4"/>
      <c r="H213" s="4"/>
      <c r="I213" s="4"/>
      <c r="J213" s="4" t="str">
        <f t="shared" si="2"/>
        <v/>
      </c>
      <c r="K213" s="4"/>
      <c r="L213" s="4"/>
    </row>
    <row r="214">
      <c r="A214" s="4"/>
      <c r="B214" s="15"/>
      <c r="C214" s="7" t="str">
        <f>IFERROR(__xludf.DUMMYFUNCTION("iferror(iferror(INDEX(IMPORTRANGE(""12vtnxaE_Q1s4tyr10kZQx7ZF_xG0lBFae4jQEUtgsMU"",""All!B2:B""),MATCH($B214,IMPORTRANGE(""12vtnxaE_Q1s4tyr10kZQx7ZF_xG0lBFae4jQEUtgsMU"",""All!A2:A""),0)),INDEX(IMPORTRANGE(""13KC70HngS4DDi8y9E5khtSpQEPG6owaQ9z4E-tR5mnY"","&amp;"""Non-Food!B2:B""),MATCH($B214,IMPORTRANGE(""13KC70HngS4DDi8y9E5khtSpQEPG6owaQ9z4E-tR5mnY"",""Non-Food!A2:A""),0))),"""")"),"")</f>
        <v/>
      </c>
      <c r="D214" s="4"/>
      <c r="E214" s="4"/>
      <c r="F214" s="4"/>
      <c r="G214" s="4"/>
      <c r="H214" s="4"/>
      <c r="I214" s="4"/>
      <c r="J214" s="4" t="str">
        <f t="shared" si="2"/>
        <v/>
      </c>
      <c r="K214" s="4"/>
      <c r="L214" s="4"/>
    </row>
    <row r="215">
      <c r="A215" s="4"/>
      <c r="B215" s="15"/>
      <c r="C215" s="7" t="str">
        <f>IFERROR(__xludf.DUMMYFUNCTION("iferror(iferror(INDEX(IMPORTRANGE(""12vtnxaE_Q1s4tyr10kZQx7ZF_xG0lBFae4jQEUtgsMU"",""All!B2:B""),MATCH($B215,IMPORTRANGE(""12vtnxaE_Q1s4tyr10kZQx7ZF_xG0lBFae4jQEUtgsMU"",""All!A2:A""),0)),INDEX(IMPORTRANGE(""13KC70HngS4DDi8y9E5khtSpQEPG6owaQ9z4E-tR5mnY"","&amp;"""Non-Food!B2:B""),MATCH($B215,IMPORTRANGE(""13KC70HngS4DDi8y9E5khtSpQEPG6owaQ9z4E-tR5mnY"",""Non-Food!A2:A""),0))),"""")"),"")</f>
        <v/>
      </c>
      <c r="D215" s="4"/>
      <c r="E215" s="4"/>
      <c r="F215" s="4"/>
      <c r="G215" s="4"/>
      <c r="H215" s="4"/>
      <c r="I215" s="4"/>
      <c r="J215" s="4" t="str">
        <f t="shared" si="2"/>
        <v/>
      </c>
      <c r="K215" s="4"/>
      <c r="L215" s="4"/>
    </row>
    <row r="216">
      <c r="A216" s="4"/>
      <c r="B216" s="15"/>
      <c r="C216" s="7" t="str">
        <f>IFERROR(__xludf.DUMMYFUNCTION("iferror(iferror(INDEX(IMPORTRANGE(""12vtnxaE_Q1s4tyr10kZQx7ZF_xG0lBFae4jQEUtgsMU"",""All!B2:B""),MATCH($B216,IMPORTRANGE(""12vtnxaE_Q1s4tyr10kZQx7ZF_xG0lBFae4jQEUtgsMU"",""All!A2:A""),0)),INDEX(IMPORTRANGE(""13KC70HngS4DDi8y9E5khtSpQEPG6owaQ9z4E-tR5mnY"","&amp;"""Non-Food!B2:B""),MATCH($B216,IMPORTRANGE(""13KC70HngS4DDi8y9E5khtSpQEPG6owaQ9z4E-tR5mnY"",""Non-Food!A2:A""),0))),"""")"),"")</f>
        <v/>
      </c>
      <c r="D216" s="4"/>
      <c r="E216" s="4"/>
      <c r="F216" s="4"/>
      <c r="G216" s="4"/>
      <c r="H216" s="4"/>
      <c r="I216" s="4"/>
      <c r="J216" s="4" t="str">
        <f t="shared" si="2"/>
        <v/>
      </c>
      <c r="K216" s="4"/>
      <c r="L216" s="4"/>
    </row>
    <row r="217">
      <c r="A217" s="4"/>
      <c r="B217" s="15"/>
      <c r="C217" s="7" t="str">
        <f>IFERROR(__xludf.DUMMYFUNCTION("iferror(iferror(INDEX(IMPORTRANGE(""12vtnxaE_Q1s4tyr10kZQx7ZF_xG0lBFae4jQEUtgsMU"",""All!B2:B""),MATCH($B217,IMPORTRANGE(""12vtnxaE_Q1s4tyr10kZQx7ZF_xG0lBFae4jQEUtgsMU"",""All!A2:A""),0)),INDEX(IMPORTRANGE(""13KC70HngS4DDi8y9E5khtSpQEPG6owaQ9z4E-tR5mnY"","&amp;"""Non-Food!B2:B""),MATCH($B217,IMPORTRANGE(""13KC70HngS4DDi8y9E5khtSpQEPG6owaQ9z4E-tR5mnY"",""Non-Food!A2:A""),0))),"""")"),"")</f>
        <v/>
      </c>
      <c r="D217" s="4"/>
      <c r="E217" s="4"/>
      <c r="F217" s="4"/>
      <c r="G217" s="4"/>
      <c r="H217" s="4"/>
      <c r="I217" s="4"/>
      <c r="J217" s="4" t="str">
        <f t="shared" si="2"/>
        <v/>
      </c>
      <c r="K217" s="4"/>
      <c r="L217" s="4"/>
    </row>
    <row r="218">
      <c r="A218" s="4"/>
      <c r="B218" s="15"/>
      <c r="C218" s="7" t="str">
        <f>IFERROR(__xludf.DUMMYFUNCTION("iferror(iferror(INDEX(IMPORTRANGE(""12vtnxaE_Q1s4tyr10kZQx7ZF_xG0lBFae4jQEUtgsMU"",""All!B2:B""),MATCH($B218,IMPORTRANGE(""12vtnxaE_Q1s4tyr10kZQx7ZF_xG0lBFae4jQEUtgsMU"",""All!A2:A""),0)),INDEX(IMPORTRANGE(""13KC70HngS4DDi8y9E5khtSpQEPG6owaQ9z4E-tR5mnY"","&amp;"""Non-Food!B2:B""),MATCH($B218,IMPORTRANGE(""13KC70HngS4DDi8y9E5khtSpQEPG6owaQ9z4E-tR5mnY"",""Non-Food!A2:A""),0))),"""")"),"")</f>
        <v/>
      </c>
      <c r="D218" s="4"/>
      <c r="E218" s="4"/>
      <c r="F218" s="4"/>
      <c r="G218" s="4"/>
      <c r="H218" s="4"/>
      <c r="I218" s="4"/>
      <c r="J218" s="4" t="str">
        <f t="shared" si="2"/>
        <v/>
      </c>
      <c r="K218" s="4"/>
      <c r="L218" s="4"/>
    </row>
    <row r="219">
      <c r="A219" s="4"/>
      <c r="B219" s="15"/>
      <c r="C219" s="7" t="str">
        <f>IFERROR(__xludf.DUMMYFUNCTION("iferror(iferror(INDEX(IMPORTRANGE(""12vtnxaE_Q1s4tyr10kZQx7ZF_xG0lBFae4jQEUtgsMU"",""All!B2:B""),MATCH($B219,IMPORTRANGE(""12vtnxaE_Q1s4tyr10kZQx7ZF_xG0lBFae4jQEUtgsMU"",""All!A2:A""),0)),INDEX(IMPORTRANGE(""13KC70HngS4DDi8y9E5khtSpQEPG6owaQ9z4E-tR5mnY"","&amp;"""Non-Food!B2:B""),MATCH($B219,IMPORTRANGE(""13KC70HngS4DDi8y9E5khtSpQEPG6owaQ9z4E-tR5mnY"",""Non-Food!A2:A""),0))),"""")"),"")</f>
        <v/>
      </c>
      <c r="D219" s="4"/>
      <c r="E219" s="4"/>
      <c r="F219" s="4"/>
      <c r="G219" s="4"/>
      <c r="H219" s="4"/>
      <c r="I219" s="4"/>
      <c r="J219" s="4" t="str">
        <f t="shared" si="2"/>
        <v/>
      </c>
      <c r="K219" s="4"/>
      <c r="L219" s="4"/>
    </row>
    <row r="220">
      <c r="A220" s="4"/>
      <c r="B220" s="15"/>
      <c r="C220" s="7" t="str">
        <f>IFERROR(__xludf.DUMMYFUNCTION("iferror(iferror(INDEX(IMPORTRANGE(""12vtnxaE_Q1s4tyr10kZQx7ZF_xG0lBFae4jQEUtgsMU"",""All!B2:B""),MATCH($B220,IMPORTRANGE(""12vtnxaE_Q1s4tyr10kZQx7ZF_xG0lBFae4jQEUtgsMU"",""All!A2:A""),0)),INDEX(IMPORTRANGE(""13KC70HngS4DDi8y9E5khtSpQEPG6owaQ9z4E-tR5mnY"","&amp;"""Non-Food!B2:B""),MATCH($B220,IMPORTRANGE(""13KC70HngS4DDi8y9E5khtSpQEPG6owaQ9z4E-tR5mnY"",""Non-Food!A2:A""),0))),"""")"),"")</f>
        <v/>
      </c>
      <c r="D220" s="4"/>
      <c r="E220" s="4"/>
      <c r="F220" s="4"/>
      <c r="G220" s="4"/>
      <c r="H220" s="4"/>
      <c r="I220" s="4"/>
      <c r="J220" s="4" t="str">
        <f t="shared" si="2"/>
        <v/>
      </c>
      <c r="K220" s="4"/>
      <c r="L220" s="4"/>
    </row>
    <row r="221">
      <c r="A221" s="4"/>
      <c r="B221" s="15"/>
      <c r="C221" s="7" t="str">
        <f>IFERROR(__xludf.DUMMYFUNCTION("iferror(iferror(INDEX(IMPORTRANGE(""12vtnxaE_Q1s4tyr10kZQx7ZF_xG0lBFae4jQEUtgsMU"",""All!B2:B""),MATCH($B221,IMPORTRANGE(""12vtnxaE_Q1s4tyr10kZQx7ZF_xG0lBFae4jQEUtgsMU"",""All!A2:A""),0)),INDEX(IMPORTRANGE(""13KC70HngS4DDi8y9E5khtSpQEPG6owaQ9z4E-tR5mnY"","&amp;"""Non-Food!B2:B""),MATCH($B221,IMPORTRANGE(""13KC70HngS4DDi8y9E5khtSpQEPG6owaQ9z4E-tR5mnY"",""Non-Food!A2:A""),0))),"""")"),"")</f>
        <v/>
      </c>
      <c r="D221" s="4"/>
      <c r="E221" s="4"/>
      <c r="F221" s="4"/>
      <c r="G221" s="4"/>
      <c r="H221" s="4"/>
      <c r="I221" s="4"/>
      <c r="J221" s="4" t="str">
        <f t="shared" si="2"/>
        <v/>
      </c>
      <c r="K221" s="4"/>
      <c r="L221" s="4"/>
    </row>
    <row r="222">
      <c r="A222" s="4"/>
      <c r="B222" s="15"/>
      <c r="C222" s="7" t="str">
        <f>IFERROR(__xludf.DUMMYFUNCTION("iferror(iferror(INDEX(IMPORTRANGE(""12vtnxaE_Q1s4tyr10kZQx7ZF_xG0lBFae4jQEUtgsMU"",""All!B2:B""),MATCH($B222,IMPORTRANGE(""12vtnxaE_Q1s4tyr10kZQx7ZF_xG0lBFae4jQEUtgsMU"",""All!A2:A""),0)),INDEX(IMPORTRANGE(""13KC70HngS4DDi8y9E5khtSpQEPG6owaQ9z4E-tR5mnY"","&amp;"""Non-Food!B2:B""),MATCH($B222,IMPORTRANGE(""13KC70HngS4DDi8y9E5khtSpQEPG6owaQ9z4E-tR5mnY"",""Non-Food!A2:A""),0))),"""")"),"")</f>
        <v/>
      </c>
      <c r="D222" s="4"/>
      <c r="E222" s="4"/>
      <c r="F222" s="4"/>
      <c r="G222" s="4"/>
      <c r="H222" s="4"/>
      <c r="I222" s="4"/>
      <c r="J222" s="4" t="str">
        <f t="shared" si="2"/>
        <v/>
      </c>
      <c r="K222" s="4"/>
      <c r="L222" s="4"/>
    </row>
    <row r="223">
      <c r="A223" s="4"/>
      <c r="B223" s="15"/>
      <c r="C223" s="7" t="str">
        <f>IFERROR(__xludf.DUMMYFUNCTION("iferror(iferror(INDEX(IMPORTRANGE(""12vtnxaE_Q1s4tyr10kZQx7ZF_xG0lBFae4jQEUtgsMU"",""All!B2:B""),MATCH($B223,IMPORTRANGE(""12vtnxaE_Q1s4tyr10kZQx7ZF_xG0lBFae4jQEUtgsMU"",""All!A2:A""),0)),INDEX(IMPORTRANGE(""13KC70HngS4DDi8y9E5khtSpQEPG6owaQ9z4E-tR5mnY"","&amp;"""Non-Food!B2:B""),MATCH($B223,IMPORTRANGE(""13KC70HngS4DDi8y9E5khtSpQEPG6owaQ9z4E-tR5mnY"",""Non-Food!A2:A""),0))),"""")"),"")</f>
        <v/>
      </c>
      <c r="D223" s="4"/>
      <c r="E223" s="4"/>
      <c r="F223" s="4"/>
      <c r="G223" s="4"/>
      <c r="H223" s="4"/>
      <c r="I223" s="4"/>
      <c r="J223" s="4" t="str">
        <f t="shared" si="2"/>
        <v/>
      </c>
      <c r="K223" s="4"/>
      <c r="L223" s="4"/>
    </row>
    <row r="224">
      <c r="A224" s="4"/>
      <c r="B224" s="15"/>
      <c r="C224" s="7" t="str">
        <f>IFERROR(__xludf.DUMMYFUNCTION("iferror(iferror(INDEX(IMPORTRANGE(""12vtnxaE_Q1s4tyr10kZQx7ZF_xG0lBFae4jQEUtgsMU"",""All!B2:B""),MATCH($B224,IMPORTRANGE(""12vtnxaE_Q1s4tyr10kZQx7ZF_xG0lBFae4jQEUtgsMU"",""All!A2:A""),0)),INDEX(IMPORTRANGE(""13KC70HngS4DDi8y9E5khtSpQEPG6owaQ9z4E-tR5mnY"","&amp;"""Non-Food!B2:B""),MATCH($B224,IMPORTRANGE(""13KC70HngS4DDi8y9E5khtSpQEPG6owaQ9z4E-tR5mnY"",""Non-Food!A2:A""),0))),"""")"),"")</f>
        <v/>
      </c>
      <c r="D224" s="4"/>
      <c r="E224" s="4"/>
      <c r="F224" s="4"/>
      <c r="G224" s="4"/>
      <c r="H224" s="4"/>
      <c r="I224" s="4"/>
      <c r="J224" s="4" t="str">
        <f t="shared" si="2"/>
        <v/>
      </c>
      <c r="K224" s="4"/>
      <c r="L224" s="4"/>
    </row>
    <row r="225">
      <c r="A225" s="4"/>
      <c r="B225" s="15"/>
      <c r="C225" s="7" t="str">
        <f>IFERROR(__xludf.DUMMYFUNCTION("iferror(iferror(INDEX(IMPORTRANGE(""12vtnxaE_Q1s4tyr10kZQx7ZF_xG0lBFae4jQEUtgsMU"",""All!B2:B""),MATCH($B225,IMPORTRANGE(""12vtnxaE_Q1s4tyr10kZQx7ZF_xG0lBFae4jQEUtgsMU"",""All!A2:A""),0)),INDEX(IMPORTRANGE(""13KC70HngS4DDi8y9E5khtSpQEPG6owaQ9z4E-tR5mnY"","&amp;"""Non-Food!B2:B""),MATCH($B225,IMPORTRANGE(""13KC70HngS4DDi8y9E5khtSpQEPG6owaQ9z4E-tR5mnY"",""Non-Food!A2:A""),0))),"""")"),"")</f>
        <v/>
      </c>
      <c r="D225" s="4"/>
      <c r="E225" s="4"/>
      <c r="F225" s="4"/>
      <c r="G225" s="4"/>
      <c r="H225" s="4"/>
      <c r="I225" s="4"/>
      <c r="J225" s="4" t="str">
        <f t="shared" si="2"/>
        <v/>
      </c>
      <c r="K225" s="4"/>
      <c r="L225" s="4"/>
    </row>
    <row r="226">
      <c r="A226" s="4"/>
      <c r="B226" s="15"/>
      <c r="C226" s="7" t="str">
        <f>IFERROR(__xludf.DUMMYFUNCTION("iferror(iferror(INDEX(IMPORTRANGE(""12vtnxaE_Q1s4tyr10kZQx7ZF_xG0lBFae4jQEUtgsMU"",""All!B2:B""),MATCH($B226,IMPORTRANGE(""12vtnxaE_Q1s4tyr10kZQx7ZF_xG0lBFae4jQEUtgsMU"",""All!A2:A""),0)),INDEX(IMPORTRANGE(""13KC70HngS4DDi8y9E5khtSpQEPG6owaQ9z4E-tR5mnY"","&amp;"""Non-Food!B2:B""),MATCH($B226,IMPORTRANGE(""13KC70HngS4DDi8y9E5khtSpQEPG6owaQ9z4E-tR5mnY"",""Non-Food!A2:A""),0))),"""")"),"")</f>
        <v/>
      </c>
      <c r="D226" s="4"/>
      <c r="E226" s="4"/>
      <c r="F226" s="4"/>
      <c r="G226" s="4"/>
      <c r="H226" s="4"/>
      <c r="I226" s="4"/>
      <c r="J226" s="4" t="str">
        <f t="shared" si="2"/>
        <v/>
      </c>
      <c r="K226" s="4"/>
      <c r="L226" s="4"/>
    </row>
    <row r="227">
      <c r="A227" s="4"/>
      <c r="B227" s="15"/>
      <c r="C227" s="7" t="str">
        <f>IFERROR(__xludf.DUMMYFUNCTION("iferror(iferror(INDEX(IMPORTRANGE(""12vtnxaE_Q1s4tyr10kZQx7ZF_xG0lBFae4jQEUtgsMU"",""All!B2:B""),MATCH($B227,IMPORTRANGE(""12vtnxaE_Q1s4tyr10kZQx7ZF_xG0lBFae4jQEUtgsMU"",""All!A2:A""),0)),INDEX(IMPORTRANGE(""13KC70HngS4DDi8y9E5khtSpQEPG6owaQ9z4E-tR5mnY"","&amp;"""Non-Food!B2:B""),MATCH($B227,IMPORTRANGE(""13KC70HngS4DDi8y9E5khtSpQEPG6owaQ9z4E-tR5mnY"",""Non-Food!A2:A""),0))),"""")"),"")</f>
        <v/>
      </c>
      <c r="D227" s="4"/>
      <c r="E227" s="4"/>
      <c r="F227" s="4"/>
      <c r="G227" s="4"/>
      <c r="H227" s="4"/>
      <c r="I227" s="4"/>
      <c r="J227" s="4" t="str">
        <f t="shared" si="2"/>
        <v/>
      </c>
      <c r="K227" s="4"/>
      <c r="L227" s="4"/>
    </row>
    <row r="228">
      <c r="A228" s="4"/>
      <c r="B228" s="15"/>
      <c r="C228" s="7" t="str">
        <f>IFERROR(__xludf.DUMMYFUNCTION("iferror(iferror(INDEX(IMPORTRANGE(""12vtnxaE_Q1s4tyr10kZQx7ZF_xG0lBFae4jQEUtgsMU"",""All!B2:B""),MATCH($B228,IMPORTRANGE(""12vtnxaE_Q1s4tyr10kZQx7ZF_xG0lBFae4jQEUtgsMU"",""All!A2:A""),0)),INDEX(IMPORTRANGE(""13KC70HngS4DDi8y9E5khtSpQEPG6owaQ9z4E-tR5mnY"","&amp;"""Non-Food!B2:B""),MATCH($B228,IMPORTRANGE(""13KC70HngS4DDi8y9E5khtSpQEPG6owaQ9z4E-tR5mnY"",""Non-Food!A2:A""),0))),"""")"),"")</f>
        <v/>
      </c>
      <c r="D228" s="4"/>
      <c r="E228" s="4"/>
      <c r="F228" s="4"/>
      <c r="G228" s="4"/>
      <c r="H228" s="4"/>
      <c r="I228" s="4"/>
      <c r="J228" s="4" t="str">
        <f t="shared" si="2"/>
        <v/>
      </c>
      <c r="K228" s="4"/>
      <c r="L228" s="4"/>
    </row>
    <row r="229">
      <c r="A229" s="4"/>
      <c r="B229" s="15"/>
      <c r="C229" s="7" t="str">
        <f>IFERROR(__xludf.DUMMYFUNCTION("iferror(iferror(INDEX(IMPORTRANGE(""12vtnxaE_Q1s4tyr10kZQx7ZF_xG0lBFae4jQEUtgsMU"",""All!B2:B""),MATCH($B229,IMPORTRANGE(""12vtnxaE_Q1s4tyr10kZQx7ZF_xG0lBFae4jQEUtgsMU"",""All!A2:A""),0)),INDEX(IMPORTRANGE(""13KC70HngS4DDi8y9E5khtSpQEPG6owaQ9z4E-tR5mnY"","&amp;"""Non-Food!B2:B""),MATCH($B229,IMPORTRANGE(""13KC70HngS4DDi8y9E5khtSpQEPG6owaQ9z4E-tR5mnY"",""Non-Food!A2:A""),0))),"""")"),"")</f>
        <v/>
      </c>
      <c r="D229" s="4"/>
      <c r="E229" s="4"/>
      <c r="F229" s="4"/>
      <c r="G229" s="4"/>
      <c r="H229" s="4"/>
      <c r="I229" s="4"/>
      <c r="J229" s="4" t="str">
        <f t="shared" si="2"/>
        <v/>
      </c>
      <c r="K229" s="4"/>
      <c r="L229" s="4"/>
    </row>
    <row r="230">
      <c r="A230" s="4"/>
      <c r="B230" s="15"/>
      <c r="C230" s="7" t="str">
        <f>IFERROR(__xludf.DUMMYFUNCTION("iferror(iferror(INDEX(IMPORTRANGE(""12vtnxaE_Q1s4tyr10kZQx7ZF_xG0lBFae4jQEUtgsMU"",""All!B2:B""),MATCH($B230,IMPORTRANGE(""12vtnxaE_Q1s4tyr10kZQx7ZF_xG0lBFae4jQEUtgsMU"",""All!A2:A""),0)),INDEX(IMPORTRANGE(""13KC70HngS4DDi8y9E5khtSpQEPG6owaQ9z4E-tR5mnY"","&amp;"""Non-Food!B2:B""),MATCH($B230,IMPORTRANGE(""13KC70HngS4DDi8y9E5khtSpQEPG6owaQ9z4E-tR5mnY"",""Non-Food!A2:A""),0))),"""")"),"")</f>
        <v/>
      </c>
      <c r="D230" s="4"/>
      <c r="E230" s="4"/>
      <c r="F230" s="4"/>
      <c r="G230" s="4"/>
      <c r="H230" s="4"/>
      <c r="I230" s="4"/>
      <c r="J230" s="4" t="str">
        <f t="shared" si="2"/>
        <v/>
      </c>
      <c r="K230" s="4"/>
      <c r="L230" s="4"/>
    </row>
    <row r="231">
      <c r="A231" s="4"/>
      <c r="B231" s="15"/>
      <c r="C231" s="7" t="str">
        <f>IFERROR(__xludf.DUMMYFUNCTION("iferror(iferror(INDEX(IMPORTRANGE(""12vtnxaE_Q1s4tyr10kZQx7ZF_xG0lBFae4jQEUtgsMU"",""All!B2:B""),MATCH($B231,IMPORTRANGE(""12vtnxaE_Q1s4tyr10kZQx7ZF_xG0lBFae4jQEUtgsMU"",""All!A2:A""),0)),INDEX(IMPORTRANGE(""13KC70HngS4DDi8y9E5khtSpQEPG6owaQ9z4E-tR5mnY"","&amp;"""Non-Food!B2:B""),MATCH($B231,IMPORTRANGE(""13KC70HngS4DDi8y9E5khtSpQEPG6owaQ9z4E-tR5mnY"",""Non-Food!A2:A""),0))),"""")"),"")</f>
        <v/>
      </c>
      <c r="D231" s="4"/>
      <c r="E231" s="4"/>
      <c r="F231" s="4"/>
      <c r="G231" s="4"/>
      <c r="H231" s="4"/>
      <c r="I231" s="4"/>
      <c r="J231" s="4" t="str">
        <f t="shared" si="2"/>
        <v/>
      </c>
      <c r="K231" s="4"/>
      <c r="L231" s="4"/>
    </row>
    <row r="232">
      <c r="A232" s="4"/>
      <c r="B232" s="15"/>
      <c r="C232" s="7" t="str">
        <f>IFERROR(__xludf.DUMMYFUNCTION("iferror(iferror(INDEX(IMPORTRANGE(""12vtnxaE_Q1s4tyr10kZQx7ZF_xG0lBFae4jQEUtgsMU"",""All!B2:B""),MATCH($B232,IMPORTRANGE(""12vtnxaE_Q1s4tyr10kZQx7ZF_xG0lBFae4jQEUtgsMU"",""All!A2:A""),0)),INDEX(IMPORTRANGE(""13KC70HngS4DDi8y9E5khtSpQEPG6owaQ9z4E-tR5mnY"","&amp;"""Non-Food!B2:B""),MATCH($B232,IMPORTRANGE(""13KC70HngS4DDi8y9E5khtSpQEPG6owaQ9z4E-tR5mnY"",""Non-Food!A2:A""),0))),"""")"),"")</f>
        <v/>
      </c>
      <c r="D232" s="4"/>
      <c r="E232" s="4"/>
      <c r="F232" s="4"/>
      <c r="G232" s="4"/>
      <c r="H232" s="4"/>
      <c r="I232" s="4"/>
      <c r="J232" s="4" t="str">
        <f t="shared" si="2"/>
        <v/>
      </c>
      <c r="K232" s="4"/>
      <c r="L232" s="4"/>
    </row>
    <row r="233">
      <c r="A233" s="4"/>
      <c r="B233" s="15"/>
      <c r="C233" s="7" t="str">
        <f>IFERROR(__xludf.DUMMYFUNCTION("iferror(iferror(INDEX(IMPORTRANGE(""12vtnxaE_Q1s4tyr10kZQx7ZF_xG0lBFae4jQEUtgsMU"",""All!B2:B""),MATCH($B233,IMPORTRANGE(""12vtnxaE_Q1s4tyr10kZQx7ZF_xG0lBFae4jQEUtgsMU"",""All!A2:A""),0)),INDEX(IMPORTRANGE(""13KC70HngS4DDi8y9E5khtSpQEPG6owaQ9z4E-tR5mnY"","&amp;"""Non-Food!B2:B""),MATCH($B233,IMPORTRANGE(""13KC70HngS4DDi8y9E5khtSpQEPG6owaQ9z4E-tR5mnY"",""Non-Food!A2:A""),0))),"""")"),"")</f>
        <v/>
      </c>
      <c r="D233" s="4"/>
      <c r="E233" s="4"/>
      <c r="F233" s="4"/>
      <c r="G233" s="4"/>
      <c r="H233" s="4"/>
      <c r="I233" s="4"/>
      <c r="J233" s="4" t="str">
        <f t="shared" si="2"/>
        <v/>
      </c>
      <c r="K233" s="4"/>
      <c r="L233" s="4"/>
    </row>
    <row r="234">
      <c r="A234" s="4"/>
      <c r="B234" s="15"/>
      <c r="C234" s="7" t="str">
        <f>IFERROR(__xludf.DUMMYFUNCTION("iferror(iferror(INDEX(IMPORTRANGE(""12vtnxaE_Q1s4tyr10kZQx7ZF_xG0lBFae4jQEUtgsMU"",""All!B2:B""),MATCH($B234,IMPORTRANGE(""12vtnxaE_Q1s4tyr10kZQx7ZF_xG0lBFae4jQEUtgsMU"",""All!A2:A""),0)),INDEX(IMPORTRANGE(""13KC70HngS4DDi8y9E5khtSpQEPG6owaQ9z4E-tR5mnY"","&amp;"""Non-Food!B2:B""),MATCH($B234,IMPORTRANGE(""13KC70HngS4DDi8y9E5khtSpQEPG6owaQ9z4E-tR5mnY"",""Non-Food!A2:A""),0))),"""")"),"")</f>
        <v/>
      </c>
      <c r="D234" s="4"/>
      <c r="E234" s="4"/>
      <c r="F234" s="4"/>
      <c r="G234" s="4"/>
      <c r="H234" s="4"/>
      <c r="I234" s="4"/>
      <c r="J234" s="4" t="str">
        <f t="shared" si="2"/>
        <v/>
      </c>
      <c r="K234" s="4"/>
      <c r="L234" s="4"/>
    </row>
    <row r="235">
      <c r="A235" s="4"/>
      <c r="B235" s="15"/>
      <c r="C235" s="7" t="str">
        <f>IFERROR(__xludf.DUMMYFUNCTION("iferror(iferror(INDEX(IMPORTRANGE(""12vtnxaE_Q1s4tyr10kZQx7ZF_xG0lBFae4jQEUtgsMU"",""All!B2:B""),MATCH($B235,IMPORTRANGE(""12vtnxaE_Q1s4tyr10kZQx7ZF_xG0lBFae4jQEUtgsMU"",""All!A2:A""),0)),INDEX(IMPORTRANGE(""13KC70HngS4DDi8y9E5khtSpQEPG6owaQ9z4E-tR5mnY"","&amp;"""Non-Food!B2:B""),MATCH($B235,IMPORTRANGE(""13KC70HngS4DDi8y9E5khtSpQEPG6owaQ9z4E-tR5mnY"",""Non-Food!A2:A""),0))),"""")"),"")</f>
        <v/>
      </c>
      <c r="D235" s="4"/>
      <c r="E235" s="4"/>
      <c r="F235" s="4"/>
      <c r="G235" s="4"/>
      <c r="H235" s="4"/>
      <c r="I235" s="4"/>
      <c r="J235" s="4" t="str">
        <f t="shared" si="2"/>
        <v/>
      </c>
      <c r="K235" s="4"/>
      <c r="L235" s="4"/>
    </row>
    <row r="236">
      <c r="A236" s="4"/>
      <c r="B236" s="15"/>
      <c r="C236" s="7" t="str">
        <f>IFERROR(__xludf.DUMMYFUNCTION("iferror(iferror(INDEX(IMPORTRANGE(""12vtnxaE_Q1s4tyr10kZQx7ZF_xG0lBFae4jQEUtgsMU"",""All!B2:B""),MATCH($B236,IMPORTRANGE(""12vtnxaE_Q1s4tyr10kZQx7ZF_xG0lBFae4jQEUtgsMU"",""All!A2:A""),0)),INDEX(IMPORTRANGE(""13KC70HngS4DDi8y9E5khtSpQEPG6owaQ9z4E-tR5mnY"","&amp;"""Non-Food!B2:B""),MATCH($B236,IMPORTRANGE(""13KC70HngS4DDi8y9E5khtSpQEPG6owaQ9z4E-tR5mnY"",""Non-Food!A2:A""),0))),"""")"),"")</f>
        <v/>
      </c>
      <c r="D236" s="4"/>
      <c r="E236" s="4"/>
      <c r="F236" s="4"/>
      <c r="G236" s="4"/>
      <c r="H236" s="4"/>
      <c r="I236" s="4"/>
      <c r="J236" s="4" t="str">
        <f t="shared" si="2"/>
        <v/>
      </c>
      <c r="K236" s="4"/>
      <c r="L236" s="4"/>
    </row>
    <row r="237">
      <c r="A237" s="4"/>
      <c r="B237" s="15"/>
      <c r="C237" s="7" t="str">
        <f>IFERROR(__xludf.DUMMYFUNCTION("iferror(iferror(INDEX(IMPORTRANGE(""12vtnxaE_Q1s4tyr10kZQx7ZF_xG0lBFae4jQEUtgsMU"",""All!B2:B""),MATCH($B237,IMPORTRANGE(""12vtnxaE_Q1s4tyr10kZQx7ZF_xG0lBFae4jQEUtgsMU"",""All!A2:A""),0)),INDEX(IMPORTRANGE(""13KC70HngS4DDi8y9E5khtSpQEPG6owaQ9z4E-tR5mnY"","&amp;"""Non-Food!B2:B""),MATCH($B237,IMPORTRANGE(""13KC70HngS4DDi8y9E5khtSpQEPG6owaQ9z4E-tR5mnY"",""Non-Food!A2:A""),0))),"""")"),"")</f>
        <v/>
      </c>
      <c r="D237" s="4"/>
      <c r="E237" s="4"/>
      <c r="F237" s="4"/>
      <c r="G237" s="4"/>
      <c r="H237" s="4"/>
      <c r="I237" s="4"/>
      <c r="J237" s="4" t="str">
        <f t="shared" si="2"/>
        <v/>
      </c>
      <c r="K237" s="4"/>
      <c r="L237" s="4"/>
    </row>
    <row r="238">
      <c r="A238" s="4"/>
      <c r="B238" s="15"/>
      <c r="C238" s="7" t="str">
        <f>IFERROR(__xludf.DUMMYFUNCTION("iferror(iferror(INDEX(IMPORTRANGE(""12vtnxaE_Q1s4tyr10kZQx7ZF_xG0lBFae4jQEUtgsMU"",""All!B2:B""),MATCH($B238,IMPORTRANGE(""12vtnxaE_Q1s4tyr10kZQx7ZF_xG0lBFae4jQEUtgsMU"",""All!A2:A""),0)),INDEX(IMPORTRANGE(""13KC70HngS4DDi8y9E5khtSpQEPG6owaQ9z4E-tR5mnY"","&amp;"""Non-Food!B2:B""),MATCH($B238,IMPORTRANGE(""13KC70HngS4DDi8y9E5khtSpQEPG6owaQ9z4E-tR5mnY"",""Non-Food!A2:A""),0))),"""")"),"")</f>
        <v/>
      </c>
      <c r="D238" s="4"/>
      <c r="E238" s="4"/>
      <c r="F238" s="4"/>
      <c r="G238" s="4"/>
      <c r="H238" s="4"/>
      <c r="I238" s="4"/>
      <c r="J238" s="4" t="str">
        <f t="shared" si="2"/>
        <v/>
      </c>
      <c r="K238" s="4"/>
      <c r="L238" s="4"/>
    </row>
    <row r="239">
      <c r="A239" s="4"/>
      <c r="B239" s="15"/>
      <c r="C239" s="7" t="str">
        <f>IFERROR(__xludf.DUMMYFUNCTION("iferror(iferror(INDEX(IMPORTRANGE(""12vtnxaE_Q1s4tyr10kZQx7ZF_xG0lBFae4jQEUtgsMU"",""All!B2:B""),MATCH($B239,IMPORTRANGE(""12vtnxaE_Q1s4tyr10kZQx7ZF_xG0lBFae4jQEUtgsMU"",""All!A2:A""),0)),INDEX(IMPORTRANGE(""13KC70HngS4DDi8y9E5khtSpQEPG6owaQ9z4E-tR5mnY"","&amp;"""Non-Food!B2:B""),MATCH($B239,IMPORTRANGE(""13KC70HngS4DDi8y9E5khtSpQEPG6owaQ9z4E-tR5mnY"",""Non-Food!A2:A""),0))),"""")"),"")</f>
        <v/>
      </c>
      <c r="D239" s="4"/>
      <c r="E239" s="4"/>
      <c r="F239" s="4"/>
      <c r="G239" s="4"/>
      <c r="H239" s="4"/>
      <c r="I239" s="4"/>
      <c r="J239" s="4" t="str">
        <f t="shared" si="2"/>
        <v/>
      </c>
      <c r="K239" s="4"/>
      <c r="L239" s="4"/>
    </row>
    <row r="240">
      <c r="A240" s="4"/>
      <c r="B240" s="15"/>
      <c r="C240" s="7" t="str">
        <f>IFERROR(__xludf.DUMMYFUNCTION("iferror(iferror(INDEX(IMPORTRANGE(""12vtnxaE_Q1s4tyr10kZQx7ZF_xG0lBFae4jQEUtgsMU"",""All!B2:B""),MATCH($B240,IMPORTRANGE(""12vtnxaE_Q1s4tyr10kZQx7ZF_xG0lBFae4jQEUtgsMU"",""All!A2:A""),0)),INDEX(IMPORTRANGE(""13KC70HngS4DDi8y9E5khtSpQEPG6owaQ9z4E-tR5mnY"","&amp;"""Non-Food!B2:B""),MATCH($B240,IMPORTRANGE(""13KC70HngS4DDi8y9E5khtSpQEPG6owaQ9z4E-tR5mnY"",""Non-Food!A2:A""),0))),"""")"),"")</f>
        <v/>
      </c>
      <c r="D240" s="4"/>
      <c r="E240" s="4"/>
      <c r="F240" s="4"/>
      <c r="G240" s="4"/>
      <c r="H240" s="4"/>
      <c r="I240" s="4"/>
      <c r="J240" s="4" t="str">
        <f t="shared" si="2"/>
        <v/>
      </c>
      <c r="K240" s="4"/>
      <c r="L240" s="4"/>
    </row>
    <row r="241">
      <c r="A241" s="4"/>
      <c r="B241" s="15"/>
      <c r="C241" s="7" t="str">
        <f>IFERROR(__xludf.DUMMYFUNCTION("iferror(iferror(INDEX(IMPORTRANGE(""12vtnxaE_Q1s4tyr10kZQx7ZF_xG0lBFae4jQEUtgsMU"",""All!B2:B""),MATCH($B241,IMPORTRANGE(""12vtnxaE_Q1s4tyr10kZQx7ZF_xG0lBFae4jQEUtgsMU"",""All!A2:A""),0)),INDEX(IMPORTRANGE(""13KC70HngS4DDi8y9E5khtSpQEPG6owaQ9z4E-tR5mnY"","&amp;"""Non-Food!B2:B""),MATCH($B241,IMPORTRANGE(""13KC70HngS4DDi8y9E5khtSpQEPG6owaQ9z4E-tR5mnY"",""Non-Food!A2:A""),0))),"""")"),"")</f>
        <v/>
      </c>
      <c r="D241" s="4"/>
      <c r="E241" s="4"/>
      <c r="F241" s="4"/>
      <c r="G241" s="4"/>
      <c r="H241" s="4"/>
      <c r="I241" s="4"/>
      <c r="J241" s="4" t="str">
        <f t="shared" si="2"/>
        <v/>
      </c>
      <c r="K241" s="4"/>
      <c r="L241" s="4"/>
    </row>
    <row r="242">
      <c r="A242" s="4"/>
      <c r="B242" s="15"/>
      <c r="C242" s="7" t="str">
        <f>IFERROR(__xludf.DUMMYFUNCTION("iferror(iferror(INDEX(IMPORTRANGE(""12vtnxaE_Q1s4tyr10kZQx7ZF_xG0lBFae4jQEUtgsMU"",""All!B2:B""),MATCH($B242,IMPORTRANGE(""12vtnxaE_Q1s4tyr10kZQx7ZF_xG0lBFae4jQEUtgsMU"",""All!A2:A""),0)),INDEX(IMPORTRANGE(""13KC70HngS4DDi8y9E5khtSpQEPG6owaQ9z4E-tR5mnY"","&amp;"""Non-Food!B2:B""),MATCH($B242,IMPORTRANGE(""13KC70HngS4DDi8y9E5khtSpQEPG6owaQ9z4E-tR5mnY"",""Non-Food!A2:A""),0))),"""")"),"")</f>
        <v/>
      </c>
      <c r="D242" s="4"/>
      <c r="E242" s="4"/>
      <c r="F242" s="4"/>
      <c r="G242" s="4"/>
      <c r="H242" s="4"/>
      <c r="I242" s="4"/>
      <c r="J242" s="4" t="str">
        <f t="shared" si="2"/>
        <v/>
      </c>
      <c r="K242" s="4"/>
      <c r="L242" s="4"/>
    </row>
    <row r="243">
      <c r="A243" s="4"/>
      <c r="B243" s="15"/>
      <c r="C243" s="7" t="str">
        <f>IFERROR(__xludf.DUMMYFUNCTION("iferror(iferror(INDEX(IMPORTRANGE(""12vtnxaE_Q1s4tyr10kZQx7ZF_xG0lBFae4jQEUtgsMU"",""All!B2:B""),MATCH($B243,IMPORTRANGE(""12vtnxaE_Q1s4tyr10kZQx7ZF_xG0lBFae4jQEUtgsMU"",""All!A2:A""),0)),INDEX(IMPORTRANGE(""13KC70HngS4DDi8y9E5khtSpQEPG6owaQ9z4E-tR5mnY"","&amp;"""Non-Food!B2:B""),MATCH($B243,IMPORTRANGE(""13KC70HngS4DDi8y9E5khtSpQEPG6owaQ9z4E-tR5mnY"",""Non-Food!A2:A""),0))),"""")"),"")</f>
        <v/>
      </c>
      <c r="D243" s="4"/>
      <c r="E243" s="4"/>
      <c r="F243" s="4"/>
      <c r="G243" s="4"/>
      <c r="H243" s="4"/>
      <c r="I243" s="4"/>
      <c r="J243" s="4" t="str">
        <f t="shared" si="2"/>
        <v/>
      </c>
      <c r="K243" s="4"/>
      <c r="L243" s="4"/>
    </row>
    <row r="244">
      <c r="A244" s="4"/>
      <c r="B244" s="15"/>
      <c r="C244" s="7" t="str">
        <f>IFERROR(__xludf.DUMMYFUNCTION("iferror(iferror(INDEX(IMPORTRANGE(""12vtnxaE_Q1s4tyr10kZQx7ZF_xG0lBFae4jQEUtgsMU"",""All!B2:B""),MATCH($B244,IMPORTRANGE(""12vtnxaE_Q1s4tyr10kZQx7ZF_xG0lBFae4jQEUtgsMU"",""All!A2:A""),0)),INDEX(IMPORTRANGE(""13KC70HngS4DDi8y9E5khtSpQEPG6owaQ9z4E-tR5mnY"","&amp;"""Non-Food!B2:B""),MATCH($B244,IMPORTRANGE(""13KC70HngS4DDi8y9E5khtSpQEPG6owaQ9z4E-tR5mnY"",""Non-Food!A2:A""),0))),"""")"),"")</f>
        <v/>
      </c>
      <c r="D244" s="4"/>
      <c r="E244" s="4"/>
      <c r="F244" s="4"/>
      <c r="G244" s="4"/>
      <c r="H244" s="4"/>
      <c r="I244" s="4"/>
      <c r="J244" s="4" t="str">
        <f t="shared" si="2"/>
        <v/>
      </c>
      <c r="K244" s="4"/>
      <c r="L244" s="4"/>
    </row>
    <row r="245">
      <c r="A245" s="4"/>
      <c r="B245" s="15"/>
      <c r="C245" s="7" t="str">
        <f>IFERROR(__xludf.DUMMYFUNCTION("iferror(iferror(INDEX(IMPORTRANGE(""12vtnxaE_Q1s4tyr10kZQx7ZF_xG0lBFae4jQEUtgsMU"",""All!B2:B""),MATCH($B245,IMPORTRANGE(""12vtnxaE_Q1s4tyr10kZQx7ZF_xG0lBFae4jQEUtgsMU"",""All!A2:A""),0)),INDEX(IMPORTRANGE(""13KC70HngS4DDi8y9E5khtSpQEPG6owaQ9z4E-tR5mnY"","&amp;"""Non-Food!B2:B""),MATCH($B245,IMPORTRANGE(""13KC70HngS4DDi8y9E5khtSpQEPG6owaQ9z4E-tR5mnY"",""Non-Food!A2:A""),0))),"""")"),"")</f>
        <v/>
      </c>
      <c r="D245" s="4"/>
      <c r="E245" s="4"/>
      <c r="F245" s="4"/>
      <c r="G245" s="4"/>
      <c r="H245" s="4"/>
      <c r="I245" s="4"/>
      <c r="J245" s="4" t="str">
        <f t="shared" si="2"/>
        <v/>
      </c>
      <c r="K245" s="4"/>
      <c r="L245" s="4"/>
    </row>
    <row r="246">
      <c r="A246" s="4"/>
      <c r="B246" s="15"/>
      <c r="C246" s="7" t="str">
        <f>IFERROR(__xludf.DUMMYFUNCTION("iferror(iferror(INDEX(IMPORTRANGE(""12vtnxaE_Q1s4tyr10kZQx7ZF_xG0lBFae4jQEUtgsMU"",""All!B2:B""),MATCH($B246,IMPORTRANGE(""12vtnxaE_Q1s4tyr10kZQx7ZF_xG0lBFae4jQEUtgsMU"",""All!A2:A""),0)),INDEX(IMPORTRANGE(""13KC70HngS4DDi8y9E5khtSpQEPG6owaQ9z4E-tR5mnY"","&amp;"""Non-Food!B2:B""),MATCH($B246,IMPORTRANGE(""13KC70HngS4DDi8y9E5khtSpQEPG6owaQ9z4E-tR5mnY"",""Non-Food!A2:A""),0))),"""")"),"")</f>
        <v/>
      </c>
      <c r="D246" s="4"/>
      <c r="E246" s="4"/>
      <c r="F246" s="4"/>
      <c r="G246" s="4"/>
      <c r="H246" s="4"/>
      <c r="I246" s="4"/>
      <c r="J246" s="4" t="str">
        <f t="shared" si="2"/>
        <v/>
      </c>
      <c r="K246" s="4"/>
      <c r="L246" s="4"/>
    </row>
    <row r="247">
      <c r="A247" s="4"/>
      <c r="B247" s="15"/>
      <c r="C247" s="7" t="str">
        <f>IFERROR(__xludf.DUMMYFUNCTION("iferror(iferror(INDEX(IMPORTRANGE(""12vtnxaE_Q1s4tyr10kZQx7ZF_xG0lBFae4jQEUtgsMU"",""All!B2:B""),MATCH($B247,IMPORTRANGE(""12vtnxaE_Q1s4tyr10kZQx7ZF_xG0lBFae4jQEUtgsMU"",""All!A2:A""),0)),INDEX(IMPORTRANGE(""13KC70HngS4DDi8y9E5khtSpQEPG6owaQ9z4E-tR5mnY"","&amp;"""Non-Food!B2:B""),MATCH($B247,IMPORTRANGE(""13KC70HngS4DDi8y9E5khtSpQEPG6owaQ9z4E-tR5mnY"",""Non-Food!A2:A""),0))),"""")"),"")</f>
        <v/>
      </c>
      <c r="D247" s="4"/>
      <c r="E247" s="4"/>
      <c r="F247" s="4"/>
      <c r="G247" s="4"/>
      <c r="H247" s="4"/>
      <c r="I247" s="4"/>
      <c r="J247" s="4" t="str">
        <f t="shared" si="2"/>
        <v/>
      </c>
      <c r="K247" s="4"/>
      <c r="L247" s="4"/>
    </row>
    <row r="248">
      <c r="A248" s="4"/>
      <c r="B248" s="15"/>
      <c r="C248" s="7" t="str">
        <f>IFERROR(__xludf.DUMMYFUNCTION("iferror(iferror(INDEX(IMPORTRANGE(""12vtnxaE_Q1s4tyr10kZQx7ZF_xG0lBFae4jQEUtgsMU"",""All!B2:B""),MATCH($B248,IMPORTRANGE(""12vtnxaE_Q1s4tyr10kZQx7ZF_xG0lBFae4jQEUtgsMU"",""All!A2:A""),0)),INDEX(IMPORTRANGE(""13KC70HngS4DDi8y9E5khtSpQEPG6owaQ9z4E-tR5mnY"","&amp;"""Non-Food!B2:B""),MATCH($B248,IMPORTRANGE(""13KC70HngS4DDi8y9E5khtSpQEPG6owaQ9z4E-tR5mnY"",""Non-Food!A2:A""),0))),"""")"),"")</f>
        <v/>
      </c>
      <c r="D248" s="4"/>
      <c r="E248" s="4"/>
      <c r="F248" s="4"/>
      <c r="G248" s="4"/>
      <c r="H248" s="4"/>
      <c r="I248" s="4"/>
      <c r="J248" s="4" t="str">
        <f t="shared" si="2"/>
        <v/>
      </c>
      <c r="K248" s="4"/>
      <c r="L248" s="4"/>
    </row>
    <row r="249">
      <c r="A249" s="4"/>
      <c r="B249" s="15"/>
      <c r="C249" s="7" t="str">
        <f>IFERROR(__xludf.DUMMYFUNCTION("iferror(iferror(INDEX(IMPORTRANGE(""12vtnxaE_Q1s4tyr10kZQx7ZF_xG0lBFae4jQEUtgsMU"",""All!B2:B""),MATCH($B249,IMPORTRANGE(""12vtnxaE_Q1s4tyr10kZQx7ZF_xG0lBFae4jQEUtgsMU"",""All!A2:A""),0)),INDEX(IMPORTRANGE(""13KC70HngS4DDi8y9E5khtSpQEPG6owaQ9z4E-tR5mnY"","&amp;"""Non-Food!B2:B""),MATCH($B249,IMPORTRANGE(""13KC70HngS4DDi8y9E5khtSpQEPG6owaQ9z4E-tR5mnY"",""Non-Food!A2:A""),0))),"""")"),"")</f>
        <v/>
      </c>
      <c r="D249" s="4"/>
      <c r="E249" s="4"/>
      <c r="F249" s="4"/>
      <c r="G249" s="4"/>
      <c r="H249" s="4"/>
      <c r="I249" s="4"/>
      <c r="J249" s="4" t="str">
        <f t="shared" si="2"/>
        <v/>
      </c>
      <c r="K249" s="4"/>
      <c r="L249" s="4"/>
    </row>
    <row r="250">
      <c r="A250" s="4"/>
      <c r="B250" s="15"/>
      <c r="C250" s="7" t="str">
        <f>IFERROR(__xludf.DUMMYFUNCTION("iferror(iferror(INDEX(IMPORTRANGE(""12vtnxaE_Q1s4tyr10kZQx7ZF_xG0lBFae4jQEUtgsMU"",""All!B2:B""),MATCH($B250,IMPORTRANGE(""12vtnxaE_Q1s4tyr10kZQx7ZF_xG0lBFae4jQEUtgsMU"",""All!A2:A""),0)),INDEX(IMPORTRANGE(""13KC70HngS4DDi8y9E5khtSpQEPG6owaQ9z4E-tR5mnY"","&amp;"""Non-Food!B2:B""),MATCH($B250,IMPORTRANGE(""13KC70HngS4DDi8y9E5khtSpQEPG6owaQ9z4E-tR5mnY"",""Non-Food!A2:A""),0))),"""")"),"")</f>
        <v/>
      </c>
      <c r="D250" s="4"/>
      <c r="E250" s="4"/>
      <c r="F250" s="4"/>
      <c r="G250" s="4"/>
      <c r="H250" s="4"/>
      <c r="I250" s="4"/>
      <c r="J250" s="4" t="str">
        <f t="shared" si="2"/>
        <v/>
      </c>
      <c r="K250" s="4"/>
      <c r="L250" s="4"/>
    </row>
    <row r="251">
      <c r="A251" s="4"/>
      <c r="B251" s="15"/>
      <c r="C251" s="7" t="str">
        <f>IFERROR(__xludf.DUMMYFUNCTION("iferror(iferror(INDEX(IMPORTRANGE(""12vtnxaE_Q1s4tyr10kZQx7ZF_xG0lBFae4jQEUtgsMU"",""All!B2:B""),MATCH($B251,IMPORTRANGE(""12vtnxaE_Q1s4tyr10kZQx7ZF_xG0lBFae4jQEUtgsMU"",""All!A2:A""),0)),INDEX(IMPORTRANGE(""13KC70HngS4DDi8y9E5khtSpQEPG6owaQ9z4E-tR5mnY"","&amp;"""Non-Food!B2:B""),MATCH($B251,IMPORTRANGE(""13KC70HngS4DDi8y9E5khtSpQEPG6owaQ9z4E-tR5mnY"",""Non-Food!A2:A""),0))),"""")"),"")</f>
        <v/>
      </c>
      <c r="D251" s="4"/>
      <c r="E251" s="4"/>
      <c r="F251" s="4"/>
      <c r="G251" s="4"/>
      <c r="H251" s="4"/>
      <c r="I251" s="4"/>
      <c r="J251" s="4" t="str">
        <f t="shared" si="2"/>
        <v/>
      </c>
      <c r="K251" s="4"/>
      <c r="L251" s="4"/>
    </row>
    <row r="252">
      <c r="A252" s="4"/>
      <c r="B252" s="15"/>
      <c r="C252" s="7" t="str">
        <f>IFERROR(__xludf.DUMMYFUNCTION("iferror(iferror(INDEX(IMPORTRANGE(""12vtnxaE_Q1s4tyr10kZQx7ZF_xG0lBFae4jQEUtgsMU"",""All!B2:B""),MATCH($B252,IMPORTRANGE(""12vtnxaE_Q1s4tyr10kZQx7ZF_xG0lBFae4jQEUtgsMU"",""All!A2:A""),0)),INDEX(IMPORTRANGE(""13KC70HngS4DDi8y9E5khtSpQEPG6owaQ9z4E-tR5mnY"","&amp;"""Non-Food!B2:B""),MATCH($B252,IMPORTRANGE(""13KC70HngS4DDi8y9E5khtSpQEPG6owaQ9z4E-tR5mnY"",""Non-Food!A2:A""),0))),"""")"),"")</f>
        <v/>
      </c>
      <c r="D252" s="4"/>
      <c r="E252" s="4"/>
      <c r="F252" s="4"/>
      <c r="G252" s="4"/>
      <c r="H252" s="4"/>
      <c r="I252" s="4"/>
      <c r="J252" s="4" t="str">
        <f t="shared" si="2"/>
        <v/>
      </c>
      <c r="K252" s="4"/>
      <c r="L252" s="4"/>
    </row>
    <row r="253">
      <c r="A253" s="4"/>
      <c r="B253" s="15"/>
      <c r="C253" s="7" t="str">
        <f>IFERROR(__xludf.DUMMYFUNCTION("iferror(iferror(INDEX(IMPORTRANGE(""12vtnxaE_Q1s4tyr10kZQx7ZF_xG0lBFae4jQEUtgsMU"",""All!B2:B""),MATCH($B253,IMPORTRANGE(""12vtnxaE_Q1s4tyr10kZQx7ZF_xG0lBFae4jQEUtgsMU"",""All!A2:A""),0)),INDEX(IMPORTRANGE(""13KC70HngS4DDi8y9E5khtSpQEPG6owaQ9z4E-tR5mnY"","&amp;"""Non-Food!B2:B""),MATCH($B253,IMPORTRANGE(""13KC70HngS4DDi8y9E5khtSpQEPG6owaQ9z4E-tR5mnY"",""Non-Food!A2:A""),0))),"""")"),"")</f>
        <v/>
      </c>
      <c r="D253" s="4"/>
      <c r="E253" s="4"/>
      <c r="F253" s="4"/>
      <c r="G253" s="4"/>
      <c r="H253" s="4"/>
      <c r="I253" s="4"/>
      <c r="J253" s="4" t="str">
        <f t="shared" si="2"/>
        <v/>
      </c>
      <c r="K253" s="4"/>
      <c r="L253" s="4"/>
    </row>
    <row r="254">
      <c r="A254" s="4"/>
      <c r="B254" s="15"/>
      <c r="C254" s="7" t="str">
        <f>IFERROR(__xludf.DUMMYFUNCTION("iferror(iferror(INDEX(IMPORTRANGE(""12vtnxaE_Q1s4tyr10kZQx7ZF_xG0lBFae4jQEUtgsMU"",""All!B2:B""),MATCH($B254,IMPORTRANGE(""12vtnxaE_Q1s4tyr10kZQx7ZF_xG0lBFae4jQEUtgsMU"",""All!A2:A""),0)),INDEX(IMPORTRANGE(""13KC70HngS4DDi8y9E5khtSpQEPG6owaQ9z4E-tR5mnY"","&amp;"""Non-Food!B2:B""),MATCH($B254,IMPORTRANGE(""13KC70HngS4DDi8y9E5khtSpQEPG6owaQ9z4E-tR5mnY"",""Non-Food!A2:A""),0))),"""")"),"")</f>
        <v/>
      </c>
      <c r="D254" s="4"/>
      <c r="E254" s="4"/>
      <c r="F254" s="4"/>
      <c r="G254" s="4"/>
      <c r="H254" s="4"/>
      <c r="I254" s="4"/>
      <c r="J254" s="4" t="str">
        <f t="shared" si="2"/>
        <v/>
      </c>
      <c r="K254" s="4"/>
      <c r="L254" s="4"/>
    </row>
    <row r="255">
      <c r="A255" s="4"/>
      <c r="B255" s="15"/>
      <c r="C255" s="7" t="str">
        <f>IFERROR(__xludf.DUMMYFUNCTION("iferror(iferror(INDEX(IMPORTRANGE(""12vtnxaE_Q1s4tyr10kZQx7ZF_xG0lBFae4jQEUtgsMU"",""All!B2:B""),MATCH($B255,IMPORTRANGE(""12vtnxaE_Q1s4tyr10kZQx7ZF_xG0lBFae4jQEUtgsMU"",""All!A2:A""),0)),INDEX(IMPORTRANGE(""13KC70HngS4DDi8y9E5khtSpQEPG6owaQ9z4E-tR5mnY"","&amp;"""Non-Food!B2:B""),MATCH($B255,IMPORTRANGE(""13KC70HngS4DDi8y9E5khtSpQEPG6owaQ9z4E-tR5mnY"",""Non-Food!A2:A""),0))),"""")"),"")</f>
        <v/>
      </c>
      <c r="D255" s="4"/>
      <c r="E255" s="4"/>
      <c r="F255" s="4"/>
      <c r="G255" s="4"/>
      <c r="H255" s="4"/>
      <c r="I255" s="4"/>
      <c r="J255" s="4" t="str">
        <f t="shared" si="2"/>
        <v/>
      </c>
      <c r="K255" s="4"/>
      <c r="L255" s="4"/>
    </row>
    <row r="256">
      <c r="A256" s="4"/>
      <c r="B256" s="15"/>
      <c r="C256" s="7" t="str">
        <f>IFERROR(__xludf.DUMMYFUNCTION("iferror(iferror(INDEX(IMPORTRANGE(""12vtnxaE_Q1s4tyr10kZQx7ZF_xG0lBFae4jQEUtgsMU"",""All!B2:B""),MATCH($B256,IMPORTRANGE(""12vtnxaE_Q1s4tyr10kZQx7ZF_xG0lBFae4jQEUtgsMU"",""All!A2:A""),0)),INDEX(IMPORTRANGE(""13KC70HngS4DDi8y9E5khtSpQEPG6owaQ9z4E-tR5mnY"","&amp;"""Non-Food!B2:B""),MATCH($B256,IMPORTRANGE(""13KC70HngS4DDi8y9E5khtSpQEPG6owaQ9z4E-tR5mnY"",""Non-Food!A2:A""),0))),"""")"),"")</f>
        <v/>
      </c>
      <c r="D256" s="4"/>
      <c r="E256" s="4"/>
      <c r="F256" s="4"/>
      <c r="G256" s="4"/>
      <c r="H256" s="4"/>
      <c r="I256" s="4"/>
      <c r="J256" s="4" t="str">
        <f t="shared" si="2"/>
        <v/>
      </c>
      <c r="K256" s="4"/>
      <c r="L256" s="4"/>
    </row>
    <row r="257">
      <c r="A257" s="4"/>
      <c r="B257" s="15"/>
      <c r="C257" s="7" t="str">
        <f>IFERROR(__xludf.DUMMYFUNCTION("iferror(iferror(INDEX(IMPORTRANGE(""12vtnxaE_Q1s4tyr10kZQx7ZF_xG0lBFae4jQEUtgsMU"",""All!B2:B""),MATCH($B257,IMPORTRANGE(""12vtnxaE_Q1s4tyr10kZQx7ZF_xG0lBFae4jQEUtgsMU"",""All!A2:A""),0)),INDEX(IMPORTRANGE(""13KC70HngS4DDi8y9E5khtSpQEPG6owaQ9z4E-tR5mnY"","&amp;"""Non-Food!B2:B""),MATCH($B257,IMPORTRANGE(""13KC70HngS4DDi8y9E5khtSpQEPG6owaQ9z4E-tR5mnY"",""Non-Food!A2:A""),0))),"""")"),"")</f>
        <v/>
      </c>
      <c r="D257" s="4"/>
      <c r="E257" s="4"/>
      <c r="F257" s="4"/>
      <c r="G257" s="4"/>
      <c r="H257" s="4"/>
      <c r="I257" s="4"/>
      <c r="J257" s="4" t="str">
        <f t="shared" si="2"/>
        <v/>
      </c>
      <c r="K257" s="4"/>
      <c r="L257" s="4"/>
    </row>
    <row r="258">
      <c r="A258" s="4"/>
      <c r="B258" s="15"/>
      <c r="C258" s="7" t="str">
        <f>IFERROR(__xludf.DUMMYFUNCTION("iferror(iferror(INDEX(IMPORTRANGE(""12vtnxaE_Q1s4tyr10kZQx7ZF_xG0lBFae4jQEUtgsMU"",""All!B2:B""),MATCH($B258,IMPORTRANGE(""12vtnxaE_Q1s4tyr10kZQx7ZF_xG0lBFae4jQEUtgsMU"",""All!A2:A""),0)),INDEX(IMPORTRANGE(""13KC70HngS4DDi8y9E5khtSpQEPG6owaQ9z4E-tR5mnY"","&amp;"""Non-Food!B2:B""),MATCH($B258,IMPORTRANGE(""13KC70HngS4DDi8y9E5khtSpQEPG6owaQ9z4E-tR5mnY"",""Non-Food!A2:A""),0))),"""")"),"")</f>
        <v/>
      </c>
      <c r="D258" s="4"/>
      <c r="E258" s="4"/>
      <c r="F258" s="4"/>
      <c r="G258" s="4"/>
      <c r="H258" s="4"/>
      <c r="I258" s="4"/>
      <c r="J258" s="4" t="str">
        <f t="shared" si="2"/>
        <v/>
      </c>
      <c r="K258" s="4"/>
      <c r="L258" s="4"/>
    </row>
    <row r="259">
      <c r="A259" s="4"/>
      <c r="B259" s="15"/>
      <c r="C259" s="7" t="str">
        <f>IFERROR(__xludf.DUMMYFUNCTION("iferror(iferror(INDEX(IMPORTRANGE(""12vtnxaE_Q1s4tyr10kZQx7ZF_xG0lBFae4jQEUtgsMU"",""All!B2:B""),MATCH($B259,IMPORTRANGE(""12vtnxaE_Q1s4tyr10kZQx7ZF_xG0lBFae4jQEUtgsMU"",""All!A2:A""),0)),INDEX(IMPORTRANGE(""13KC70HngS4DDi8y9E5khtSpQEPG6owaQ9z4E-tR5mnY"","&amp;"""Non-Food!B2:B""),MATCH($B259,IMPORTRANGE(""13KC70HngS4DDi8y9E5khtSpQEPG6owaQ9z4E-tR5mnY"",""Non-Food!A2:A""),0))),"""")"),"")</f>
        <v/>
      </c>
      <c r="D259" s="4"/>
      <c r="E259" s="4"/>
      <c r="F259" s="4"/>
      <c r="G259" s="4"/>
      <c r="H259" s="4"/>
      <c r="I259" s="4"/>
      <c r="J259" s="4" t="str">
        <f t="shared" si="2"/>
        <v/>
      </c>
      <c r="K259" s="4"/>
      <c r="L259" s="4"/>
    </row>
    <row r="260">
      <c r="A260" s="4"/>
      <c r="B260" s="15"/>
      <c r="C260" s="7" t="str">
        <f>IFERROR(__xludf.DUMMYFUNCTION("iferror(iferror(INDEX(IMPORTRANGE(""12vtnxaE_Q1s4tyr10kZQx7ZF_xG0lBFae4jQEUtgsMU"",""All!B2:B""),MATCH($B260,IMPORTRANGE(""12vtnxaE_Q1s4tyr10kZQx7ZF_xG0lBFae4jQEUtgsMU"",""All!A2:A""),0)),INDEX(IMPORTRANGE(""13KC70HngS4DDi8y9E5khtSpQEPG6owaQ9z4E-tR5mnY"","&amp;"""Non-Food!B2:B""),MATCH($B260,IMPORTRANGE(""13KC70HngS4DDi8y9E5khtSpQEPG6owaQ9z4E-tR5mnY"",""Non-Food!A2:A""),0))),"""")"),"")</f>
        <v/>
      </c>
      <c r="D260" s="4"/>
      <c r="E260" s="4"/>
      <c r="F260" s="4"/>
      <c r="G260" s="4"/>
      <c r="H260" s="4"/>
      <c r="I260" s="4"/>
      <c r="J260" s="4" t="str">
        <f t="shared" si="2"/>
        <v/>
      </c>
      <c r="K260" s="4"/>
      <c r="L260" s="4"/>
    </row>
    <row r="261">
      <c r="A261" s="4"/>
      <c r="B261" s="15"/>
      <c r="C261" s="7" t="str">
        <f>IFERROR(__xludf.DUMMYFUNCTION("iferror(iferror(INDEX(IMPORTRANGE(""12vtnxaE_Q1s4tyr10kZQx7ZF_xG0lBFae4jQEUtgsMU"",""All!B2:B""),MATCH($B261,IMPORTRANGE(""12vtnxaE_Q1s4tyr10kZQx7ZF_xG0lBFae4jQEUtgsMU"",""All!A2:A""),0)),INDEX(IMPORTRANGE(""13KC70HngS4DDi8y9E5khtSpQEPG6owaQ9z4E-tR5mnY"","&amp;"""Non-Food!B2:B""),MATCH($B261,IMPORTRANGE(""13KC70HngS4DDi8y9E5khtSpQEPG6owaQ9z4E-tR5mnY"",""Non-Food!A2:A""),0))),"""")"),"")</f>
        <v/>
      </c>
      <c r="D261" s="4"/>
      <c r="E261" s="4"/>
      <c r="F261" s="4"/>
      <c r="G261" s="4"/>
      <c r="H261" s="4"/>
      <c r="I261" s="4"/>
      <c r="J261" s="4" t="str">
        <f t="shared" si="2"/>
        <v/>
      </c>
      <c r="K261" s="4"/>
      <c r="L261" s="4"/>
    </row>
    <row r="262">
      <c r="A262" s="4"/>
      <c r="B262" s="15"/>
      <c r="C262" s="7" t="str">
        <f>IFERROR(__xludf.DUMMYFUNCTION("iferror(iferror(INDEX(IMPORTRANGE(""12vtnxaE_Q1s4tyr10kZQx7ZF_xG0lBFae4jQEUtgsMU"",""All!B2:B""),MATCH($B262,IMPORTRANGE(""12vtnxaE_Q1s4tyr10kZQx7ZF_xG0lBFae4jQEUtgsMU"",""All!A2:A""),0)),INDEX(IMPORTRANGE(""13KC70HngS4DDi8y9E5khtSpQEPG6owaQ9z4E-tR5mnY"","&amp;"""Non-Food!B2:B""),MATCH($B262,IMPORTRANGE(""13KC70HngS4DDi8y9E5khtSpQEPG6owaQ9z4E-tR5mnY"",""Non-Food!A2:A""),0))),"""")"),"")</f>
        <v/>
      </c>
      <c r="D262" s="4"/>
      <c r="E262" s="4"/>
      <c r="F262" s="4"/>
      <c r="G262" s="4"/>
      <c r="H262" s="4"/>
      <c r="I262" s="4"/>
      <c r="J262" s="4" t="str">
        <f t="shared" si="2"/>
        <v/>
      </c>
      <c r="K262" s="4"/>
      <c r="L262" s="4"/>
    </row>
    <row r="263">
      <c r="A263" s="4"/>
      <c r="B263" s="15"/>
      <c r="C263" s="7" t="str">
        <f>IFERROR(__xludf.DUMMYFUNCTION("iferror(iferror(INDEX(IMPORTRANGE(""12vtnxaE_Q1s4tyr10kZQx7ZF_xG0lBFae4jQEUtgsMU"",""All!B2:B""),MATCH($B263,IMPORTRANGE(""12vtnxaE_Q1s4tyr10kZQx7ZF_xG0lBFae4jQEUtgsMU"",""All!A2:A""),0)),INDEX(IMPORTRANGE(""13KC70HngS4DDi8y9E5khtSpQEPG6owaQ9z4E-tR5mnY"","&amp;"""Non-Food!B2:B""),MATCH($B263,IMPORTRANGE(""13KC70HngS4DDi8y9E5khtSpQEPG6owaQ9z4E-tR5mnY"",""Non-Food!A2:A""),0))),"""")"),"")</f>
        <v/>
      </c>
      <c r="D263" s="4"/>
      <c r="E263" s="4"/>
      <c r="F263" s="4"/>
      <c r="G263" s="4"/>
      <c r="H263" s="4"/>
      <c r="I263" s="4"/>
      <c r="J263" s="4" t="str">
        <f t="shared" si="2"/>
        <v/>
      </c>
      <c r="K263" s="4"/>
      <c r="L263" s="4"/>
    </row>
    <row r="264">
      <c r="A264" s="4"/>
      <c r="B264" s="15"/>
      <c r="C264" s="7" t="str">
        <f>IFERROR(__xludf.DUMMYFUNCTION("iferror(iferror(INDEX(IMPORTRANGE(""12vtnxaE_Q1s4tyr10kZQx7ZF_xG0lBFae4jQEUtgsMU"",""All!B2:B""),MATCH($B264,IMPORTRANGE(""12vtnxaE_Q1s4tyr10kZQx7ZF_xG0lBFae4jQEUtgsMU"",""All!A2:A""),0)),INDEX(IMPORTRANGE(""13KC70HngS4DDi8y9E5khtSpQEPG6owaQ9z4E-tR5mnY"","&amp;"""Non-Food!B2:B""),MATCH($B264,IMPORTRANGE(""13KC70HngS4DDi8y9E5khtSpQEPG6owaQ9z4E-tR5mnY"",""Non-Food!A2:A""),0))),"""")"),"")</f>
        <v/>
      </c>
      <c r="D264" s="4"/>
      <c r="E264" s="4"/>
      <c r="F264" s="4"/>
      <c r="G264" s="4"/>
      <c r="H264" s="4"/>
      <c r="I264" s="4"/>
      <c r="J264" s="4" t="str">
        <f t="shared" si="2"/>
        <v/>
      </c>
      <c r="K264" s="4"/>
      <c r="L264" s="4"/>
    </row>
    <row r="265">
      <c r="A265" s="4"/>
      <c r="B265" s="15"/>
      <c r="C265" s="7" t="str">
        <f>IFERROR(__xludf.DUMMYFUNCTION("iferror(iferror(INDEX(IMPORTRANGE(""12vtnxaE_Q1s4tyr10kZQx7ZF_xG0lBFae4jQEUtgsMU"",""All!B2:B""),MATCH($B265,IMPORTRANGE(""12vtnxaE_Q1s4tyr10kZQx7ZF_xG0lBFae4jQEUtgsMU"",""All!A2:A""),0)),INDEX(IMPORTRANGE(""13KC70HngS4DDi8y9E5khtSpQEPG6owaQ9z4E-tR5mnY"","&amp;"""Non-Food!B2:B""),MATCH($B265,IMPORTRANGE(""13KC70HngS4DDi8y9E5khtSpQEPG6owaQ9z4E-tR5mnY"",""Non-Food!A2:A""),0))),"""")"),"")</f>
        <v/>
      </c>
      <c r="D265" s="4"/>
      <c r="E265" s="4"/>
      <c r="F265" s="4"/>
      <c r="G265" s="4"/>
      <c r="H265" s="4"/>
      <c r="I265" s="4"/>
      <c r="J265" s="4" t="str">
        <f t="shared" si="2"/>
        <v/>
      </c>
      <c r="K265" s="4"/>
      <c r="L265" s="4"/>
    </row>
    <row r="266">
      <c r="A266" s="4"/>
      <c r="B266" s="15"/>
      <c r="C266" s="7" t="str">
        <f>IFERROR(__xludf.DUMMYFUNCTION("iferror(iferror(INDEX(IMPORTRANGE(""12vtnxaE_Q1s4tyr10kZQx7ZF_xG0lBFae4jQEUtgsMU"",""All!B2:B""),MATCH($B266,IMPORTRANGE(""12vtnxaE_Q1s4tyr10kZQx7ZF_xG0lBFae4jQEUtgsMU"",""All!A2:A""),0)),INDEX(IMPORTRANGE(""13KC70HngS4DDi8y9E5khtSpQEPG6owaQ9z4E-tR5mnY"","&amp;"""Non-Food!B2:B""),MATCH($B266,IMPORTRANGE(""13KC70HngS4DDi8y9E5khtSpQEPG6owaQ9z4E-tR5mnY"",""Non-Food!A2:A""),0))),"""")"),"")</f>
        <v/>
      </c>
      <c r="D266" s="4"/>
      <c r="E266" s="4"/>
      <c r="F266" s="4"/>
      <c r="G266" s="4"/>
      <c r="H266" s="4"/>
      <c r="I266" s="4"/>
      <c r="J266" s="4" t="str">
        <f t="shared" si="2"/>
        <v/>
      </c>
      <c r="K266" s="4"/>
      <c r="L266" s="4"/>
    </row>
    <row r="267">
      <c r="A267" s="4"/>
      <c r="B267" s="15"/>
      <c r="C267" s="7" t="str">
        <f>IFERROR(__xludf.DUMMYFUNCTION("iferror(iferror(INDEX(IMPORTRANGE(""12vtnxaE_Q1s4tyr10kZQx7ZF_xG0lBFae4jQEUtgsMU"",""All!B2:B""),MATCH($B267,IMPORTRANGE(""12vtnxaE_Q1s4tyr10kZQx7ZF_xG0lBFae4jQEUtgsMU"",""All!A2:A""),0)),INDEX(IMPORTRANGE(""13KC70HngS4DDi8y9E5khtSpQEPG6owaQ9z4E-tR5mnY"","&amp;"""Non-Food!B2:B""),MATCH($B267,IMPORTRANGE(""13KC70HngS4DDi8y9E5khtSpQEPG6owaQ9z4E-tR5mnY"",""Non-Food!A2:A""),0))),"""")"),"")</f>
        <v/>
      </c>
      <c r="D267" s="4"/>
      <c r="E267" s="4"/>
      <c r="F267" s="4"/>
      <c r="G267" s="4"/>
      <c r="H267" s="4"/>
      <c r="I267" s="4"/>
      <c r="J267" s="4" t="str">
        <f t="shared" si="2"/>
        <v/>
      </c>
      <c r="K267" s="4"/>
      <c r="L267" s="4"/>
    </row>
    <row r="268">
      <c r="A268" s="4"/>
      <c r="B268" s="15"/>
      <c r="C268" s="7" t="str">
        <f>IFERROR(__xludf.DUMMYFUNCTION("iferror(iferror(INDEX(IMPORTRANGE(""12vtnxaE_Q1s4tyr10kZQx7ZF_xG0lBFae4jQEUtgsMU"",""All!B2:B""),MATCH($B268,IMPORTRANGE(""12vtnxaE_Q1s4tyr10kZQx7ZF_xG0lBFae4jQEUtgsMU"",""All!A2:A""),0)),INDEX(IMPORTRANGE(""13KC70HngS4DDi8y9E5khtSpQEPG6owaQ9z4E-tR5mnY"","&amp;"""Non-Food!B2:B""),MATCH($B268,IMPORTRANGE(""13KC70HngS4DDi8y9E5khtSpQEPG6owaQ9z4E-tR5mnY"",""Non-Food!A2:A""),0))),"""")"),"")</f>
        <v/>
      </c>
      <c r="D268" s="4"/>
      <c r="E268" s="4"/>
      <c r="F268" s="4"/>
      <c r="G268" s="4"/>
      <c r="H268" s="4"/>
      <c r="I268" s="4"/>
      <c r="J268" s="4" t="str">
        <f t="shared" si="2"/>
        <v/>
      </c>
      <c r="K268" s="4"/>
      <c r="L268" s="4"/>
    </row>
    <row r="269">
      <c r="A269" s="4"/>
      <c r="B269" s="15"/>
      <c r="C269" s="7" t="str">
        <f>IFERROR(__xludf.DUMMYFUNCTION("iferror(iferror(INDEX(IMPORTRANGE(""12vtnxaE_Q1s4tyr10kZQx7ZF_xG0lBFae4jQEUtgsMU"",""All!B2:B""),MATCH($B269,IMPORTRANGE(""12vtnxaE_Q1s4tyr10kZQx7ZF_xG0lBFae4jQEUtgsMU"",""All!A2:A""),0)),INDEX(IMPORTRANGE(""13KC70HngS4DDi8y9E5khtSpQEPG6owaQ9z4E-tR5mnY"","&amp;"""Non-Food!B2:B""),MATCH($B269,IMPORTRANGE(""13KC70HngS4DDi8y9E5khtSpQEPG6owaQ9z4E-tR5mnY"",""Non-Food!A2:A""),0))),"""")"),"")</f>
        <v/>
      </c>
      <c r="D269" s="4"/>
      <c r="E269" s="4"/>
      <c r="F269" s="4"/>
      <c r="G269" s="4"/>
      <c r="H269" s="4"/>
      <c r="I269" s="4"/>
      <c r="J269" s="4" t="str">
        <f t="shared" si="2"/>
        <v/>
      </c>
      <c r="K269" s="4"/>
      <c r="L269" s="4"/>
    </row>
    <row r="270">
      <c r="A270" s="4"/>
      <c r="B270" s="15"/>
      <c r="C270" s="7" t="str">
        <f>IFERROR(__xludf.DUMMYFUNCTION("iferror(iferror(INDEX(IMPORTRANGE(""12vtnxaE_Q1s4tyr10kZQx7ZF_xG0lBFae4jQEUtgsMU"",""All!B2:B""),MATCH($B270,IMPORTRANGE(""12vtnxaE_Q1s4tyr10kZQx7ZF_xG0lBFae4jQEUtgsMU"",""All!A2:A""),0)),INDEX(IMPORTRANGE(""13KC70HngS4DDi8y9E5khtSpQEPG6owaQ9z4E-tR5mnY"","&amp;"""Non-Food!B2:B""),MATCH($B270,IMPORTRANGE(""13KC70HngS4DDi8y9E5khtSpQEPG6owaQ9z4E-tR5mnY"",""Non-Food!A2:A""),0))),"""")"),"")</f>
        <v/>
      </c>
      <c r="D270" s="4"/>
      <c r="E270" s="4"/>
      <c r="F270" s="4"/>
      <c r="G270" s="4"/>
      <c r="H270" s="4"/>
      <c r="I270" s="4"/>
      <c r="J270" s="4" t="str">
        <f t="shared" si="2"/>
        <v/>
      </c>
      <c r="K270" s="4"/>
      <c r="L270" s="4"/>
    </row>
    <row r="271">
      <c r="A271" s="4"/>
      <c r="B271" s="15"/>
      <c r="C271" s="7" t="str">
        <f>IFERROR(__xludf.DUMMYFUNCTION("iferror(iferror(INDEX(IMPORTRANGE(""12vtnxaE_Q1s4tyr10kZQx7ZF_xG0lBFae4jQEUtgsMU"",""All!B2:B""),MATCH($B271,IMPORTRANGE(""12vtnxaE_Q1s4tyr10kZQx7ZF_xG0lBFae4jQEUtgsMU"",""All!A2:A""),0)),INDEX(IMPORTRANGE(""13KC70HngS4DDi8y9E5khtSpQEPG6owaQ9z4E-tR5mnY"","&amp;"""Non-Food!B2:B""),MATCH($B271,IMPORTRANGE(""13KC70HngS4DDi8y9E5khtSpQEPG6owaQ9z4E-tR5mnY"",""Non-Food!A2:A""),0))),"""")"),"")</f>
        <v/>
      </c>
      <c r="D271" s="4"/>
      <c r="E271" s="4"/>
      <c r="F271" s="4"/>
      <c r="G271" s="4"/>
      <c r="H271" s="4"/>
      <c r="I271" s="4"/>
      <c r="J271" s="4" t="str">
        <f t="shared" si="2"/>
        <v/>
      </c>
      <c r="K271" s="4"/>
      <c r="L271" s="4"/>
    </row>
    <row r="272">
      <c r="A272" s="4"/>
      <c r="B272" s="15"/>
      <c r="C272" s="7" t="str">
        <f>IFERROR(__xludf.DUMMYFUNCTION("iferror(iferror(INDEX(IMPORTRANGE(""12vtnxaE_Q1s4tyr10kZQx7ZF_xG0lBFae4jQEUtgsMU"",""All!B2:B""),MATCH($B272,IMPORTRANGE(""12vtnxaE_Q1s4tyr10kZQx7ZF_xG0lBFae4jQEUtgsMU"",""All!A2:A""),0)),INDEX(IMPORTRANGE(""13KC70HngS4DDi8y9E5khtSpQEPG6owaQ9z4E-tR5mnY"","&amp;"""Non-Food!B2:B""),MATCH($B272,IMPORTRANGE(""13KC70HngS4DDi8y9E5khtSpQEPG6owaQ9z4E-tR5mnY"",""Non-Food!A2:A""),0))),"""")"),"")</f>
        <v/>
      </c>
      <c r="D272" s="4"/>
      <c r="E272" s="4"/>
      <c r="F272" s="4"/>
      <c r="G272" s="4"/>
      <c r="H272" s="4"/>
      <c r="I272" s="4"/>
      <c r="J272" s="4" t="str">
        <f t="shared" si="2"/>
        <v/>
      </c>
      <c r="K272" s="4"/>
      <c r="L272" s="4"/>
    </row>
    <row r="273">
      <c r="A273" s="4"/>
      <c r="B273" s="15"/>
      <c r="C273" s="7" t="str">
        <f>IFERROR(__xludf.DUMMYFUNCTION("iferror(iferror(INDEX(IMPORTRANGE(""12vtnxaE_Q1s4tyr10kZQx7ZF_xG0lBFae4jQEUtgsMU"",""All!B2:B""),MATCH($B273,IMPORTRANGE(""12vtnxaE_Q1s4tyr10kZQx7ZF_xG0lBFae4jQEUtgsMU"",""All!A2:A""),0)),INDEX(IMPORTRANGE(""13KC70HngS4DDi8y9E5khtSpQEPG6owaQ9z4E-tR5mnY"","&amp;"""Non-Food!B2:B""),MATCH($B273,IMPORTRANGE(""13KC70HngS4DDi8y9E5khtSpQEPG6owaQ9z4E-tR5mnY"",""Non-Food!A2:A""),0))),"""")"),"")</f>
        <v/>
      </c>
      <c r="D273" s="4"/>
      <c r="E273" s="4"/>
      <c r="F273" s="4"/>
      <c r="G273" s="4"/>
      <c r="H273" s="4"/>
      <c r="I273" s="4"/>
      <c r="J273" s="4" t="str">
        <f t="shared" si="2"/>
        <v/>
      </c>
      <c r="K273" s="4"/>
      <c r="L273" s="4"/>
    </row>
    <row r="274">
      <c r="A274" s="4"/>
      <c r="B274" s="15"/>
      <c r="C274" s="7" t="str">
        <f>IFERROR(__xludf.DUMMYFUNCTION("iferror(iferror(INDEX(IMPORTRANGE(""12vtnxaE_Q1s4tyr10kZQx7ZF_xG0lBFae4jQEUtgsMU"",""All!B2:B""),MATCH($B274,IMPORTRANGE(""12vtnxaE_Q1s4tyr10kZQx7ZF_xG0lBFae4jQEUtgsMU"",""All!A2:A""),0)),INDEX(IMPORTRANGE(""13KC70HngS4DDi8y9E5khtSpQEPG6owaQ9z4E-tR5mnY"","&amp;"""Non-Food!B2:B""),MATCH($B274,IMPORTRANGE(""13KC70HngS4DDi8y9E5khtSpQEPG6owaQ9z4E-tR5mnY"",""Non-Food!A2:A""),0))),"""")"),"")</f>
        <v/>
      </c>
      <c r="D274" s="4"/>
      <c r="E274" s="4"/>
      <c r="F274" s="4"/>
      <c r="G274" s="4"/>
      <c r="H274" s="4"/>
      <c r="I274" s="4"/>
      <c r="J274" s="4" t="str">
        <f t="shared" si="2"/>
        <v/>
      </c>
      <c r="K274" s="4"/>
      <c r="L274" s="4"/>
    </row>
    <row r="275">
      <c r="A275" s="4"/>
      <c r="B275" s="15"/>
      <c r="C275" s="7" t="str">
        <f>IFERROR(__xludf.DUMMYFUNCTION("iferror(iferror(INDEX(IMPORTRANGE(""12vtnxaE_Q1s4tyr10kZQx7ZF_xG0lBFae4jQEUtgsMU"",""All!B2:B""),MATCH($B275,IMPORTRANGE(""12vtnxaE_Q1s4tyr10kZQx7ZF_xG0lBFae4jQEUtgsMU"",""All!A2:A""),0)),INDEX(IMPORTRANGE(""13KC70HngS4DDi8y9E5khtSpQEPG6owaQ9z4E-tR5mnY"","&amp;"""Non-Food!B2:B""),MATCH($B275,IMPORTRANGE(""13KC70HngS4DDi8y9E5khtSpQEPG6owaQ9z4E-tR5mnY"",""Non-Food!A2:A""),0))),"""")"),"")</f>
        <v/>
      </c>
      <c r="D275" s="4"/>
      <c r="E275" s="4"/>
      <c r="F275" s="4"/>
      <c r="G275" s="4"/>
      <c r="H275" s="4"/>
      <c r="I275" s="4"/>
      <c r="J275" s="4" t="str">
        <f t="shared" si="2"/>
        <v/>
      </c>
      <c r="K275" s="4"/>
      <c r="L275" s="4"/>
    </row>
    <row r="276">
      <c r="A276" s="4"/>
      <c r="B276" s="15"/>
      <c r="C276" s="7" t="str">
        <f>IFERROR(__xludf.DUMMYFUNCTION("iferror(iferror(INDEX(IMPORTRANGE(""12vtnxaE_Q1s4tyr10kZQx7ZF_xG0lBFae4jQEUtgsMU"",""All!B2:B""),MATCH($B276,IMPORTRANGE(""12vtnxaE_Q1s4tyr10kZQx7ZF_xG0lBFae4jQEUtgsMU"",""All!A2:A""),0)),INDEX(IMPORTRANGE(""13KC70HngS4DDi8y9E5khtSpQEPG6owaQ9z4E-tR5mnY"","&amp;"""Non-Food!B2:B""),MATCH($B276,IMPORTRANGE(""13KC70HngS4DDi8y9E5khtSpQEPG6owaQ9z4E-tR5mnY"",""Non-Food!A2:A""),0))),"""")"),"")</f>
        <v/>
      </c>
      <c r="D276" s="4"/>
      <c r="E276" s="4"/>
      <c r="F276" s="4"/>
      <c r="G276" s="4"/>
      <c r="H276" s="4"/>
      <c r="I276" s="4"/>
      <c r="J276" s="4" t="str">
        <f t="shared" si="2"/>
        <v/>
      </c>
      <c r="K276" s="4"/>
      <c r="L276" s="4"/>
    </row>
    <row r="277">
      <c r="A277" s="4"/>
      <c r="B277" s="15"/>
      <c r="C277" s="7" t="str">
        <f>IFERROR(__xludf.DUMMYFUNCTION("iferror(iferror(INDEX(IMPORTRANGE(""12vtnxaE_Q1s4tyr10kZQx7ZF_xG0lBFae4jQEUtgsMU"",""All!B2:B""),MATCH($B277,IMPORTRANGE(""12vtnxaE_Q1s4tyr10kZQx7ZF_xG0lBFae4jQEUtgsMU"",""All!A2:A""),0)),INDEX(IMPORTRANGE(""13KC70HngS4DDi8y9E5khtSpQEPG6owaQ9z4E-tR5mnY"","&amp;"""Non-Food!B2:B""),MATCH($B277,IMPORTRANGE(""13KC70HngS4DDi8y9E5khtSpQEPG6owaQ9z4E-tR5mnY"",""Non-Food!A2:A""),0))),"""")"),"")</f>
        <v/>
      </c>
      <c r="D277" s="4"/>
      <c r="E277" s="4"/>
      <c r="F277" s="4"/>
      <c r="G277" s="4"/>
      <c r="H277" s="4"/>
      <c r="I277" s="4"/>
      <c r="J277" s="4" t="str">
        <f t="shared" si="2"/>
        <v/>
      </c>
      <c r="K277" s="4"/>
      <c r="L277" s="4"/>
    </row>
    <row r="278">
      <c r="A278" s="4"/>
      <c r="B278" s="15"/>
      <c r="C278" s="7" t="str">
        <f>IFERROR(__xludf.DUMMYFUNCTION("iferror(iferror(INDEX(IMPORTRANGE(""12vtnxaE_Q1s4tyr10kZQx7ZF_xG0lBFae4jQEUtgsMU"",""All!B2:B""),MATCH($B278,IMPORTRANGE(""12vtnxaE_Q1s4tyr10kZQx7ZF_xG0lBFae4jQEUtgsMU"",""All!A2:A""),0)),INDEX(IMPORTRANGE(""13KC70HngS4DDi8y9E5khtSpQEPG6owaQ9z4E-tR5mnY"","&amp;"""Non-Food!B2:B""),MATCH($B278,IMPORTRANGE(""13KC70HngS4DDi8y9E5khtSpQEPG6owaQ9z4E-tR5mnY"",""Non-Food!A2:A""),0))),"""")"),"")</f>
        <v/>
      </c>
      <c r="D278" s="4"/>
      <c r="E278" s="4"/>
      <c r="F278" s="4"/>
      <c r="G278" s="4"/>
      <c r="H278" s="4"/>
      <c r="I278" s="4"/>
      <c r="J278" s="4" t="str">
        <f t="shared" si="2"/>
        <v/>
      </c>
      <c r="K278" s="4"/>
      <c r="L278" s="4"/>
    </row>
    <row r="279">
      <c r="A279" s="4"/>
      <c r="B279" s="15"/>
      <c r="C279" s="7" t="str">
        <f>IFERROR(__xludf.DUMMYFUNCTION("iferror(iferror(INDEX(IMPORTRANGE(""12vtnxaE_Q1s4tyr10kZQx7ZF_xG0lBFae4jQEUtgsMU"",""All!B2:B""),MATCH($B279,IMPORTRANGE(""12vtnxaE_Q1s4tyr10kZQx7ZF_xG0lBFae4jQEUtgsMU"",""All!A2:A""),0)),INDEX(IMPORTRANGE(""13KC70HngS4DDi8y9E5khtSpQEPG6owaQ9z4E-tR5mnY"","&amp;"""Non-Food!B2:B""),MATCH($B279,IMPORTRANGE(""13KC70HngS4DDi8y9E5khtSpQEPG6owaQ9z4E-tR5mnY"",""Non-Food!A2:A""),0))),"""")"),"")</f>
        <v/>
      </c>
      <c r="D279" s="4"/>
      <c r="E279" s="4"/>
      <c r="F279" s="4"/>
      <c r="G279" s="4"/>
      <c r="H279" s="4"/>
      <c r="I279" s="4"/>
      <c r="J279" s="4" t="str">
        <f t="shared" si="2"/>
        <v/>
      </c>
      <c r="K279" s="4"/>
      <c r="L279" s="4"/>
    </row>
    <row r="280">
      <c r="A280" s="4"/>
      <c r="B280" s="15"/>
      <c r="C280" s="7" t="str">
        <f>IFERROR(__xludf.DUMMYFUNCTION("iferror(iferror(INDEX(IMPORTRANGE(""12vtnxaE_Q1s4tyr10kZQx7ZF_xG0lBFae4jQEUtgsMU"",""All!B2:B""),MATCH($B280,IMPORTRANGE(""12vtnxaE_Q1s4tyr10kZQx7ZF_xG0lBFae4jQEUtgsMU"",""All!A2:A""),0)),INDEX(IMPORTRANGE(""13KC70HngS4DDi8y9E5khtSpQEPG6owaQ9z4E-tR5mnY"","&amp;"""Non-Food!B2:B""),MATCH($B280,IMPORTRANGE(""13KC70HngS4DDi8y9E5khtSpQEPG6owaQ9z4E-tR5mnY"",""Non-Food!A2:A""),0))),"""")"),"")</f>
        <v/>
      </c>
      <c r="D280" s="4"/>
      <c r="E280" s="4"/>
      <c r="F280" s="4"/>
      <c r="G280" s="4"/>
      <c r="H280" s="4"/>
      <c r="I280" s="4"/>
      <c r="J280" s="4" t="str">
        <f t="shared" si="2"/>
        <v/>
      </c>
      <c r="K280" s="4"/>
      <c r="L280" s="4"/>
    </row>
    <row r="281">
      <c r="A281" s="4"/>
      <c r="B281" s="15"/>
      <c r="C281" s="7" t="str">
        <f>IFERROR(__xludf.DUMMYFUNCTION("iferror(iferror(INDEX(IMPORTRANGE(""12vtnxaE_Q1s4tyr10kZQx7ZF_xG0lBFae4jQEUtgsMU"",""All!B2:B""),MATCH($B281,IMPORTRANGE(""12vtnxaE_Q1s4tyr10kZQx7ZF_xG0lBFae4jQEUtgsMU"",""All!A2:A""),0)),INDEX(IMPORTRANGE(""13KC70HngS4DDi8y9E5khtSpQEPG6owaQ9z4E-tR5mnY"","&amp;"""Non-Food!B2:B""),MATCH($B281,IMPORTRANGE(""13KC70HngS4DDi8y9E5khtSpQEPG6owaQ9z4E-tR5mnY"",""Non-Food!A2:A""),0))),"""")"),"")</f>
        <v/>
      </c>
      <c r="D281" s="4"/>
      <c r="E281" s="4"/>
      <c r="F281" s="4"/>
      <c r="G281" s="4"/>
      <c r="H281" s="4"/>
      <c r="I281" s="4"/>
      <c r="J281" s="4" t="str">
        <f t="shared" si="2"/>
        <v/>
      </c>
      <c r="K281" s="4"/>
      <c r="L281" s="4"/>
    </row>
    <row r="282">
      <c r="A282" s="4"/>
      <c r="B282" s="15"/>
      <c r="C282" s="7" t="str">
        <f>IFERROR(__xludf.DUMMYFUNCTION("iferror(iferror(INDEX(IMPORTRANGE(""12vtnxaE_Q1s4tyr10kZQx7ZF_xG0lBFae4jQEUtgsMU"",""All!B2:B""),MATCH($B282,IMPORTRANGE(""12vtnxaE_Q1s4tyr10kZQx7ZF_xG0lBFae4jQEUtgsMU"",""All!A2:A""),0)),INDEX(IMPORTRANGE(""13KC70HngS4DDi8y9E5khtSpQEPG6owaQ9z4E-tR5mnY"","&amp;"""Non-Food!B2:B""),MATCH($B282,IMPORTRANGE(""13KC70HngS4DDi8y9E5khtSpQEPG6owaQ9z4E-tR5mnY"",""Non-Food!A2:A""),0))),"""")"),"")</f>
        <v/>
      </c>
      <c r="D282" s="4"/>
      <c r="E282" s="4"/>
      <c r="F282" s="4"/>
      <c r="G282" s="4"/>
      <c r="H282" s="4"/>
      <c r="I282" s="4"/>
      <c r="J282" s="4" t="str">
        <f t="shared" si="2"/>
        <v/>
      </c>
      <c r="K282" s="4"/>
      <c r="L282" s="4"/>
    </row>
    <row r="283">
      <c r="A283" s="4"/>
      <c r="B283" s="15"/>
      <c r="C283" s="7" t="str">
        <f>IFERROR(__xludf.DUMMYFUNCTION("iferror(iferror(INDEX(IMPORTRANGE(""12vtnxaE_Q1s4tyr10kZQx7ZF_xG0lBFae4jQEUtgsMU"",""All!B2:B""),MATCH($B283,IMPORTRANGE(""12vtnxaE_Q1s4tyr10kZQx7ZF_xG0lBFae4jQEUtgsMU"",""All!A2:A""),0)),INDEX(IMPORTRANGE(""13KC70HngS4DDi8y9E5khtSpQEPG6owaQ9z4E-tR5mnY"","&amp;"""Non-Food!B2:B""),MATCH($B283,IMPORTRANGE(""13KC70HngS4DDi8y9E5khtSpQEPG6owaQ9z4E-tR5mnY"",""Non-Food!A2:A""),0))),"""")"),"")</f>
        <v/>
      </c>
      <c r="D283" s="4"/>
      <c r="E283" s="4"/>
      <c r="F283" s="4"/>
      <c r="G283" s="4"/>
      <c r="H283" s="4"/>
      <c r="I283" s="4"/>
      <c r="J283" s="4" t="str">
        <f t="shared" si="2"/>
        <v/>
      </c>
      <c r="K283" s="4"/>
      <c r="L283" s="4"/>
    </row>
    <row r="284">
      <c r="A284" s="4"/>
      <c r="B284" s="15"/>
      <c r="C284" s="7" t="str">
        <f>IFERROR(__xludf.DUMMYFUNCTION("iferror(iferror(INDEX(IMPORTRANGE(""12vtnxaE_Q1s4tyr10kZQx7ZF_xG0lBFae4jQEUtgsMU"",""All!B2:B""),MATCH($B284,IMPORTRANGE(""12vtnxaE_Q1s4tyr10kZQx7ZF_xG0lBFae4jQEUtgsMU"",""All!A2:A""),0)),INDEX(IMPORTRANGE(""13KC70HngS4DDi8y9E5khtSpQEPG6owaQ9z4E-tR5mnY"","&amp;"""Non-Food!B2:B""),MATCH($B284,IMPORTRANGE(""13KC70HngS4DDi8y9E5khtSpQEPG6owaQ9z4E-tR5mnY"",""Non-Food!A2:A""),0))),"""")"),"")</f>
        <v/>
      </c>
      <c r="D284" s="4"/>
      <c r="E284" s="4"/>
      <c r="F284" s="4"/>
      <c r="G284" s="4"/>
      <c r="H284" s="4"/>
      <c r="I284" s="4"/>
      <c r="J284" s="4" t="str">
        <f t="shared" si="2"/>
        <v/>
      </c>
      <c r="K284" s="4"/>
      <c r="L284" s="4"/>
    </row>
    <row r="285">
      <c r="A285" s="4"/>
      <c r="B285" s="15"/>
      <c r="C285" s="7" t="str">
        <f>IFERROR(__xludf.DUMMYFUNCTION("iferror(iferror(INDEX(IMPORTRANGE(""12vtnxaE_Q1s4tyr10kZQx7ZF_xG0lBFae4jQEUtgsMU"",""All!B2:B""),MATCH($B285,IMPORTRANGE(""12vtnxaE_Q1s4tyr10kZQx7ZF_xG0lBFae4jQEUtgsMU"",""All!A2:A""),0)),INDEX(IMPORTRANGE(""13KC70HngS4DDi8y9E5khtSpQEPG6owaQ9z4E-tR5mnY"","&amp;"""Non-Food!B2:B""),MATCH($B285,IMPORTRANGE(""13KC70HngS4DDi8y9E5khtSpQEPG6owaQ9z4E-tR5mnY"",""Non-Food!A2:A""),0))),"""")"),"")</f>
        <v/>
      </c>
      <c r="D285" s="4"/>
      <c r="E285" s="4"/>
      <c r="F285" s="4"/>
      <c r="G285" s="4"/>
      <c r="H285" s="4"/>
      <c r="I285" s="4"/>
      <c r="J285" s="4" t="str">
        <f t="shared" si="2"/>
        <v/>
      </c>
      <c r="K285" s="4"/>
      <c r="L285" s="4"/>
    </row>
    <row r="286">
      <c r="A286" s="4"/>
      <c r="B286" s="15"/>
      <c r="C286" s="7" t="str">
        <f>IFERROR(__xludf.DUMMYFUNCTION("iferror(iferror(INDEX(IMPORTRANGE(""12vtnxaE_Q1s4tyr10kZQx7ZF_xG0lBFae4jQEUtgsMU"",""All!B2:B""),MATCH($B286,IMPORTRANGE(""12vtnxaE_Q1s4tyr10kZQx7ZF_xG0lBFae4jQEUtgsMU"",""All!A2:A""),0)),INDEX(IMPORTRANGE(""13KC70HngS4DDi8y9E5khtSpQEPG6owaQ9z4E-tR5mnY"","&amp;"""Non-Food!B2:B""),MATCH($B286,IMPORTRANGE(""13KC70HngS4DDi8y9E5khtSpQEPG6owaQ9z4E-tR5mnY"",""Non-Food!A2:A""),0))),"""")"),"")</f>
        <v/>
      </c>
      <c r="D286" s="4"/>
      <c r="E286" s="4"/>
      <c r="F286" s="4"/>
      <c r="G286" s="4"/>
      <c r="H286" s="4"/>
      <c r="I286" s="4"/>
      <c r="J286" s="4" t="str">
        <f t="shared" si="2"/>
        <v/>
      </c>
      <c r="K286" s="4"/>
      <c r="L286" s="4"/>
    </row>
    <row r="287">
      <c r="A287" s="4"/>
      <c r="B287" s="15"/>
      <c r="C287" s="7" t="str">
        <f>IFERROR(__xludf.DUMMYFUNCTION("iferror(iferror(INDEX(IMPORTRANGE(""12vtnxaE_Q1s4tyr10kZQx7ZF_xG0lBFae4jQEUtgsMU"",""All!B2:B""),MATCH($B287,IMPORTRANGE(""12vtnxaE_Q1s4tyr10kZQx7ZF_xG0lBFae4jQEUtgsMU"",""All!A2:A""),0)),INDEX(IMPORTRANGE(""13KC70HngS4DDi8y9E5khtSpQEPG6owaQ9z4E-tR5mnY"","&amp;"""Non-Food!B2:B""),MATCH($B287,IMPORTRANGE(""13KC70HngS4DDi8y9E5khtSpQEPG6owaQ9z4E-tR5mnY"",""Non-Food!A2:A""),0))),"""")"),"")</f>
        <v/>
      </c>
      <c r="D287" s="4"/>
      <c r="E287" s="4"/>
      <c r="F287" s="4"/>
      <c r="G287" s="4"/>
      <c r="H287" s="4"/>
      <c r="I287" s="4"/>
      <c r="J287" s="4" t="str">
        <f t="shared" si="2"/>
        <v/>
      </c>
      <c r="K287" s="4"/>
      <c r="L287" s="4"/>
    </row>
    <row r="288">
      <c r="A288" s="4"/>
      <c r="B288" s="15"/>
      <c r="C288" s="7" t="str">
        <f>IFERROR(__xludf.DUMMYFUNCTION("iferror(iferror(INDEX(IMPORTRANGE(""12vtnxaE_Q1s4tyr10kZQx7ZF_xG0lBFae4jQEUtgsMU"",""All!B2:B""),MATCH($B288,IMPORTRANGE(""12vtnxaE_Q1s4tyr10kZQx7ZF_xG0lBFae4jQEUtgsMU"",""All!A2:A""),0)),INDEX(IMPORTRANGE(""13KC70HngS4DDi8y9E5khtSpQEPG6owaQ9z4E-tR5mnY"","&amp;"""Non-Food!B2:B""),MATCH($B288,IMPORTRANGE(""13KC70HngS4DDi8y9E5khtSpQEPG6owaQ9z4E-tR5mnY"",""Non-Food!A2:A""),0))),"""")"),"")</f>
        <v/>
      </c>
      <c r="D288" s="4"/>
      <c r="E288" s="4"/>
      <c r="F288" s="4"/>
      <c r="G288" s="4"/>
      <c r="H288" s="4"/>
      <c r="I288" s="4"/>
      <c r="J288" s="4" t="str">
        <f t="shared" si="2"/>
        <v/>
      </c>
      <c r="K288" s="4"/>
      <c r="L288" s="4"/>
    </row>
    <row r="289">
      <c r="A289" s="4"/>
      <c r="B289" s="15"/>
      <c r="C289" s="7" t="str">
        <f>IFERROR(__xludf.DUMMYFUNCTION("iferror(iferror(INDEX(IMPORTRANGE(""12vtnxaE_Q1s4tyr10kZQx7ZF_xG0lBFae4jQEUtgsMU"",""All!B2:B""),MATCH($B289,IMPORTRANGE(""12vtnxaE_Q1s4tyr10kZQx7ZF_xG0lBFae4jQEUtgsMU"",""All!A2:A""),0)),INDEX(IMPORTRANGE(""13KC70HngS4DDi8y9E5khtSpQEPG6owaQ9z4E-tR5mnY"","&amp;"""Non-Food!B2:B""),MATCH($B289,IMPORTRANGE(""13KC70HngS4DDi8y9E5khtSpQEPG6owaQ9z4E-tR5mnY"",""Non-Food!A2:A""),0))),"""")"),"")</f>
        <v/>
      </c>
      <c r="D289" s="4"/>
      <c r="E289" s="4"/>
      <c r="F289" s="4"/>
      <c r="G289" s="4"/>
      <c r="H289" s="4"/>
      <c r="I289" s="4"/>
      <c r="J289" s="4" t="str">
        <f t="shared" si="2"/>
        <v/>
      </c>
      <c r="K289" s="4"/>
      <c r="L289" s="4"/>
    </row>
    <row r="290">
      <c r="A290" s="4"/>
      <c r="B290" s="15"/>
      <c r="C290" s="7" t="str">
        <f>IFERROR(__xludf.DUMMYFUNCTION("iferror(iferror(INDEX(IMPORTRANGE(""12vtnxaE_Q1s4tyr10kZQx7ZF_xG0lBFae4jQEUtgsMU"",""All!B2:B""),MATCH($B290,IMPORTRANGE(""12vtnxaE_Q1s4tyr10kZQx7ZF_xG0lBFae4jQEUtgsMU"",""All!A2:A""),0)),INDEX(IMPORTRANGE(""13KC70HngS4DDi8y9E5khtSpQEPG6owaQ9z4E-tR5mnY"","&amp;"""Non-Food!B2:B""),MATCH($B290,IMPORTRANGE(""13KC70HngS4DDi8y9E5khtSpQEPG6owaQ9z4E-tR5mnY"",""Non-Food!A2:A""),0))),"""")"),"")</f>
        <v/>
      </c>
      <c r="D290" s="4"/>
      <c r="E290" s="4"/>
      <c r="F290" s="4"/>
      <c r="G290" s="4"/>
      <c r="H290" s="4"/>
      <c r="I290" s="4"/>
      <c r="J290" s="4" t="str">
        <f t="shared" si="2"/>
        <v/>
      </c>
      <c r="K290" s="4"/>
      <c r="L290" s="4"/>
    </row>
    <row r="291">
      <c r="A291" s="4"/>
      <c r="B291" s="15"/>
      <c r="C291" s="7" t="str">
        <f>IFERROR(__xludf.DUMMYFUNCTION("iferror(iferror(INDEX(IMPORTRANGE(""12vtnxaE_Q1s4tyr10kZQx7ZF_xG0lBFae4jQEUtgsMU"",""All!B2:B""),MATCH($B291,IMPORTRANGE(""12vtnxaE_Q1s4tyr10kZQx7ZF_xG0lBFae4jQEUtgsMU"",""All!A2:A""),0)),INDEX(IMPORTRANGE(""13KC70HngS4DDi8y9E5khtSpQEPG6owaQ9z4E-tR5mnY"","&amp;"""Non-Food!B2:B""),MATCH($B291,IMPORTRANGE(""13KC70HngS4DDi8y9E5khtSpQEPG6owaQ9z4E-tR5mnY"",""Non-Food!A2:A""),0))),"""")"),"")</f>
        <v/>
      </c>
      <c r="D291" s="4"/>
      <c r="E291" s="4"/>
      <c r="F291" s="4"/>
      <c r="G291" s="4"/>
      <c r="H291" s="4"/>
      <c r="I291" s="4"/>
      <c r="J291" s="4" t="str">
        <f t="shared" si="2"/>
        <v/>
      </c>
      <c r="K291" s="4"/>
      <c r="L291" s="4"/>
    </row>
    <row r="292">
      <c r="A292" s="4"/>
      <c r="B292" s="15"/>
      <c r="C292" s="7" t="str">
        <f>IFERROR(__xludf.DUMMYFUNCTION("iferror(iferror(INDEX(IMPORTRANGE(""12vtnxaE_Q1s4tyr10kZQx7ZF_xG0lBFae4jQEUtgsMU"",""All!B2:B""),MATCH($B292,IMPORTRANGE(""12vtnxaE_Q1s4tyr10kZQx7ZF_xG0lBFae4jQEUtgsMU"",""All!A2:A""),0)),INDEX(IMPORTRANGE(""13KC70HngS4DDi8y9E5khtSpQEPG6owaQ9z4E-tR5mnY"","&amp;"""Non-Food!B2:B""),MATCH($B292,IMPORTRANGE(""13KC70HngS4DDi8y9E5khtSpQEPG6owaQ9z4E-tR5mnY"",""Non-Food!A2:A""),0))),"""")"),"")</f>
        <v/>
      </c>
      <c r="D292" s="4"/>
      <c r="E292" s="4"/>
      <c r="F292" s="4"/>
      <c r="G292" s="4"/>
      <c r="H292" s="4"/>
      <c r="I292" s="4"/>
      <c r="J292" s="4" t="str">
        <f t="shared" si="2"/>
        <v/>
      </c>
      <c r="K292" s="4"/>
      <c r="L292" s="4"/>
    </row>
    <row r="293">
      <c r="A293" s="4"/>
      <c r="B293" s="15"/>
      <c r="C293" s="7" t="str">
        <f>IFERROR(__xludf.DUMMYFUNCTION("iferror(iferror(INDEX(IMPORTRANGE(""12vtnxaE_Q1s4tyr10kZQx7ZF_xG0lBFae4jQEUtgsMU"",""All!B2:B""),MATCH($B293,IMPORTRANGE(""12vtnxaE_Q1s4tyr10kZQx7ZF_xG0lBFae4jQEUtgsMU"",""All!A2:A""),0)),INDEX(IMPORTRANGE(""13KC70HngS4DDi8y9E5khtSpQEPG6owaQ9z4E-tR5mnY"","&amp;"""Non-Food!B2:B""),MATCH($B293,IMPORTRANGE(""13KC70HngS4DDi8y9E5khtSpQEPG6owaQ9z4E-tR5mnY"",""Non-Food!A2:A""),0))),"""")"),"")</f>
        <v/>
      </c>
      <c r="D293" s="4"/>
      <c r="E293" s="4"/>
      <c r="F293" s="4"/>
      <c r="G293" s="4"/>
      <c r="H293" s="4"/>
      <c r="I293" s="4"/>
      <c r="J293" s="4" t="str">
        <f t="shared" si="2"/>
        <v/>
      </c>
      <c r="K293" s="4"/>
      <c r="L293" s="4"/>
    </row>
    <row r="294">
      <c r="A294" s="4"/>
      <c r="B294" s="15"/>
      <c r="C294" s="7" t="str">
        <f>IFERROR(__xludf.DUMMYFUNCTION("iferror(iferror(INDEX(IMPORTRANGE(""12vtnxaE_Q1s4tyr10kZQx7ZF_xG0lBFae4jQEUtgsMU"",""All!B2:B""),MATCH($B294,IMPORTRANGE(""12vtnxaE_Q1s4tyr10kZQx7ZF_xG0lBFae4jQEUtgsMU"",""All!A2:A""),0)),INDEX(IMPORTRANGE(""13KC70HngS4DDi8y9E5khtSpQEPG6owaQ9z4E-tR5mnY"","&amp;"""Non-Food!B2:B""),MATCH($B294,IMPORTRANGE(""13KC70HngS4DDi8y9E5khtSpQEPG6owaQ9z4E-tR5mnY"",""Non-Food!A2:A""),0))),"""")"),"")</f>
        <v/>
      </c>
      <c r="D294" s="4"/>
      <c r="E294" s="4"/>
      <c r="F294" s="4"/>
      <c r="G294" s="4"/>
      <c r="H294" s="4"/>
      <c r="I294" s="4"/>
      <c r="J294" s="4" t="str">
        <f t="shared" si="2"/>
        <v/>
      </c>
      <c r="K294" s="4"/>
      <c r="L294" s="4"/>
    </row>
    <row r="295">
      <c r="A295" s="4"/>
      <c r="B295" s="15"/>
      <c r="C295" s="7" t="str">
        <f>IFERROR(__xludf.DUMMYFUNCTION("iferror(iferror(INDEX(IMPORTRANGE(""12vtnxaE_Q1s4tyr10kZQx7ZF_xG0lBFae4jQEUtgsMU"",""All!B2:B""),MATCH($B295,IMPORTRANGE(""12vtnxaE_Q1s4tyr10kZQx7ZF_xG0lBFae4jQEUtgsMU"",""All!A2:A""),0)),INDEX(IMPORTRANGE(""13KC70HngS4DDi8y9E5khtSpQEPG6owaQ9z4E-tR5mnY"","&amp;"""Non-Food!B2:B""),MATCH($B295,IMPORTRANGE(""13KC70HngS4DDi8y9E5khtSpQEPG6owaQ9z4E-tR5mnY"",""Non-Food!A2:A""),0))),"""")"),"")</f>
        <v/>
      </c>
      <c r="D295" s="4"/>
      <c r="E295" s="4"/>
      <c r="F295" s="4"/>
      <c r="G295" s="4"/>
      <c r="H295" s="4"/>
      <c r="I295" s="4"/>
      <c r="J295" s="4" t="str">
        <f t="shared" si="2"/>
        <v/>
      </c>
      <c r="K295" s="4"/>
      <c r="L295" s="4"/>
    </row>
    <row r="296">
      <c r="A296" s="4"/>
      <c r="B296" s="15"/>
      <c r="C296" s="7" t="str">
        <f>IFERROR(__xludf.DUMMYFUNCTION("iferror(iferror(INDEX(IMPORTRANGE(""12vtnxaE_Q1s4tyr10kZQx7ZF_xG0lBFae4jQEUtgsMU"",""All!B2:B""),MATCH($B296,IMPORTRANGE(""12vtnxaE_Q1s4tyr10kZQx7ZF_xG0lBFae4jQEUtgsMU"",""All!A2:A""),0)),INDEX(IMPORTRANGE(""13KC70HngS4DDi8y9E5khtSpQEPG6owaQ9z4E-tR5mnY"","&amp;"""Non-Food!B2:B""),MATCH($B296,IMPORTRANGE(""13KC70HngS4DDi8y9E5khtSpQEPG6owaQ9z4E-tR5mnY"",""Non-Food!A2:A""),0))),"""")"),"")</f>
        <v/>
      </c>
      <c r="D296" s="4"/>
      <c r="E296" s="4"/>
      <c r="F296" s="4"/>
      <c r="G296" s="4"/>
      <c r="H296" s="4"/>
      <c r="I296" s="4"/>
      <c r="J296" s="4" t="str">
        <f t="shared" si="2"/>
        <v/>
      </c>
      <c r="K296" s="4"/>
      <c r="L296" s="4"/>
    </row>
    <row r="297">
      <c r="A297" s="4"/>
      <c r="B297" s="15"/>
      <c r="C297" s="7" t="str">
        <f>IFERROR(__xludf.DUMMYFUNCTION("iferror(iferror(INDEX(IMPORTRANGE(""12vtnxaE_Q1s4tyr10kZQx7ZF_xG0lBFae4jQEUtgsMU"",""All!B2:B""),MATCH($B297,IMPORTRANGE(""12vtnxaE_Q1s4tyr10kZQx7ZF_xG0lBFae4jQEUtgsMU"",""All!A2:A""),0)),INDEX(IMPORTRANGE(""13KC70HngS4DDi8y9E5khtSpQEPG6owaQ9z4E-tR5mnY"","&amp;"""Non-Food!B2:B""),MATCH($B297,IMPORTRANGE(""13KC70HngS4DDi8y9E5khtSpQEPG6owaQ9z4E-tR5mnY"",""Non-Food!A2:A""),0))),"""")"),"")</f>
        <v/>
      </c>
      <c r="D297" s="4"/>
      <c r="E297" s="4"/>
      <c r="F297" s="4"/>
      <c r="G297" s="4"/>
      <c r="H297" s="4"/>
      <c r="I297" s="4"/>
      <c r="J297" s="4" t="str">
        <f t="shared" si="2"/>
        <v/>
      </c>
      <c r="K297" s="4"/>
      <c r="L297" s="4"/>
    </row>
    <row r="298">
      <c r="A298" s="4"/>
      <c r="B298" s="15"/>
      <c r="C298" s="7" t="str">
        <f>IFERROR(__xludf.DUMMYFUNCTION("iferror(iferror(INDEX(IMPORTRANGE(""12vtnxaE_Q1s4tyr10kZQx7ZF_xG0lBFae4jQEUtgsMU"",""All!B2:B""),MATCH($B298,IMPORTRANGE(""12vtnxaE_Q1s4tyr10kZQx7ZF_xG0lBFae4jQEUtgsMU"",""All!A2:A""),0)),INDEX(IMPORTRANGE(""13KC70HngS4DDi8y9E5khtSpQEPG6owaQ9z4E-tR5mnY"","&amp;"""Non-Food!B2:B""),MATCH($B298,IMPORTRANGE(""13KC70HngS4DDi8y9E5khtSpQEPG6owaQ9z4E-tR5mnY"",""Non-Food!A2:A""),0))),"""")"),"")</f>
        <v/>
      </c>
      <c r="D298" s="4"/>
      <c r="E298" s="4"/>
      <c r="F298" s="4"/>
      <c r="G298" s="4"/>
      <c r="H298" s="4"/>
      <c r="I298" s="4"/>
      <c r="J298" s="4" t="str">
        <f t="shared" si="2"/>
        <v/>
      </c>
      <c r="K298" s="4"/>
      <c r="L298" s="4"/>
    </row>
    <row r="299">
      <c r="A299" s="4"/>
      <c r="B299" s="15"/>
      <c r="C299" s="7" t="str">
        <f>IFERROR(__xludf.DUMMYFUNCTION("iferror(iferror(INDEX(IMPORTRANGE(""12vtnxaE_Q1s4tyr10kZQx7ZF_xG0lBFae4jQEUtgsMU"",""All!B2:B""),MATCH($B299,IMPORTRANGE(""12vtnxaE_Q1s4tyr10kZQx7ZF_xG0lBFae4jQEUtgsMU"",""All!A2:A""),0)),INDEX(IMPORTRANGE(""13KC70HngS4DDi8y9E5khtSpQEPG6owaQ9z4E-tR5mnY"","&amp;"""Non-Food!B2:B""),MATCH($B299,IMPORTRANGE(""13KC70HngS4DDi8y9E5khtSpQEPG6owaQ9z4E-tR5mnY"",""Non-Food!A2:A""),0))),"""")"),"")</f>
        <v/>
      </c>
      <c r="D299" s="4"/>
      <c r="E299" s="4"/>
      <c r="F299" s="4"/>
      <c r="G299" s="4"/>
      <c r="H299" s="4"/>
      <c r="I299" s="4"/>
      <c r="J299" s="4" t="str">
        <f t="shared" si="2"/>
        <v/>
      </c>
      <c r="K299" s="4"/>
      <c r="L299" s="4"/>
    </row>
    <row r="300">
      <c r="A300" s="4"/>
      <c r="B300" s="15"/>
      <c r="C300" s="7" t="str">
        <f>IFERROR(__xludf.DUMMYFUNCTION("iferror(iferror(INDEX(IMPORTRANGE(""12vtnxaE_Q1s4tyr10kZQx7ZF_xG0lBFae4jQEUtgsMU"",""All!B2:B""),MATCH($B300,IMPORTRANGE(""12vtnxaE_Q1s4tyr10kZQx7ZF_xG0lBFae4jQEUtgsMU"",""All!A2:A""),0)),INDEX(IMPORTRANGE(""13KC70HngS4DDi8y9E5khtSpQEPG6owaQ9z4E-tR5mnY"","&amp;"""Non-Food!B2:B""),MATCH($B300,IMPORTRANGE(""13KC70HngS4DDi8y9E5khtSpQEPG6owaQ9z4E-tR5mnY"",""Non-Food!A2:A""),0))),"""")"),"")</f>
        <v/>
      </c>
      <c r="D300" s="4"/>
      <c r="E300" s="4"/>
      <c r="F300" s="4"/>
      <c r="G300" s="4"/>
      <c r="H300" s="4"/>
      <c r="I300" s="4"/>
      <c r="J300" s="4" t="str">
        <f t="shared" si="2"/>
        <v/>
      </c>
      <c r="K300" s="4"/>
      <c r="L300" s="4"/>
    </row>
    <row r="301">
      <c r="A301" s="4"/>
      <c r="B301" s="15"/>
      <c r="C301" s="7" t="str">
        <f>IFERROR(__xludf.DUMMYFUNCTION("iferror(iferror(INDEX(IMPORTRANGE(""12vtnxaE_Q1s4tyr10kZQx7ZF_xG0lBFae4jQEUtgsMU"",""All!B2:B""),MATCH($B301,IMPORTRANGE(""12vtnxaE_Q1s4tyr10kZQx7ZF_xG0lBFae4jQEUtgsMU"",""All!A2:A""),0)),INDEX(IMPORTRANGE(""13KC70HngS4DDi8y9E5khtSpQEPG6owaQ9z4E-tR5mnY"","&amp;"""Non-Food!B2:B""),MATCH($B301,IMPORTRANGE(""13KC70HngS4DDi8y9E5khtSpQEPG6owaQ9z4E-tR5mnY"",""Non-Food!A2:A""),0))),"""")"),"")</f>
        <v/>
      </c>
      <c r="D301" s="4"/>
      <c r="E301" s="4"/>
      <c r="F301" s="4"/>
      <c r="G301" s="4"/>
      <c r="H301" s="4"/>
      <c r="I301" s="4"/>
      <c r="J301" s="4" t="str">
        <f t="shared" si="2"/>
        <v/>
      </c>
      <c r="K301" s="4"/>
      <c r="L301" s="4"/>
    </row>
    <row r="302">
      <c r="A302" s="4"/>
      <c r="B302" s="15"/>
      <c r="C302" s="7" t="str">
        <f>IFERROR(__xludf.DUMMYFUNCTION("iferror(iferror(INDEX(IMPORTRANGE(""12vtnxaE_Q1s4tyr10kZQx7ZF_xG0lBFae4jQEUtgsMU"",""All!B2:B""),MATCH($B302,IMPORTRANGE(""12vtnxaE_Q1s4tyr10kZQx7ZF_xG0lBFae4jQEUtgsMU"",""All!A2:A""),0)),INDEX(IMPORTRANGE(""13KC70HngS4DDi8y9E5khtSpQEPG6owaQ9z4E-tR5mnY"","&amp;"""Non-Food!B2:B""),MATCH($B302,IMPORTRANGE(""13KC70HngS4DDi8y9E5khtSpQEPG6owaQ9z4E-tR5mnY"",""Non-Food!A2:A""),0))),"""")"),"")</f>
        <v/>
      </c>
      <c r="D302" s="4"/>
      <c r="E302" s="4"/>
      <c r="F302" s="4"/>
      <c r="G302" s="4"/>
      <c r="H302" s="4"/>
      <c r="I302" s="4"/>
      <c r="J302" s="4" t="str">
        <f t="shared" si="2"/>
        <v/>
      </c>
      <c r="K302" s="4"/>
      <c r="L302" s="4"/>
    </row>
    <row r="303">
      <c r="A303" s="4"/>
      <c r="B303" s="15"/>
      <c r="C303" s="7" t="str">
        <f>IFERROR(__xludf.DUMMYFUNCTION("iferror(iferror(INDEX(IMPORTRANGE(""12vtnxaE_Q1s4tyr10kZQx7ZF_xG0lBFae4jQEUtgsMU"",""All!B2:B""),MATCH($B303,IMPORTRANGE(""12vtnxaE_Q1s4tyr10kZQx7ZF_xG0lBFae4jQEUtgsMU"",""All!A2:A""),0)),INDEX(IMPORTRANGE(""13KC70HngS4DDi8y9E5khtSpQEPG6owaQ9z4E-tR5mnY"","&amp;"""Non-Food!B2:B""),MATCH($B303,IMPORTRANGE(""13KC70HngS4DDi8y9E5khtSpQEPG6owaQ9z4E-tR5mnY"",""Non-Food!A2:A""),0))),"""")"),"")</f>
        <v/>
      </c>
      <c r="D303" s="4"/>
      <c r="E303" s="4"/>
      <c r="F303" s="4"/>
      <c r="G303" s="4"/>
      <c r="H303" s="4"/>
      <c r="I303" s="4"/>
      <c r="J303" s="4" t="str">
        <f t="shared" si="2"/>
        <v/>
      </c>
      <c r="K303" s="4"/>
      <c r="L303" s="4"/>
    </row>
    <row r="304">
      <c r="A304" s="4"/>
      <c r="B304" s="15"/>
      <c r="C304" s="7" t="str">
        <f>IFERROR(__xludf.DUMMYFUNCTION("iferror(iferror(INDEX(IMPORTRANGE(""12vtnxaE_Q1s4tyr10kZQx7ZF_xG0lBFae4jQEUtgsMU"",""All!B2:B""),MATCH($B304,IMPORTRANGE(""12vtnxaE_Q1s4tyr10kZQx7ZF_xG0lBFae4jQEUtgsMU"",""All!A2:A""),0)),INDEX(IMPORTRANGE(""13KC70HngS4DDi8y9E5khtSpQEPG6owaQ9z4E-tR5mnY"","&amp;"""Non-Food!B2:B""),MATCH($B304,IMPORTRANGE(""13KC70HngS4DDi8y9E5khtSpQEPG6owaQ9z4E-tR5mnY"",""Non-Food!A2:A""),0))),"""")"),"")</f>
        <v/>
      </c>
      <c r="D304" s="4"/>
      <c r="E304" s="4"/>
      <c r="F304" s="4"/>
      <c r="G304" s="4"/>
      <c r="H304" s="4"/>
      <c r="I304" s="4"/>
      <c r="J304" s="4" t="str">
        <f t="shared" si="2"/>
        <v/>
      </c>
      <c r="K304" s="4"/>
      <c r="L304" s="4"/>
    </row>
    <row r="305">
      <c r="A305" s="4"/>
      <c r="B305" s="15"/>
      <c r="C305" s="7" t="str">
        <f>IFERROR(__xludf.DUMMYFUNCTION("iferror(iferror(INDEX(IMPORTRANGE(""12vtnxaE_Q1s4tyr10kZQx7ZF_xG0lBFae4jQEUtgsMU"",""All!B2:B""),MATCH($B305,IMPORTRANGE(""12vtnxaE_Q1s4tyr10kZQx7ZF_xG0lBFae4jQEUtgsMU"",""All!A2:A""),0)),INDEX(IMPORTRANGE(""13KC70HngS4DDi8y9E5khtSpQEPG6owaQ9z4E-tR5mnY"","&amp;"""Non-Food!B2:B""),MATCH($B305,IMPORTRANGE(""13KC70HngS4DDi8y9E5khtSpQEPG6owaQ9z4E-tR5mnY"",""Non-Food!A2:A""),0))),"""")"),"")</f>
        <v/>
      </c>
      <c r="D305" s="4"/>
      <c r="E305" s="4"/>
      <c r="F305" s="4"/>
      <c r="G305" s="4"/>
      <c r="H305" s="4"/>
      <c r="I305" s="4"/>
      <c r="J305" s="4" t="str">
        <f t="shared" si="2"/>
        <v/>
      </c>
      <c r="K305" s="4"/>
      <c r="L305" s="4"/>
    </row>
    <row r="306">
      <c r="A306" s="4"/>
      <c r="B306" s="15"/>
      <c r="C306" s="7" t="str">
        <f>IFERROR(__xludf.DUMMYFUNCTION("iferror(iferror(INDEX(IMPORTRANGE(""12vtnxaE_Q1s4tyr10kZQx7ZF_xG0lBFae4jQEUtgsMU"",""All!B2:B""),MATCH($B306,IMPORTRANGE(""12vtnxaE_Q1s4tyr10kZQx7ZF_xG0lBFae4jQEUtgsMU"",""All!A2:A""),0)),INDEX(IMPORTRANGE(""13KC70HngS4DDi8y9E5khtSpQEPG6owaQ9z4E-tR5mnY"","&amp;"""Non-Food!B2:B""),MATCH($B306,IMPORTRANGE(""13KC70HngS4DDi8y9E5khtSpQEPG6owaQ9z4E-tR5mnY"",""Non-Food!A2:A""),0))),"""")"),"")</f>
        <v/>
      </c>
      <c r="D306" s="4"/>
      <c r="E306" s="4"/>
      <c r="F306" s="4"/>
      <c r="G306" s="4"/>
      <c r="H306" s="4"/>
      <c r="I306" s="4"/>
      <c r="J306" s="4" t="str">
        <f t="shared" si="2"/>
        <v/>
      </c>
      <c r="K306" s="4"/>
      <c r="L306" s="4"/>
    </row>
    <row r="307">
      <c r="A307" s="4"/>
      <c r="B307" s="15"/>
      <c r="C307" s="7" t="str">
        <f>IFERROR(__xludf.DUMMYFUNCTION("iferror(iferror(INDEX(IMPORTRANGE(""12vtnxaE_Q1s4tyr10kZQx7ZF_xG0lBFae4jQEUtgsMU"",""All!B2:B""),MATCH($B307,IMPORTRANGE(""12vtnxaE_Q1s4tyr10kZQx7ZF_xG0lBFae4jQEUtgsMU"",""All!A2:A""),0)),INDEX(IMPORTRANGE(""13KC70HngS4DDi8y9E5khtSpQEPG6owaQ9z4E-tR5mnY"","&amp;"""Non-Food!B2:B""),MATCH($B307,IMPORTRANGE(""13KC70HngS4DDi8y9E5khtSpQEPG6owaQ9z4E-tR5mnY"",""Non-Food!A2:A""),0))),"""")"),"")</f>
        <v/>
      </c>
      <c r="D307" s="4"/>
      <c r="E307" s="4"/>
      <c r="F307" s="4"/>
      <c r="G307" s="4"/>
      <c r="H307" s="4"/>
      <c r="I307" s="4"/>
      <c r="J307" s="4" t="str">
        <f t="shared" si="2"/>
        <v/>
      </c>
      <c r="K307" s="4"/>
      <c r="L307" s="4"/>
    </row>
    <row r="308">
      <c r="A308" s="4"/>
      <c r="B308" s="15"/>
      <c r="C308" s="7" t="str">
        <f>IFERROR(__xludf.DUMMYFUNCTION("iferror(iferror(INDEX(IMPORTRANGE(""12vtnxaE_Q1s4tyr10kZQx7ZF_xG0lBFae4jQEUtgsMU"",""All!B2:B""),MATCH($B308,IMPORTRANGE(""12vtnxaE_Q1s4tyr10kZQx7ZF_xG0lBFae4jQEUtgsMU"",""All!A2:A""),0)),INDEX(IMPORTRANGE(""13KC70HngS4DDi8y9E5khtSpQEPG6owaQ9z4E-tR5mnY"","&amp;"""Non-Food!B2:B""),MATCH($B308,IMPORTRANGE(""13KC70HngS4DDi8y9E5khtSpQEPG6owaQ9z4E-tR5mnY"",""Non-Food!A2:A""),0))),"""")"),"")</f>
        <v/>
      </c>
      <c r="D308" s="4"/>
      <c r="E308" s="4"/>
      <c r="F308" s="4"/>
      <c r="G308" s="4"/>
      <c r="H308" s="4"/>
      <c r="I308" s="4"/>
      <c r="J308" s="4" t="str">
        <f t="shared" si="2"/>
        <v/>
      </c>
      <c r="K308" s="4"/>
      <c r="L308" s="4"/>
    </row>
    <row r="309">
      <c r="A309" s="4"/>
      <c r="B309" s="15"/>
      <c r="C309" s="7" t="str">
        <f>IFERROR(__xludf.DUMMYFUNCTION("iferror(iferror(INDEX(IMPORTRANGE(""12vtnxaE_Q1s4tyr10kZQx7ZF_xG0lBFae4jQEUtgsMU"",""All!B2:B""),MATCH($B309,IMPORTRANGE(""12vtnxaE_Q1s4tyr10kZQx7ZF_xG0lBFae4jQEUtgsMU"",""All!A2:A""),0)),INDEX(IMPORTRANGE(""13KC70HngS4DDi8y9E5khtSpQEPG6owaQ9z4E-tR5mnY"","&amp;"""Non-Food!B2:B""),MATCH($B309,IMPORTRANGE(""13KC70HngS4DDi8y9E5khtSpQEPG6owaQ9z4E-tR5mnY"",""Non-Food!A2:A""),0))),"""")"),"")</f>
        <v/>
      </c>
      <c r="D309" s="4"/>
      <c r="E309" s="4"/>
      <c r="F309" s="4"/>
      <c r="G309" s="4"/>
      <c r="H309" s="4"/>
      <c r="I309" s="4"/>
      <c r="J309" s="4" t="str">
        <f t="shared" si="2"/>
        <v/>
      </c>
      <c r="K309" s="4"/>
      <c r="L309" s="4"/>
    </row>
    <row r="310">
      <c r="A310" s="4"/>
      <c r="B310" s="15"/>
      <c r="C310" s="7" t="str">
        <f>IFERROR(__xludf.DUMMYFUNCTION("iferror(iferror(INDEX(IMPORTRANGE(""12vtnxaE_Q1s4tyr10kZQx7ZF_xG0lBFae4jQEUtgsMU"",""All!B2:B""),MATCH($B310,IMPORTRANGE(""12vtnxaE_Q1s4tyr10kZQx7ZF_xG0lBFae4jQEUtgsMU"",""All!A2:A""),0)),INDEX(IMPORTRANGE(""13KC70HngS4DDi8y9E5khtSpQEPG6owaQ9z4E-tR5mnY"","&amp;"""Non-Food!B2:B""),MATCH($B310,IMPORTRANGE(""13KC70HngS4DDi8y9E5khtSpQEPG6owaQ9z4E-tR5mnY"",""Non-Food!A2:A""),0))),"""")"),"")</f>
        <v/>
      </c>
      <c r="D310" s="4"/>
      <c r="E310" s="4"/>
      <c r="F310" s="4"/>
      <c r="G310" s="4"/>
      <c r="H310" s="4"/>
      <c r="I310" s="4"/>
      <c r="J310" s="4" t="str">
        <f t="shared" si="2"/>
        <v/>
      </c>
      <c r="K310" s="4"/>
      <c r="L310" s="4"/>
    </row>
    <row r="311">
      <c r="A311" s="4"/>
      <c r="B311" s="15"/>
      <c r="C311" s="7" t="str">
        <f>IFERROR(__xludf.DUMMYFUNCTION("iferror(iferror(INDEX(IMPORTRANGE(""12vtnxaE_Q1s4tyr10kZQx7ZF_xG0lBFae4jQEUtgsMU"",""All!B2:B""),MATCH($B311,IMPORTRANGE(""12vtnxaE_Q1s4tyr10kZQx7ZF_xG0lBFae4jQEUtgsMU"",""All!A2:A""),0)),INDEX(IMPORTRANGE(""13KC70HngS4DDi8y9E5khtSpQEPG6owaQ9z4E-tR5mnY"","&amp;"""Non-Food!B2:B""),MATCH($B311,IMPORTRANGE(""13KC70HngS4DDi8y9E5khtSpQEPG6owaQ9z4E-tR5mnY"",""Non-Food!A2:A""),0))),"""")"),"")</f>
        <v/>
      </c>
      <c r="D311" s="4"/>
      <c r="E311" s="4"/>
      <c r="F311" s="4"/>
      <c r="G311" s="4"/>
      <c r="H311" s="4"/>
      <c r="I311" s="4"/>
      <c r="J311" s="4" t="str">
        <f t="shared" si="2"/>
        <v/>
      </c>
      <c r="K311" s="4"/>
      <c r="L311" s="4"/>
    </row>
    <row r="312">
      <c r="A312" s="4"/>
      <c r="B312" s="15"/>
      <c r="C312" s="7" t="str">
        <f>IFERROR(__xludf.DUMMYFUNCTION("iferror(iferror(INDEX(IMPORTRANGE(""12vtnxaE_Q1s4tyr10kZQx7ZF_xG0lBFae4jQEUtgsMU"",""All!B2:B""),MATCH($B312,IMPORTRANGE(""12vtnxaE_Q1s4tyr10kZQx7ZF_xG0lBFae4jQEUtgsMU"",""All!A2:A""),0)),INDEX(IMPORTRANGE(""13KC70HngS4DDi8y9E5khtSpQEPG6owaQ9z4E-tR5mnY"","&amp;"""Non-Food!B2:B""),MATCH($B312,IMPORTRANGE(""13KC70HngS4DDi8y9E5khtSpQEPG6owaQ9z4E-tR5mnY"",""Non-Food!A2:A""),0))),"""")"),"")</f>
        <v/>
      </c>
      <c r="D312" s="4"/>
      <c r="E312" s="4"/>
      <c r="F312" s="4"/>
      <c r="G312" s="4"/>
      <c r="H312" s="4"/>
      <c r="I312" s="4"/>
      <c r="J312" s="4" t="str">
        <f t="shared" si="2"/>
        <v/>
      </c>
      <c r="K312" s="4"/>
      <c r="L312" s="4"/>
    </row>
    <row r="313">
      <c r="A313" s="4"/>
      <c r="B313" s="15"/>
      <c r="C313" s="7" t="str">
        <f>IFERROR(__xludf.DUMMYFUNCTION("iferror(iferror(INDEX(IMPORTRANGE(""12vtnxaE_Q1s4tyr10kZQx7ZF_xG0lBFae4jQEUtgsMU"",""All!B2:B""),MATCH($B313,IMPORTRANGE(""12vtnxaE_Q1s4tyr10kZQx7ZF_xG0lBFae4jQEUtgsMU"",""All!A2:A""),0)),INDEX(IMPORTRANGE(""13KC70HngS4DDi8y9E5khtSpQEPG6owaQ9z4E-tR5mnY"","&amp;"""Non-Food!B2:B""),MATCH($B313,IMPORTRANGE(""13KC70HngS4DDi8y9E5khtSpQEPG6owaQ9z4E-tR5mnY"",""Non-Food!A2:A""),0))),"""")"),"")</f>
        <v/>
      </c>
      <c r="D313" s="4"/>
      <c r="E313" s="4"/>
      <c r="F313" s="4"/>
      <c r="G313" s="4"/>
      <c r="H313" s="4"/>
      <c r="I313" s="4"/>
      <c r="J313" s="4" t="str">
        <f t="shared" si="2"/>
        <v/>
      </c>
      <c r="K313" s="4"/>
      <c r="L313" s="4"/>
    </row>
    <row r="314">
      <c r="A314" s="4"/>
      <c r="B314" s="15"/>
      <c r="C314" s="7" t="str">
        <f>IFERROR(__xludf.DUMMYFUNCTION("iferror(iferror(INDEX(IMPORTRANGE(""12vtnxaE_Q1s4tyr10kZQx7ZF_xG0lBFae4jQEUtgsMU"",""All!B2:B""),MATCH($B314,IMPORTRANGE(""12vtnxaE_Q1s4tyr10kZQx7ZF_xG0lBFae4jQEUtgsMU"",""All!A2:A""),0)),INDEX(IMPORTRANGE(""13KC70HngS4DDi8y9E5khtSpQEPG6owaQ9z4E-tR5mnY"","&amp;"""Non-Food!B2:B""),MATCH($B314,IMPORTRANGE(""13KC70HngS4DDi8y9E5khtSpQEPG6owaQ9z4E-tR5mnY"",""Non-Food!A2:A""),0))),"""")"),"")</f>
        <v/>
      </c>
      <c r="D314" s="4"/>
      <c r="E314" s="4"/>
      <c r="F314" s="4"/>
      <c r="G314" s="4"/>
      <c r="H314" s="4"/>
      <c r="I314" s="4"/>
      <c r="J314" s="4" t="str">
        <f t="shared" si="2"/>
        <v/>
      </c>
      <c r="K314" s="4"/>
      <c r="L314" s="4"/>
    </row>
    <row r="315">
      <c r="A315" s="4"/>
      <c r="B315" s="15"/>
      <c r="C315" s="7" t="str">
        <f>IFERROR(__xludf.DUMMYFUNCTION("iferror(iferror(INDEX(IMPORTRANGE(""12vtnxaE_Q1s4tyr10kZQx7ZF_xG0lBFae4jQEUtgsMU"",""All!B2:B""),MATCH($B315,IMPORTRANGE(""12vtnxaE_Q1s4tyr10kZQx7ZF_xG0lBFae4jQEUtgsMU"",""All!A2:A""),0)),INDEX(IMPORTRANGE(""13KC70HngS4DDi8y9E5khtSpQEPG6owaQ9z4E-tR5mnY"","&amp;"""Non-Food!B2:B""),MATCH($B315,IMPORTRANGE(""13KC70HngS4DDi8y9E5khtSpQEPG6owaQ9z4E-tR5mnY"",""Non-Food!A2:A""),0))),"""")"),"")</f>
        <v/>
      </c>
      <c r="D315" s="4"/>
      <c r="E315" s="4"/>
      <c r="F315" s="4"/>
      <c r="G315" s="4"/>
      <c r="H315" s="4"/>
      <c r="I315" s="4"/>
      <c r="J315" s="4" t="str">
        <f t="shared" si="2"/>
        <v/>
      </c>
      <c r="K315" s="4"/>
      <c r="L315" s="4"/>
    </row>
    <row r="316">
      <c r="A316" s="4"/>
      <c r="B316" s="15"/>
      <c r="C316" s="7" t="str">
        <f>IFERROR(__xludf.DUMMYFUNCTION("iferror(iferror(INDEX(IMPORTRANGE(""12vtnxaE_Q1s4tyr10kZQx7ZF_xG0lBFae4jQEUtgsMU"",""All!B2:B""),MATCH($B316,IMPORTRANGE(""12vtnxaE_Q1s4tyr10kZQx7ZF_xG0lBFae4jQEUtgsMU"",""All!A2:A""),0)),INDEX(IMPORTRANGE(""13KC70HngS4DDi8y9E5khtSpQEPG6owaQ9z4E-tR5mnY"","&amp;"""Non-Food!B2:B""),MATCH($B316,IMPORTRANGE(""13KC70HngS4DDi8y9E5khtSpQEPG6owaQ9z4E-tR5mnY"",""Non-Food!A2:A""),0))),"""")"),"")</f>
        <v/>
      </c>
      <c r="D316" s="4"/>
      <c r="E316" s="4"/>
      <c r="F316" s="4"/>
      <c r="G316" s="4"/>
      <c r="H316" s="4"/>
      <c r="I316" s="4"/>
      <c r="J316" s="4" t="str">
        <f t="shared" si="2"/>
        <v/>
      </c>
      <c r="K316" s="4"/>
      <c r="L316" s="4"/>
    </row>
    <row r="317">
      <c r="A317" s="4"/>
      <c r="B317" s="15"/>
      <c r="C317" s="7" t="str">
        <f>IFERROR(__xludf.DUMMYFUNCTION("iferror(iferror(INDEX(IMPORTRANGE(""12vtnxaE_Q1s4tyr10kZQx7ZF_xG0lBFae4jQEUtgsMU"",""All!B2:B""),MATCH($B317,IMPORTRANGE(""12vtnxaE_Q1s4tyr10kZQx7ZF_xG0lBFae4jQEUtgsMU"",""All!A2:A""),0)),INDEX(IMPORTRANGE(""13KC70HngS4DDi8y9E5khtSpQEPG6owaQ9z4E-tR5mnY"","&amp;"""Non-Food!B2:B""),MATCH($B317,IMPORTRANGE(""13KC70HngS4DDi8y9E5khtSpQEPG6owaQ9z4E-tR5mnY"",""Non-Food!A2:A""),0))),"""")"),"")</f>
        <v/>
      </c>
      <c r="D317" s="4"/>
      <c r="E317" s="4"/>
      <c r="F317" s="4"/>
      <c r="G317" s="4"/>
      <c r="H317" s="4"/>
      <c r="I317" s="4"/>
      <c r="J317" s="4" t="str">
        <f t="shared" si="2"/>
        <v/>
      </c>
      <c r="K317" s="4"/>
      <c r="L317" s="4"/>
    </row>
    <row r="318">
      <c r="A318" s="4"/>
      <c r="B318" s="15"/>
      <c r="C318" s="7" t="str">
        <f>IFERROR(__xludf.DUMMYFUNCTION("iferror(iferror(INDEX(IMPORTRANGE(""12vtnxaE_Q1s4tyr10kZQx7ZF_xG0lBFae4jQEUtgsMU"",""All!B2:B""),MATCH($B318,IMPORTRANGE(""12vtnxaE_Q1s4tyr10kZQx7ZF_xG0lBFae4jQEUtgsMU"",""All!A2:A""),0)),INDEX(IMPORTRANGE(""13KC70HngS4DDi8y9E5khtSpQEPG6owaQ9z4E-tR5mnY"","&amp;"""Non-Food!B2:B""),MATCH($B318,IMPORTRANGE(""13KC70HngS4DDi8y9E5khtSpQEPG6owaQ9z4E-tR5mnY"",""Non-Food!A2:A""),0))),"""")"),"")</f>
        <v/>
      </c>
      <c r="D318" s="4"/>
      <c r="E318" s="4"/>
      <c r="F318" s="4"/>
      <c r="G318" s="4"/>
      <c r="H318" s="4"/>
      <c r="I318" s="4"/>
      <c r="J318" s="4" t="str">
        <f t="shared" si="2"/>
        <v/>
      </c>
      <c r="K318" s="4"/>
      <c r="L318" s="4"/>
    </row>
    <row r="319">
      <c r="A319" s="4"/>
      <c r="B319" s="15"/>
      <c r="C319" s="7" t="str">
        <f>IFERROR(__xludf.DUMMYFUNCTION("iferror(iferror(INDEX(IMPORTRANGE(""12vtnxaE_Q1s4tyr10kZQx7ZF_xG0lBFae4jQEUtgsMU"",""All!B2:B""),MATCH($B319,IMPORTRANGE(""12vtnxaE_Q1s4tyr10kZQx7ZF_xG0lBFae4jQEUtgsMU"",""All!A2:A""),0)),INDEX(IMPORTRANGE(""13KC70HngS4DDi8y9E5khtSpQEPG6owaQ9z4E-tR5mnY"","&amp;"""Non-Food!B2:B""),MATCH($B319,IMPORTRANGE(""13KC70HngS4DDi8y9E5khtSpQEPG6owaQ9z4E-tR5mnY"",""Non-Food!A2:A""),0))),"""")"),"")</f>
        <v/>
      </c>
      <c r="D319" s="4"/>
      <c r="E319" s="4"/>
      <c r="F319" s="4"/>
      <c r="G319" s="4"/>
      <c r="H319" s="4"/>
      <c r="I319" s="4"/>
      <c r="J319" s="4" t="str">
        <f t="shared" si="2"/>
        <v/>
      </c>
      <c r="K319" s="4"/>
      <c r="L319" s="4"/>
    </row>
    <row r="320">
      <c r="A320" s="4"/>
      <c r="B320" s="15"/>
      <c r="C320" s="7" t="str">
        <f>IFERROR(__xludf.DUMMYFUNCTION("iferror(iferror(INDEX(IMPORTRANGE(""12vtnxaE_Q1s4tyr10kZQx7ZF_xG0lBFae4jQEUtgsMU"",""All!B2:B""),MATCH($B320,IMPORTRANGE(""12vtnxaE_Q1s4tyr10kZQx7ZF_xG0lBFae4jQEUtgsMU"",""All!A2:A""),0)),INDEX(IMPORTRANGE(""13KC70HngS4DDi8y9E5khtSpQEPG6owaQ9z4E-tR5mnY"","&amp;"""Non-Food!B2:B""),MATCH($B320,IMPORTRANGE(""13KC70HngS4DDi8y9E5khtSpQEPG6owaQ9z4E-tR5mnY"",""Non-Food!A2:A""),0))),"""")"),"")</f>
        <v/>
      </c>
      <c r="D320" s="4"/>
      <c r="E320" s="4"/>
      <c r="F320" s="4"/>
      <c r="G320" s="4"/>
      <c r="H320" s="4"/>
      <c r="I320" s="4"/>
      <c r="J320" s="4" t="str">
        <f t="shared" si="2"/>
        <v/>
      </c>
      <c r="K320" s="4"/>
      <c r="L320" s="4"/>
    </row>
    <row r="321">
      <c r="A321" s="4"/>
      <c r="B321" s="15"/>
      <c r="C321" s="7" t="str">
        <f>IFERROR(__xludf.DUMMYFUNCTION("iferror(iferror(INDEX(IMPORTRANGE(""12vtnxaE_Q1s4tyr10kZQx7ZF_xG0lBFae4jQEUtgsMU"",""All!B2:B""),MATCH($B321,IMPORTRANGE(""12vtnxaE_Q1s4tyr10kZQx7ZF_xG0lBFae4jQEUtgsMU"",""All!A2:A""),0)),INDEX(IMPORTRANGE(""13KC70HngS4DDi8y9E5khtSpQEPG6owaQ9z4E-tR5mnY"","&amp;"""Non-Food!B2:B""),MATCH($B321,IMPORTRANGE(""13KC70HngS4DDi8y9E5khtSpQEPG6owaQ9z4E-tR5mnY"",""Non-Food!A2:A""),0))),"""")"),"")</f>
        <v/>
      </c>
      <c r="D321" s="4"/>
      <c r="E321" s="4"/>
      <c r="F321" s="4"/>
      <c r="G321" s="4"/>
      <c r="H321" s="4"/>
      <c r="I321" s="4"/>
      <c r="J321" s="4" t="str">
        <f t="shared" si="2"/>
        <v/>
      </c>
      <c r="K321" s="4"/>
      <c r="L321" s="4"/>
    </row>
    <row r="322">
      <c r="A322" s="4"/>
      <c r="B322" s="15"/>
      <c r="C322" s="7" t="str">
        <f>IFERROR(__xludf.DUMMYFUNCTION("iferror(iferror(INDEX(IMPORTRANGE(""12vtnxaE_Q1s4tyr10kZQx7ZF_xG0lBFae4jQEUtgsMU"",""All!B2:B""),MATCH($B322,IMPORTRANGE(""12vtnxaE_Q1s4tyr10kZQx7ZF_xG0lBFae4jQEUtgsMU"",""All!A2:A""),0)),INDEX(IMPORTRANGE(""13KC70HngS4DDi8y9E5khtSpQEPG6owaQ9z4E-tR5mnY"","&amp;"""Non-Food!B2:B""),MATCH($B322,IMPORTRANGE(""13KC70HngS4DDi8y9E5khtSpQEPG6owaQ9z4E-tR5mnY"",""Non-Food!A2:A""),0))),"""")"),"")</f>
        <v/>
      </c>
      <c r="D322" s="4"/>
      <c r="E322" s="4"/>
      <c r="F322" s="4"/>
      <c r="G322" s="4"/>
      <c r="H322" s="4"/>
      <c r="I322" s="4"/>
      <c r="J322" s="4" t="str">
        <f t="shared" si="2"/>
        <v/>
      </c>
      <c r="K322" s="4"/>
      <c r="L322" s="4"/>
    </row>
    <row r="323">
      <c r="A323" s="4"/>
      <c r="B323" s="15"/>
      <c r="C323" s="7" t="str">
        <f>IFERROR(__xludf.DUMMYFUNCTION("iferror(iferror(INDEX(IMPORTRANGE(""12vtnxaE_Q1s4tyr10kZQx7ZF_xG0lBFae4jQEUtgsMU"",""All!B2:B""),MATCH($B323,IMPORTRANGE(""12vtnxaE_Q1s4tyr10kZQx7ZF_xG0lBFae4jQEUtgsMU"",""All!A2:A""),0)),INDEX(IMPORTRANGE(""13KC70HngS4DDi8y9E5khtSpQEPG6owaQ9z4E-tR5mnY"","&amp;"""Non-Food!B2:B""),MATCH($B323,IMPORTRANGE(""13KC70HngS4DDi8y9E5khtSpQEPG6owaQ9z4E-tR5mnY"",""Non-Food!A2:A""),0))),"""")"),"")</f>
        <v/>
      </c>
      <c r="D323" s="4"/>
      <c r="E323" s="4"/>
      <c r="F323" s="4"/>
      <c r="G323" s="4"/>
      <c r="H323" s="4"/>
      <c r="I323" s="4"/>
      <c r="J323" s="4" t="str">
        <f t="shared" si="2"/>
        <v/>
      </c>
      <c r="K323" s="4"/>
      <c r="L323" s="4"/>
    </row>
    <row r="324">
      <c r="A324" s="4"/>
      <c r="B324" s="15"/>
      <c r="C324" s="7" t="str">
        <f>IFERROR(__xludf.DUMMYFUNCTION("iferror(iferror(INDEX(IMPORTRANGE(""12vtnxaE_Q1s4tyr10kZQx7ZF_xG0lBFae4jQEUtgsMU"",""All!B2:B""),MATCH($B324,IMPORTRANGE(""12vtnxaE_Q1s4tyr10kZQx7ZF_xG0lBFae4jQEUtgsMU"",""All!A2:A""),0)),INDEX(IMPORTRANGE(""13KC70HngS4DDi8y9E5khtSpQEPG6owaQ9z4E-tR5mnY"","&amp;"""Non-Food!B2:B""),MATCH($B324,IMPORTRANGE(""13KC70HngS4DDi8y9E5khtSpQEPG6owaQ9z4E-tR5mnY"",""Non-Food!A2:A""),0))),"""")"),"")</f>
        <v/>
      </c>
      <c r="D324" s="4"/>
      <c r="E324" s="4"/>
      <c r="F324" s="4"/>
      <c r="G324" s="4"/>
      <c r="H324" s="4"/>
      <c r="I324" s="4"/>
      <c r="J324" s="4" t="str">
        <f t="shared" si="2"/>
        <v/>
      </c>
      <c r="K324" s="4"/>
      <c r="L324" s="4"/>
    </row>
    <row r="325">
      <c r="A325" s="4"/>
      <c r="B325" s="15"/>
      <c r="C325" s="7" t="str">
        <f>IFERROR(__xludf.DUMMYFUNCTION("iferror(iferror(INDEX(IMPORTRANGE(""12vtnxaE_Q1s4tyr10kZQx7ZF_xG0lBFae4jQEUtgsMU"",""All!B2:B""),MATCH($B325,IMPORTRANGE(""12vtnxaE_Q1s4tyr10kZQx7ZF_xG0lBFae4jQEUtgsMU"",""All!A2:A""),0)),INDEX(IMPORTRANGE(""13KC70HngS4DDi8y9E5khtSpQEPG6owaQ9z4E-tR5mnY"","&amp;"""Non-Food!B2:B""),MATCH($B325,IMPORTRANGE(""13KC70HngS4DDi8y9E5khtSpQEPG6owaQ9z4E-tR5mnY"",""Non-Food!A2:A""),0))),"""")"),"")</f>
        <v/>
      </c>
      <c r="D325" s="4"/>
      <c r="E325" s="4"/>
      <c r="F325" s="4"/>
      <c r="G325" s="4"/>
      <c r="H325" s="4"/>
      <c r="I325" s="4"/>
      <c r="J325" s="4" t="str">
        <f t="shared" si="2"/>
        <v/>
      </c>
      <c r="K325" s="4"/>
      <c r="L325" s="4"/>
    </row>
    <row r="326">
      <c r="A326" s="4"/>
      <c r="B326" s="15"/>
      <c r="C326" s="7" t="str">
        <f>IFERROR(__xludf.DUMMYFUNCTION("iferror(iferror(INDEX(IMPORTRANGE(""12vtnxaE_Q1s4tyr10kZQx7ZF_xG0lBFae4jQEUtgsMU"",""All!B2:B""),MATCH($B326,IMPORTRANGE(""12vtnxaE_Q1s4tyr10kZQx7ZF_xG0lBFae4jQEUtgsMU"",""All!A2:A""),0)),INDEX(IMPORTRANGE(""13KC70HngS4DDi8y9E5khtSpQEPG6owaQ9z4E-tR5mnY"","&amp;"""Non-Food!B2:B""),MATCH($B326,IMPORTRANGE(""13KC70HngS4DDi8y9E5khtSpQEPG6owaQ9z4E-tR5mnY"",""Non-Food!A2:A""),0))),"""")"),"")</f>
        <v/>
      </c>
      <c r="D326" s="4"/>
      <c r="E326" s="4"/>
      <c r="F326" s="4"/>
      <c r="G326" s="4"/>
      <c r="H326" s="4"/>
      <c r="I326" s="4"/>
      <c r="J326" s="4" t="str">
        <f t="shared" si="2"/>
        <v/>
      </c>
      <c r="K326" s="4"/>
      <c r="L326" s="4"/>
    </row>
    <row r="327">
      <c r="A327" s="4"/>
      <c r="B327" s="15"/>
      <c r="C327" s="7" t="str">
        <f>IFERROR(__xludf.DUMMYFUNCTION("iferror(iferror(INDEX(IMPORTRANGE(""12vtnxaE_Q1s4tyr10kZQx7ZF_xG0lBFae4jQEUtgsMU"",""All!B2:B""),MATCH($B327,IMPORTRANGE(""12vtnxaE_Q1s4tyr10kZQx7ZF_xG0lBFae4jQEUtgsMU"",""All!A2:A""),0)),INDEX(IMPORTRANGE(""13KC70HngS4DDi8y9E5khtSpQEPG6owaQ9z4E-tR5mnY"","&amp;"""Non-Food!B2:B""),MATCH($B327,IMPORTRANGE(""13KC70HngS4DDi8y9E5khtSpQEPG6owaQ9z4E-tR5mnY"",""Non-Food!A2:A""),0))),"""")"),"")</f>
        <v/>
      </c>
      <c r="D327" s="4"/>
      <c r="E327" s="4"/>
      <c r="F327" s="4"/>
      <c r="G327" s="4"/>
      <c r="H327" s="4"/>
      <c r="I327" s="4"/>
      <c r="J327" s="4" t="str">
        <f t="shared" si="2"/>
        <v/>
      </c>
      <c r="K327" s="4"/>
      <c r="L327" s="4"/>
    </row>
    <row r="328">
      <c r="A328" s="4"/>
      <c r="B328" s="15"/>
      <c r="C328" s="7" t="str">
        <f>IFERROR(__xludf.DUMMYFUNCTION("iferror(iferror(INDEX(IMPORTRANGE(""12vtnxaE_Q1s4tyr10kZQx7ZF_xG0lBFae4jQEUtgsMU"",""All!B2:B""),MATCH($B328,IMPORTRANGE(""12vtnxaE_Q1s4tyr10kZQx7ZF_xG0lBFae4jQEUtgsMU"",""All!A2:A""),0)),INDEX(IMPORTRANGE(""13KC70HngS4DDi8y9E5khtSpQEPG6owaQ9z4E-tR5mnY"","&amp;"""Non-Food!B2:B""),MATCH($B328,IMPORTRANGE(""13KC70HngS4DDi8y9E5khtSpQEPG6owaQ9z4E-tR5mnY"",""Non-Food!A2:A""),0))),"""")"),"")</f>
        <v/>
      </c>
      <c r="D328" s="4"/>
      <c r="E328" s="4"/>
      <c r="F328" s="4"/>
      <c r="G328" s="4"/>
      <c r="H328" s="4"/>
      <c r="I328" s="4"/>
      <c r="J328" s="4" t="str">
        <f t="shared" si="2"/>
        <v/>
      </c>
      <c r="K328" s="4"/>
      <c r="L328" s="4"/>
    </row>
    <row r="329">
      <c r="A329" s="4"/>
      <c r="B329" s="15"/>
      <c r="C329" s="7" t="str">
        <f>IFERROR(__xludf.DUMMYFUNCTION("iferror(iferror(INDEX(IMPORTRANGE(""12vtnxaE_Q1s4tyr10kZQx7ZF_xG0lBFae4jQEUtgsMU"",""All!B2:B""),MATCH($B329,IMPORTRANGE(""12vtnxaE_Q1s4tyr10kZQx7ZF_xG0lBFae4jQEUtgsMU"",""All!A2:A""),0)),INDEX(IMPORTRANGE(""13KC70HngS4DDi8y9E5khtSpQEPG6owaQ9z4E-tR5mnY"","&amp;"""Non-Food!B2:B""),MATCH($B329,IMPORTRANGE(""13KC70HngS4DDi8y9E5khtSpQEPG6owaQ9z4E-tR5mnY"",""Non-Food!A2:A""),0))),"""")"),"")</f>
        <v/>
      </c>
      <c r="D329" s="4"/>
      <c r="E329" s="4"/>
      <c r="F329" s="4"/>
      <c r="G329" s="4"/>
      <c r="H329" s="4"/>
      <c r="I329" s="4"/>
      <c r="J329" s="4" t="str">
        <f t="shared" si="2"/>
        <v/>
      </c>
      <c r="K329" s="4"/>
      <c r="L329" s="4"/>
    </row>
    <row r="330">
      <c r="A330" s="4"/>
      <c r="B330" s="15"/>
      <c r="C330" s="7" t="str">
        <f>IFERROR(__xludf.DUMMYFUNCTION("iferror(iferror(INDEX(IMPORTRANGE(""12vtnxaE_Q1s4tyr10kZQx7ZF_xG0lBFae4jQEUtgsMU"",""All!B2:B""),MATCH($B330,IMPORTRANGE(""12vtnxaE_Q1s4tyr10kZQx7ZF_xG0lBFae4jQEUtgsMU"",""All!A2:A""),0)),INDEX(IMPORTRANGE(""13KC70HngS4DDi8y9E5khtSpQEPG6owaQ9z4E-tR5mnY"","&amp;"""Non-Food!B2:B""),MATCH($B330,IMPORTRANGE(""13KC70HngS4DDi8y9E5khtSpQEPG6owaQ9z4E-tR5mnY"",""Non-Food!A2:A""),0))),"""")"),"")</f>
        <v/>
      </c>
      <c r="D330" s="4"/>
      <c r="E330" s="4"/>
      <c r="F330" s="4"/>
      <c r="G330" s="4"/>
      <c r="H330" s="4"/>
      <c r="I330" s="4"/>
      <c r="J330" s="4" t="str">
        <f t="shared" si="2"/>
        <v/>
      </c>
      <c r="K330" s="4"/>
      <c r="L330" s="4"/>
    </row>
    <row r="331">
      <c r="A331" s="4"/>
      <c r="B331" s="15"/>
      <c r="C331" s="7" t="str">
        <f>IFERROR(__xludf.DUMMYFUNCTION("iferror(iferror(INDEX(IMPORTRANGE(""12vtnxaE_Q1s4tyr10kZQx7ZF_xG0lBFae4jQEUtgsMU"",""All!B2:B""),MATCH($B331,IMPORTRANGE(""12vtnxaE_Q1s4tyr10kZQx7ZF_xG0lBFae4jQEUtgsMU"",""All!A2:A""),0)),INDEX(IMPORTRANGE(""13KC70HngS4DDi8y9E5khtSpQEPG6owaQ9z4E-tR5mnY"","&amp;"""Non-Food!B2:B""),MATCH($B331,IMPORTRANGE(""13KC70HngS4DDi8y9E5khtSpQEPG6owaQ9z4E-tR5mnY"",""Non-Food!A2:A""),0))),"""")"),"")</f>
        <v/>
      </c>
      <c r="D331" s="4"/>
      <c r="E331" s="4"/>
      <c r="F331" s="4"/>
      <c r="G331" s="4"/>
      <c r="H331" s="4"/>
      <c r="I331" s="4"/>
      <c r="J331" s="4" t="str">
        <f t="shared" si="2"/>
        <v/>
      </c>
      <c r="K331" s="4"/>
      <c r="L331" s="4"/>
    </row>
    <row r="332">
      <c r="A332" s="4"/>
      <c r="B332" s="15"/>
      <c r="C332" s="7" t="str">
        <f>IFERROR(__xludf.DUMMYFUNCTION("iferror(iferror(INDEX(IMPORTRANGE(""12vtnxaE_Q1s4tyr10kZQx7ZF_xG0lBFae4jQEUtgsMU"",""All!B2:B""),MATCH($B332,IMPORTRANGE(""12vtnxaE_Q1s4tyr10kZQx7ZF_xG0lBFae4jQEUtgsMU"",""All!A2:A""),0)),INDEX(IMPORTRANGE(""13KC70HngS4DDi8y9E5khtSpQEPG6owaQ9z4E-tR5mnY"","&amp;"""Non-Food!B2:B""),MATCH($B332,IMPORTRANGE(""13KC70HngS4DDi8y9E5khtSpQEPG6owaQ9z4E-tR5mnY"",""Non-Food!A2:A""),0))),"""")"),"")</f>
        <v/>
      </c>
      <c r="D332" s="4"/>
      <c r="E332" s="4"/>
      <c r="F332" s="4"/>
      <c r="G332" s="4"/>
      <c r="H332" s="4"/>
      <c r="I332" s="4"/>
      <c r="J332" s="4" t="str">
        <f t="shared" si="2"/>
        <v/>
      </c>
      <c r="K332" s="4"/>
      <c r="L332" s="4"/>
    </row>
    <row r="333">
      <c r="A333" s="4"/>
      <c r="B333" s="15"/>
      <c r="C333" s="7" t="str">
        <f>IFERROR(__xludf.DUMMYFUNCTION("iferror(iferror(INDEX(IMPORTRANGE(""12vtnxaE_Q1s4tyr10kZQx7ZF_xG0lBFae4jQEUtgsMU"",""All!B2:B""),MATCH($B333,IMPORTRANGE(""12vtnxaE_Q1s4tyr10kZQx7ZF_xG0lBFae4jQEUtgsMU"",""All!A2:A""),0)),INDEX(IMPORTRANGE(""13KC70HngS4DDi8y9E5khtSpQEPG6owaQ9z4E-tR5mnY"","&amp;"""Non-Food!B2:B""),MATCH($B333,IMPORTRANGE(""13KC70HngS4DDi8y9E5khtSpQEPG6owaQ9z4E-tR5mnY"",""Non-Food!A2:A""),0))),"""")"),"")</f>
        <v/>
      </c>
      <c r="D333" s="4"/>
      <c r="E333" s="4"/>
      <c r="F333" s="4"/>
      <c r="G333" s="4"/>
      <c r="H333" s="4"/>
      <c r="I333" s="4"/>
      <c r="J333" s="4" t="str">
        <f t="shared" si="2"/>
        <v/>
      </c>
      <c r="K333" s="4"/>
      <c r="L333" s="4"/>
    </row>
    <row r="334">
      <c r="A334" s="4"/>
      <c r="B334" s="15"/>
      <c r="C334" s="7" t="str">
        <f>IFERROR(__xludf.DUMMYFUNCTION("iferror(iferror(INDEX(IMPORTRANGE(""12vtnxaE_Q1s4tyr10kZQx7ZF_xG0lBFae4jQEUtgsMU"",""All!B2:B""),MATCH($B334,IMPORTRANGE(""12vtnxaE_Q1s4tyr10kZQx7ZF_xG0lBFae4jQEUtgsMU"",""All!A2:A""),0)),INDEX(IMPORTRANGE(""13KC70HngS4DDi8y9E5khtSpQEPG6owaQ9z4E-tR5mnY"","&amp;"""Non-Food!B2:B""),MATCH($B334,IMPORTRANGE(""13KC70HngS4DDi8y9E5khtSpQEPG6owaQ9z4E-tR5mnY"",""Non-Food!A2:A""),0))),"""")"),"")</f>
        <v/>
      </c>
      <c r="D334" s="4"/>
      <c r="E334" s="4"/>
      <c r="F334" s="4"/>
      <c r="G334" s="4"/>
      <c r="H334" s="4"/>
      <c r="I334" s="4"/>
      <c r="J334" s="4" t="str">
        <f t="shared" si="2"/>
        <v/>
      </c>
      <c r="K334" s="4"/>
      <c r="L334" s="4"/>
    </row>
    <row r="335">
      <c r="A335" s="4"/>
      <c r="B335" s="15"/>
      <c r="C335" s="7" t="str">
        <f>IFERROR(__xludf.DUMMYFUNCTION("iferror(iferror(INDEX(IMPORTRANGE(""12vtnxaE_Q1s4tyr10kZQx7ZF_xG0lBFae4jQEUtgsMU"",""All!B2:B""),MATCH($B335,IMPORTRANGE(""12vtnxaE_Q1s4tyr10kZQx7ZF_xG0lBFae4jQEUtgsMU"",""All!A2:A""),0)),INDEX(IMPORTRANGE(""13KC70HngS4DDi8y9E5khtSpQEPG6owaQ9z4E-tR5mnY"","&amp;"""Non-Food!B2:B""),MATCH($B335,IMPORTRANGE(""13KC70HngS4DDi8y9E5khtSpQEPG6owaQ9z4E-tR5mnY"",""Non-Food!A2:A""),0))),"""")"),"")</f>
        <v/>
      </c>
      <c r="D335" s="4"/>
      <c r="E335" s="4"/>
      <c r="F335" s="4"/>
      <c r="G335" s="4"/>
      <c r="H335" s="4"/>
      <c r="I335" s="4"/>
      <c r="J335" s="4" t="str">
        <f t="shared" si="2"/>
        <v/>
      </c>
      <c r="K335" s="4"/>
      <c r="L335" s="4"/>
    </row>
    <row r="336">
      <c r="A336" s="4"/>
      <c r="B336" s="15"/>
      <c r="C336" s="7" t="str">
        <f>IFERROR(__xludf.DUMMYFUNCTION("iferror(iferror(INDEX(IMPORTRANGE(""12vtnxaE_Q1s4tyr10kZQx7ZF_xG0lBFae4jQEUtgsMU"",""All!B2:B""),MATCH($B336,IMPORTRANGE(""12vtnxaE_Q1s4tyr10kZQx7ZF_xG0lBFae4jQEUtgsMU"",""All!A2:A""),0)),INDEX(IMPORTRANGE(""13KC70HngS4DDi8y9E5khtSpQEPG6owaQ9z4E-tR5mnY"","&amp;"""Non-Food!B2:B""),MATCH($B336,IMPORTRANGE(""13KC70HngS4DDi8y9E5khtSpQEPG6owaQ9z4E-tR5mnY"",""Non-Food!A2:A""),0))),"""")"),"")</f>
        <v/>
      </c>
      <c r="D336" s="4"/>
      <c r="E336" s="4"/>
      <c r="F336" s="4"/>
      <c r="G336" s="4"/>
      <c r="H336" s="4"/>
      <c r="I336" s="4"/>
      <c r="J336" s="4" t="str">
        <f t="shared" si="2"/>
        <v/>
      </c>
      <c r="K336" s="4"/>
      <c r="L336" s="4"/>
    </row>
    <row r="337">
      <c r="A337" s="4"/>
      <c r="B337" s="15"/>
      <c r="C337" s="7" t="str">
        <f>IFERROR(__xludf.DUMMYFUNCTION("iferror(iferror(INDEX(IMPORTRANGE(""12vtnxaE_Q1s4tyr10kZQx7ZF_xG0lBFae4jQEUtgsMU"",""All!B2:B""),MATCH($B337,IMPORTRANGE(""12vtnxaE_Q1s4tyr10kZQx7ZF_xG0lBFae4jQEUtgsMU"",""All!A2:A""),0)),INDEX(IMPORTRANGE(""13KC70HngS4DDi8y9E5khtSpQEPG6owaQ9z4E-tR5mnY"","&amp;"""Non-Food!B2:B""),MATCH($B337,IMPORTRANGE(""13KC70HngS4DDi8y9E5khtSpQEPG6owaQ9z4E-tR5mnY"",""Non-Food!A2:A""),0))),"""")"),"")</f>
        <v/>
      </c>
      <c r="D337" s="4"/>
      <c r="E337" s="4"/>
      <c r="F337" s="4"/>
      <c r="G337" s="4"/>
      <c r="H337" s="4"/>
      <c r="I337" s="4"/>
      <c r="J337" s="4" t="str">
        <f t="shared" si="2"/>
        <v/>
      </c>
      <c r="K337" s="4"/>
      <c r="L337" s="4"/>
    </row>
    <row r="338">
      <c r="A338" s="4"/>
      <c r="B338" s="15"/>
      <c r="C338" s="7" t="str">
        <f>IFERROR(__xludf.DUMMYFUNCTION("iferror(iferror(INDEX(IMPORTRANGE(""12vtnxaE_Q1s4tyr10kZQx7ZF_xG0lBFae4jQEUtgsMU"",""All!B2:B""),MATCH($B338,IMPORTRANGE(""12vtnxaE_Q1s4tyr10kZQx7ZF_xG0lBFae4jQEUtgsMU"",""All!A2:A""),0)),INDEX(IMPORTRANGE(""13KC70HngS4DDi8y9E5khtSpQEPG6owaQ9z4E-tR5mnY"","&amp;"""Non-Food!B2:B""),MATCH($B338,IMPORTRANGE(""13KC70HngS4DDi8y9E5khtSpQEPG6owaQ9z4E-tR5mnY"",""Non-Food!A2:A""),0))),"""")"),"")</f>
        <v/>
      </c>
      <c r="D338" s="4"/>
      <c r="E338" s="4"/>
      <c r="F338" s="4"/>
      <c r="G338" s="4"/>
      <c r="H338" s="4"/>
      <c r="I338" s="4"/>
      <c r="J338" s="4" t="str">
        <f t="shared" si="2"/>
        <v/>
      </c>
      <c r="K338" s="4"/>
      <c r="L338" s="4"/>
    </row>
    <row r="339">
      <c r="A339" s="4"/>
      <c r="B339" s="15"/>
      <c r="C339" s="7" t="str">
        <f>IFERROR(__xludf.DUMMYFUNCTION("iferror(iferror(INDEX(IMPORTRANGE(""12vtnxaE_Q1s4tyr10kZQx7ZF_xG0lBFae4jQEUtgsMU"",""All!B2:B""),MATCH($B339,IMPORTRANGE(""12vtnxaE_Q1s4tyr10kZQx7ZF_xG0lBFae4jQEUtgsMU"",""All!A2:A""),0)),INDEX(IMPORTRANGE(""13KC70HngS4DDi8y9E5khtSpQEPG6owaQ9z4E-tR5mnY"","&amp;"""Non-Food!B2:B""),MATCH($B339,IMPORTRANGE(""13KC70HngS4DDi8y9E5khtSpQEPG6owaQ9z4E-tR5mnY"",""Non-Food!A2:A""),0))),"""")"),"")</f>
        <v/>
      </c>
      <c r="D339" s="4"/>
      <c r="E339" s="4"/>
      <c r="F339" s="4"/>
      <c r="G339" s="4"/>
      <c r="H339" s="4"/>
      <c r="I339" s="4"/>
      <c r="J339" s="4" t="str">
        <f t="shared" si="2"/>
        <v/>
      </c>
      <c r="K339" s="4"/>
      <c r="L339" s="4"/>
    </row>
    <row r="340">
      <c r="A340" s="4"/>
      <c r="B340" s="15"/>
      <c r="C340" s="7" t="str">
        <f>IFERROR(__xludf.DUMMYFUNCTION("iferror(iferror(INDEX(IMPORTRANGE(""12vtnxaE_Q1s4tyr10kZQx7ZF_xG0lBFae4jQEUtgsMU"",""All!B2:B""),MATCH($B340,IMPORTRANGE(""12vtnxaE_Q1s4tyr10kZQx7ZF_xG0lBFae4jQEUtgsMU"",""All!A2:A""),0)),INDEX(IMPORTRANGE(""13KC70HngS4DDi8y9E5khtSpQEPG6owaQ9z4E-tR5mnY"","&amp;"""Non-Food!B2:B""),MATCH($B340,IMPORTRANGE(""13KC70HngS4DDi8y9E5khtSpQEPG6owaQ9z4E-tR5mnY"",""Non-Food!A2:A""),0))),"""")"),"")</f>
        <v/>
      </c>
      <c r="D340" s="4"/>
      <c r="E340" s="4"/>
      <c r="F340" s="4"/>
      <c r="G340" s="4"/>
      <c r="H340" s="4"/>
      <c r="I340" s="4"/>
      <c r="J340" s="4" t="str">
        <f t="shared" si="2"/>
        <v/>
      </c>
      <c r="K340" s="4"/>
      <c r="L340" s="4"/>
    </row>
    <row r="341">
      <c r="A341" s="4"/>
      <c r="B341" s="15"/>
      <c r="C341" s="7" t="str">
        <f>IFERROR(__xludf.DUMMYFUNCTION("iferror(iferror(INDEX(IMPORTRANGE(""12vtnxaE_Q1s4tyr10kZQx7ZF_xG0lBFae4jQEUtgsMU"",""All!B2:B""),MATCH($B341,IMPORTRANGE(""12vtnxaE_Q1s4tyr10kZQx7ZF_xG0lBFae4jQEUtgsMU"",""All!A2:A""),0)),INDEX(IMPORTRANGE(""13KC70HngS4DDi8y9E5khtSpQEPG6owaQ9z4E-tR5mnY"","&amp;"""Non-Food!B2:B""),MATCH($B341,IMPORTRANGE(""13KC70HngS4DDi8y9E5khtSpQEPG6owaQ9z4E-tR5mnY"",""Non-Food!A2:A""),0))),"""")"),"")</f>
        <v/>
      </c>
      <c r="D341" s="4"/>
      <c r="E341" s="4"/>
      <c r="F341" s="4"/>
      <c r="G341" s="4"/>
      <c r="H341" s="4"/>
      <c r="I341" s="4"/>
      <c r="J341" s="4" t="str">
        <f t="shared" si="2"/>
        <v/>
      </c>
      <c r="K341" s="4"/>
      <c r="L341" s="4"/>
    </row>
    <row r="342">
      <c r="A342" s="4"/>
      <c r="B342" s="15"/>
      <c r="C342" s="7" t="str">
        <f>IFERROR(__xludf.DUMMYFUNCTION("iferror(iferror(INDEX(IMPORTRANGE(""12vtnxaE_Q1s4tyr10kZQx7ZF_xG0lBFae4jQEUtgsMU"",""All!B2:B""),MATCH($B342,IMPORTRANGE(""12vtnxaE_Q1s4tyr10kZQx7ZF_xG0lBFae4jQEUtgsMU"",""All!A2:A""),0)),INDEX(IMPORTRANGE(""13KC70HngS4DDi8y9E5khtSpQEPG6owaQ9z4E-tR5mnY"","&amp;"""Non-Food!B2:B""),MATCH($B342,IMPORTRANGE(""13KC70HngS4DDi8y9E5khtSpQEPG6owaQ9z4E-tR5mnY"",""Non-Food!A2:A""),0))),"""")"),"")</f>
        <v/>
      </c>
      <c r="D342" s="4"/>
      <c r="E342" s="4"/>
      <c r="F342" s="4"/>
      <c r="G342" s="4"/>
      <c r="H342" s="4"/>
      <c r="I342" s="4"/>
      <c r="J342" s="4" t="str">
        <f t="shared" si="2"/>
        <v/>
      </c>
      <c r="K342" s="4"/>
      <c r="L342" s="4"/>
    </row>
    <row r="343">
      <c r="A343" s="4"/>
      <c r="B343" s="15"/>
      <c r="C343" s="7" t="str">
        <f>IFERROR(__xludf.DUMMYFUNCTION("iferror(iferror(INDEX(IMPORTRANGE(""12vtnxaE_Q1s4tyr10kZQx7ZF_xG0lBFae4jQEUtgsMU"",""All!B2:B""),MATCH($B343,IMPORTRANGE(""12vtnxaE_Q1s4tyr10kZQx7ZF_xG0lBFae4jQEUtgsMU"",""All!A2:A""),0)),INDEX(IMPORTRANGE(""13KC70HngS4DDi8y9E5khtSpQEPG6owaQ9z4E-tR5mnY"","&amp;"""Non-Food!B2:B""),MATCH($B343,IMPORTRANGE(""13KC70HngS4DDi8y9E5khtSpQEPG6owaQ9z4E-tR5mnY"",""Non-Food!A2:A""),0))),"""")"),"")</f>
        <v/>
      </c>
      <c r="D343" s="4"/>
      <c r="E343" s="4"/>
      <c r="F343" s="4"/>
      <c r="G343" s="4"/>
      <c r="H343" s="4"/>
      <c r="I343" s="4"/>
      <c r="J343" s="4" t="str">
        <f t="shared" si="2"/>
        <v/>
      </c>
      <c r="K343" s="4"/>
      <c r="L343" s="4"/>
    </row>
    <row r="344">
      <c r="A344" s="4"/>
      <c r="B344" s="15"/>
      <c r="C344" s="7" t="str">
        <f>IFERROR(__xludf.DUMMYFUNCTION("iferror(iferror(INDEX(IMPORTRANGE(""12vtnxaE_Q1s4tyr10kZQx7ZF_xG0lBFae4jQEUtgsMU"",""All!B2:B""),MATCH($B344,IMPORTRANGE(""12vtnxaE_Q1s4tyr10kZQx7ZF_xG0lBFae4jQEUtgsMU"",""All!A2:A""),0)),INDEX(IMPORTRANGE(""13KC70HngS4DDi8y9E5khtSpQEPG6owaQ9z4E-tR5mnY"","&amp;"""Non-Food!B2:B""),MATCH($B344,IMPORTRANGE(""13KC70HngS4DDi8y9E5khtSpQEPG6owaQ9z4E-tR5mnY"",""Non-Food!A2:A""),0))),"""")"),"")</f>
        <v/>
      </c>
      <c r="D344" s="4"/>
      <c r="E344" s="4"/>
      <c r="F344" s="4"/>
      <c r="G344" s="4"/>
      <c r="H344" s="4"/>
      <c r="I344" s="4"/>
      <c r="J344" s="4" t="str">
        <f t="shared" si="2"/>
        <v/>
      </c>
      <c r="K344" s="4"/>
      <c r="L344" s="4"/>
    </row>
    <row r="345">
      <c r="A345" s="4"/>
      <c r="B345" s="15"/>
      <c r="C345" s="7" t="str">
        <f>IFERROR(__xludf.DUMMYFUNCTION("iferror(iferror(INDEX(IMPORTRANGE(""12vtnxaE_Q1s4tyr10kZQx7ZF_xG0lBFae4jQEUtgsMU"",""All!B2:B""),MATCH($B345,IMPORTRANGE(""12vtnxaE_Q1s4tyr10kZQx7ZF_xG0lBFae4jQEUtgsMU"",""All!A2:A""),0)),INDEX(IMPORTRANGE(""13KC70HngS4DDi8y9E5khtSpQEPG6owaQ9z4E-tR5mnY"","&amp;"""Non-Food!B2:B""),MATCH($B345,IMPORTRANGE(""13KC70HngS4DDi8y9E5khtSpQEPG6owaQ9z4E-tR5mnY"",""Non-Food!A2:A""),0))),"""")"),"")</f>
        <v/>
      </c>
      <c r="D345" s="4"/>
      <c r="E345" s="4"/>
      <c r="F345" s="4"/>
      <c r="G345" s="4"/>
      <c r="H345" s="4"/>
      <c r="I345" s="4"/>
      <c r="J345" s="4" t="str">
        <f t="shared" si="2"/>
        <v/>
      </c>
      <c r="K345" s="4"/>
      <c r="L345" s="4"/>
    </row>
    <row r="346">
      <c r="A346" s="4"/>
      <c r="B346" s="15"/>
      <c r="C346" s="7" t="str">
        <f>IFERROR(__xludf.DUMMYFUNCTION("iferror(iferror(INDEX(IMPORTRANGE(""12vtnxaE_Q1s4tyr10kZQx7ZF_xG0lBFae4jQEUtgsMU"",""All!B2:B""),MATCH($B346,IMPORTRANGE(""12vtnxaE_Q1s4tyr10kZQx7ZF_xG0lBFae4jQEUtgsMU"",""All!A2:A""),0)),INDEX(IMPORTRANGE(""13KC70HngS4DDi8y9E5khtSpQEPG6owaQ9z4E-tR5mnY"","&amp;"""Non-Food!B2:B""),MATCH($B346,IMPORTRANGE(""13KC70HngS4DDi8y9E5khtSpQEPG6owaQ9z4E-tR5mnY"",""Non-Food!A2:A""),0))),"""")"),"")</f>
        <v/>
      </c>
      <c r="D346" s="4"/>
      <c r="E346" s="4"/>
      <c r="F346" s="4"/>
      <c r="G346" s="4"/>
      <c r="H346" s="4"/>
      <c r="I346" s="4"/>
      <c r="J346" s="4" t="str">
        <f t="shared" si="2"/>
        <v/>
      </c>
      <c r="K346" s="4"/>
      <c r="L346" s="4"/>
    </row>
    <row r="347">
      <c r="A347" s="4"/>
      <c r="B347" s="15"/>
      <c r="C347" s="7" t="str">
        <f>IFERROR(__xludf.DUMMYFUNCTION("iferror(iferror(INDEX(IMPORTRANGE(""12vtnxaE_Q1s4tyr10kZQx7ZF_xG0lBFae4jQEUtgsMU"",""All!B2:B""),MATCH($B347,IMPORTRANGE(""12vtnxaE_Q1s4tyr10kZQx7ZF_xG0lBFae4jQEUtgsMU"",""All!A2:A""),0)),INDEX(IMPORTRANGE(""13KC70HngS4DDi8y9E5khtSpQEPG6owaQ9z4E-tR5mnY"","&amp;"""Non-Food!B2:B""),MATCH($B347,IMPORTRANGE(""13KC70HngS4DDi8y9E5khtSpQEPG6owaQ9z4E-tR5mnY"",""Non-Food!A2:A""),0))),"""")"),"")</f>
        <v/>
      </c>
      <c r="D347" s="4"/>
      <c r="E347" s="4"/>
      <c r="F347" s="4"/>
      <c r="G347" s="4"/>
      <c r="H347" s="4"/>
      <c r="I347" s="4"/>
      <c r="J347" s="4" t="str">
        <f t="shared" si="2"/>
        <v/>
      </c>
      <c r="K347" s="4"/>
      <c r="L347" s="4"/>
    </row>
    <row r="348">
      <c r="A348" s="4"/>
      <c r="B348" s="15"/>
      <c r="C348" s="7" t="str">
        <f>IFERROR(__xludf.DUMMYFUNCTION("iferror(iferror(INDEX(IMPORTRANGE(""12vtnxaE_Q1s4tyr10kZQx7ZF_xG0lBFae4jQEUtgsMU"",""All!B2:B""),MATCH($B348,IMPORTRANGE(""12vtnxaE_Q1s4tyr10kZQx7ZF_xG0lBFae4jQEUtgsMU"",""All!A2:A""),0)),INDEX(IMPORTRANGE(""13KC70HngS4DDi8y9E5khtSpQEPG6owaQ9z4E-tR5mnY"","&amp;"""Non-Food!B2:B""),MATCH($B348,IMPORTRANGE(""13KC70HngS4DDi8y9E5khtSpQEPG6owaQ9z4E-tR5mnY"",""Non-Food!A2:A""),0))),"""")"),"")</f>
        <v/>
      </c>
      <c r="D348" s="4"/>
      <c r="E348" s="4"/>
      <c r="F348" s="4"/>
      <c r="G348" s="4"/>
      <c r="H348" s="4"/>
      <c r="I348" s="4"/>
      <c r="J348" s="4" t="str">
        <f t="shared" si="2"/>
        <v/>
      </c>
      <c r="K348" s="4"/>
      <c r="L348" s="4"/>
    </row>
    <row r="349">
      <c r="A349" s="4"/>
      <c r="B349" s="15"/>
      <c r="C349" s="7" t="str">
        <f>IFERROR(__xludf.DUMMYFUNCTION("iferror(iferror(INDEX(IMPORTRANGE(""12vtnxaE_Q1s4tyr10kZQx7ZF_xG0lBFae4jQEUtgsMU"",""All!B2:B""),MATCH($B349,IMPORTRANGE(""12vtnxaE_Q1s4tyr10kZQx7ZF_xG0lBFae4jQEUtgsMU"",""All!A2:A""),0)),INDEX(IMPORTRANGE(""13KC70HngS4DDi8y9E5khtSpQEPG6owaQ9z4E-tR5mnY"","&amp;"""Non-Food!B2:B""),MATCH($B349,IMPORTRANGE(""13KC70HngS4DDi8y9E5khtSpQEPG6owaQ9z4E-tR5mnY"",""Non-Food!A2:A""),0))),"""")"),"")</f>
        <v/>
      </c>
      <c r="D349" s="4"/>
      <c r="E349" s="4"/>
      <c r="F349" s="4"/>
      <c r="G349" s="4"/>
      <c r="H349" s="4"/>
      <c r="I349" s="4"/>
      <c r="J349" s="4" t="str">
        <f t="shared" si="2"/>
        <v/>
      </c>
      <c r="K349" s="4"/>
      <c r="L349" s="4"/>
    </row>
    <row r="350">
      <c r="A350" s="4"/>
      <c r="B350" s="15"/>
      <c r="C350" s="7" t="str">
        <f>IFERROR(__xludf.DUMMYFUNCTION("iferror(iferror(INDEX(IMPORTRANGE(""12vtnxaE_Q1s4tyr10kZQx7ZF_xG0lBFae4jQEUtgsMU"",""All!B2:B""),MATCH($B350,IMPORTRANGE(""12vtnxaE_Q1s4tyr10kZQx7ZF_xG0lBFae4jQEUtgsMU"",""All!A2:A""),0)),INDEX(IMPORTRANGE(""13KC70HngS4DDi8y9E5khtSpQEPG6owaQ9z4E-tR5mnY"","&amp;"""Non-Food!B2:B""),MATCH($B350,IMPORTRANGE(""13KC70HngS4DDi8y9E5khtSpQEPG6owaQ9z4E-tR5mnY"",""Non-Food!A2:A""),0))),"""")"),"")</f>
        <v/>
      </c>
      <c r="D350" s="4"/>
      <c r="E350" s="4"/>
      <c r="F350" s="4"/>
      <c r="G350" s="4"/>
      <c r="H350" s="4"/>
      <c r="I350" s="4"/>
      <c r="J350" s="4" t="str">
        <f t="shared" si="2"/>
        <v/>
      </c>
      <c r="K350" s="4"/>
      <c r="L350" s="4"/>
    </row>
    <row r="351">
      <c r="A351" s="4"/>
      <c r="B351" s="15"/>
      <c r="C351" s="7" t="str">
        <f>IFERROR(__xludf.DUMMYFUNCTION("iferror(iferror(INDEX(IMPORTRANGE(""12vtnxaE_Q1s4tyr10kZQx7ZF_xG0lBFae4jQEUtgsMU"",""All!B2:B""),MATCH($B351,IMPORTRANGE(""12vtnxaE_Q1s4tyr10kZQx7ZF_xG0lBFae4jQEUtgsMU"",""All!A2:A""),0)),INDEX(IMPORTRANGE(""13KC70HngS4DDi8y9E5khtSpQEPG6owaQ9z4E-tR5mnY"","&amp;"""Non-Food!B2:B""),MATCH($B351,IMPORTRANGE(""13KC70HngS4DDi8y9E5khtSpQEPG6owaQ9z4E-tR5mnY"",""Non-Food!A2:A""),0))),"""")"),"")</f>
        <v/>
      </c>
      <c r="D351" s="4"/>
      <c r="E351" s="4"/>
      <c r="F351" s="4"/>
      <c r="G351" s="4"/>
      <c r="H351" s="4"/>
      <c r="I351" s="4"/>
      <c r="J351" s="4" t="str">
        <f t="shared" si="2"/>
        <v/>
      </c>
      <c r="K351" s="4"/>
      <c r="L351" s="4"/>
    </row>
    <row r="352">
      <c r="A352" s="4"/>
      <c r="B352" s="15"/>
      <c r="C352" s="7" t="str">
        <f>IFERROR(__xludf.DUMMYFUNCTION("iferror(iferror(INDEX(IMPORTRANGE(""12vtnxaE_Q1s4tyr10kZQx7ZF_xG0lBFae4jQEUtgsMU"",""All!B2:B""),MATCH($B352,IMPORTRANGE(""12vtnxaE_Q1s4tyr10kZQx7ZF_xG0lBFae4jQEUtgsMU"",""All!A2:A""),0)),INDEX(IMPORTRANGE(""13KC70HngS4DDi8y9E5khtSpQEPG6owaQ9z4E-tR5mnY"","&amp;"""Non-Food!B2:B""),MATCH($B352,IMPORTRANGE(""13KC70HngS4DDi8y9E5khtSpQEPG6owaQ9z4E-tR5mnY"",""Non-Food!A2:A""),0))),"""")"),"")</f>
        <v/>
      </c>
      <c r="D352" s="4"/>
      <c r="E352" s="4"/>
      <c r="F352" s="4"/>
      <c r="G352" s="4"/>
      <c r="H352" s="4"/>
      <c r="I352" s="4"/>
      <c r="J352" s="4" t="str">
        <f t="shared" si="2"/>
        <v/>
      </c>
      <c r="K352" s="4"/>
      <c r="L352" s="4"/>
    </row>
    <row r="353">
      <c r="A353" s="4"/>
      <c r="B353" s="15"/>
      <c r="C353" s="7" t="str">
        <f>IFERROR(__xludf.DUMMYFUNCTION("iferror(iferror(INDEX(IMPORTRANGE(""12vtnxaE_Q1s4tyr10kZQx7ZF_xG0lBFae4jQEUtgsMU"",""All!B2:B""),MATCH($B353,IMPORTRANGE(""12vtnxaE_Q1s4tyr10kZQx7ZF_xG0lBFae4jQEUtgsMU"",""All!A2:A""),0)),INDEX(IMPORTRANGE(""13KC70HngS4DDi8y9E5khtSpQEPG6owaQ9z4E-tR5mnY"","&amp;"""Non-Food!B2:B""),MATCH($B353,IMPORTRANGE(""13KC70HngS4DDi8y9E5khtSpQEPG6owaQ9z4E-tR5mnY"",""Non-Food!A2:A""),0))),"""")"),"")</f>
        <v/>
      </c>
      <c r="D353" s="4"/>
      <c r="E353" s="4"/>
      <c r="F353" s="4"/>
      <c r="G353" s="4"/>
      <c r="H353" s="4"/>
      <c r="I353" s="4"/>
      <c r="J353" s="4" t="str">
        <f t="shared" si="2"/>
        <v/>
      </c>
      <c r="K353" s="4"/>
      <c r="L353" s="4"/>
    </row>
    <row r="354">
      <c r="A354" s="4"/>
      <c r="B354" s="15"/>
      <c r="C354" s="7" t="str">
        <f>IFERROR(__xludf.DUMMYFUNCTION("iferror(iferror(INDEX(IMPORTRANGE(""12vtnxaE_Q1s4tyr10kZQx7ZF_xG0lBFae4jQEUtgsMU"",""All!B2:B""),MATCH($B354,IMPORTRANGE(""12vtnxaE_Q1s4tyr10kZQx7ZF_xG0lBFae4jQEUtgsMU"",""All!A2:A""),0)),INDEX(IMPORTRANGE(""13KC70HngS4DDi8y9E5khtSpQEPG6owaQ9z4E-tR5mnY"","&amp;"""Non-Food!B2:B""),MATCH($B354,IMPORTRANGE(""13KC70HngS4DDi8y9E5khtSpQEPG6owaQ9z4E-tR5mnY"",""Non-Food!A2:A""),0))),"""")"),"")</f>
        <v/>
      </c>
      <c r="D354" s="4"/>
      <c r="E354" s="4"/>
      <c r="F354" s="4"/>
      <c r="G354" s="4"/>
      <c r="H354" s="4"/>
      <c r="I354" s="4"/>
      <c r="J354" s="4" t="str">
        <f t="shared" si="2"/>
        <v/>
      </c>
      <c r="K354" s="4"/>
      <c r="L354" s="4"/>
    </row>
    <row r="355">
      <c r="A355" s="4"/>
      <c r="B355" s="15"/>
      <c r="C355" s="7" t="str">
        <f>IFERROR(__xludf.DUMMYFUNCTION("iferror(iferror(INDEX(IMPORTRANGE(""12vtnxaE_Q1s4tyr10kZQx7ZF_xG0lBFae4jQEUtgsMU"",""All!B2:B""),MATCH($B355,IMPORTRANGE(""12vtnxaE_Q1s4tyr10kZQx7ZF_xG0lBFae4jQEUtgsMU"",""All!A2:A""),0)),INDEX(IMPORTRANGE(""13KC70HngS4DDi8y9E5khtSpQEPG6owaQ9z4E-tR5mnY"","&amp;"""Non-Food!B2:B""),MATCH($B355,IMPORTRANGE(""13KC70HngS4DDi8y9E5khtSpQEPG6owaQ9z4E-tR5mnY"",""Non-Food!A2:A""),0))),"""")"),"")</f>
        <v/>
      </c>
      <c r="D355" s="4"/>
      <c r="E355" s="4"/>
      <c r="F355" s="4"/>
      <c r="G355" s="4"/>
      <c r="H355" s="4"/>
      <c r="I355" s="4"/>
      <c r="J355" s="4" t="str">
        <f t="shared" si="2"/>
        <v/>
      </c>
      <c r="K355" s="4"/>
      <c r="L355" s="4"/>
    </row>
    <row r="356">
      <c r="A356" s="4"/>
      <c r="B356" s="15"/>
      <c r="C356" s="7" t="str">
        <f>IFERROR(__xludf.DUMMYFUNCTION("iferror(iferror(INDEX(IMPORTRANGE(""12vtnxaE_Q1s4tyr10kZQx7ZF_xG0lBFae4jQEUtgsMU"",""All!B2:B""),MATCH($B356,IMPORTRANGE(""12vtnxaE_Q1s4tyr10kZQx7ZF_xG0lBFae4jQEUtgsMU"",""All!A2:A""),0)),INDEX(IMPORTRANGE(""13KC70HngS4DDi8y9E5khtSpQEPG6owaQ9z4E-tR5mnY"","&amp;"""Non-Food!B2:B""),MATCH($B356,IMPORTRANGE(""13KC70HngS4DDi8y9E5khtSpQEPG6owaQ9z4E-tR5mnY"",""Non-Food!A2:A""),0))),"""")"),"")</f>
        <v/>
      </c>
      <c r="D356" s="4"/>
      <c r="E356" s="4"/>
      <c r="F356" s="4"/>
      <c r="G356" s="4"/>
      <c r="H356" s="4"/>
      <c r="I356" s="4"/>
      <c r="J356" s="4" t="str">
        <f t="shared" si="2"/>
        <v/>
      </c>
      <c r="K356" s="4"/>
      <c r="L356" s="4"/>
    </row>
    <row r="357">
      <c r="A357" s="4"/>
      <c r="B357" s="15"/>
      <c r="C357" s="7" t="str">
        <f>IFERROR(__xludf.DUMMYFUNCTION("iferror(iferror(INDEX(IMPORTRANGE(""12vtnxaE_Q1s4tyr10kZQx7ZF_xG0lBFae4jQEUtgsMU"",""All!B2:B""),MATCH($B357,IMPORTRANGE(""12vtnxaE_Q1s4tyr10kZQx7ZF_xG0lBFae4jQEUtgsMU"",""All!A2:A""),0)),INDEX(IMPORTRANGE(""13KC70HngS4DDi8y9E5khtSpQEPG6owaQ9z4E-tR5mnY"","&amp;"""Non-Food!B2:B""),MATCH($B357,IMPORTRANGE(""13KC70HngS4DDi8y9E5khtSpQEPG6owaQ9z4E-tR5mnY"",""Non-Food!A2:A""),0))),"""")"),"")</f>
        <v/>
      </c>
      <c r="D357" s="4"/>
      <c r="E357" s="4"/>
      <c r="F357" s="4"/>
      <c r="G357" s="4"/>
      <c r="H357" s="4"/>
      <c r="I357" s="4"/>
      <c r="J357" s="4" t="str">
        <f t="shared" si="2"/>
        <v/>
      </c>
      <c r="K357" s="4"/>
      <c r="L357" s="4"/>
    </row>
    <row r="358">
      <c r="A358" s="4"/>
      <c r="B358" s="15"/>
      <c r="C358" s="7" t="str">
        <f>IFERROR(__xludf.DUMMYFUNCTION("iferror(iferror(INDEX(IMPORTRANGE(""12vtnxaE_Q1s4tyr10kZQx7ZF_xG0lBFae4jQEUtgsMU"",""All!B2:B""),MATCH($B358,IMPORTRANGE(""12vtnxaE_Q1s4tyr10kZQx7ZF_xG0lBFae4jQEUtgsMU"",""All!A2:A""),0)),INDEX(IMPORTRANGE(""13KC70HngS4DDi8y9E5khtSpQEPG6owaQ9z4E-tR5mnY"","&amp;"""Non-Food!B2:B""),MATCH($B358,IMPORTRANGE(""13KC70HngS4DDi8y9E5khtSpQEPG6owaQ9z4E-tR5mnY"",""Non-Food!A2:A""),0))),"""")"),"")</f>
        <v/>
      </c>
      <c r="D358" s="4"/>
      <c r="E358" s="4"/>
      <c r="F358" s="4"/>
      <c r="G358" s="4"/>
      <c r="H358" s="4"/>
      <c r="I358" s="4"/>
      <c r="J358" s="4" t="str">
        <f t="shared" si="2"/>
        <v/>
      </c>
      <c r="K358" s="4"/>
      <c r="L358" s="4"/>
    </row>
    <row r="359">
      <c r="A359" s="4"/>
      <c r="B359" s="15"/>
      <c r="C359" s="7" t="str">
        <f>IFERROR(__xludf.DUMMYFUNCTION("iferror(iferror(INDEX(IMPORTRANGE(""12vtnxaE_Q1s4tyr10kZQx7ZF_xG0lBFae4jQEUtgsMU"",""All!B2:B""),MATCH($B359,IMPORTRANGE(""12vtnxaE_Q1s4tyr10kZQx7ZF_xG0lBFae4jQEUtgsMU"",""All!A2:A""),0)),INDEX(IMPORTRANGE(""13KC70HngS4DDi8y9E5khtSpQEPG6owaQ9z4E-tR5mnY"","&amp;"""Non-Food!B2:B""),MATCH($B359,IMPORTRANGE(""13KC70HngS4DDi8y9E5khtSpQEPG6owaQ9z4E-tR5mnY"",""Non-Food!A2:A""),0))),"""")"),"")</f>
        <v/>
      </c>
      <c r="D359" s="4"/>
      <c r="E359" s="4"/>
      <c r="F359" s="4"/>
      <c r="G359" s="4"/>
      <c r="H359" s="4"/>
      <c r="I359" s="4"/>
      <c r="J359" s="4" t="str">
        <f t="shared" si="2"/>
        <v/>
      </c>
      <c r="K359" s="4"/>
      <c r="L359" s="4"/>
    </row>
    <row r="360">
      <c r="A360" s="4"/>
      <c r="B360" s="15"/>
      <c r="C360" s="7" t="str">
        <f>IFERROR(__xludf.DUMMYFUNCTION("iferror(iferror(INDEX(IMPORTRANGE(""12vtnxaE_Q1s4tyr10kZQx7ZF_xG0lBFae4jQEUtgsMU"",""All!B2:B""),MATCH($B360,IMPORTRANGE(""12vtnxaE_Q1s4tyr10kZQx7ZF_xG0lBFae4jQEUtgsMU"",""All!A2:A""),0)),INDEX(IMPORTRANGE(""13KC70HngS4DDi8y9E5khtSpQEPG6owaQ9z4E-tR5mnY"","&amp;"""Non-Food!B2:B""),MATCH($B360,IMPORTRANGE(""13KC70HngS4DDi8y9E5khtSpQEPG6owaQ9z4E-tR5mnY"",""Non-Food!A2:A""),0))),"""")"),"")</f>
        <v/>
      </c>
      <c r="D360" s="4"/>
      <c r="E360" s="4"/>
      <c r="F360" s="4"/>
      <c r="G360" s="4"/>
      <c r="H360" s="4"/>
      <c r="I360" s="4"/>
      <c r="J360" s="4" t="str">
        <f t="shared" si="2"/>
        <v/>
      </c>
      <c r="K360" s="4"/>
      <c r="L360" s="4"/>
    </row>
    <row r="361">
      <c r="A361" s="4"/>
      <c r="B361" s="15"/>
      <c r="C361" s="7" t="str">
        <f>IFERROR(__xludf.DUMMYFUNCTION("iferror(iferror(INDEX(IMPORTRANGE(""12vtnxaE_Q1s4tyr10kZQx7ZF_xG0lBFae4jQEUtgsMU"",""All!B2:B""),MATCH($B361,IMPORTRANGE(""12vtnxaE_Q1s4tyr10kZQx7ZF_xG0lBFae4jQEUtgsMU"",""All!A2:A""),0)),INDEX(IMPORTRANGE(""13KC70HngS4DDi8y9E5khtSpQEPG6owaQ9z4E-tR5mnY"","&amp;"""Non-Food!B2:B""),MATCH($B361,IMPORTRANGE(""13KC70HngS4DDi8y9E5khtSpQEPG6owaQ9z4E-tR5mnY"",""Non-Food!A2:A""),0))),"""")"),"")</f>
        <v/>
      </c>
      <c r="D361" s="4"/>
      <c r="E361" s="4"/>
      <c r="F361" s="4"/>
      <c r="G361" s="4"/>
      <c r="H361" s="4"/>
      <c r="I361" s="4"/>
      <c r="J361" s="4" t="str">
        <f t="shared" si="2"/>
        <v/>
      </c>
      <c r="K361" s="4"/>
      <c r="L361" s="4"/>
    </row>
    <row r="362">
      <c r="A362" s="4"/>
      <c r="B362" s="15"/>
      <c r="C362" s="7" t="str">
        <f>IFERROR(__xludf.DUMMYFUNCTION("iferror(iferror(INDEX(IMPORTRANGE(""12vtnxaE_Q1s4tyr10kZQx7ZF_xG0lBFae4jQEUtgsMU"",""All!B2:B""),MATCH($B362,IMPORTRANGE(""12vtnxaE_Q1s4tyr10kZQx7ZF_xG0lBFae4jQEUtgsMU"",""All!A2:A""),0)),INDEX(IMPORTRANGE(""13KC70HngS4DDi8y9E5khtSpQEPG6owaQ9z4E-tR5mnY"","&amp;"""Non-Food!B2:B""),MATCH($B362,IMPORTRANGE(""13KC70HngS4DDi8y9E5khtSpQEPG6owaQ9z4E-tR5mnY"",""Non-Food!A2:A""),0))),"""")"),"")</f>
        <v/>
      </c>
      <c r="D362" s="4"/>
      <c r="E362" s="4"/>
      <c r="F362" s="4"/>
      <c r="G362" s="4"/>
      <c r="H362" s="4"/>
      <c r="I362" s="4"/>
      <c r="J362" s="4" t="str">
        <f t="shared" si="2"/>
        <v/>
      </c>
      <c r="K362" s="4"/>
      <c r="L362" s="4"/>
    </row>
    <row r="363">
      <c r="A363" s="4"/>
      <c r="B363" s="15"/>
      <c r="C363" s="7" t="str">
        <f>IFERROR(__xludf.DUMMYFUNCTION("iferror(iferror(INDEX(IMPORTRANGE(""12vtnxaE_Q1s4tyr10kZQx7ZF_xG0lBFae4jQEUtgsMU"",""All!B2:B""),MATCH($B363,IMPORTRANGE(""12vtnxaE_Q1s4tyr10kZQx7ZF_xG0lBFae4jQEUtgsMU"",""All!A2:A""),0)),INDEX(IMPORTRANGE(""13KC70HngS4DDi8y9E5khtSpQEPG6owaQ9z4E-tR5mnY"","&amp;"""Non-Food!B2:B""),MATCH($B363,IMPORTRANGE(""13KC70HngS4DDi8y9E5khtSpQEPG6owaQ9z4E-tR5mnY"",""Non-Food!A2:A""),0))),"""")"),"")</f>
        <v/>
      </c>
      <c r="D363" s="4"/>
      <c r="E363" s="4"/>
      <c r="F363" s="4"/>
      <c r="G363" s="4"/>
      <c r="H363" s="4"/>
      <c r="I363" s="4"/>
      <c r="J363" s="4" t="str">
        <f t="shared" si="2"/>
        <v/>
      </c>
      <c r="K363" s="4"/>
      <c r="L363" s="4"/>
    </row>
    <row r="364">
      <c r="A364" s="4"/>
      <c r="B364" s="15"/>
      <c r="C364" s="7" t="str">
        <f>IFERROR(__xludf.DUMMYFUNCTION("iferror(iferror(INDEX(IMPORTRANGE(""12vtnxaE_Q1s4tyr10kZQx7ZF_xG0lBFae4jQEUtgsMU"",""All!B2:B""),MATCH($B364,IMPORTRANGE(""12vtnxaE_Q1s4tyr10kZQx7ZF_xG0lBFae4jQEUtgsMU"",""All!A2:A""),0)),INDEX(IMPORTRANGE(""13KC70HngS4DDi8y9E5khtSpQEPG6owaQ9z4E-tR5mnY"","&amp;"""Non-Food!B2:B""),MATCH($B364,IMPORTRANGE(""13KC70HngS4DDi8y9E5khtSpQEPG6owaQ9z4E-tR5mnY"",""Non-Food!A2:A""),0))),"""")"),"")</f>
        <v/>
      </c>
      <c r="D364" s="4"/>
      <c r="E364" s="4"/>
      <c r="F364" s="4"/>
      <c r="G364" s="4"/>
      <c r="H364" s="4"/>
      <c r="I364" s="4"/>
      <c r="J364" s="4" t="str">
        <f t="shared" si="2"/>
        <v/>
      </c>
      <c r="K364" s="4"/>
      <c r="L364" s="4"/>
    </row>
    <row r="365">
      <c r="A365" s="4"/>
      <c r="B365" s="15"/>
      <c r="C365" s="7" t="str">
        <f>IFERROR(__xludf.DUMMYFUNCTION("iferror(iferror(INDEX(IMPORTRANGE(""12vtnxaE_Q1s4tyr10kZQx7ZF_xG0lBFae4jQEUtgsMU"",""All!B2:B""),MATCH($B365,IMPORTRANGE(""12vtnxaE_Q1s4tyr10kZQx7ZF_xG0lBFae4jQEUtgsMU"",""All!A2:A""),0)),INDEX(IMPORTRANGE(""13KC70HngS4DDi8y9E5khtSpQEPG6owaQ9z4E-tR5mnY"","&amp;"""Non-Food!B2:B""),MATCH($B365,IMPORTRANGE(""13KC70HngS4DDi8y9E5khtSpQEPG6owaQ9z4E-tR5mnY"",""Non-Food!A2:A""),0))),"""")"),"")</f>
        <v/>
      </c>
      <c r="D365" s="4"/>
      <c r="E365" s="4"/>
      <c r="F365" s="4"/>
      <c r="G365" s="4"/>
      <c r="H365" s="4"/>
      <c r="I365" s="4"/>
      <c r="J365" s="4" t="str">
        <f t="shared" si="2"/>
        <v/>
      </c>
      <c r="K365" s="4"/>
      <c r="L365" s="4"/>
    </row>
    <row r="366">
      <c r="A366" s="4"/>
      <c r="B366" s="15"/>
      <c r="C366" s="7" t="str">
        <f>IFERROR(__xludf.DUMMYFUNCTION("iferror(iferror(INDEX(IMPORTRANGE(""12vtnxaE_Q1s4tyr10kZQx7ZF_xG0lBFae4jQEUtgsMU"",""All!B2:B""),MATCH($B366,IMPORTRANGE(""12vtnxaE_Q1s4tyr10kZQx7ZF_xG0lBFae4jQEUtgsMU"",""All!A2:A""),0)),INDEX(IMPORTRANGE(""13KC70HngS4DDi8y9E5khtSpQEPG6owaQ9z4E-tR5mnY"","&amp;"""Non-Food!B2:B""),MATCH($B366,IMPORTRANGE(""13KC70HngS4DDi8y9E5khtSpQEPG6owaQ9z4E-tR5mnY"",""Non-Food!A2:A""),0))),"""")"),"")</f>
        <v/>
      </c>
      <c r="D366" s="4"/>
      <c r="E366" s="4"/>
      <c r="F366" s="4"/>
      <c r="G366" s="4"/>
      <c r="H366" s="4"/>
      <c r="I366" s="4"/>
      <c r="J366" s="4" t="str">
        <f t="shared" si="2"/>
        <v/>
      </c>
      <c r="K366" s="4"/>
      <c r="L366" s="4"/>
    </row>
    <row r="367">
      <c r="A367" s="4"/>
      <c r="B367" s="15"/>
      <c r="C367" s="7" t="str">
        <f>IFERROR(__xludf.DUMMYFUNCTION("iferror(iferror(INDEX(IMPORTRANGE(""12vtnxaE_Q1s4tyr10kZQx7ZF_xG0lBFae4jQEUtgsMU"",""All!B2:B""),MATCH($B367,IMPORTRANGE(""12vtnxaE_Q1s4tyr10kZQx7ZF_xG0lBFae4jQEUtgsMU"",""All!A2:A""),0)),INDEX(IMPORTRANGE(""13KC70HngS4DDi8y9E5khtSpQEPG6owaQ9z4E-tR5mnY"","&amp;"""Non-Food!B2:B""),MATCH($B367,IMPORTRANGE(""13KC70HngS4DDi8y9E5khtSpQEPG6owaQ9z4E-tR5mnY"",""Non-Food!A2:A""),0))),"""")"),"")</f>
        <v/>
      </c>
      <c r="D367" s="4"/>
      <c r="E367" s="4"/>
      <c r="F367" s="4"/>
      <c r="G367" s="4"/>
      <c r="H367" s="4"/>
      <c r="I367" s="4"/>
      <c r="J367" s="4" t="str">
        <f t="shared" si="2"/>
        <v/>
      </c>
      <c r="K367" s="4"/>
      <c r="L367" s="4"/>
    </row>
    <row r="368">
      <c r="A368" s="4"/>
      <c r="B368" s="15"/>
      <c r="C368" s="7" t="str">
        <f>IFERROR(__xludf.DUMMYFUNCTION("iferror(iferror(INDEX(IMPORTRANGE(""12vtnxaE_Q1s4tyr10kZQx7ZF_xG0lBFae4jQEUtgsMU"",""All!B2:B""),MATCH($B368,IMPORTRANGE(""12vtnxaE_Q1s4tyr10kZQx7ZF_xG0lBFae4jQEUtgsMU"",""All!A2:A""),0)),INDEX(IMPORTRANGE(""13KC70HngS4DDi8y9E5khtSpQEPG6owaQ9z4E-tR5mnY"","&amp;"""Non-Food!B2:B""),MATCH($B368,IMPORTRANGE(""13KC70HngS4DDi8y9E5khtSpQEPG6owaQ9z4E-tR5mnY"",""Non-Food!A2:A""),0))),"""")"),"")</f>
        <v/>
      </c>
      <c r="D368" s="4"/>
      <c r="E368" s="4"/>
      <c r="F368" s="4"/>
      <c r="G368" s="4"/>
      <c r="H368" s="4"/>
      <c r="I368" s="4"/>
      <c r="J368" s="4" t="str">
        <f t="shared" si="2"/>
        <v/>
      </c>
      <c r="K368" s="4"/>
      <c r="L368" s="4"/>
    </row>
    <row r="369">
      <c r="A369" s="4"/>
      <c r="B369" s="15"/>
      <c r="C369" s="7" t="str">
        <f>IFERROR(__xludf.DUMMYFUNCTION("iferror(iferror(INDEX(IMPORTRANGE(""12vtnxaE_Q1s4tyr10kZQx7ZF_xG0lBFae4jQEUtgsMU"",""All!B2:B""),MATCH($B369,IMPORTRANGE(""12vtnxaE_Q1s4tyr10kZQx7ZF_xG0lBFae4jQEUtgsMU"",""All!A2:A""),0)),INDEX(IMPORTRANGE(""13KC70HngS4DDi8y9E5khtSpQEPG6owaQ9z4E-tR5mnY"","&amp;"""Non-Food!B2:B""),MATCH($B369,IMPORTRANGE(""13KC70HngS4DDi8y9E5khtSpQEPG6owaQ9z4E-tR5mnY"",""Non-Food!A2:A""),0))),"""")"),"")</f>
        <v/>
      </c>
      <c r="D369" s="4"/>
      <c r="E369" s="4"/>
      <c r="F369" s="4"/>
      <c r="G369" s="4"/>
      <c r="H369" s="4"/>
      <c r="I369" s="4"/>
      <c r="J369" s="4" t="str">
        <f t="shared" si="2"/>
        <v/>
      </c>
      <c r="K369" s="4"/>
      <c r="L369" s="4"/>
    </row>
    <row r="370">
      <c r="A370" s="4"/>
      <c r="B370" s="15"/>
      <c r="C370" s="7" t="str">
        <f>IFERROR(__xludf.DUMMYFUNCTION("iferror(iferror(INDEX(IMPORTRANGE(""12vtnxaE_Q1s4tyr10kZQx7ZF_xG0lBFae4jQEUtgsMU"",""All!B2:B""),MATCH($B370,IMPORTRANGE(""12vtnxaE_Q1s4tyr10kZQx7ZF_xG0lBFae4jQEUtgsMU"",""All!A2:A""),0)),INDEX(IMPORTRANGE(""13KC70HngS4DDi8y9E5khtSpQEPG6owaQ9z4E-tR5mnY"","&amp;"""Non-Food!B2:B""),MATCH($B370,IMPORTRANGE(""13KC70HngS4DDi8y9E5khtSpQEPG6owaQ9z4E-tR5mnY"",""Non-Food!A2:A""),0))),"""")"),"")</f>
        <v/>
      </c>
      <c r="D370" s="4"/>
      <c r="E370" s="4"/>
      <c r="F370" s="4"/>
      <c r="G370" s="4"/>
      <c r="H370" s="4"/>
      <c r="I370" s="4"/>
      <c r="J370" s="4" t="str">
        <f t="shared" si="2"/>
        <v/>
      </c>
      <c r="K370" s="4"/>
      <c r="L370" s="4"/>
    </row>
    <row r="371">
      <c r="A371" s="4"/>
      <c r="B371" s="15"/>
      <c r="C371" s="7" t="str">
        <f>IFERROR(__xludf.DUMMYFUNCTION("iferror(iferror(INDEX(IMPORTRANGE(""12vtnxaE_Q1s4tyr10kZQx7ZF_xG0lBFae4jQEUtgsMU"",""All!B2:B""),MATCH($B371,IMPORTRANGE(""12vtnxaE_Q1s4tyr10kZQx7ZF_xG0lBFae4jQEUtgsMU"",""All!A2:A""),0)),INDEX(IMPORTRANGE(""13KC70HngS4DDi8y9E5khtSpQEPG6owaQ9z4E-tR5mnY"","&amp;"""Non-Food!B2:B""),MATCH($B371,IMPORTRANGE(""13KC70HngS4DDi8y9E5khtSpQEPG6owaQ9z4E-tR5mnY"",""Non-Food!A2:A""),0))),"""")"),"")</f>
        <v/>
      </c>
      <c r="D371" s="4"/>
      <c r="E371" s="4"/>
      <c r="F371" s="4"/>
      <c r="G371" s="4"/>
      <c r="H371" s="4"/>
      <c r="I371" s="4"/>
      <c r="J371" s="4" t="str">
        <f t="shared" si="2"/>
        <v/>
      </c>
      <c r="K371" s="4"/>
      <c r="L371" s="4"/>
    </row>
    <row r="372">
      <c r="A372" s="4"/>
      <c r="B372" s="15"/>
      <c r="C372" s="7" t="str">
        <f>IFERROR(__xludf.DUMMYFUNCTION("iferror(iferror(INDEX(IMPORTRANGE(""12vtnxaE_Q1s4tyr10kZQx7ZF_xG0lBFae4jQEUtgsMU"",""All!B2:B""),MATCH($B372,IMPORTRANGE(""12vtnxaE_Q1s4tyr10kZQx7ZF_xG0lBFae4jQEUtgsMU"",""All!A2:A""),0)),INDEX(IMPORTRANGE(""13KC70HngS4DDi8y9E5khtSpQEPG6owaQ9z4E-tR5mnY"","&amp;"""Non-Food!B2:B""),MATCH($B372,IMPORTRANGE(""13KC70HngS4DDi8y9E5khtSpQEPG6owaQ9z4E-tR5mnY"",""Non-Food!A2:A""),0))),"""")"),"")</f>
        <v/>
      </c>
      <c r="D372" s="4"/>
      <c r="E372" s="4"/>
      <c r="F372" s="4"/>
      <c r="G372" s="4"/>
      <c r="H372" s="4"/>
      <c r="I372" s="4"/>
      <c r="J372" s="4" t="str">
        <f t="shared" si="2"/>
        <v/>
      </c>
      <c r="K372" s="4"/>
      <c r="L372" s="4"/>
    </row>
    <row r="373">
      <c r="A373" s="4"/>
      <c r="B373" s="15"/>
      <c r="C373" s="7" t="str">
        <f>IFERROR(__xludf.DUMMYFUNCTION("iferror(iferror(INDEX(IMPORTRANGE(""12vtnxaE_Q1s4tyr10kZQx7ZF_xG0lBFae4jQEUtgsMU"",""All!B2:B""),MATCH($B373,IMPORTRANGE(""12vtnxaE_Q1s4tyr10kZQx7ZF_xG0lBFae4jQEUtgsMU"",""All!A2:A""),0)),INDEX(IMPORTRANGE(""13KC70HngS4DDi8y9E5khtSpQEPG6owaQ9z4E-tR5mnY"","&amp;"""Non-Food!B2:B""),MATCH($B373,IMPORTRANGE(""13KC70HngS4DDi8y9E5khtSpQEPG6owaQ9z4E-tR5mnY"",""Non-Food!A2:A""),0))),"""")"),"")</f>
        <v/>
      </c>
      <c r="D373" s="4"/>
      <c r="E373" s="4"/>
      <c r="F373" s="4"/>
      <c r="G373" s="4"/>
      <c r="H373" s="4"/>
      <c r="I373" s="4"/>
      <c r="J373" s="4" t="str">
        <f t="shared" si="2"/>
        <v/>
      </c>
      <c r="K373" s="4"/>
      <c r="L373" s="4"/>
    </row>
    <row r="374">
      <c r="A374" s="4"/>
      <c r="B374" s="15"/>
      <c r="C374" s="7" t="str">
        <f>IFERROR(__xludf.DUMMYFUNCTION("iferror(iferror(INDEX(IMPORTRANGE(""12vtnxaE_Q1s4tyr10kZQx7ZF_xG0lBFae4jQEUtgsMU"",""All!B2:B""),MATCH($B374,IMPORTRANGE(""12vtnxaE_Q1s4tyr10kZQx7ZF_xG0lBFae4jQEUtgsMU"",""All!A2:A""),0)),INDEX(IMPORTRANGE(""13KC70HngS4DDi8y9E5khtSpQEPG6owaQ9z4E-tR5mnY"","&amp;"""Non-Food!B2:B""),MATCH($B374,IMPORTRANGE(""13KC70HngS4DDi8y9E5khtSpQEPG6owaQ9z4E-tR5mnY"",""Non-Food!A2:A""),0))),"""")"),"")</f>
        <v/>
      </c>
      <c r="D374" s="4"/>
      <c r="E374" s="4"/>
      <c r="F374" s="4"/>
      <c r="G374" s="4"/>
      <c r="H374" s="4"/>
      <c r="I374" s="4"/>
      <c r="J374" s="4" t="str">
        <f t="shared" si="2"/>
        <v/>
      </c>
      <c r="K374" s="4"/>
      <c r="L374" s="4"/>
    </row>
    <row r="375">
      <c r="A375" s="4"/>
      <c r="B375" s="15"/>
      <c r="C375" s="7" t="str">
        <f>IFERROR(__xludf.DUMMYFUNCTION("iferror(iferror(INDEX(IMPORTRANGE(""12vtnxaE_Q1s4tyr10kZQx7ZF_xG0lBFae4jQEUtgsMU"",""All!B2:B""),MATCH($B375,IMPORTRANGE(""12vtnxaE_Q1s4tyr10kZQx7ZF_xG0lBFae4jQEUtgsMU"",""All!A2:A""),0)),INDEX(IMPORTRANGE(""13KC70HngS4DDi8y9E5khtSpQEPG6owaQ9z4E-tR5mnY"","&amp;"""Non-Food!B2:B""),MATCH($B375,IMPORTRANGE(""13KC70HngS4DDi8y9E5khtSpQEPG6owaQ9z4E-tR5mnY"",""Non-Food!A2:A""),0))),"""")"),"")</f>
        <v/>
      </c>
      <c r="D375" s="4"/>
      <c r="E375" s="4"/>
      <c r="F375" s="4"/>
      <c r="G375" s="4"/>
      <c r="H375" s="4"/>
      <c r="I375" s="4"/>
      <c r="J375" s="4" t="str">
        <f t="shared" si="2"/>
        <v/>
      </c>
      <c r="K375" s="4"/>
      <c r="L375" s="4"/>
    </row>
    <row r="376">
      <c r="A376" s="4"/>
      <c r="B376" s="15"/>
      <c r="C376" s="7" t="str">
        <f>IFERROR(__xludf.DUMMYFUNCTION("iferror(iferror(INDEX(IMPORTRANGE(""12vtnxaE_Q1s4tyr10kZQx7ZF_xG0lBFae4jQEUtgsMU"",""All!B2:B""),MATCH($B376,IMPORTRANGE(""12vtnxaE_Q1s4tyr10kZQx7ZF_xG0lBFae4jQEUtgsMU"",""All!A2:A""),0)),INDEX(IMPORTRANGE(""13KC70HngS4DDi8y9E5khtSpQEPG6owaQ9z4E-tR5mnY"","&amp;"""Non-Food!B2:B""),MATCH($B376,IMPORTRANGE(""13KC70HngS4DDi8y9E5khtSpQEPG6owaQ9z4E-tR5mnY"",""Non-Food!A2:A""),0))),"""")"),"")</f>
        <v/>
      </c>
      <c r="D376" s="4"/>
      <c r="E376" s="4"/>
      <c r="F376" s="4"/>
      <c r="G376" s="4"/>
      <c r="H376" s="4"/>
      <c r="I376" s="4"/>
      <c r="J376" s="4" t="str">
        <f t="shared" si="2"/>
        <v/>
      </c>
      <c r="K376" s="4"/>
      <c r="L376" s="4"/>
    </row>
    <row r="377">
      <c r="A377" s="4"/>
      <c r="B377" s="15"/>
      <c r="C377" s="7" t="str">
        <f>IFERROR(__xludf.DUMMYFUNCTION("iferror(iferror(INDEX(IMPORTRANGE(""12vtnxaE_Q1s4tyr10kZQx7ZF_xG0lBFae4jQEUtgsMU"",""All!B2:B""),MATCH($B377,IMPORTRANGE(""12vtnxaE_Q1s4tyr10kZQx7ZF_xG0lBFae4jQEUtgsMU"",""All!A2:A""),0)),INDEX(IMPORTRANGE(""13KC70HngS4DDi8y9E5khtSpQEPG6owaQ9z4E-tR5mnY"","&amp;"""Non-Food!B2:B""),MATCH($B377,IMPORTRANGE(""13KC70HngS4DDi8y9E5khtSpQEPG6owaQ9z4E-tR5mnY"",""Non-Food!A2:A""),0))),"""")"),"")</f>
        <v/>
      </c>
      <c r="D377" s="4"/>
      <c r="E377" s="4"/>
      <c r="F377" s="4"/>
      <c r="G377" s="4"/>
      <c r="H377" s="4"/>
      <c r="I377" s="4"/>
      <c r="J377" s="4" t="str">
        <f t="shared" si="2"/>
        <v/>
      </c>
      <c r="K377" s="4"/>
      <c r="L377" s="4"/>
    </row>
    <row r="378">
      <c r="A378" s="4"/>
      <c r="B378" s="15"/>
      <c r="C378" s="7" t="str">
        <f>IFERROR(__xludf.DUMMYFUNCTION("iferror(iferror(INDEX(IMPORTRANGE(""12vtnxaE_Q1s4tyr10kZQx7ZF_xG0lBFae4jQEUtgsMU"",""All!B2:B""),MATCH($B378,IMPORTRANGE(""12vtnxaE_Q1s4tyr10kZQx7ZF_xG0lBFae4jQEUtgsMU"",""All!A2:A""),0)),INDEX(IMPORTRANGE(""13KC70HngS4DDi8y9E5khtSpQEPG6owaQ9z4E-tR5mnY"","&amp;"""Non-Food!B2:B""),MATCH($B378,IMPORTRANGE(""13KC70HngS4DDi8y9E5khtSpQEPG6owaQ9z4E-tR5mnY"",""Non-Food!A2:A""),0))),"""")"),"")</f>
        <v/>
      </c>
      <c r="D378" s="4"/>
      <c r="E378" s="4"/>
      <c r="F378" s="4"/>
      <c r="G378" s="4"/>
      <c r="H378" s="4"/>
      <c r="I378" s="4"/>
      <c r="J378" s="4" t="str">
        <f t="shared" si="2"/>
        <v/>
      </c>
      <c r="K378" s="4"/>
      <c r="L378" s="4"/>
    </row>
    <row r="379">
      <c r="A379" s="4"/>
      <c r="B379" s="15"/>
      <c r="C379" s="7" t="str">
        <f>IFERROR(__xludf.DUMMYFUNCTION("iferror(iferror(INDEX(IMPORTRANGE(""12vtnxaE_Q1s4tyr10kZQx7ZF_xG0lBFae4jQEUtgsMU"",""All!B2:B""),MATCH($B379,IMPORTRANGE(""12vtnxaE_Q1s4tyr10kZQx7ZF_xG0lBFae4jQEUtgsMU"",""All!A2:A""),0)),INDEX(IMPORTRANGE(""13KC70HngS4DDi8y9E5khtSpQEPG6owaQ9z4E-tR5mnY"","&amp;"""Non-Food!B2:B""),MATCH($B379,IMPORTRANGE(""13KC70HngS4DDi8y9E5khtSpQEPG6owaQ9z4E-tR5mnY"",""Non-Food!A2:A""),0))),"""")"),"")</f>
        <v/>
      </c>
      <c r="D379" s="4"/>
      <c r="E379" s="4"/>
      <c r="F379" s="4"/>
      <c r="G379" s="4"/>
      <c r="H379" s="4"/>
      <c r="I379" s="4"/>
      <c r="J379" s="4" t="str">
        <f t="shared" si="2"/>
        <v/>
      </c>
      <c r="K379" s="4"/>
      <c r="L379" s="4"/>
    </row>
    <row r="380">
      <c r="A380" s="4"/>
      <c r="B380" s="15"/>
      <c r="C380" s="7" t="str">
        <f>IFERROR(__xludf.DUMMYFUNCTION("iferror(iferror(INDEX(IMPORTRANGE(""12vtnxaE_Q1s4tyr10kZQx7ZF_xG0lBFae4jQEUtgsMU"",""All!B2:B""),MATCH($B380,IMPORTRANGE(""12vtnxaE_Q1s4tyr10kZQx7ZF_xG0lBFae4jQEUtgsMU"",""All!A2:A""),0)),INDEX(IMPORTRANGE(""13KC70HngS4DDi8y9E5khtSpQEPG6owaQ9z4E-tR5mnY"","&amp;"""Non-Food!B2:B""),MATCH($B380,IMPORTRANGE(""13KC70HngS4DDi8y9E5khtSpQEPG6owaQ9z4E-tR5mnY"",""Non-Food!A2:A""),0))),"""")"),"")</f>
        <v/>
      </c>
      <c r="D380" s="4"/>
      <c r="E380" s="4"/>
      <c r="F380" s="4"/>
      <c r="G380" s="4"/>
      <c r="H380" s="4"/>
      <c r="I380" s="4"/>
      <c r="J380" s="4" t="str">
        <f t="shared" si="2"/>
        <v/>
      </c>
      <c r="K380" s="4"/>
      <c r="L380" s="4"/>
    </row>
    <row r="381">
      <c r="A381" s="4"/>
      <c r="B381" s="15"/>
      <c r="C381" s="7" t="str">
        <f>IFERROR(__xludf.DUMMYFUNCTION("iferror(iferror(INDEX(IMPORTRANGE(""12vtnxaE_Q1s4tyr10kZQx7ZF_xG0lBFae4jQEUtgsMU"",""All!B2:B""),MATCH($B381,IMPORTRANGE(""12vtnxaE_Q1s4tyr10kZQx7ZF_xG0lBFae4jQEUtgsMU"",""All!A2:A""),0)),INDEX(IMPORTRANGE(""13KC70HngS4DDi8y9E5khtSpQEPG6owaQ9z4E-tR5mnY"","&amp;"""Non-Food!B2:B""),MATCH($B381,IMPORTRANGE(""13KC70HngS4DDi8y9E5khtSpQEPG6owaQ9z4E-tR5mnY"",""Non-Food!A2:A""),0))),"""")"),"")</f>
        <v/>
      </c>
      <c r="D381" s="4"/>
      <c r="E381" s="4"/>
      <c r="F381" s="4"/>
      <c r="G381" s="4"/>
      <c r="H381" s="4"/>
      <c r="I381" s="4"/>
      <c r="J381" s="4" t="str">
        <f t="shared" si="2"/>
        <v/>
      </c>
      <c r="K381" s="4"/>
      <c r="L381" s="4"/>
    </row>
    <row r="382">
      <c r="A382" s="4"/>
      <c r="B382" s="15"/>
      <c r="C382" s="7" t="str">
        <f>IFERROR(__xludf.DUMMYFUNCTION("iferror(iferror(INDEX(IMPORTRANGE(""12vtnxaE_Q1s4tyr10kZQx7ZF_xG0lBFae4jQEUtgsMU"",""All!B2:B""),MATCH($B382,IMPORTRANGE(""12vtnxaE_Q1s4tyr10kZQx7ZF_xG0lBFae4jQEUtgsMU"",""All!A2:A""),0)),INDEX(IMPORTRANGE(""13KC70HngS4DDi8y9E5khtSpQEPG6owaQ9z4E-tR5mnY"","&amp;"""Non-Food!B2:B""),MATCH($B382,IMPORTRANGE(""13KC70HngS4DDi8y9E5khtSpQEPG6owaQ9z4E-tR5mnY"",""Non-Food!A2:A""),0))),"""")"),"")</f>
        <v/>
      </c>
      <c r="D382" s="4"/>
      <c r="E382" s="4"/>
      <c r="F382" s="4"/>
      <c r="G382" s="4"/>
      <c r="H382" s="4"/>
      <c r="I382" s="4"/>
      <c r="J382" s="4" t="str">
        <f t="shared" si="2"/>
        <v/>
      </c>
      <c r="K382" s="4"/>
      <c r="L382" s="4"/>
    </row>
    <row r="383">
      <c r="A383" s="4"/>
      <c r="B383" s="15"/>
      <c r="C383" s="7" t="str">
        <f>IFERROR(__xludf.DUMMYFUNCTION("iferror(iferror(INDEX(IMPORTRANGE(""12vtnxaE_Q1s4tyr10kZQx7ZF_xG0lBFae4jQEUtgsMU"",""All!B2:B""),MATCH($B383,IMPORTRANGE(""12vtnxaE_Q1s4tyr10kZQx7ZF_xG0lBFae4jQEUtgsMU"",""All!A2:A""),0)),INDEX(IMPORTRANGE(""13KC70HngS4DDi8y9E5khtSpQEPG6owaQ9z4E-tR5mnY"","&amp;"""Non-Food!B2:B""),MATCH($B383,IMPORTRANGE(""13KC70HngS4DDi8y9E5khtSpQEPG6owaQ9z4E-tR5mnY"",""Non-Food!A2:A""),0))),"""")"),"")</f>
        <v/>
      </c>
      <c r="D383" s="4"/>
      <c r="E383" s="4"/>
      <c r="F383" s="4"/>
      <c r="G383" s="4"/>
      <c r="H383" s="4"/>
      <c r="I383" s="4"/>
      <c r="J383" s="4" t="str">
        <f t="shared" si="2"/>
        <v/>
      </c>
      <c r="K383" s="4"/>
      <c r="L383" s="4"/>
    </row>
    <row r="384">
      <c r="A384" s="4"/>
      <c r="B384" s="15"/>
      <c r="C384" s="7" t="str">
        <f>IFERROR(__xludf.DUMMYFUNCTION("iferror(iferror(INDEX(IMPORTRANGE(""12vtnxaE_Q1s4tyr10kZQx7ZF_xG0lBFae4jQEUtgsMU"",""All!B2:B""),MATCH($B384,IMPORTRANGE(""12vtnxaE_Q1s4tyr10kZQx7ZF_xG0lBFae4jQEUtgsMU"",""All!A2:A""),0)),INDEX(IMPORTRANGE(""13KC70HngS4DDi8y9E5khtSpQEPG6owaQ9z4E-tR5mnY"","&amp;"""Non-Food!B2:B""),MATCH($B384,IMPORTRANGE(""13KC70HngS4DDi8y9E5khtSpQEPG6owaQ9z4E-tR5mnY"",""Non-Food!A2:A""),0))),"""")"),"")</f>
        <v/>
      </c>
      <c r="D384" s="4"/>
      <c r="E384" s="4"/>
      <c r="F384" s="4"/>
      <c r="G384" s="4"/>
      <c r="H384" s="4"/>
      <c r="I384" s="4"/>
      <c r="J384" s="4" t="str">
        <f t="shared" si="2"/>
        <v/>
      </c>
      <c r="K384" s="4"/>
      <c r="L384" s="4"/>
    </row>
    <row r="385">
      <c r="A385" s="4"/>
      <c r="B385" s="15"/>
      <c r="C385" s="7" t="str">
        <f>IFERROR(__xludf.DUMMYFUNCTION("iferror(iferror(INDEX(IMPORTRANGE(""12vtnxaE_Q1s4tyr10kZQx7ZF_xG0lBFae4jQEUtgsMU"",""All!B2:B""),MATCH($B385,IMPORTRANGE(""12vtnxaE_Q1s4tyr10kZQx7ZF_xG0lBFae4jQEUtgsMU"",""All!A2:A""),0)),INDEX(IMPORTRANGE(""13KC70HngS4DDi8y9E5khtSpQEPG6owaQ9z4E-tR5mnY"","&amp;"""Non-Food!B2:B""),MATCH($B385,IMPORTRANGE(""13KC70HngS4DDi8y9E5khtSpQEPG6owaQ9z4E-tR5mnY"",""Non-Food!A2:A""),0))),"""")"),"")</f>
        <v/>
      </c>
      <c r="D385" s="4"/>
      <c r="E385" s="4"/>
      <c r="F385" s="4"/>
      <c r="G385" s="4"/>
      <c r="H385" s="4"/>
      <c r="I385" s="4"/>
      <c r="J385" s="4" t="str">
        <f t="shared" si="2"/>
        <v/>
      </c>
      <c r="K385" s="4"/>
      <c r="L385" s="4"/>
    </row>
    <row r="386">
      <c r="A386" s="4"/>
      <c r="B386" s="15"/>
      <c r="C386" s="7" t="str">
        <f>IFERROR(__xludf.DUMMYFUNCTION("iferror(iferror(INDEX(IMPORTRANGE(""12vtnxaE_Q1s4tyr10kZQx7ZF_xG0lBFae4jQEUtgsMU"",""All!B2:B""),MATCH($B386,IMPORTRANGE(""12vtnxaE_Q1s4tyr10kZQx7ZF_xG0lBFae4jQEUtgsMU"",""All!A2:A""),0)),INDEX(IMPORTRANGE(""13KC70HngS4DDi8y9E5khtSpQEPG6owaQ9z4E-tR5mnY"","&amp;"""Non-Food!B2:B""),MATCH($B386,IMPORTRANGE(""13KC70HngS4DDi8y9E5khtSpQEPG6owaQ9z4E-tR5mnY"",""Non-Food!A2:A""),0))),"""")"),"")</f>
        <v/>
      </c>
      <c r="D386" s="4"/>
      <c r="E386" s="4"/>
      <c r="F386" s="4"/>
      <c r="G386" s="4"/>
      <c r="H386" s="4"/>
      <c r="I386" s="4"/>
      <c r="J386" s="4" t="str">
        <f t="shared" si="2"/>
        <v/>
      </c>
      <c r="K386" s="4"/>
      <c r="L386" s="4"/>
    </row>
    <row r="387">
      <c r="A387" s="4"/>
      <c r="B387" s="15"/>
      <c r="C387" s="7" t="str">
        <f>IFERROR(__xludf.DUMMYFUNCTION("iferror(iferror(INDEX(IMPORTRANGE(""12vtnxaE_Q1s4tyr10kZQx7ZF_xG0lBFae4jQEUtgsMU"",""All!B2:B""),MATCH($B387,IMPORTRANGE(""12vtnxaE_Q1s4tyr10kZQx7ZF_xG0lBFae4jQEUtgsMU"",""All!A2:A""),0)),INDEX(IMPORTRANGE(""13KC70HngS4DDi8y9E5khtSpQEPG6owaQ9z4E-tR5mnY"","&amp;"""Non-Food!B2:B""),MATCH($B387,IMPORTRANGE(""13KC70HngS4DDi8y9E5khtSpQEPG6owaQ9z4E-tR5mnY"",""Non-Food!A2:A""),0))),"""")"),"")</f>
        <v/>
      </c>
      <c r="D387" s="4"/>
      <c r="E387" s="4"/>
      <c r="F387" s="4"/>
      <c r="G387" s="4"/>
      <c r="H387" s="4"/>
      <c r="I387" s="4"/>
      <c r="J387" s="4" t="str">
        <f t="shared" si="2"/>
        <v/>
      </c>
      <c r="K387" s="4"/>
      <c r="L387" s="4"/>
    </row>
    <row r="388">
      <c r="A388" s="4"/>
      <c r="B388" s="15"/>
      <c r="C388" s="7" t="str">
        <f>IFERROR(__xludf.DUMMYFUNCTION("iferror(iferror(INDEX(IMPORTRANGE(""12vtnxaE_Q1s4tyr10kZQx7ZF_xG0lBFae4jQEUtgsMU"",""All!B2:B""),MATCH($B388,IMPORTRANGE(""12vtnxaE_Q1s4tyr10kZQx7ZF_xG0lBFae4jQEUtgsMU"",""All!A2:A""),0)),INDEX(IMPORTRANGE(""13KC70HngS4DDi8y9E5khtSpQEPG6owaQ9z4E-tR5mnY"","&amp;"""Non-Food!B2:B""),MATCH($B388,IMPORTRANGE(""13KC70HngS4DDi8y9E5khtSpQEPG6owaQ9z4E-tR5mnY"",""Non-Food!A2:A""),0))),"""")"),"")</f>
        <v/>
      </c>
      <c r="D388" s="4"/>
      <c r="E388" s="4"/>
      <c r="F388" s="4"/>
      <c r="G388" s="4"/>
      <c r="H388" s="4"/>
      <c r="I388" s="4"/>
      <c r="J388" s="4" t="str">
        <f t="shared" si="2"/>
        <v/>
      </c>
      <c r="K388" s="4"/>
      <c r="L388" s="4"/>
    </row>
    <row r="389">
      <c r="A389" s="4"/>
      <c r="B389" s="15"/>
      <c r="C389" s="7" t="str">
        <f>IFERROR(__xludf.DUMMYFUNCTION("iferror(iferror(INDEX(IMPORTRANGE(""12vtnxaE_Q1s4tyr10kZQx7ZF_xG0lBFae4jQEUtgsMU"",""All!B2:B""),MATCH($B389,IMPORTRANGE(""12vtnxaE_Q1s4tyr10kZQx7ZF_xG0lBFae4jQEUtgsMU"",""All!A2:A""),0)),INDEX(IMPORTRANGE(""13KC70HngS4DDi8y9E5khtSpQEPG6owaQ9z4E-tR5mnY"","&amp;"""Non-Food!B2:B""),MATCH($B389,IMPORTRANGE(""13KC70HngS4DDi8y9E5khtSpQEPG6owaQ9z4E-tR5mnY"",""Non-Food!A2:A""),0))),"""")"),"")</f>
        <v/>
      </c>
      <c r="D389" s="4"/>
      <c r="E389" s="4"/>
      <c r="F389" s="4"/>
      <c r="G389" s="4"/>
      <c r="H389" s="4"/>
      <c r="I389" s="4"/>
      <c r="J389" s="4" t="str">
        <f t="shared" si="2"/>
        <v/>
      </c>
      <c r="K389" s="4"/>
      <c r="L389" s="4"/>
    </row>
    <row r="390">
      <c r="A390" s="4"/>
      <c r="B390" s="15"/>
      <c r="C390" s="7" t="str">
        <f>IFERROR(__xludf.DUMMYFUNCTION("iferror(iferror(INDEX(IMPORTRANGE(""12vtnxaE_Q1s4tyr10kZQx7ZF_xG0lBFae4jQEUtgsMU"",""All!B2:B""),MATCH($B390,IMPORTRANGE(""12vtnxaE_Q1s4tyr10kZQx7ZF_xG0lBFae4jQEUtgsMU"",""All!A2:A""),0)),INDEX(IMPORTRANGE(""13KC70HngS4DDi8y9E5khtSpQEPG6owaQ9z4E-tR5mnY"","&amp;"""Non-Food!B2:B""),MATCH($B390,IMPORTRANGE(""13KC70HngS4DDi8y9E5khtSpQEPG6owaQ9z4E-tR5mnY"",""Non-Food!A2:A""),0))),"""")"),"")</f>
        <v/>
      </c>
      <c r="D390" s="4"/>
      <c r="E390" s="4"/>
      <c r="F390" s="4"/>
      <c r="G390" s="4"/>
      <c r="H390" s="4"/>
      <c r="I390" s="4"/>
      <c r="J390" s="4" t="str">
        <f t="shared" si="2"/>
        <v/>
      </c>
      <c r="K390" s="4"/>
      <c r="L390" s="4"/>
    </row>
    <row r="391">
      <c r="A391" s="4"/>
      <c r="B391" s="15"/>
      <c r="C391" s="7" t="str">
        <f>IFERROR(__xludf.DUMMYFUNCTION("iferror(iferror(INDEX(IMPORTRANGE(""12vtnxaE_Q1s4tyr10kZQx7ZF_xG0lBFae4jQEUtgsMU"",""All!B2:B""),MATCH($B391,IMPORTRANGE(""12vtnxaE_Q1s4tyr10kZQx7ZF_xG0lBFae4jQEUtgsMU"",""All!A2:A""),0)),INDEX(IMPORTRANGE(""13KC70HngS4DDi8y9E5khtSpQEPG6owaQ9z4E-tR5mnY"","&amp;"""Non-Food!B2:B""),MATCH($B391,IMPORTRANGE(""13KC70HngS4DDi8y9E5khtSpQEPG6owaQ9z4E-tR5mnY"",""Non-Food!A2:A""),0))),"""")"),"")</f>
        <v/>
      </c>
      <c r="D391" s="4"/>
      <c r="E391" s="4"/>
      <c r="F391" s="4"/>
      <c r="G391" s="4"/>
      <c r="H391" s="4"/>
      <c r="I391" s="4"/>
      <c r="J391" s="4" t="str">
        <f t="shared" si="2"/>
        <v/>
      </c>
      <c r="K391" s="4"/>
      <c r="L391" s="4"/>
    </row>
    <row r="392">
      <c r="A392" s="4"/>
      <c r="B392" s="15"/>
      <c r="C392" s="7" t="str">
        <f>IFERROR(__xludf.DUMMYFUNCTION("iferror(iferror(INDEX(IMPORTRANGE(""12vtnxaE_Q1s4tyr10kZQx7ZF_xG0lBFae4jQEUtgsMU"",""All!B2:B""),MATCH($B392,IMPORTRANGE(""12vtnxaE_Q1s4tyr10kZQx7ZF_xG0lBFae4jQEUtgsMU"",""All!A2:A""),0)),INDEX(IMPORTRANGE(""13KC70HngS4DDi8y9E5khtSpQEPG6owaQ9z4E-tR5mnY"","&amp;"""Non-Food!B2:B""),MATCH($B392,IMPORTRANGE(""13KC70HngS4DDi8y9E5khtSpQEPG6owaQ9z4E-tR5mnY"",""Non-Food!A2:A""),0))),"""")"),"")</f>
        <v/>
      </c>
      <c r="D392" s="4"/>
      <c r="E392" s="4"/>
      <c r="F392" s="4"/>
      <c r="G392" s="4"/>
      <c r="H392" s="4"/>
      <c r="I392" s="4"/>
      <c r="J392" s="4" t="str">
        <f t="shared" si="2"/>
        <v/>
      </c>
      <c r="K392" s="4"/>
      <c r="L392" s="4"/>
    </row>
    <row r="393">
      <c r="A393" s="4"/>
      <c r="B393" s="15"/>
      <c r="C393" s="7" t="str">
        <f>IFERROR(__xludf.DUMMYFUNCTION("iferror(iferror(INDEX(IMPORTRANGE(""12vtnxaE_Q1s4tyr10kZQx7ZF_xG0lBFae4jQEUtgsMU"",""All!B2:B""),MATCH($B393,IMPORTRANGE(""12vtnxaE_Q1s4tyr10kZQx7ZF_xG0lBFae4jQEUtgsMU"",""All!A2:A""),0)),INDEX(IMPORTRANGE(""13KC70HngS4DDi8y9E5khtSpQEPG6owaQ9z4E-tR5mnY"","&amp;"""Non-Food!B2:B""),MATCH($B393,IMPORTRANGE(""13KC70HngS4DDi8y9E5khtSpQEPG6owaQ9z4E-tR5mnY"",""Non-Food!A2:A""),0))),"""")"),"")</f>
        <v/>
      </c>
      <c r="D393" s="4"/>
      <c r="E393" s="4"/>
      <c r="F393" s="4"/>
      <c r="G393" s="4"/>
      <c r="H393" s="4"/>
      <c r="I393" s="4"/>
      <c r="J393" s="4" t="str">
        <f t="shared" si="2"/>
        <v/>
      </c>
      <c r="K393" s="4"/>
      <c r="L393" s="4"/>
    </row>
    <row r="394">
      <c r="A394" s="4"/>
      <c r="B394" s="15"/>
      <c r="C394" s="7" t="str">
        <f>IFERROR(__xludf.DUMMYFUNCTION("iferror(iferror(INDEX(IMPORTRANGE(""12vtnxaE_Q1s4tyr10kZQx7ZF_xG0lBFae4jQEUtgsMU"",""All!B2:B""),MATCH($B394,IMPORTRANGE(""12vtnxaE_Q1s4tyr10kZQx7ZF_xG0lBFae4jQEUtgsMU"",""All!A2:A""),0)),INDEX(IMPORTRANGE(""13KC70HngS4DDi8y9E5khtSpQEPG6owaQ9z4E-tR5mnY"","&amp;"""Non-Food!B2:B""),MATCH($B394,IMPORTRANGE(""13KC70HngS4DDi8y9E5khtSpQEPG6owaQ9z4E-tR5mnY"",""Non-Food!A2:A""),0))),"""")"),"")</f>
        <v/>
      </c>
      <c r="D394" s="4"/>
      <c r="E394" s="4"/>
      <c r="F394" s="4"/>
      <c r="G394" s="4"/>
      <c r="H394" s="4"/>
      <c r="I394" s="4"/>
      <c r="J394" s="4" t="str">
        <f t="shared" si="2"/>
        <v/>
      </c>
      <c r="K394" s="4"/>
      <c r="L394" s="4"/>
    </row>
    <row r="395">
      <c r="A395" s="4"/>
      <c r="B395" s="15"/>
      <c r="C395" s="7" t="str">
        <f>IFERROR(__xludf.DUMMYFUNCTION("iferror(iferror(INDEX(IMPORTRANGE(""12vtnxaE_Q1s4tyr10kZQx7ZF_xG0lBFae4jQEUtgsMU"",""All!B2:B""),MATCH($B395,IMPORTRANGE(""12vtnxaE_Q1s4tyr10kZQx7ZF_xG0lBFae4jQEUtgsMU"",""All!A2:A""),0)),INDEX(IMPORTRANGE(""13KC70HngS4DDi8y9E5khtSpQEPG6owaQ9z4E-tR5mnY"","&amp;"""Non-Food!B2:B""),MATCH($B395,IMPORTRANGE(""13KC70HngS4DDi8y9E5khtSpQEPG6owaQ9z4E-tR5mnY"",""Non-Food!A2:A""),0))),"""")"),"")</f>
        <v/>
      </c>
      <c r="D395" s="4"/>
      <c r="E395" s="4"/>
      <c r="F395" s="4"/>
      <c r="G395" s="4"/>
      <c r="H395" s="4"/>
      <c r="I395" s="4"/>
      <c r="J395" s="4" t="str">
        <f t="shared" si="2"/>
        <v/>
      </c>
      <c r="K395" s="4"/>
      <c r="L395" s="4"/>
    </row>
    <row r="396">
      <c r="A396" s="4"/>
      <c r="B396" s="15"/>
      <c r="C396" s="7" t="str">
        <f>IFERROR(__xludf.DUMMYFUNCTION("iferror(iferror(INDEX(IMPORTRANGE(""12vtnxaE_Q1s4tyr10kZQx7ZF_xG0lBFae4jQEUtgsMU"",""All!B2:B""),MATCH($B396,IMPORTRANGE(""12vtnxaE_Q1s4tyr10kZQx7ZF_xG0lBFae4jQEUtgsMU"",""All!A2:A""),0)),INDEX(IMPORTRANGE(""13KC70HngS4DDi8y9E5khtSpQEPG6owaQ9z4E-tR5mnY"","&amp;"""Non-Food!B2:B""),MATCH($B396,IMPORTRANGE(""13KC70HngS4DDi8y9E5khtSpQEPG6owaQ9z4E-tR5mnY"",""Non-Food!A2:A""),0))),"""")"),"")</f>
        <v/>
      </c>
      <c r="D396" s="4"/>
      <c r="E396" s="4"/>
      <c r="F396" s="4"/>
      <c r="G396" s="4"/>
      <c r="H396" s="4"/>
      <c r="I396" s="4"/>
      <c r="J396" s="4" t="str">
        <f t="shared" si="2"/>
        <v/>
      </c>
      <c r="K396" s="4"/>
      <c r="L396" s="4"/>
    </row>
    <row r="397">
      <c r="A397" s="4"/>
      <c r="B397" s="15"/>
      <c r="C397" s="7" t="str">
        <f>IFERROR(__xludf.DUMMYFUNCTION("iferror(iferror(INDEX(IMPORTRANGE(""12vtnxaE_Q1s4tyr10kZQx7ZF_xG0lBFae4jQEUtgsMU"",""All!B2:B""),MATCH($B397,IMPORTRANGE(""12vtnxaE_Q1s4tyr10kZQx7ZF_xG0lBFae4jQEUtgsMU"",""All!A2:A""),0)),INDEX(IMPORTRANGE(""13KC70HngS4DDi8y9E5khtSpQEPG6owaQ9z4E-tR5mnY"","&amp;"""Non-Food!B2:B""),MATCH($B397,IMPORTRANGE(""13KC70HngS4DDi8y9E5khtSpQEPG6owaQ9z4E-tR5mnY"",""Non-Food!A2:A""),0))),"""")"),"")</f>
        <v/>
      </c>
      <c r="D397" s="4"/>
      <c r="E397" s="4"/>
      <c r="F397" s="4"/>
      <c r="G397" s="4"/>
      <c r="H397" s="4"/>
      <c r="I397" s="4"/>
      <c r="J397" s="4" t="str">
        <f t="shared" si="2"/>
        <v/>
      </c>
      <c r="K397" s="4"/>
      <c r="L397" s="4"/>
    </row>
    <row r="398">
      <c r="A398" s="4"/>
      <c r="B398" s="15"/>
      <c r="C398" s="7" t="str">
        <f>IFERROR(__xludf.DUMMYFUNCTION("iferror(iferror(INDEX(IMPORTRANGE(""12vtnxaE_Q1s4tyr10kZQx7ZF_xG0lBFae4jQEUtgsMU"",""All!B2:B""),MATCH($B398,IMPORTRANGE(""12vtnxaE_Q1s4tyr10kZQx7ZF_xG0lBFae4jQEUtgsMU"",""All!A2:A""),0)),INDEX(IMPORTRANGE(""13KC70HngS4DDi8y9E5khtSpQEPG6owaQ9z4E-tR5mnY"","&amp;"""Non-Food!B2:B""),MATCH($B398,IMPORTRANGE(""13KC70HngS4DDi8y9E5khtSpQEPG6owaQ9z4E-tR5mnY"",""Non-Food!A2:A""),0))),"""")"),"")</f>
        <v/>
      </c>
      <c r="D398" s="4"/>
      <c r="E398" s="4"/>
      <c r="F398" s="4"/>
      <c r="G398" s="4"/>
      <c r="H398" s="4"/>
      <c r="I398" s="4"/>
      <c r="J398" s="4" t="str">
        <f t="shared" si="2"/>
        <v/>
      </c>
      <c r="K398" s="4"/>
      <c r="L398" s="4"/>
    </row>
    <row r="399">
      <c r="A399" s="4"/>
      <c r="B399" s="15"/>
      <c r="C399" s="7" t="str">
        <f>IFERROR(__xludf.DUMMYFUNCTION("iferror(iferror(INDEX(IMPORTRANGE(""12vtnxaE_Q1s4tyr10kZQx7ZF_xG0lBFae4jQEUtgsMU"",""All!B2:B""),MATCH($B399,IMPORTRANGE(""12vtnxaE_Q1s4tyr10kZQx7ZF_xG0lBFae4jQEUtgsMU"",""All!A2:A""),0)),INDEX(IMPORTRANGE(""13KC70HngS4DDi8y9E5khtSpQEPG6owaQ9z4E-tR5mnY"","&amp;"""Non-Food!B2:B""),MATCH($B399,IMPORTRANGE(""13KC70HngS4DDi8y9E5khtSpQEPG6owaQ9z4E-tR5mnY"",""Non-Food!A2:A""),0))),"""")"),"")</f>
        <v/>
      </c>
      <c r="D399" s="4"/>
      <c r="E399" s="4"/>
      <c r="F399" s="4"/>
      <c r="G399" s="4"/>
      <c r="H399" s="4"/>
      <c r="I399" s="4"/>
      <c r="J399" s="4" t="str">
        <f t="shared" si="2"/>
        <v/>
      </c>
      <c r="K399" s="4"/>
      <c r="L399" s="4"/>
    </row>
    <row r="400">
      <c r="A400" s="4"/>
      <c r="B400" s="15"/>
      <c r="C400" s="7" t="str">
        <f>IFERROR(__xludf.DUMMYFUNCTION("iferror(iferror(INDEX(IMPORTRANGE(""12vtnxaE_Q1s4tyr10kZQx7ZF_xG0lBFae4jQEUtgsMU"",""All!B2:B""),MATCH($B400,IMPORTRANGE(""12vtnxaE_Q1s4tyr10kZQx7ZF_xG0lBFae4jQEUtgsMU"",""All!A2:A""),0)),INDEX(IMPORTRANGE(""13KC70HngS4DDi8y9E5khtSpQEPG6owaQ9z4E-tR5mnY"","&amp;"""Non-Food!B2:B""),MATCH($B400,IMPORTRANGE(""13KC70HngS4DDi8y9E5khtSpQEPG6owaQ9z4E-tR5mnY"",""Non-Food!A2:A""),0))),"""")"),"")</f>
        <v/>
      </c>
      <c r="D400" s="4"/>
      <c r="E400" s="4"/>
      <c r="F400" s="4"/>
      <c r="G400" s="4"/>
      <c r="H400" s="4"/>
      <c r="I400" s="4"/>
      <c r="J400" s="4" t="str">
        <f t="shared" si="2"/>
        <v/>
      </c>
      <c r="K400" s="4"/>
      <c r="L400" s="4"/>
    </row>
    <row r="401">
      <c r="A401" s="4"/>
      <c r="B401" s="15"/>
      <c r="C401" s="7" t="str">
        <f>IFERROR(__xludf.DUMMYFUNCTION("iferror(iferror(INDEX(IMPORTRANGE(""12vtnxaE_Q1s4tyr10kZQx7ZF_xG0lBFae4jQEUtgsMU"",""All!B2:B""),MATCH($B401,IMPORTRANGE(""12vtnxaE_Q1s4tyr10kZQx7ZF_xG0lBFae4jQEUtgsMU"",""All!A2:A""),0)),INDEX(IMPORTRANGE(""13KC70HngS4DDi8y9E5khtSpQEPG6owaQ9z4E-tR5mnY"","&amp;"""Non-Food!B2:B""),MATCH($B401,IMPORTRANGE(""13KC70HngS4DDi8y9E5khtSpQEPG6owaQ9z4E-tR5mnY"",""Non-Food!A2:A""),0))),"""")"),"")</f>
        <v/>
      </c>
      <c r="D401" s="4"/>
      <c r="E401" s="4"/>
      <c r="F401" s="4"/>
      <c r="G401" s="4"/>
      <c r="H401" s="4"/>
      <c r="I401" s="4"/>
      <c r="J401" s="4" t="str">
        <f t="shared" si="2"/>
        <v/>
      </c>
      <c r="K401" s="4"/>
      <c r="L401" s="4"/>
    </row>
    <row r="402">
      <c r="A402" s="4"/>
      <c r="B402" s="15"/>
      <c r="C402" s="7" t="str">
        <f>IFERROR(__xludf.DUMMYFUNCTION("iferror(iferror(INDEX(IMPORTRANGE(""12vtnxaE_Q1s4tyr10kZQx7ZF_xG0lBFae4jQEUtgsMU"",""All!B2:B""),MATCH($B402,IMPORTRANGE(""12vtnxaE_Q1s4tyr10kZQx7ZF_xG0lBFae4jQEUtgsMU"",""All!A2:A""),0)),INDEX(IMPORTRANGE(""13KC70HngS4DDi8y9E5khtSpQEPG6owaQ9z4E-tR5mnY"","&amp;"""Non-Food!B2:B""),MATCH($B402,IMPORTRANGE(""13KC70HngS4DDi8y9E5khtSpQEPG6owaQ9z4E-tR5mnY"",""Non-Food!A2:A""),0))),"""")"),"")</f>
        <v/>
      </c>
      <c r="D402" s="4"/>
      <c r="E402" s="4"/>
      <c r="F402" s="4"/>
      <c r="G402" s="4"/>
      <c r="H402" s="4"/>
      <c r="I402" s="4"/>
      <c r="J402" s="4" t="str">
        <f t="shared" si="2"/>
        <v/>
      </c>
      <c r="K402" s="4"/>
      <c r="L402" s="4"/>
    </row>
    <row r="403">
      <c r="A403" s="4"/>
      <c r="B403" s="15"/>
      <c r="C403" s="7" t="str">
        <f>IFERROR(__xludf.DUMMYFUNCTION("iferror(iferror(INDEX(IMPORTRANGE(""12vtnxaE_Q1s4tyr10kZQx7ZF_xG0lBFae4jQEUtgsMU"",""All!B2:B""),MATCH($B403,IMPORTRANGE(""12vtnxaE_Q1s4tyr10kZQx7ZF_xG0lBFae4jQEUtgsMU"",""All!A2:A""),0)),INDEX(IMPORTRANGE(""13KC70HngS4DDi8y9E5khtSpQEPG6owaQ9z4E-tR5mnY"","&amp;"""Non-Food!B2:B""),MATCH($B403,IMPORTRANGE(""13KC70HngS4DDi8y9E5khtSpQEPG6owaQ9z4E-tR5mnY"",""Non-Food!A2:A""),0))),"""")"),"")</f>
        <v/>
      </c>
      <c r="D403" s="4"/>
      <c r="E403" s="4"/>
      <c r="F403" s="4"/>
      <c r="G403" s="4"/>
      <c r="H403" s="4"/>
      <c r="I403" s="4"/>
      <c r="J403" s="4" t="str">
        <f t="shared" si="2"/>
        <v/>
      </c>
      <c r="K403" s="4"/>
      <c r="L403" s="4"/>
    </row>
    <row r="404">
      <c r="A404" s="4"/>
      <c r="B404" s="15"/>
      <c r="C404" s="7" t="str">
        <f>IFERROR(__xludf.DUMMYFUNCTION("iferror(iferror(INDEX(IMPORTRANGE(""12vtnxaE_Q1s4tyr10kZQx7ZF_xG0lBFae4jQEUtgsMU"",""All!B2:B""),MATCH($B404,IMPORTRANGE(""12vtnxaE_Q1s4tyr10kZQx7ZF_xG0lBFae4jQEUtgsMU"",""All!A2:A""),0)),INDEX(IMPORTRANGE(""13KC70HngS4DDi8y9E5khtSpQEPG6owaQ9z4E-tR5mnY"","&amp;"""Non-Food!B2:B""),MATCH($B404,IMPORTRANGE(""13KC70HngS4DDi8y9E5khtSpQEPG6owaQ9z4E-tR5mnY"",""Non-Food!A2:A""),0))),"""")"),"")</f>
        <v/>
      </c>
      <c r="D404" s="4"/>
      <c r="E404" s="4"/>
      <c r="F404" s="4"/>
      <c r="G404" s="4"/>
      <c r="H404" s="4"/>
      <c r="I404" s="4"/>
      <c r="J404" s="4" t="str">
        <f t="shared" si="2"/>
        <v/>
      </c>
      <c r="K404" s="4"/>
      <c r="L404" s="4"/>
    </row>
    <row r="405">
      <c r="A405" s="4"/>
      <c r="B405" s="15"/>
      <c r="C405" s="7" t="str">
        <f>IFERROR(__xludf.DUMMYFUNCTION("iferror(iferror(INDEX(IMPORTRANGE(""12vtnxaE_Q1s4tyr10kZQx7ZF_xG0lBFae4jQEUtgsMU"",""All!B2:B""),MATCH($B405,IMPORTRANGE(""12vtnxaE_Q1s4tyr10kZQx7ZF_xG0lBFae4jQEUtgsMU"",""All!A2:A""),0)),INDEX(IMPORTRANGE(""13KC70HngS4DDi8y9E5khtSpQEPG6owaQ9z4E-tR5mnY"","&amp;"""Non-Food!B2:B""),MATCH($B405,IMPORTRANGE(""13KC70HngS4DDi8y9E5khtSpQEPG6owaQ9z4E-tR5mnY"",""Non-Food!A2:A""),0))),"""")"),"")</f>
        <v/>
      </c>
      <c r="D405" s="4"/>
      <c r="E405" s="4"/>
      <c r="F405" s="4"/>
      <c r="G405" s="4"/>
      <c r="H405" s="4"/>
      <c r="I405" s="4"/>
      <c r="J405" s="4" t="str">
        <f t="shared" si="2"/>
        <v/>
      </c>
      <c r="K405" s="4"/>
      <c r="L405" s="4"/>
    </row>
    <row r="406">
      <c r="A406" s="4"/>
      <c r="B406" s="15"/>
      <c r="C406" s="7" t="str">
        <f>IFERROR(__xludf.DUMMYFUNCTION("iferror(iferror(INDEX(IMPORTRANGE(""12vtnxaE_Q1s4tyr10kZQx7ZF_xG0lBFae4jQEUtgsMU"",""All!B2:B""),MATCH($B406,IMPORTRANGE(""12vtnxaE_Q1s4tyr10kZQx7ZF_xG0lBFae4jQEUtgsMU"",""All!A2:A""),0)),INDEX(IMPORTRANGE(""13KC70HngS4DDi8y9E5khtSpQEPG6owaQ9z4E-tR5mnY"","&amp;"""Non-Food!B2:B""),MATCH($B406,IMPORTRANGE(""13KC70HngS4DDi8y9E5khtSpQEPG6owaQ9z4E-tR5mnY"",""Non-Food!A2:A""),0))),"""")"),"")</f>
        <v/>
      </c>
      <c r="D406" s="4"/>
      <c r="E406" s="4"/>
      <c r="F406" s="4"/>
      <c r="G406" s="4"/>
      <c r="H406" s="4"/>
      <c r="I406" s="4"/>
      <c r="J406" s="4" t="str">
        <f t="shared" si="2"/>
        <v/>
      </c>
      <c r="K406" s="4"/>
      <c r="L406" s="4"/>
    </row>
    <row r="407">
      <c r="A407" s="4"/>
      <c r="B407" s="15"/>
      <c r="C407" s="7" t="str">
        <f>IFERROR(__xludf.DUMMYFUNCTION("iferror(iferror(INDEX(IMPORTRANGE(""12vtnxaE_Q1s4tyr10kZQx7ZF_xG0lBFae4jQEUtgsMU"",""All!B2:B""),MATCH($B407,IMPORTRANGE(""12vtnxaE_Q1s4tyr10kZQx7ZF_xG0lBFae4jQEUtgsMU"",""All!A2:A""),0)),INDEX(IMPORTRANGE(""13KC70HngS4DDi8y9E5khtSpQEPG6owaQ9z4E-tR5mnY"","&amp;"""Non-Food!B2:B""),MATCH($B407,IMPORTRANGE(""13KC70HngS4DDi8y9E5khtSpQEPG6owaQ9z4E-tR5mnY"",""Non-Food!A2:A""),0))),"""")"),"")</f>
        <v/>
      </c>
      <c r="D407" s="4"/>
      <c r="E407" s="4"/>
      <c r="F407" s="4"/>
      <c r="G407" s="4"/>
      <c r="H407" s="4"/>
      <c r="I407" s="4"/>
      <c r="J407" s="4" t="str">
        <f t="shared" si="2"/>
        <v/>
      </c>
      <c r="K407" s="4"/>
      <c r="L407" s="4"/>
    </row>
    <row r="408">
      <c r="A408" s="4"/>
      <c r="B408" s="15"/>
      <c r="C408" s="7" t="str">
        <f>IFERROR(__xludf.DUMMYFUNCTION("iferror(iferror(INDEX(IMPORTRANGE(""12vtnxaE_Q1s4tyr10kZQx7ZF_xG0lBFae4jQEUtgsMU"",""All!B2:B""),MATCH($B408,IMPORTRANGE(""12vtnxaE_Q1s4tyr10kZQx7ZF_xG0lBFae4jQEUtgsMU"",""All!A2:A""),0)),INDEX(IMPORTRANGE(""13KC70HngS4DDi8y9E5khtSpQEPG6owaQ9z4E-tR5mnY"","&amp;"""Non-Food!B2:B""),MATCH($B408,IMPORTRANGE(""13KC70HngS4DDi8y9E5khtSpQEPG6owaQ9z4E-tR5mnY"",""Non-Food!A2:A""),0))),"""")"),"")</f>
        <v/>
      </c>
      <c r="D408" s="4"/>
      <c r="E408" s="4"/>
      <c r="F408" s="4"/>
      <c r="G408" s="4"/>
      <c r="H408" s="4"/>
      <c r="I408" s="4"/>
      <c r="J408" s="4" t="str">
        <f t="shared" si="2"/>
        <v/>
      </c>
      <c r="K408" s="4"/>
      <c r="L408" s="4"/>
    </row>
    <row r="409">
      <c r="A409" s="4"/>
      <c r="B409" s="15"/>
      <c r="C409" s="7" t="str">
        <f>IFERROR(__xludf.DUMMYFUNCTION("iferror(iferror(INDEX(IMPORTRANGE(""12vtnxaE_Q1s4tyr10kZQx7ZF_xG0lBFae4jQEUtgsMU"",""All!B2:B""),MATCH($B409,IMPORTRANGE(""12vtnxaE_Q1s4tyr10kZQx7ZF_xG0lBFae4jQEUtgsMU"",""All!A2:A""),0)),INDEX(IMPORTRANGE(""13KC70HngS4DDi8y9E5khtSpQEPG6owaQ9z4E-tR5mnY"","&amp;"""Non-Food!B2:B""),MATCH($B409,IMPORTRANGE(""13KC70HngS4DDi8y9E5khtSpQEPG6owaQ9z4E-tR5mnY"",""Non-Food!A2:A""),0))),"""")"),"")</f>
        <v/>
      </c>
      <c r="D409" s="4"/>
      <c r="E409" s="4"/>
      <c r="F409" s="4"/>
      <c r="G409" s="4"/>
      <c r="H409" s="4"/>
      <c r="I409" s="4"/>
      <c r="J409" s="4" t="str">
        <f t="shared" si="2"/>
        <v/>
      </c>
      <c r="K409" s="4"/>
      <c r="L409" s="4"/>
    </row>
    <row r="410">
      <c r="A410" s="4"/>
      <c r="B410" s="15"/>
      <c r="C410" s="7" t="str">
        <f>IFERROR(__xludf.DUMMYFUNCTION("iferror(iferror(INDEX(IMPORTRANGE(""12vtnxaE_Q1s4tyr10kZQx7ZF_xG0lBFae4jQEUtgsMU"",""All!B2:B""),MATCH($B410,IMPORTRANGE(""12vtnxaE_Q1s4tyr10kZQx7ZF_xG0lBFae4jQEUtgsMU"",""All!A2:A""),0)),INDEX(IMPORTRANGE(""13KC70HngS4DDi8y9E5khtSpQEPG6owaQ9z4E-tR5mnY"","&amp;"""Non-Food!B2:B""),MATCH($B410,IMPORTRANGE(""13KC70HngS4DDi8y9E5khtSpQEPG6owaQ9z4E-tR5mnY"",""Non-Food!A2:A""),0))),"""")"),"")</f>
        <v/>
      </c>
      <c r="D410" s="4"/>
      <c r="E410" s="4"/>
      <c r="F410" s="4"/>
      <c r="G410" s="4"/>
      <c r="H410" s="4"/>
      <c r="I410" s="4"/>
      <c r="J410" s="4" t="str">
        <f t="shared" si="2"/>
        <v/>
      </c>
      <c r="K410" s="4"/>
      <c r="L410" s="4"/>
    </row>
    <row r="411">
      <c r="A411" s="4"/>
      <c r="B411" s="15"/>
      <c r="C411" s="7" t="str">
        <f>IFERROR(__xludf.DUMMYFUNCTION("iferror(iferror(INDEX(IMPORTRANGE(""12vtnxaE_Q1s4tyr10kZQx7ZF_xG0lBFae4jQEUtgsMU"",""All!B2:B""),MATCH($B411,IMPORTRANGE(""12vtnxaE_Q1s4tyr10kZQx7ZF_xG0lBFae4jQEUtgsMU"",""All!A2:A""),0)),INDEX(IMPORTRANGE(""13KC70HngS4DDi8y9E5khtSpQEPG6owaQ9z4E-tR5mnY"","&amp;"""Non-Food!B2:B""),MATCH($B411,IMPORTRANGE(""13KC70HngS4DDi8y9E5khtSpQEPG6owaQ9z4E-tR5mnY"",""Non-Food!A2:A""),0))),"""")"),"")</f>
        <v/>
      </c>
      <c r="D411" s="4"/>
      <c r="E411" s="4"/>
      <c r="F411" s="4"/>
      <c r="G411" s="4"/>
      <c r="H411" s="4"/>
      <c r="I411" s="4"/>
      <c r="J411" s="4" t="str">
        <f t="shared" si="2"/>
        <v/>
      </c>
      <c r="K411" s="4"/>
      <c r="L411" s="4"/>
    </row>
    <row r="412">
      <c r="A412" s="4"/>
      <c r="B412" s="15"/>
      <c r="C412" s="7" t="str">
        <f>IFERROR(__xludf.DUMMYFUNCTION("iferror(iferror(INDEX(IMPORTRANGE(""12vtnxaE_Q1s4tyr10kZQx7ZF_xG0lBFae4jQEUtgsMU"",""All!B2:B""),MATCH($B412,IMPORTRANGE(""12vtnxaE_Q1s4tyr10kZQx7ZF_xG0lBFae4jQEUtgsMU"",""All!A2:A""),0)),INDEX(IMPORTRANGE(""13KC70HngS4DDi8y9E5khtSpQEPG6owaQ9z4E-tR5mnY"","&amp;"""Non-Food!B2:B""),MATCH($B412,IMPORTRANGE(""13KC70HngS4DDi8y9E5khtSpQEPG6owaQ9z4E-tR5mnY"",""Non-Food!A2:A""),0))),"""")"),"")</f>
        <v/>
      </c>
      <c r="D412" s="4"/>
      <c r="E412" s="4"/>
      <c r="F412" s="4"/>
      <c r="G412" s="4"/>
      <c r="H412" s="4"/>
      <c r="I412" s="4"/>
      <c r="J412" s="4" t="str">
        <f t="shared" si="2"/>
        <v/>
      </c>
      <c r="K412" s="4"/>
      <c r="L412" s="4"/>
    </row>
    <row r="413">
      <c r="A413" s="4"/>
      <c r="B413" s="15"/>
      <c r="C413" s="7" t="str">
        <f>IFERROR(__xludf.DUMMYFUNCTION("iferror(iferror(INDEX(IMPORTRANGE(""12vtnxaE_Q1s4tyr10kZQx7ZF_xG0lBFae4jQEUtgsMU"",""All!B2:B""),MATCH($B413,IMPORTRANGE(""12vtnxaE_Q1s4tyr10kZQx7ZF_xG0lBFae4jQEUtgsMU"",""All!A2:A""),0)),INDEX(IMPORTRANGE(""13KC70HngS4DDi8y9E5khtSpQEPG6owaQ9z4E-tR5mnY"","&amp;"""Non-Food!B2:B""),MATCH($B413,IMPORTRANGE(""13KC70HngS4DDi8y9E5khtSpQEPG6owaQ9z4E-tR5mnY"",""Non-Food!A2:A""),0))),"""")"),"")</f>
        <v/>
      </c>
      <c r="D413" s="4"/>
      <c r="E413" s="4"/>
      <c r="F413" s="4"/>
      <c r="G413" s="4"/>
      <c r="H413" s="4"/>
      <c r="I413" s="4"/>
      <c r="J413" s="4" t="str">
        <f t="shared" si="2"/>
        <v/>
      </c>
      <c r="K413" s="4"/>
      <c r="L413" s="4"/>
    </row>
    <row r="414">
      <c r="A414" s="4"/>
      <c r="B414" s="15"/>
      <c r="C414" s="7" t="str">
        <f>IFERROR(__xludf.DUMMYFUNCTION("iferror(iferror(INDEX(IMPORTRANGE(""12vtnxaE_Q1s4tyr10kZQx7ZF_xG0lBFae4jQEUtgsMU"",""All!B2:B""),MATCH($B414,IMPORTRANGE(""12vtnxaE_Q1s4tyr10kZQx7ZF_xG0lBFae4jQEUtgsMU"",""All!A2:A""),0)),INDEX(IMPORTRANGE(""13KC70HngS4DDi8y9E5khtSpQEPG6owaQ9z4E-tR5mnY"","&amp;"""Non-Food!B2:B""),MATCH($B414,IMPORTRANGE(""13KC70HngS4DDi8y9E5khtSpQEPG6owaQ9z4E-tR5mnY"",""Non-Food!A2:A""),0))),"""")"),"")</f>
        <v/>
      </c>
      <c r="D414" s="4"/>
      <c r="E414" s="4"/>
      <c r="F414" s="4"/>
      <c r="G414" s="4"/>
      <c r="H414" s="4"/>
      <c r="I414" s="4"/>
      <c r="J414" s="4" t="str">
        <f t="shared" si="2"/>
        <v/>
      </c>
      <c r="K414" s="4"/>
      <c r="L414" s="4"/>
    </row>
    <row r="415">
      <c r="A415" s="4"/>
      <c r="B415" s="15"/>
      <c r="C415" s="7" t="str">
        <f>IFERROR(__xludf.DUMMYFUNCTION("iferror(iferror(INDEX(IMPORTRANGE(""12vtnxaE_Q1s4tyr10kZQx7ZF_xG0lBFae4jQEUtgsMU"",""All!B2:B""),MATCH($B415,IMPORTRANGE(""12vtnxaE_Q1s4tyr10kZQx7ZF_xG0lBFae4jQEUtgsMU"",""All!A2:A""),0)),INDEX(IMPORTRANGE(""13KC70HngS4DDi8y9E5khtSpQEPG6owaQ9z4E-tR5mnY"","&amp;"""Non-Food!B2:B""),MATCH($B415,IMPORTRANGE(""13KC70HngS4DDi8y9E5khtSpQEPG6owaQ9z4E-tR5mnY"",""Non-Food!A2:A""),0))),"""")"),"")</f>
        <v/>
      </c>
      <c r="D415" s="4"/>
      <c r="E415" s="4"/>
      <c r="F415" s="4"/>
      <c r="G415" s="4"/>
      <c r="H415" s="4"/>
      <c r="I415" s="4"/>
      <c r="J415" s="4" t="str">
        <f t="shared" si="2"/>
        <v/>
      </c>
      <c r="K415" s="4"/>
      <c r="L415" s="4"/>
    </row>
    <row r="416">
      <c r="A416" s="4"/>
      <c r="B416" s="15"/>
      <c r="C416" s="7" t="str">
        <f>IFERROR(__xludf.DUMMYFUNCTION("iferror(iferror(INDEX(IMPORTRANGE(""12vtnxaE_Q1s4tyr10kZQx7ZF_xG0lBFae4jQEUtgsMU"",""All!B2:B""),MATCH($B416,IMPORTRANGE(""12vtnxaE_Q1s4tyr10kZQx7ZF_xG0lBFae4jQEUtgsMU"",""All!A2:A""),0)),INDEX(IMPORTRANGE(""13KC70HngS4DDi8y9E5khtSpQEPG6owaQ9z4E-tR5mnY"","&amp;"""Non-Food!B2:B""),MATCH($B416,IMPORTRANGE(""13KC70HngS4DDi8y9E5khtSpQEPG6owaQ9z4E-tR5mnY"",""Non-Food!A2:A""),0))),"""")"),"")</f>
        <v/>
      </c>
      <c r="D416" s="4"/>
      <c r="E416" s="4"/>
      <c r="F416" s="4"/>
      <c r="G416" s="4"/>
      <c r="H416" s="4"/>
      <c r="I416" s="4"/>
      <c r="J416" s="4" t="str">
        <f t="shared" si="2"/>
        <v/>
      </c>
      <c r="K416" s="4"/>
      <c r="L416" s="4"/>
    </row>
    <row r="417">
      <c r="A417" s="4"/>
      <c r="B417" s="15"/>
      <c r="C417" s="7" t="str">
        <f>IFERROR(__xludf.DUMMYFUNCTION("iferror(iferror(INDEX(IMPORTRANGE(""12vtnxaE_Q1s4tyr10kZQx7ZF_xG0lBFae4jQEUtgsMU"",""All!B2:B""),MATCH($B417,IMPORTRANGE(""12vtnxaE_Q1s4tyr10kZQx7ZF_xG0lBFae4jQEUtgsMU"",""All!A2:A""),0)),INDEX(IMPORTRANGE(""13KC70HngS4DDi8y9E5khtSpQEPG6owaQ9z4E-tR5mnY"","&amp;"""Non-Food!B2:B""),MATCH($B417,IMPORTRANGE(""13KC70HngS4DDi8y9E5khtSpQEPG6owaQ9z4E-tR5mnY"",""Non-Food!A2:A""),0))),"""")"),"")</f>
        <v/>
      </c>
      <c r="D417" s="4"/>
      <c r="E417" s="4"/>
      <c r="F417" s="4"/>
      <c r="G417" s="4"/>
      <c r="H417" s="4"/>
      <c r="I417" s="4"/>
      <c r="J417" s="4" t="str">
        <f t="shared" si="2"/>
        <v/>
      </c>
      <c r="K417" s="4"/>
      <c r="L417" s="4"/>
    </row>
    <row r="418">
      <c r="A418" s="4"/>
      <c r="B418" s="15"/>
      <c r="C418" s="7" t="str">
        <f>IFERROR(__xludf.DUMMYFUNCTION("iferror(iferror(INDEX(IMPORTRANGE(""12vtnxaE_Q1s4tyr10kZQx7ZF_xG0lBFae4jQEUtgsMU"",""All!B2:B""),MATCH($B418,IMPORTRANGE(""12vtnxaE_Q1s4tyr10kZQx7ZF_xG0lBFae4jQEUtgsMU"",""All!A2:A""),0)),INDEX(IMPORTRANGE(""13KC70HngS4DDi8y9E5khtSpQEPG6owaQ9z4E-tR5mnY"","&amp;"""Non-Food!B2:B""),MATCH($B418,IMPORTRANGE(""13KC70HngS4DDi8y9E5khtSpQEPG6owaQ9z4E-tR5mnY"",""Non-Food!A2:A""),0))),"""")"),"")</f>
        <v/>
      </c>
      <c r="D418" s="4"/>
      <c r="E418" s="4"/>
      <c r="F418" s="4"/>
      <c r="G418" s="4"/>
      <c r="H418" s="4"/>
      <c r="I418" s="4"/>
      <c r="J418" s="4" t="str">
        <f t="shared" si="2"/>
        <v/>
      </c>
      <c r="K418" s="4"/>
      <c r="L418" s="4"/>
    </row>
    <row r="419">
      <c r="A419" s="4"/>
      <c r="B419" s="15"/>
      <c r="C419" s="7" t="str">
        <f>IFERROR(__xludf.DUMMYFUNCTION("iferror(iferror(INDEX(IMPORTRANGE(""12vtnxaE_Q1s4tyr10kZQx7ZF_xG0lBFae4jQEUtgsMU"",""All!B2:B""),MATCH($B419,IMPORTRANGE(""12vtnxaE_Q1s4tyr10kZQx7ZF_xG0lBFae4jQEUtgsMU"",""All!A2:A""),0)),INDEX(IMPORTRANGE(""13KC70HngS4DDi8y9E5khtSpQEPG6owaQ9z4E-tR5mnY"","&amp;"""Non-Food!B2:B""),MATCH($B419,IMPORTRANGE(""13KC70HngS4DDi8y9E5khtSpQEPG6owaQ9z4E-tR5mnY"",""Non-Food!A2:A""),0))),"""")"),"")</f>
        <v/>
      </c>
      <c r="D419" s="4"/>
      <c r="E419" s="4"/>
      <c r="F419" s="4"/>
      <c r="G419" s="4"/>
      <c r="H419" s="4"/>
      <c r="I419" s="4"/>
      <c r="J419" s="4" t="str">
        <f t="shared" si="2"/>
        <v/>
      </c>
      <c r="K419" s="4"/>
      <c r="L419" s="4"/>
    </row>
    <row r="420">
      <c r="A420" s="4"/>
      <c r="B420" s="15"/>
      <c r="C420" s="7" t="str">
        <f>IFERROR(__xludf.DUMMYFUNCTION("iferror(iferror(INDEX(IMPORTRANGE(""12vtnxaE_Q1s4tyr10kZQx7ZF_xG0lBFae4jQEUtgsMU"",""All!B2:B""),MATCH($B420,IMPORTRANGE(""12vtnxaE_Q1s4tyr10kZQx7ZF_xG0lBFae4jQEUtgsMU"",""All!A2:A""),0)),INDEX(IMPORTRANGE(""13KC70HngS4DDi8y9E5khtSpQEPG6owaQ9z4E-tR5mnY"","&amp;"""Non-Food!B2:B""),MATCH($B420,IMPORTRANGE(""13KC70HngS4DDi8y9E5khtSpQEPG6owaQ9z4E-tR5mnY"",""Non-Food!A2:A""),0))),"""")"),"")</f>
        <v/>
      </c>
      <c r="D420" s="4"/>
      <c r="E420" s="4"/>
      <c r="F420" s="4"/>
      <c r="G420" s="4"/>
      <c r="H420" s="4"/>
      <c r="I420" s="4"/>
      <c r="J420" s="4" t="str">
        <f t="shared" si="2"/>
        <v/>
      </c>
      <c r="K420" s="4"/>
      <c r="L420" s="4"/>
    </row>
    <row r="421">
      <c r="A421" s="4"/>
      <c r="B421" s="15"/>
      <c r="C421" s="7" t="str">
        <f>IFERROR(__xludf.DUMMYFUNCTION("iferror(iferror(INDEX(IMPORTRANGE(""12vtnxaE_Q1s4tyr10kZQx7ZF_xG0lBFae4jQEUtgsMU"",""All!B2:B""),MATCH($B421,IMPORTRANGE(""12vtnxaE_Q1s4tyr10kZQx7ZF_xG0lBFae4jQEUtgsMU"",""All!A2:A""),0)),INDEX(IMPORTRANGE(""13KC70HngS4DDi8y9E5khtSpQEPG6owaQ9z4E-tR5mnY"","&amp;"""Non-Food!B2:B""),MATCH($B421,IMPORTRANGE(""13KC70HngS4DDi8y9E5khtSpQEPG6owaQ9z4E-tR5mnY"",""Non-Food!A2:A""),0))),"""")"),"")</f>
        <v/>
      </c>
      <c r="D421" s="4"/>
      <c r="E421" s="4"/>
      <c r="F421" s="4"/>
      <c r="G421" s="4"/>
      <c r="H421" s="4"/>
      <c r="I421" s="4"/>
      <c r="J421" s="4" t="str">
        <f t="shared" si="2"/>
        <v/>
      </c>
      <c r="K421" s="4"/>
      <c r="L421" s="4"/>
    </row>
    <row r="422">
      <c r="A422" s="4"/>
      <c r="B422" s="15"/>
      <c r="C422" s="7" t="str">
        <f>IFERROR(__xludf.DUMMYFUNCTION("iferror(iferror(INDEX(IMPORTRANGE(""12vtnxaE_Q1s4tyr10kZQx7ZF_xG0lBFae4jQEUtgsMU"",""All!B2:B""),MATCH($B422,IMPORTRANGE(""12vtnxaE_Q1s4tyr10kZQx7ZF_xG0lBFae4jQEUtgsMU"",""All!A2:A""),0)),INDEX(IMPORTRANGE(""13KC70HngS4DDi8y9E5khtSpQEPG6owaQ9z4E-tR5mnY"","&amp;"""Non-Food!B2:B""),MATCH($B422,IMPORTRANGE(""13KC70HngS4DDi8y9E5khtSpQEPG6owaQ9z4E-tR5mnY"",""Non-Food!A2:A""),0))),"""")"),"")</f>
        <v/>
      </c>
      <c r="D422" s="4"/>
      <c r="E422" s="4"/>
      <c r="F422" s="4"/>
      <c r="G422" s="4"/>
      <c r="H422" s="4"/>
      <c r="I422" s="4"/>
      <c r="J422" s="4" t="str">
        <f t="shared" si="2"/>
        <v/>
      </c>
      <c r="K422" s="4"/>
      <c r="L422" s="4"/>
    </row>
    <row r="423">
      <c r="A423" s="4"/>
      <c r="B423" s="15"/>
      <c r="C423" s="7" t="str">
        <f>IFERROR(__xludf.DUMMYFUNCTION("iferror(iferror(INDEX(IMPORTRANGE(""12vtnxaE_Q1s4tyr10kZQx7ZF_xG0lBFae4jQEUtgsMU"",""All!B2:B""),MATCH($B423,IMPORTRANGE(""12vtnxaE_Q1s4tyr10kZQx7ZF_xG0lBFae4jQEUtgsMU"",""All!A2:A""),0)),INDEX(IMPORTRANGE(""13KC70HngS4DDi8y9E5khtSpQEPG6owaQ9z4E-tR5mnY"","&amp;"""Non-Food!B2:B""),MATCH($B423,IMPORTRANGE(""13KC70HngS4DDi8y9E5khtSpQEPG6owaQ9z4E-tR5mnY"",""Non-Food!A2:A""),0))),"""")"),"")</f>
        <v/>
      </c>
      <c r="D423" s="4"/>
      <c r="E423" s="4"/>
      <c r="F423" s="4"/>
      <c r="G423" s="4"/>
      <c r="H423" s="4"/>
      <c r="I423" s="4"/>
      <c r="J423" s="4" t="str">
        <f t="shared" si="2"/>
        <v/>
      </c>
      <c r="K423" s="4"/>
      <c r="L423" s="4"/>
    </row>
    <row r="424">
      <c r="A424" s="4"/>
      <c r="B424" s="15"/>
      <c r="C424" s="7" t="str">
        <f>IFERROR(__xludf.DUMMYFUNCTION("iferror(iferror(INDEX(IMPORTRANGE(""12vtnxaE_Q1s4tyr10kZQx7ZF_xG0lBFae4jQEUtgsMU"",""All!B2:B""),MATCH($B424,IMPORTRANGE(""12vtnxaE_Q1s4tyr10kZQx7ZF_xG0lBFae4jQEUtgsMU"",""All!A2:A""),0)),INDEX(IMPORTRANGE(""13KC70HngS4DDi8y9E5khtSpQEPG6owaQ9z4E-tR5mnY"","&amp;"""Non-Food!B2:B""),MATCH($B424,IMPORTRANGE(""13KC70HngS4DDi8y9E5khtSpQEPG6owaQ9z4E-tR5mnY"",""Non-Food!A2:A""),0))),"""")"),"")</f>
        <v/>
      </c>
      <c r="D424" s="4"/>
      <c r="E424" s="4"/>
      <c r="F424" s="4"/>
      <c r="G424" s="4"/>
      <c r="H424" s="4"/>
      <c r="I424" s="4"/>
      <c r="J424" s="4" t="str">
        <f t="shared" si="2"/>
        <v/>
      </c>
      <c r="K424" s="4"/>
      <c r="L424" s="4"/>
    </row>
    <row r="425">
      <c r="A425" s="4"/>
      <c r="B425" s="15"/>
      <c r="C425" s="7" t="str">
        <f>IFERROR(__xludf.DUMMYFUNCTION("iferror(iferror(INDEX(IMPORTRANGE(""12vtnxaE_Q1s4tyr10kZQx7ZF_xG0lBFae4jQEUtgsMU"",""All!B2:B""),MATCH($B425,IMPORTRANGE(""12vtnxaE_Q1s4tyr10kZQx7ZF_xG0lBFae4jQEUtgsMU"",""All!A2:A""),0)),INDEX(IMPORTRANGE(""13KC70HngS4DDi8y9E5khtSpQEPG6owaQ9z4E-tR5mnY"","&amp;"""Non-Food!B2:B""),MATCH($B425,IMPORTRANGE(""13KC70HngS4DDi8y9E5khtSpQEPG6owaQ9z4E-tR5mnY"",""Non-Food!A2:A""),0))),"""")"),"")</f>
        <v/>
      </c>
      <c r="D425" s="4"/>
      <c r="E425" s="4"/>
      <c r="F425" s="4"/>
      <c r="G425" s="4"/>
      <c r="H425" s="4"/>
      <c r="I425" s="4"/>
      <c r="J425" s="4" t="str">
        <f t="shared" si="2"/>
        <v/>
      </c>
      <c r="K425" s="4"/>
      <c r="L425" s="4"/>
    </row>
    <row r="426">
      <c r="A426" s="4"/>
      <c r="B426" s="15"/>
      <c r="C426" s="7" t="str">
        <f>IFERROR(__xludf.DUMMYFUNCTION("iferror(iferror(INDEX(IMPORTRANGE(""12vtnxaE_Q1s4tyr10kZQx7ZF_xG0lBFae4jQEUtgsMU"",""All!B2:B""),MATCH($B426,IMPORTRANGE(""12vtnxaE_Q1s4tyr10kZQx7ZF_xG0lBFae4jQEUtgsMU"",""All!A2:A""),0)),INDEX(IMPORTRANGE(""13KC70HngS4DDi8y9E5khtSpQEPG6owaQ9z4E-tR5mnY"","&amp;"""Non-Food!B2:B""),MATCH($B426,IMPORTRANGE(""13KC70HngS4DDi8y9E5khtSpQEPG6owaQ9z4E-tR5mnY"",""Non-Food!A2:A""),0))),"""")"),"")</f>
        <v/>
      </c>
      <c r="D426" s="4"/>
      <c r="E426" s="4"/>
      <c r="F426" s="4"/>
      <c r="G426" s="4"/>
      <c r="H426" s="4"/>
      <c r="I426" s="4"/>
      <c r="J426" s="4" t="str">
        <f t="shared" si="2"/>
        <v/>
      </c>
      <c r="K426" s="4"/>
      <c r="L426" s="4"/>
    </row>
    <row r="427">
      <c r="A427" s="4"/>
      <c r="B427" s="15"/>
      <c r="C427" s="7" t="str">
        <f>IFERROR(__xludf.DUMMYFUNCTION("iferror(iferror(INDEX(IMPORTRANGE(""12vtnxaE_Q1s4tyr10kZQx7ZF_xG0lBFae4jQEUtgsMU"",""All!B2:B""),MATCH($B427,IMPORTRANGE(""12vtnxaE_Q1s4tyr10kZQx7ZF_xG0lBFae4jQEUtgsMU"",""All!A2:A""),0)),INDEX(IMPORTRANGE(""13KC70HngS4DDi8y9E5khtSpQEPG6owaQ9z4E-tR5mnY"","&amp;"""Non-Food!B2:B""),MATCH($B427,IMPORTRANGE(""13KC70HngS4DDi8y9E5khtSpQEPG6owaQ9z4E-tR5mnY"",""Non-Food!A2:A""),0))),"""")"),"")</f>
        <v/>
      </c>
      <c r="D427" s="4"/>
      <c r="E427" s="4"/>
      <c r="F427" s="4"/>
      <c r="G427" s="4"/>
      <c r="H427" s="4"/>
      <c r="I427" s="4"/>
      <c r="J427" s="4" t="str">
        <f t="shared" si="2"/>
        <v/>
      </c>
      <c r="K427" s="4"/>
      <c r="L427" s="4"/>
    </row>
    <row r="428">
      <c r="A428" s="4"/>
      <c r="B428" s="15"/>
      <c r="C428" s="7" t="str">
        <f>IFERROR(__xludf.DUMMYFUNCTION("iferror(iferror(INDEX(IMPORTRANGE(""12vtnxaE_Q1s4tyr10kZQx7ZF_xG0lBFae4jQEUtgsMU"",""All!B2:B""),MATCH($B428,IMPORTRANGE(""12vtnxaE_Q1s4tyr10kZQx7ZF_xG0lBFae4jQEUtgsMU"",""All!A2:A""),0)),INDEX(IMPORTRANGE(""13KC70HngS4DDi8y9E5khtSpQEPG6owaQ9z4E-tR5mnY"","&amp;"""Non-Food!B2:B""),MATCH($B428,IMPORTRANGE(""13KC70HngS4DDi8y9E5khtSpQEPG6owaQ9z4E-tR5mnY"",""Non-Food!A2:A""),0))),"""")"),"")</f>
        <v/>
      </c>
      <c r="D428" s="4"/>
      <c r="E428" s="4"/>
      <c r="F428" s="4"/>
      <c r="G428" s="4"/>
      <c r="H428" s="4"/>
      <c r="I428" s="4"/>
      <c r="J428" s="4" t="str">
        <f t="shared" si="2"/>
        <v/>
      </c>
      <c r="K428" s="4"/>
      <c r="L428" s="4"/>
    </row>
    <row r="429">
      <c r="A429" s="4"/>
      <c r="B429" s="15"/>
      <c r="C429" s="7" t="str">
        <f>IFERROR(__xludf.DUMMYFUNCTION("iferror(iferror(INDEX(IMPORTRANGE(""12vtnxaE_Q1s4tyr10kZQx7ZF_xG0lBFae4jQEUtgsMU"",""All!B2:B""),MATCH($B429,IMPORTRANGE(""12vtnxaE_Q1s4tyr10kZQx7ZF_xG0lBFae4jQEUtgsMU"",""All!A2:A""),0)),INDEX(IMPORTRANGE(""13KC70HngS4DDi8y9E5khtSpQEPG6owaQ9z4E-tR5mnY"","&amp;"""Non-Food!B2:B""),MATCH($B429,IMPORTRANGE(""13KC70HngS4DDi8y9E5khtSpQEPG6owaQ9z4E-tR5mnY"",""Non-Food!A2:A""),0))),"""")"),"")</f>
        <v/>
      </c>
      <c r="D429" s="4"/>
      <c r="E429" s="4"/>
      <c r="F429" s="4"/>
      <c r="G429" s="4"/>
      <c r="H429" s="4"/>
      <c r="I429" s="4"/>
      <c r="J429" s="4" t="str">
        <f t="shared" si="2"/>
        <v/>
      </c>
      <c r="K429" s="4"/>
      <c r="L429" s="4"/>
    </row>
    <row r="430">
      <c r="A430" s="4"/>
      <c r="B430" s="15"/>
      <c r="C430" s="7" t="str">
        <f>IFERROR(__xludf.DUMMYFUNCTION("iferror(iferror(INDEX(IMPORTRANGE(""12vtnxaE_Q1s4tyr10kZQx7ZF_xG0lBFae4jQEUtgsMU"",""All!B2:B""),MATCH($B430,IMPORTRANGE(""12vtnxaE_Q1s4tyr10kZQx7ZF_xG0lBFae4jQEUtgsMU"",""All!A2:A""),0)),INDEX(IMPORTRANGE(""13KC70HngS4DDi8y9E5khtSpQEPG6owaQ9z4E-tR5mnY"","&amp;"""Non-Food!B2:B""),MATCH($B430,IMPORTRANGE(""13KC70HngS4DDi8y9E5khtSpQEPG6owaQ9z4E-tR5mnY"",""Non-Food!A2:A""),0))),"""")"),"")</f>
        <v/>
      </c>
      <c r="D430" s="4"/>
      <c r="E430" s="4"/>
      <c r="F430" s="4"/>
      <c r="G430" s="4"/>
      <c r="H430" s="4"/>
      <c r="I430" s="4"/>
      <c r="J430" s="4" t="str">
        <f t="shared" si="2"/>
        <v/>
      </c>
      <c r="K430" s="4"/>
      <c r="L430" s="4"/>
    </row>
    <row r="431">
      <c r="A431" s="4"/>
      <c r="B431" s="15"/>
      <c r="C431" s="7" t="str">
        <f>IFERROR(__xludf.DUMMYFUNCTION("iferror(iferror(INDEX(IMPORTRANGE(""12vtnxaE_Q1s4tyr10kZQx7ZF_xG0lBFae4jQEUtgsMU"",""All!B2:B""),MATCH($B431,IMPORTRANGE(""12vtnxaE_Q1s4tyr10kZQx7ZF_xG0lBFae4jQEUtgsMU"",""All!A2:A""),0)),INDEX(IMPORTRANGE(""13KC70HngS4DDi8y9E5khtSpQEPG6owaQ9z4E-tR5mnY"","&amp;"""Non-Food!B2:B""),MATCH($B431,IMPORTRANGE(""13KC70HngS4DDi8y9E5khtSpQEPG6owaQ9z4E-tR5mnY"",""Non-Food!A2:A""),0))),"""")"),"")</f>
        <v/>
      </c>
      <c r="D431" s="4"/>
      <c r="E431" s="4"/>
      <c r="F431" s="4"/>
      <c r="G431" s="4"/>
      <c r="H431" s="4"/>
      <c r="I431" s="4"/>
      <c r="J431" s="4" t="str">
        <f t="shared" si="2"/>
        <v/>
      </c>
      <c r="K431" s="4"/>
      <c r="L431" s="4"/>
    </row>
    <row r="432">
      <c r="A432" s="4"/>
      <c r="B432" s="15"/>
      <c r="C432" s="7" t="str">
        <f>IFERROR(__xludf.DUMMYFUNCTION("iferror(iferror(INDEX(IMPORTRANGE(""12vtnxaE_Q1s4tyr10kZQx7ZF_xG0lBFae4jQEUtgsMU"",""All!B2:B""),MATCH($B432,IMPORTRANGE(""12vtnxaE_Q1s4tyr10kZQx7ZF_xG0lBFae4jQEUtgsMU"",""All!A2:A""),0)),INDEX(IMPORTRANGE(""13KC70HngS4DDi8y9E5khtSpQEPG6owaQ9z4E-tR5mnY"","&amp;"""Non-Food!B2:B""),MATCH($B432,IMPORTRANGE(""13KC70HngS4DDi8y9E5khtSpQEPG6owaQ9z4E-tR5mnY"",""Non-Food!A2:A""),0))),"""")"),"")</f>
        <v/>
      </c>
      <c r="D432" s="4"/>
      <c r="E432" s="4"/>
      <c r="F432" s="4"/>
      <c r="G432" s="4"/>
      <c r="H432" s="4"/>
      <c r="I432" s="4"/>
      <c r="J432" s="4" t="str">
        <f t="shared" si="2"/>
        <v/>
      </c>
      <c r="K432" s="4"/>
      <c r="L432" s="4"/>
    </row>
    <row r="433">
      <c r="A433" s="4"/>
      <c r="B433" s="15"/>
      <c r="C433" s="7" t="str">
        <f>IFERROR(__xludf.DUMMYFUNCTION("iferror(iferror(INDEX(IMPORTRANGE(""12vtnxaE_Q1s4tyr10kZQx7ZF_xG0lBFae4jQEUtgsMU"",""All!B2:B""),MATCH($B433,IMPORTRANGE(""12vtnxaE_Q1s4tyr10kZQx7ZF_xG0lBFae4jQEUtgsMU"",""All!A2:A""),0)),INDEX(IMPORTRANGE(""13KC70HngS4DDi8y9E5khtSpQEPG6owaQ9z4E-tR5mnY"","&amp;"""Non-Food!B2:B""),MATCH($B433,IMPORTRANGE(""13KC70HngS4DDi8y9E5khtSpQEPG6owaQ9z4E-tR5mnY"",""Non-Food!A2:A""),0))),"""")"),"")</f>
        <v/>
      </c>
      <c r="D433" s="4"/>
      <c r="E433" s="4"/>
      <c r="F433" s="4"/>
      <c r="G433" s="4"/>
      <c r="H433" s="4"/>
      <c r="I433" s="4"/>
      <c r="J433" s="4" t="str">
        <f t="shared" si="2"/>
        <v/>
      </c>
      <c r="K433" s="4"/>
      <c r="L433" s="4"/>
    </row>
    <row r="434">
      <c r="A434" s="4"/>
      <c r="B434" s="15"/>
      <c r="C434" s="7" t="str">
        <f>IFERROR(__xludf.DUMMYFUNCTION("iferror(iferror(INDEX(IMPORTRANGE(""12vtnxaE_Q1s4tyr10kZQx7ZF_xG0lBFae4jQEUtgsMU"",""All!B2:B""),MATCH($B434,IMPORTRANGE(""12vtnxaE_Q1s4tyr10kZQx7ZF_xG0lBFae4jQEUtgsMU"",""All!A2:A""),0)),INDEX(IMPORTRANGE(""13KC70HngS4DDi8y9E5khtSpQEPG6owaQ9z4E-tR5mnY"","&amp;"""Non-Food!B2:B""),MATCH($B434,IMPORTRANGE(""13KC70HngS4DDi8y9E5khtSpQEPG6owaQ9z4E-tR5mnY"",""Non-Food!A2:A""),0))),"""")"),"")</f>
        <v/>
      </c>
      <c r="D434" s="4"/>
      <c r="E434" s="4"/>
      <c r="F434" s="4"/>
      <c r="G434" s="4"/>
      <c r="H434" s="4"/>
      <c r="I434" s="4"/>
      <c r="J434" s="4" t="str">
        <f t="shared" si="2"/>
        <v/>
      </c>
      <c r="K434" s="4"/>
      <c r="L434" s="4"/>
    </row>
    <row r="435">
      <c r="A435" s="4"/>
      <c r="B435" s="15"/>
      <c r="C435" s="7" t="str">
        <f>IFERROR(__xludf.DUMMYFUNCTION("iferror(iferror(INDEX(IMPORTRANGE(""12vtnxaE_Q1s4tyr10kZQx7ZF_xG0lBFae4jQEUtgsMU"",""All!B2:B""),MATCH($B435,IMPORTRANGE(""12vtnxaE_Q1s4tyr10kZQx7ZF_xG0lBFae4jQEUtgsMU"",""All!A2:A""),0)),INDEX(IMPORTRANGE(""13KC70HngS4DDi8y9E5khtSpQEPG6owaQ9z4E-tR5mnY"","&amp;"""Non-Food!B2:B""),MATCH($B435,IMPORTRANGE(""13KC70HngS4DDi8y9E5khtSpQEPG6owaQ9z4E-tR5mnY"",""Non-Food!A2:A""),0))),"""")"),"")</f>
        <v/>
      </c>
      <c r="D435" s="4"/>
      <c r="E435" s="4"/>
      <c r="F435" s="4"/>
      <c r="G435" s="4"/>
      <c r="H435" s="4"/>
      <c r="I435" s="4"/>
      <c r="J435" s="4" t="str">
        <f t="shared" si="2"/>
        <v/>
      </c>
      <c r="K435" s="4"/>
      <c r="L435" s="4"/>
    </row>
    <row r="436">
      <c r="A436" s="4"/>
      <c r="B436" s="15"/>
      <c r="C436" s="7" t="str">
        <f>IFERROR(__xludf.DUMMYFUNCTION("iferror(iferror(INDEX(IMPORTRANGE(""12vtnxaE_Q1s4tyr10kZQx7ZF_xG0lBFae4jQEUtgsMU"",""All!B2:B""),MATCH($B436,IMPORTRANGE(""12vtnxaE_Q1s4tyr10kZQx7ZF_xG0lBFae4jQEUtgsMU"",""All!A2:A""),0)),INDEX(IMPORTRANGE(""13KC70HngS4DDi8y9E5khtSpQEPG6owaQ9z4E-tR5mnY"","&amp;"""Non-Food!B2:B""),MATCH($B436,IMPORTRANGE(""13KC70HngS4DDi8y9E5khtSpQEPG6owaQ9z4E-tR5mnY"",""Non-Food!A2:A""),0))),"""")"),"")</f>
        <v/>
      </c>
      <c r="D436" s="4"/>
      <c r="E436" s="4"/>
      <c r="F436" s="4"/>
      <c r="G436" s="4"/>
      <c r="H436" s="4"/>
      <c r="I436" s="4"/>
      <c r="J436" s="4" t="str">
        <f t="shared" si="2"/>
        <v/>
      </c>
      <c r="K436" s="4"/>
      <c r="L436" s="4"/>
    </row>
    <row r="437">
      <c r="A437" s="4"/>
      <c r="B437" s="15"/>
      <c r="C437" s="7" t="str">
        <f>IFERROR(__xludf.DUMMYFUNCTION("iferror(iferror(INDEX(IMPORTRANGE(""12vtnxaE_Q1s4tyr10kZQx7ZF_xG0lBFae4jQEUtgsMU"",""All!B2:B""),MATCH($B437,IMPORTRANGE(""12vtnxaE_Q1s4tyr10kZQx7ZF_xG0lBFae4jQEUtgsMU"",""All!A2:A""),0)),INDEX(IMPORTRANGE(""13KC70HngS4DDi8y9E5khtSpQEPG6owaQ9z4E-tR5mnY"","&amp;"""Non-Food!B2:B""),MATCH($B437,IMPORTRANGE(""13KC70HngS4DDi8y9E5khtSpQEPG6owaQ9z4E-tR5mnY"",""Non-Food!A2:A""),0))),"""")"),"")</f>
        <v/>
      </c>
      <c r="D437" s="4"/>
      <c r="E437" s="4"/>
      <c r="F437" s="4"/>
      <c r="G437" s="4"/>
      <c r="H437" s="4"/>
      <c r="I437" s="4"/>
      <c r="J437" s="4" t="str">
        <f t="shared" si="2"/>
        <v/>
      </c>
      <c r="K437" s="4"/>
      <c r="L437" s="4"/>
    </row>
    <row r="438">
      <c r="A438" s="4"/>
      <c r="B438" s="15"/>
      <c r="C438" s="7" t="str">
        <f>IFERROR(__xludf.DUMMYFUNCTION("iferror(iferror(INDEX(IMPORTRANGE(""12vtnxaE_Q1s4tyr10kZQx7ZF_xG0lBFae4jQEUtgsMU"",""All!B2:B""),MATCH($B438,IMPORTRANGE(""12vtnxaE_Q1s4tyr10kZQx7ZF_xG0lBFae4jQEUtgsMU"",""All!A2:A""),0)),INDEX(IMPORTRANGE(""13KC70HngS4DDi8y9E5khtSpQEPG6owaQ9z4E-tR5mnY"","&amp;"""Non-Food!B2:B""),MATCH($B438,IMPORTRANGE(""13KC70HngS4DDi8y9E5khtSpQEPG6owaQ9z4E-tR5mnY"",""Non-Food!A2:A""),0))),"""")"),"")</f>
        <v/>
      </c>
      <c r="D438" s="4"/>
      <c r="E438" s="4"/>
      <c r="F438" s="4"/>
      <c r="G438" s="4"/>
      <c r="H438" s="4"/>
      <c r="I438" s="4"/>
      <c r="J438" s="4" t="str">
        <f t="shared" si="2"/>
        <v/>
      </c>
      <c r="K438" s="4"/>
      <c r="L438" s="4"/>
    </row>
    <row r="439">
      <c r="A439" s="4"/>
      <c r="B439" s="15"/>
      <c r="C439" s="7" t="str">
        <f>IFERROR(__xludf.DUMMYFUNCTION("iferror(iferror(INDEX(IMPORTRANGE(""12vtnxaE_Q1s4tyr10kZQx7ZF_xG0lBFae4jQEUtgsMU"",""All!B2:B""),MATCH($B439,IMPORTRANGE(""12vtnxaE_Q1s4tyr10kZQx7ZF_xG0lBFae4jQEUtgsMU"",""All!A2:A""),0)),INDEX(IMPORTRANGE(""13KC70HngS4DDi8y9E5khtSpQEPG6owaQ9z4E-tR5mnY"","&amp;"""Non-Food!B2:B""),MATCH($B439,IMPORTRANGE(""13KC70HngS4DDi8y9E5khtSpQEPG6owaQ9z4E-tR5mnY"",""Non-Food!A2:A""),0))),"""")"),"")</f>
        <v/>
      </c>
      <c r="D439" s="4"/>
      <c r="E439" s="4"/>
      <c r="F439" s="4"/>
      <c r="G439" s="4"/>
      <c r="H439" s="4"/>
      <c r="I439" s="4"/>
      <c r="J439" s="4" t="str">
        <f t="shared" si="2"/>
        <v/>
      </c>
      <c r="K439" s="4"/>
      <c r="L439" s="4"/>
    </row>
    <row r="440">
      <c r="A440" s="4"/>
      <c r="B440" s="15"/>
      <c r="C440" s="7" t="str">
        <f>IFERROR(__xludf.DUMMYFUNCTION("iferror(iferror(INDEX(IMPORTRANGE(""12vtnxaE_Q1s4tyr10kZQx7ZF_xG0lBFae4jQEUtgsMU"",""All!B2:B""),MATCH($B440,IMPORTRANGE(""12vtnxaE_Q1s4tyr10kZQx7ZF_xG0lBFae4jQEUtgsMU"",""All!A2:A""),0)),INDEX(IMPORTRANGE(""13KC70HngS4DDi8y9E5khtSpQEPG6owaQ9z4E-tR5mnY"","&amp;"""Non-Food!B2:B""),MATCH($B440,IMPORTRANGE(""13KC70HngS4DDi8y9E5khtSpQEPG6owaQ9z4E-tR5mnY"",""Non-Food!A2:A""),0))),"""")"),"")</f>
        <v/>
      </c>
      <c r="D440" s="4"/>
      <c r="E440" s="4"/>
      <c r="F440" s="4"/>
      <c r="G440" s="4"/>
      <c r="H440" s="4"/>
      <c r="I440" s="4"/>
      <c r="J440" s="4" t="str">
        <f t="shared" si="2"/>
        <v/>
      </c>
      <c r="K440" s="4"/>
      <c r="L440" s="4"/>
    </row>
    <row r="441">
      <c r="A441" s="4"/>
      <c r="B441" s="15"/>
      <c r="C441" s="7" t="str">
        <f>IFERROR(__xludf.DUMMYFUNCTION("iferror(iferror(INDEX(IMPORTRANGE(""12vtnxaE_Q1s4tyr10kZQx7ZF_xG0lBFae4jQEUtgsMU"",""All!B2:B""),MATCH($B441,IMPORTRANGE(""12vtnxaE_Q1s4tyr10kZQx7ZF_xG0lBFae4jQEUtgsMU"",""All!A2:A""),0)),INDEX(IMPORTRANGE(""13KC70HngS4DDi8y9E5khtSpQEPG6owaQ9z4E-tR5mnY"","&amp;"""Non-Food!B2:B""),MATCH($B441,IMPORTRANGE(""13KC70HngS4DDi8y9E5khtSpQEPG6owaQ9z4E-tR5mnY"",""Non-Food!A2:A""),0))),"""")"),"")</f>
        <v/>
      </c>
      <c r="D441" s="4"/>
      <c r="E441" s="4"/>
      <c r="F441" s="4"/>
      <c r="G441" s="4"/>
      <c r="H441" s="4"/>
      <c r="I441" s="4"/>
      <c r="J441" s="4" t="str">
        <f t="shared" si="2"/>
        <v/>
      </c>
      <c r="K441" s="4"/>
      <c r="L441" s="4"/>
    </row>
    <row r="442">
      <c r="A442" s="4"/>
      <c r="B442" s="15"/>
      <c r="C442" s="7" t="str">
        <f>IFERROR(__xludf.DUMMYFUNCTION("iferror(iferror(INDEX(IMPORTRANGE(""12vtnxaE_Q1s4tyr10kZQx7ZF_xG0lBFae4jQEUtgsMU"",""All!B2:B""),MATCH($B442,IMPORTRANGE(""12vtnxaE_Q1s4tyr10kZQx7ZF_xG0lBFae4jQEUtgsMU"",""All!A2:A""),0)),INDEX(IMPORTRANGE(""13KC70HngS4DDi8y9E5khtSpQEPG6owaQ9z4E-tR5mnY"","&amp;"""Non-Food!B2:B""),MATCH($B442,IMPORTRANGE(""13KC70HngS4DDi8y9E5khtSpQEPG6owaQ9z4E-tR5mnY"",""Non-Food!A2:A""),0))),"""")"),"")</f>
        <v/>
      </c>
      <c r="D442" s="4"/>
      <c r="E442" s="4"/>
      <c r="F442" s="4"/>
      <c r="G442" s="4"/>
      <c r="H442" s="4"/>
      <c r="I442" s="4"/>
      <c r="J442" s="4" t="str">
        <f t="shared" si="2"/>
        <v/>
      </c>
      <c r="K442" s="4"/>
      <c r="L442" s="4"/>
    </row>
    <row r="443">
      <c r="A443" s="4"/>
      <c r="B443" s="15"/>
      <c r="C443" s="7" t="str">
        <f>IFERROR(__xludf.DUMMYFUNCTION("iferror(iferror(INDEX(IMPORTRANGE(""12vtnxaE_Q1s4tyr10kZQx7ZF_xG0lBFae4jQEUtgsMU"",""All!B2:B""),MATCH($B443,IMPORTRANGE(""12vtnxaE_Q1s4tyr10kZQx7ZF_xG0lBFae4jQEUtgsMU"",""All!A2:A""),0)),INDEX(IMPORTRANGE(""13KC70HngS4DDi8y9E5khtSpQEPG6owaQ9z4E-tR5mnY"","&amp;"""Non-Food!B2:B""),MATCH($B443,IMPORTRANGE(""13KC70HngS4DDi8y9E5khtSpQEPG6owaQ9z4E-tR5mnY"",""Non-Food!A2:A""),0))),"""")"),"")</f>
        <v/>
      </c>
      <c r="D443" s="4"/>
      <c r="E443" s="4"/>
      <c r="F443" s="4"/>
      <c r="G443" s="4"/>
      <c r="H443" s="4"/>
      <c r="I443" s="4"/>
      <c r="J443" s="4" t="str">
        <f t="shared" si="2"/>
        <v/>
      </c>
      <c r="K443" s="4"/>
      <c r="L443" s="4"/>
    </row>
    <row r="444">
      <c r="A444" s="4"/>
      <c r="B444" s="15"/>
      <c r="C444" s="7" t="str">
        <f>IFERROR(__xludf.DUMMYFUNCTION("iferror(iferror(INDEX(IMPORTRANGE(""12vtnxaE_Q1s4tyr10kZQx7ZF_xG0lBFae4jQEUtgsMU"",""All!B2:B""),MATCH($B444,IMPORTRANGE(""12vtnxaE_Q1s4tyr10kZQx7ZF_xG0lBFae4jQEUtgsMU"",""All!A2:A""),0)),INDEX(IMPORTRANGE(""13KC70HngS4DDi8y9E5khtSpQEPG6owaQ9z4E-tR5mnY"","&amp;"""Non-Food!B2:B""),MATCH($B444,IMPORTRANGE(""13KC70HngS4DDi8y9E5khtSpQEPG6owaQ9z4E-tR5mnY"",""Non-Food!A2:A""),0))),"""")"),"")</f>
        <v/>
      </c>
      <c r="D444" s="4"/>
      <c r="E444" s="4"/>
      <c r="F444" s="4"/>
      <c r="G444" s="4"/>
      <c r="H444" s="4"/>
      <c r="I444" s="4"/>
      <c r="J444" s="4" t="str">
        <f t="shared" si="2"/>
        <v/>
      </c>
      <c r="K444" s="4"/>
      <c r="L444" s="4"/>
    </row>
    <row r="445">
      <c r="A445" s="4"/>
      <c r="B445" s="15"/>
      <c r="C445" s="7" t="str">
        <f>IFERROR(__xludf.DUMMYFUNCTION("iferror(iferror(INDEX(IMPORTRANGE(""12vtnxaE_Q1s4tyr10kZQx7ZF_xG0lBFae4jQEUtgsMU"",""All!B2:B""),MATCH($B445,IMPORTRANGE(""12vtnxaE_Q1s4tyr10kZQx7ZF_xG0lBFae4jQEUtgsMU"",""All!A2:A""),0)),INDEX(IMPORTRANGE(""13KC70HngS4DDi8y9E5khtSpQEPG6owaQ9z4E-tR5mnY"","&amp;"""Non-Food!B2:B""),MATCH($B445,IMPORTRANGE(""13KC70HngS4DDi8y9E5khtSpQEPG6owaQ9z4E-tR5mnY"",""Non-Food!A2:A""),0))),"""")"),"")</f>
        <v/>
      </c>
      <c r="D445" s="4"/>
      <c r="E445" s="4"/>
      <c r="F445" s="4"/>
      <c r="G445" s="4"/>
      <c r="H445" s="4"/>
      <c r="I445" s="4"/>
      <c r="J445" s="4" t="str">
        <f t="shared" si="2"/>
        <v/>
      </c>
      <c r="K445" s="4"/>
      <c r="L445" s="4"/>
    </row>
    <row r="446">
      <c r="A446" s="4"/>
      <c r="B446" s="15"/>
      <c r="C446" s="7" t="str">
        <f>IFERROR(__xludf.DUMMYFUNCTION("iferror(iferror(INDEX(IMPORTRANGE(""12vtnxaE_Q1s4tyr10kZQx7ZF_xG0lBFae4jQEUtgsMU"",""All!B2:B""),MATCH($B446,IMPORTRANGE(""12vtnxaE_Q1s4tyr10kZQx7ZF_xG0lBFae4jQEUtgsMU"",""All!A2:A""),0)),INDEX(IMPORTRANGE(""13KC70HngS4DDi8y9E5khtSpQEPG6owaQ9z4E-tR5mnY"","&amp;"""Non-Food!B2:B""),MATCH($B446,IMPORTRANGE(""13KC70HngS4DDi8y9E5khtSpQEPG6owaQ9z4E-tR5mnY"",""Non-Food!A2:A""),0))),"""")"),"")</f>
        <v/>
      </c>
      <c r="D446" s="4"/>
      <c r="E446" s="4"/>
      <c r="F446" s="4"/>
      <c r="G446" s="4"/>
      <c r="H446" s="4"/>
      <c r="I446" s="4"/>
      <c r="J446" s="4" t="str">
        <f t="shared" si="2"/>
        <v/>
      </c>
      <c r="K446" s="4"/>
      <c r="L446" s="4"/>
    </row>
    <row r="447">
      <c r="A447" s="4"/>
      <c r="B447" s="15"/>
      <c r="C447" s="7" t="str">
        <f>IFERROR(__xludf.DUMMYFUNCTION("iferror(iferror(INDEX(IMPORTRANGE(""12vtnxaE_Q1s4tyr10kZQx7ZF_xG0lBFae4jQEUtgsMU"",""All!B2:B""),MATCH($B447,IMPORTRANGE(""12vtnxaE_Q1s4tyr10kZQx7ZF_xG0lBFae4jQEUtgsMU"",""All!A2:A""),0)),INDEX(IMPORTRANGE(""13KC70HngS4DDi8y9E5khtSpQEPG6owaQ9z4E-tR5mnY"","&amp;"""Non-Food!B2:B""),MATCH($B447,IMPORTRANGE(""13KC70HngS4DDi8y9E5khtSpQEPG6owaQ9z4E-tR5mnY"",""Non-Food!A2:A""),0))),"""")"),"")</f>
        <v/>
      </c>
      <c r="D447" s="4"/>
      <c r="E447" s="4"/>
      <c r="F447" s="4"/>
      <c r="G447" s="4"/>
      <c r="H447" s="4"/>
      <c r="I447" s="4"/>
      <c r="J447" s="4" t="str">
        <f t="shared" si="2"/>
        <v/>
      </c>
      <c r="K447" s="4"/>
      <c r="L447" s="4"/>
    </row>
    <row r="448">
      <c r="A448" s="4"/>
      <c r="B448" s="15"/>
      <c r="C448" s="7" t="str">
        <f>IFERROR(__xludf.DUMMYFUNCTION("iferror(iferror(INDEX(IMPORTRANGE(""12vtnxaE_Q1s4tyr10kZQx7ZF_xG0lBFae4jQEUtgsMU"",""All!B2:B""),MATCH($B448,IMPORTRANGE(""12vtnxaE_Q1s4tyr10kZQx7ZF_xG0lBFae4jQEUtgsMU"",""All!A2:A""),0)),INDEX(IMPORTRANGE(""13KC70HngS4DDi8y9E5khtSpQEPG6owaQ9z4E-tR5mnY"","&amp;"""Non-Food!B2:B""),MATCH($B448,IMPORTRANGE(""13KC70HngS4DDi8y9E5khtSpQEPG6owaQ9z4E-tR5mnY"",""Non-Food!A2:A""),0))),"""")"),"")</f>
        <v/>
      </c>
      <c r="D448" s="4"/>
      <c r="E448" s="4"/>
      <c r="F448" s="4"/>
      <c r="G448" s="4"/>
      <c r="H448" s="4"/>
      <c r="I448" s="4"/>
      <c r="J448" s="4" t="str">
        <f t="shared" si="2"/>
        <v/>
      </c>
      <c r="K448" s="4"/>
      <c r="L448" s="4"/>
    </row>
    <row r="449">
      <c r="A449" s="4"/>
      <c r="B449" s="15"/>
      <c r="C449" s="7" t="str">
        <f>IFERROR(__xludf.DUMMYFUNCTION("iferror(iferror(INDEX(IMPORTRANGE(""12vtnxaE_Q1s4tyr10kZQx7ZF_xG0lBFae4jQEUtgsMU"",""All!B2:B""),MATCH($B449,IMPORTRANGE(""12vtnxaE_Q1s4tyr10kZQx7ZF_xG0lBFae4jQEUtgsMU"",""All!A2:A""),0)),INDEX(IMPORTRANGE(""13KC70HngS4DDi8y9E5khtSpQEPG6owaQ9z4E-tR5mnY"","&amp;"""Non-Food!B2:B""),MATCH($B449,IMPORTRANGE(""13KC70HngS4DDi8y9E5khtSpQEPG6owaQ9z4E-tR5mnY"",""Non-Food!A2:A""),0))),"""")"),"")</f>
        <v/>
      </c>
      <c r="D449" s="4"/>
      <c r="E449" s="4"/>
      <c r="F449" s="4"/>
      <c r="G449" s="4"/>
      <c r="H449" s="4"/>
      <c r="I449" s="4"/>
      <c r="J449" s="4" t="str">
        <f t="shared" si="2"/>
        <v/>
      </c>
      <c r="K449" s="4"/>
      <c r="L449" s="4"/>
    </row>
    <row r="450">
      <c r="A450" s="4"/>
      <c r="B450" s="15"/>
      <c r="C450" s="7" t="str">
        <f>IFERROR(__xludf.DUMMYFUNCTION("iferror(iferror(INDEX(IMPORTRANGE(""12vtnxaE_Q1s4tyr10kZQx7ZF_xG0lBFae4jQEUtgsMU"",""All!B2:B""),MATCH($B450,IMPORTRANGE(""12vtnxaE_Q1s4tyr10kZQx7ZF_xG0lBFae4jQEUtgsMU"",""All!A2:A""),0)),INDEX(IMPORTRANGE(""13KC70HngS4DDi8y9E5khtSpQEPG6owaQ9z4E-tR5mnY"","&amp;"""Non-Food!B2:B""),MATCH($B450,IMPORTRANGE(""13KC70HngS4DDi8y9E5khtSpQEPG6owaQ9z4E-tR5mnY"",""Non-Food!A2:A""),0))),"""")"),"")</f>
        <v/>
      </c>
      <c r="D450" s="4"/>
      <c r="E450" s="4"/>
      <c r="F450" s="4"/>
      <c r="G450" s="4"/>
      <c r="H450" s="4"/>
      <c r="I450" s="4"/>
      <c r="J450" s="4" t="str">
        <f t="shared" si="2"/>
        <v/>
      </c>
      <c r="K450" s="4"/>
      <c r="L450" s="4"/>
    </row>
    <row r="451">
      <c r="A451" s="4"/>
      <c r="B451" s="15"/>
      <c r="C451" s="7" t="str">
        <f>IFERROR(__xludf.DUMMYFUNCTION("iferror(iferror(INDEX(IMPORTRANGE(""12vtnxaE_Q1s4tyr10kZQx7ZF_xG0lBFae4jQEUtgsMU"",""All!B2:B""),MATCH($B451,IMPORTRANGE(""12vtnxaE_Q1s4tyr10kZQx7ZF_xG0lBFae4jQEUtgsMU"",""All!A2:A""),0)),INDEX(IMPORTRANGE(""13KC70HngS4DDi8y9E5khtSpQEPG6owaQ9z4E-tR5mnY"","&amp;"""Non-Food!B2:B""),MATCH($B451,IMPORTRANGE(""13KC70HngS4DDi8y9E5khtSpQEPG6owaQ9z4E-tR5mnY"",""Non-Food!A2:A""),0))),"""")"),"")</f>
        <v/>
      </c>
      <c r="D451" s="4"/>
      <c r="E451" s="4"/>
      <c r="F451" s="4"/>
      <c r="G451" s="4"/>
      <c r="H451" s="4"/>
      <c r="I451" s="4"/>
      <c r="J451" s="4" t="str">
        <f t="shared" si="2"/>
        <v/>
      </c>
      <c r="K451" s="4"/>
      <c r="L451" s="4"/>
    </row>
    <row r="452">
      <c r="A452" s="4"/>
      <c r="B452" s="15"/>
      <c r="C452" s="7" t="str">
        <f>IFERROR(__xludf.DUMMYFUNCTION("iferror(iferror(INDEX(IMPORTRANGE(""12vtnxaE_Q1s4tyr10kZQx7ZF_xG0lBFae4jQEUtgsMU"",""All!B2:B""),MATCH($B452,IMPORTRANGE(""12vtnxaE_Q1s4tyr10kZQx7ZF_xG0lBFae4jQEUtgsMU"",""All!A2:A""),0)),INDEX(IMPORTRANGE(""13KC70HngS4DDi8y9E5khtSpQEPG6owaQ9z4E-tR5mnY"","&amp;"""Non-Food!B2:B""),MATCH($B452,IMPORTRANGE(""13KC70HngS4DDi8y9E5khtSpQEPG6owaQ9z4E-tR5mnY"",""Non-Food!A2:A""),0))),"""")"),"")</f>
        <v/>
      </c>
      <c r="D452" s="4"/>
      <c r="E452" s="4"/>
      <c r="F452" s="4"/>
      <c r="G452" s="4"/>
      <c r="H452" s="4"/>
      <c r="I452" s="4"/>
      <c r="J452" s="4" t="str">
        <f t="shared" si="2"/>
        <v/>
      </c>
      <c r="K452" s="4"/>
      <c r="L452" s="4"/>
    </row>
    <row r="453">
      <c r="A453" s="4"/>
      <c r="B453" s="15"/>
      <c r="C453" s="7" t="str">
        <f>IFERROR(__xludf.DUMMYFUNCTION("iferror(iferror(INDEX(IMPORTRANGE(""12vtnxaE_Q1s4tyr10kZQx7ZF_xG0lBFae4jQEUtgsMU"",""All!B2:B""),MATCH($B453,IMPORTRANGE(""12vtnxaE_Q1s4tyr10kZQx7ZF_xG0lBFae4jQEUtgsMU"",""All!A2:A""),0)),INDEX(IMPORTRANGE(""13KC70HngS4DDi8y9E5khtSpQEPG6owaQ9z4E-tR5mnY"","&amp;"""Non-Food!B2:B""),MATCH($B453,IMPORTRANGE(""13KC70HngS4DDi8y9E5khtSpQEPG6owaQ9z4E-tR5mnY"",""Non-Food!A2:A""),0))),"""")"),"")</f>
        <v/>
      </c>
      <c r="D453" s="4"/>
      <c r="E453" s="4"/>
      <c r="F453" s="4"/>
      <c r="G453" s="4"/>
      <c r="H453" s="4"/>
      <c r="I453" s="4"/>
      <c r="J453" s="4" t="str">
        <f t="shared" si="2"/>
        <v/>
      </c>
      <c r="K453" s="4"/>
      <c r="L453" s="4"/>
    </row>
    <row r="454">
      <c r="A454" s="4"/>
      <c r="B454" s="15"/>
      <c r="C454" s="7" t="str">
        <f>IFERROR(__xludf.DUMMYFUNCTION("iferror(iferror(INDEX(IMPORTRANGE(""12vtnxaE_Q1s4tyr10kZQx7ZF_xG0lBFae4jQEUtgsMU"",""All!B2:B""),MATCH($B454,IMPORTRANGE(""12vtnxaE_Q1s4tyr10kZQx7ZF_xG0lBFae4jQEUtgsMU"",""All!A2:A""),0)),INDEX(IMPORTRANGE(""13KC70HngS4DDi8y9E5khtSpQEPG6owaQ9z4E-tR5mnY"","&amp;"""Non-Food!B2:B""),MATCH($B454,IMPORTRANGE(""13KC70HngS4DDi8y9E5khtSpQEPG6owaQ9z4E-tR5mnY"",""Non-Food!A2:A""),0))),"""")"),"")</f>
        <v/>
      </c>
      <c r="D454" s="4"/>
      <c r="E454" s="4"/>
      <c r="F454" s="4"/>
      <c r="G454" s="4"/>
      <c r="H454" s="4"/>
      <c r="I454" s="4"/>
      <c r="J454" s="4" t="str">
        <f t="shared" si="2"/>
        <v/>
      </c>
      <c r="K454" s="4"/>
      <c r="L454" s="4"/>
    </row>
    <row r="455">
      <c r="A455" s="4"/>
      <c r="B455" s="15"/>
      <c r="C455" s="7" t="str">
        <f>IFERROR(__xludf.DUMMYFUNCTION("iferror(iferror(INDEX(IMPORTRANGE(""12vtnxaE_Q1s4tyr10kZQx7ZF_xG0lBFae4jQEUtgsMU"",""All!B2:B""),MATCH($B455,IMPORTRANGE(""12vtnxaE_Q1s4tyr10kZQx7ZF_xG0lBFae4jQEUtgsMU"",""All!A2:A""),0)),INDEX(IMPORTRANGE(""13KC70HngS4DDi8y9E5khtSpQEPG6owaQ9z4E-tR5mnY"","&amp;"""Non-Food!B2:B""),MATCH($B455,IMPORTRANGE(""13KC70HngS4DDi8y9E5khtSpQEPG6owaQ9z4E-tR5mnY"",""Non-Food!A2:A""),0))),"""")"),"")</f>
        <v/>
      </c>
      <c r="D455" s="4"/>
      <c r="E455" s="4"/>
      <c r="F455" s="4"/>
      <c r="G455" s="4"/>
      <c r="H455" s="4"/>
      <c r="I455" s="4"/>
      <c r="J455" s="4" t="str">
        <f t="shared" si="2"/>
        <v/>
      </c>
      <c r="K455" s="4"/>
      <c r="L455" s="4"/>
    </row>
    <row r="456">
      <c r="A456" s="4"/>
      <c r="B456" s="15"/>
      <c r="C456" s="7" t="str">
        <f>IFERROR(__xludf.DUMMYFUNCTION("iferror(iferror(INDEX(IMPORTRANGE(""12vtnxaE_Q1s4tyr10kZQx7ZF_xG0lBFae4jQEUtgsMU"",""All!B2:B""),MATCH($B456,IMPORTRANGE(""12vtnxaE_Q1s4tyr10kZQx7ZF_xG0lBFae4jQEUtgsMU"",""All!A2:A""),0)),INDEX(IMPORTRANGE(""13KC70HngS4DDi8y9E5khtSpQEPG6owaQ9z4E-tR5mnY"","&amp;"""Non-Food!B2:B""),MATCH($B456,IMPORTRANGE(""13KC70HngS4DDi8y9E5khtSpQEPG6owaQ9z4E-tR5mnY"",""Non-Food!A2:A""),0))),"""")"),"")</f>
        <v/>
      </c>
      <c r="D456" s="4"/>
      <c r="E456" s="4"/>
      <c r="F456" s="4"/>
      <c r="G456" s="4"/>
      <c r="H456" s="4"/>
      <c r="I456" s="4"/>
      <c r="J456" s="4" t="str">
        <f t="shared" si="2"/>
        <v/>
      </c>
      <c r="K456" s="4"/>
      <c r="L456" s="4"/>
    </row>
    <row r="457">
      <c r="A457" s="4"/>
      <c r="B457" s="15"/>
      <c r="C457" s="7" t="str">
        <f>IFERROR(__xludf.DUMMYFUNCTION("iferror(iferror(INDEX(IMPORTRANGE(""12vtnxaE_Q1s4tyr10kZQx7ZF_xG0lBFae4jQEUtgsMU"",""All!B2:B""),MATCH($B457,IMPORTRANGE(""12vtnxaE_Q1s4tyr10kZQx7ZF_xG0lBFae4jQEUtgsMU"",""All!A2:A""),0)),INDEX(IMPORTRANGE(""13KC70HngS4DDi8y9E5khtSpQEPG6owaQ9z4E-tR5mnY"","&amp;"""Non-Food!B2:B""),MATCH($B457,IMPORTRANGE(""13KC70HngS4DDi8y9E5khtSpQEPG6owaQ9z4E-tR5mnY"",""Non-Food!A2:A""),0))),"""")"),"")</f>
        <v/>
      </c>
      <c r="D457" s="4"/>
      <c r="E457" s="4"/>
      <c r="F457" s="4"/>
      <c r="G457" s="4"/>
      <c r="H457" s="4"/>
      <c r="I457" s="4"/>
      <c r="J457" s="4" t="str">
        <f t="shared" si="2"/>
        <v/>
      </c>
      <c r="K457" s="4"/>
      <c r="L457" s="4"/>
    </row>
    <row r="458">
      <c r="A458" s="4"/>
      <c r="B458" s="15"/>
      <c r="C458" s="7" t="str">
        <f>IFERROR(__xludf.DUMMYFUNCTION("iferror(iferror(INDEX(IMPORTRANGE(""12vtnxaE_Q1s4tyr10kZQx7ZF_xG0lBFae4jQEUtgsMU"",""All!B2:B""),MATCH($B458,IMPORTRANGE(""12vtnxaE_Q1s4tyr10kZQx7ZF_xG0lBFae4jQEUtgsMU"",""All!A2:A""),0)),INDEX(IMPORTRANGE(""13KC70HngS4DDi8y9E5khtSpQEPG6owaQ9z4E-tR5mnY"","&amp;"""Non-Food!B2:B""),MATCH($B458,IMPORTRANGE(""13KC70HngS4DDi8y9E5khtSpQEPG6owaQ9z4E-tR5mnY"",""Non-Food!A2:A""),0))),"""")"),"")</f>
        <v/>
      </c>
      <c r="D458" s="4"/>
      <c r="E458" s="4"/>
      <c r="F458" s="4"/>
      <c r="G458" s="4"/>
      <c r="H458" s="4"/>
      <c r="I458" s="4"/>
      <c r="J458" s="4" t="str">
        <f t="shared" si="2"/>
        <v/>
      </c>
      <c r="K458" s="4"/>
      <c r="L458" s="4"/>
    </row>
    <row r="459">
      <c r="A459" s="4"/>
      <c r="B459" s="15"/>
      <c r="C459" s="7" t="str">
        <f>IFERROR(__xludf.DUMMYFUNCTION("iferror(iferror(INDEX(IMPORTRANGE(""12vtnxaE_Q1s4tyr10kZQx7ZF_xG0lBFae4jQEUtgsMU"",""All!B2:B""),MATCH($B459,IMPORTRANGE(""12vtnxaE_Q1s4tyr10kZQx7ZF_xG0lBFae4jQEUtgsMU"",""All!A2:A""),0)),INDEX(IMPORTRANGE(""13KC70HngS4DDi8y9E5khtSpQEPG6owaQ9z4E-tR5mnY"","&amp;"""Non-Food!B2:B""),MATCH($B459,IMPORTRANGE(""13KC70HngS4DDi8y9E5khtSpQEPG6owaQ9z4E-tR5mnY"",""Non-Food!A2:A""),0))),"""")"),"")</f>
        <v/>
      </c>
      <c r="D459" s="4"/>
      <c r="E459" s="4"/>
      <c r="F459" s="4"/>
      <c r="G459" s="4"/>
      <c r="H459" s="4"/>
      <c r="I459" s="4"/>
      <c r="J459" s="4" t="str">
        <f t="shared" si="2"/>
        <v/>
      </c>
      <c r="K459" s="4"/>
      <c r="L459" s="4"/>
    </row>
    <row r="460">
      <c r="A460" s="4"/>
      <c r="B460" s="15"/>
      <c r="C460" s="7" t="str">
        <f>IFERROR(__xludf.DUMMYFUNCTION("iferror(iferror(INDEX(IMPORTRANGE(""12vtnxaE_Q1s4tyr10kZQx7ZF_xG0lBFae4jQEUtgsMU"",""All!B2:B""),MATCH($B460,IMPORTRANGE(""12vtnxaE_Q1s4tyr10kZQx7ZF_xG0lBFae4jQEUtgsMU"",""All!A2:A""),0)),INDEX(IMPORTRANGE(""13KC70HngS4DDi8y9E5khtSpQEPG6owaQ9z4E-tR5mnY"","&amp;"""Non-Food!B2:B""),MATCH($B460,IMPORTRANGE(""13KC70HngS4DDi8y9E5khtSpQEPG6owaQ9z4E-tR5mnY"",""Non-Food!A2:A""),0))),"""")"),"")</f>
        <v/>
      </c>
      <c r="D460" s="4"/>
      <c r="E460" s="4"/>
      <c r="F460" s="4"/>
      <c r="G460" s="4"/>
      <c r="H460" s="4"/>
      <c r="I460" s="4"/>
      <c r="J460" s="4" t="str">
        <f t="shared" si="2"/>
        <v/>
      </c>
      <c r="K460" s="4"/>
      <c r="L460" s="4"/>
    </row>
    <row r="461">
      <c r="A461" s="4"/>
      <c r="B461" s="15"/>
      <c r="C461" s="7" t="str">
        <f>IFERROR(__xludf.DUMMYFUNCTION("iferror(iferror(INDEX(IMPORTRANGE(""12vtnxaE_Q1s4tyr10kZQx7ZF_xG0lBFae4jQEUtgsMU"",""All!B2:B""),MATCH($B461,IMPORTRANGE(""12vtnxaE_Q1s4tyr10kZQx7ZF_xG0lBFae4jQEUtgsMU"",""All!A2:A""),0)),INDEX(IMPORTRANGE(""13KC70HngS4DDi8y9E5khtSpQEPG6owaQ9z4E-tR5mnY"","&amp;"""Non-Food!B2:B""),MATCH($B461,IMPORTRANGE(""13KC70HngS4DDi8y9E5khtSpQEPG6owaQ9z4E-tR5mnY"",""Non-Food!A2:A""),0))),"""")"),"")</f>
        <v/>
      </c>
      <c r="D461" s="4"/>
      <c r="E461" s="4"/>
      <c r="F461" s="4"/>
      <c r="G461" s="4"/>
      <c r="H461" s="4"/>
      <c r="I461" s="4"/>
      <c r="J461" s="4" t="str">
        <f t="shared" si="2"/>
        <v/>
      </c>
      <c r="K461" s="4"/>
      <c r="L461" s="4"/>
    </row>
    <row r="462">
      <c r="A462" s="4"/>
      <c r="B462" s="15"/>
      <c r="C462" s="7" t="str">
        <f>IFERROR(__xludf.DUMMYFUNCTION("iferror(iferror(INDEX(IMPORTRANGE(""12vtnxaE_Q1s4tyr10kZQx7ZF_xG0lBFae4jQEUtgsMU"",""All!B2:B""),MATCH($B462,IMPORTRANGE(""12vtnxaE_Q1s4tyr10kZQx7ZF_xG0lBFae4jQEUtgsMU"",""All!A2:A""),0)),INDEX(IMPORTRANGE(""13KC70HngS4DDi8y9E5khtSpQEPG6owaQ9z4E-tR5mnY"","&amp;"""Non-Food!B2:B""),MATCH($B462,IMPORTRANGE(""13KC70HngS4DDi8y9E5khtSpQEPG6owaQ9z4E-tR5mnY"",""Non-Food!A2:A""),0))),"""")"),"")</f>
        <v/>
      </c>
      <c r="D462" s="4"/>
      <c r="E462" s="4"/>
      <c r="F462" s="4"/>
      <c r="G462" s="4"/>
      <c r="H462" s="4"/>
      <c r="I462" s="4"/>
      <c r="J462" s="4" t="str">
        <f t="shared" si="2"/>
        <v/>
      </c>
      <c r="K462" s="4"/>
      <c r="L462" s="4"/>
    </row>
    <row r="463">
      <c r="A463" s="4"/>
      <c r="B463" s="15"/>
      <c r="C463" s="7" t="str">
        <f>IFERROR(__xludf.DUMMYFUNCTION("iferror(iferror(INDEX(IMPORTRANGE(""12vtnxaE_Q1s4tyr10kZQx7ZF_xG0lBFae4jQEUtgsMU"",""All!B2:B""),MATCH($B463,IMPORTRANGE(""12vtnxaE_Q1s4tyr10kZQx7ZF_xG0lBFae4jQEUtgsMU"",""All!A2:A""),0)),INDEX(IMPORTRANGE(""13KC70HngS4DDi8y9E5khtSpQEPG6owaQ9z4E-tR5mnY"","&amp;"""Non-Food!B2:B""),MATCH($B463,IMPORTRANGE(""13KC70HngS4DDi8y9E5khtSpQEPG6owaQ9z4E-tR5mnY"",""Non-Food!A2:A""),0))),"""")"),"")</f>
        <v/>
      </c>
      <c r="D463" s="4"/>
      <c r="E463" s="4"/>
      <c r="F463" s="4"/>
      <c r="G463" s="4"/>
      <c r="H463" s="4"/>
      <c r="I463" s="4"/>
      <c r="J463" s="4" t="str">
        <f t="shared" si="2"/>
        <v/>
      </c>
      <c r="K463" s="4"/>
      <c r="L463" s="4"/>
    </row>
    <row r="464">
      <c r="A464" s="4"/>
      <c r="B464" s="15"/>
      <c r="C464" s="7" t="str">
        <f>IFERROR(__xludf.DUMMYFUNCTION("iferror(iferror(INDEX(IMPORTRANGE(""12vtnxaE_Q1s4tyr10kZQx7ZF_xG0lBFae4jQEUtgsMU"",""All!B2:B""),MATCH($B464,IMPORTRANGE(""12vtnxaE_Q1s4tyr10kZQx7ZF_xG0lBFae4jQEUtgsMU"",""All!A2:A""),0)),INDEX(IMPORTRANGE(""13KC70HngS4DDi8y9E5khtSpQEPG6owaQ9z4E-tR5mnY"","&amp;"""Non-Food!B2:B""),MATCH($B464,IMPORTRANGE(""13KC70HngS4DDi8y9E5khtSpQEPG6owaQ9z4E-tR5mnY"",""Non-Food!A2:A""),0))),"""")"),"")</f>
        <v/>
      </c>
      <c r="D464" s="4"/>
      <c r="E464" s="4"/>
      <c r="F464" s="4"/>
      <c r="G464" s="4"/>
      <c r="H464" s="4"/>
      <c r="I464" s="4"/>
      <c r="J464" s="4" t="str">
        <f t="shared" si="2"/>
        <v/>
      </c>
      <c r="K464" s="4"/>
      <c r="L464" s="4"/>
    </row>
    <row r="465">
      <c r="A465" s="4"/>
      <c r="B465" s="15"/>
      <c r="C465" s="7" t="str">
        <f>IFERROR(__xludf.DUMMYFUNCTION("iferror(iferror(INDEX(IMPORTRANGE(""12vtnxaE_Q1s4tyr10kZQx7ZF_xG0lBFae4jQEUtgsMU"",""All!B2:B""),MATCH($B465,IMPORTRANGE(""12vtnxaE_Q1s4tyr10kZQx7ZF_xG0lBFae4jQEUtgsMU"",""All!A2:A""),0)),INDEX(IMPORTRANGE(""13KC70HngS4DDi8y9E5khtSpQEPG6owaQ9z4E-tR5mnY"","&amp;"""Non-Food!B2:B""),MATCH($B465,IMPORTRANGE(""13KC70HngS4DDi8y9E5khtSpQEPG6owaQ9z4E-tR5mnY"",""Non-Food!A2:A""),0))),"""")"),"")</f>
        <v/>
      </c>
      <c r="D465" s="4"/>
      <c r="E465" s="4"/>
      <c r="F465" s="4"/>
      <c r="G465" s="4"/>
      <c r="H465" s="4"/>
      <c r="I465" s="4"/>
      <c r="J465" s="4" t="str">
        <f t="shared" si="2"/>
        <v/>
      </c>
      <c r="K465" s="4"/>
      <c r="L465" s="4"/>
    </row>
    <row r="466">
      <c r="A466" s="4"/>
      <c r="B466" s="15"/>
      <c r="C466" s="7" t="str">
        <f>IFERROR(__xludf.DUMMYFUNCTION("iferror(iferror(INDEX(IMPORTRANGE(""12vtnxaE_Q1s4tyr10kZQx7ZF_xG0lBFae4jQEUtgsMU"",""All!B2:B""),MATCH($B466,IMPORTRANGE(""12vtnxaE_Q1s4tyr10kZQx7ZF_xG0lBFae4jQEUtgsMU"",""All!A2:A""),0)),INDEX(IMPORTRANGE(""13KC70HngS4DDi8y9E5khtSpQEPG6owaQ9z4E-tR5mnY"","&amp;"""Non-Food!B2:B""),MATCH($B466,IMPORTRANGE(""13KC70HngS4DDi8y9E5khtSpQEPG6owaQ9z4E-tR5mnY"",""Non-Food!A2:A""),0))),"""")"),"")</f>
        <v/>
      </c>
      <c r="D466" s="4"/>
      <c r="E466" s="4"/>
      <c r="F466" s="4"/>
      <c r="G466" s="4"/>
      <c r="H466" s="4"/>
      <c r="I466" s="4"/>
      <c r="J466" s="4" t="str">
        <f t="shared" si="2"/>
        <v/>
      </c>
      <c r="K466" s="4"/>
      <c r="L466" s="4"/>
    </row>
    <row r="467">
      <c r="A467" s="4"/>
      <c r="B467" s="15"/>
      <c r="C467" s="7" t="str">
        <f>IFERROR(__xludf.DUMMYFUNCTION("iferror(iferror(INDEX(IMPORTRANGE(""12vtnxaE_Q1s4tyr10kZQx7ZF_xG0lBFae4jQEUtgsMU"",""All!B2:B""),MATCH($B467,IMPORTRANGE(""12vtnxaE_Q1s4tyr10kZQx7ZF_xG0lBFae4jQEUtgsMU"",""All!A2:A""),0)),INDEX(IMPORTRANGE(""13KC70HngS4DDi8y9E5khtSpQEPG6owaQ9z4E-tR5mnY"","&amp;"""Non-Food!B2:B""),MATCH($B467,IMPORTRANGE(""13KC70HngS4DDi8y9E5khtSpQEPG6owaQ9z4E-tR5mnY"",""Non-Food!A2:A""),0))),"""")"),"")</f>
        <v/>
      </c>
      <c r="D467" s="4"/>
      <c r="E467" s="4"/>
      <c r="F467" s="4"/>
      <c r="G467" s="4"/>
      <c r="H467" s="4"/>
      <c r="I467" s="4"/>
      <c r="J467" s="4" t="str">
        <f t="shared" si="2"/>
        <v/>
      </c>
      <c r="K467" s="4"/>
      <c r="L467" s="4"/>
    </row>
    <row r="468">
      <c r="A468" s="4"/>
      <c r="B468" s="15"/>
      <c r="C468" s="7" t="str">
        <f>IFERROR(__xludf.DUMMYFUNCTION("iferror(iferror(INDEX(IMPORTRANGE(""12vtnxaE_Q1s4tyr10kZQx7ZF_xG0lBFae4jQEUtgsMU"",""All!B2:B""),MATCH($B468,IMPORTRANGE(""12vtnxaE_Q1s4tyr10kZQx7ZF_xG0lBFae4jQEUtgsMU"",""All!A2:A""),0)),INDEX(IMPORTRANGE(""13KC70HngS4DDi8y9E5khtSpQEPG6owaQ9z4E-tR5mnY"","&amp;"""Non-Food!B2:B""),MATCH($B468,IMPORTRANGE(""13KC70HngS4DDi8y9E5khtSpQEPG6owaQ9z4E-tR5mnY"",""Non-Food!A2:A""),0))),"""")"),"")</f>
        <v/>
      </c>
      <c r="D468" s="4"/>
      <c r="E468" s="4"/>
      <c r="F468" s="4"/>
      <c r="G468" s="4"/>
      <c r="H468" s="4"/>
      <c r="I468" s="4"/>
      <c r="J468" s="4" t="str">
        <f t="shared" si="2"/>
        <v/>
      </c>
      <c r="K468" s="4"/>
      <c r="L468" s="4"/>
    </row>
    <row r="469">
      <c r="A469" s="4"/>
      <c r="B469" s="15"/>
      <c r="C469" s="7" t="str">
        <f>IFERROR(__xludf.DUMMYFUNCTION("iferror(iferror(INDEX(IMPORTRANGE(""12vtnxaE_Q1s4tyr10kZQx7ZF_xG0lBFae4jQEUtgsMU"",""All!B2:B""),MATCH($B469,IMPORTRANGE(""12vtnxaE_Q1s4tyr10kZQx7ZF_xG0lBFae4jQEUtgsMU"",""All!A2:A""),0)),INDEX(IMPORTRANGE(""13KC70HngS4DDi8y9E5khtSpQEPG6owaQ9z4E-tR5mnY"","&amp;"""Non-Food!B2:B""),MATCH($B469,IMPORTRANGE(""13KC70HngS4DDi8y9E5khtSpQEPG6owaQ9z4E-tR5mnY"",""Non-Food!A2:A""),0))),"""")"),"")</f>
        <v/>
      </c>
      <c r="D469" s="4"/>
      <c r="E469" s="4"/>
      <c r="F469" s="4"/>
      <c r="G469" s="4"/>
      <c r="H469" s="4"/>
      <c r="I469" s="4"/>
      <c r="J469" s="4" t="str">
        <f t="shared" si="2"/>
        <v/>
      </c>
      <c r="K469" s="4"/>
      <c r="L469" s="4"/>
    </row>
    <row r="470">
      <c r="A470" s="4"/>
      <c r="B470" s="15"/>
      <c r="C470" s="7" t="str">
        <f>IFERROR(__xludf.DUMMYFUNCTION("iferror(iferror(INDEX(IMPORTRANGE(""12vtnxaE_Q1s4tyr10kZQx7ZF_xG0lBFae4jQEUtgsMU"",""All!B2:B""),MATCH($B470,IMPORTRANGE(""12vtnxaE_Q1s4tyr10kZQx7ZF_xG0lBFae4jQEUtgsMU"",""All!A2:A""),0)),INDEX(IMPORTRANGE(""13KC70HngS4DDi8y9E5khtSpQEPG6owaQ9z4E-tR5mnY"","&amp;"""Non-Food!B2:B""),MATCH($B470,IMPORTRANGE(""13KC70HngS4DDi8y9E5khtSpQEPG6owaQ9z4E-tR5mnY"",""Non-Food!A2:A""),0))),"""")"),"")</f>
        <v/>
      </c>
      <c r="D470" s="4"/>
      <c r="E470" s="4"/>
      <c r="F470" s="4"/>
      <c r="G470" s="4"/>
      <c r="H470" s="4"/>
      <c r="I470" s="4"/>
      <c r="J470" s="4" t="str">
        <f t="shared" si="2"/>
        <v/>
      </c>
      <c r="K470" s="4"/>
      <c r="L470" s="4"/>
    </row>
    <row r="471">
      <c r="A471" s="4"/>
      <c r="B471" s="15"/>
      <c r="C471" s="7" t="str">
        <f>IFERROR(__xludf.DUMMYFUNCTION("iferror(iferror(INDEX(IMPORTRANGE(""12vtnxaE_Q1s4tyr10kZQx7ZF_xG0lBFae4jQEUtgsMU"",""All!B2:B""),MATCH($B471,IMPORTRANGE(""12vtnxaE_Q1s4tyr10kZQx7ZF_xG0lBFae4jQEUtgsMU"",""All!A2:A""),0)),INDEX(IMPORTRANGE(""13KC70HngS4DDi8y9E5khtSpQEPG6owaQ9z4E-tR5mnY"","&amp;"""Non-Food!B2:B""),MATCH($B471,IMPORTRANGE(""13KC70HngS4DDi8y9E5khtSpQEPG6owaQ9z4E-tR5mnY"",""Non-Food!A2:A""),0))),"""")"),"")</f>
        <v/>
      </c>
      <c r="D471" s="4"/>
      <c r="E471" s="4"/>
      <c r="F471" s="4"/>
      <c r="G471" s="4"/>
      <c r="H471" s="4"/>
      <c r="I471" s="4"/>
      <c r="J471" s="4" t="str">
        <f t="shared" si="2"/>
        <v/>
      </c>
      <c r="K471" s="4"/>
      <c r="L471" s="4"/>
    </row>
    <row r="472">
      <c r="A472" s="4"/>
      <c r="B472" s="15"/>
      <c r="C472" s="7" t="str">
        <f>IFERROR(__xludf.DUMMYFUNCTION("iferror(iferror(INDEX(IMPORTRANGE(""12vtnxaE_Q1s4tyr10kZQx7ZF_xG0lBFae4jQEUtgsMU"",""All!B2:B""),MATCH($B472,IMPORTRANGE(""12vtnxaE_Q1s4tyr10kZQx7ZF_xG0lBFae4jQEUtgsMU"",""All!A2:A""),0)),INDEX(IMPORTRANGE(""13KC70HngS4DDi8y9E5khtSpQEPG6owaQ9z4E-tR5mnY"","&amp;"""Non-Food!B2:B""),MATCH($B472,IMPORTRANGE(""13KC70HngS4DDi8y9E5khtSpQEPG6owaQ9z4E-tR5mnY"",""Non-Food!A2:A""),0))),"""")"),"")</f>
        <v/>
      </c>
      <c r="D472" s="4"/>
      <c r="E472" s="4"/>
      <c r="F472" s="4"/>
      <c r="G472" s="4"/>
      <c r="H472" s="4"/>
      <c r="I472" s="4"/>
      <c r="J472" s="4" t="str">
        <f t="shared" si="2"/>
        <v/>
      </c>
      <c r="K472" s="4"/>
      <c r="L472" s="4"/>
    </row>
    <row r="473">
      <c r="A473" s="4"/>
      <c r="B473" s="15"/>
      <c r="C473" s="7" t="str">
        <f>IFERROR(__xludf.DUMMYFUNCTION("iferror(iferror(INDEX(IMPORTRANGE(""12vtnxaE_Q1s4tyr10kZQx7ZF_xG0lBFae4jQEUtgsMU"",""All!B2:B""),MATCH($B473,IMPORTRANGE(""12vtnxaE_Q1s4tyr10kZQx7ZF_xG0lBFae4jQEUtgsMU"",""All!A2:A""),0)),INDEX(IMPORTRANGE(""13KC70HngS4DDi8y9E5khtSpQEPG6owaQ9z4E-tR5mnY"","&amp;"""Non-Food!B2:B""),MATCH($B473,IMPORTRANGE(""13KC70HngS4DDi8y9E5khtSpQEPG6owaQ9z4E-tR5mnY"",""Non-Food!A2:A""),0))),"""")"),"")</f>
        <v/>
      </c>
      <c r="D473" s="4"/>
      <c r="E473" s="4"/>
      <c r="F473" s="4"/>
      <c r="G473" s="4"/>
      <c r="H473" s="4"/>
      <c r="I473" s="4"/>
      <c r="J473" s="4" t="str">
        <f t="shared" si="2"/>
        <v/>
      </c>
      <c r="K473" s="4"/>
      <c r="L473" s="4"/>
    </row>
    <row r="474">
      <c r="A474" s="4"/>
      <c r="B474" s="15"/>
      <c r="C474" s="7" t="str">
        <f>IFERROR(__xludf.DUMMYFUNCTION("iferror(iferror(INDEX(IMPORTRANGE(""12vtnxaE_Q1s4tyr10kZQx7ZF_xG0lBFae4jQEUtgsMU"",""All!B2:B""),MATCH($B474,IMPORTRANGE(""12vtnxaE_Q1s4tyr10kZQx7ZF_xG0lBFae4jQEUtgsMU"",""All!A2:A""),0)),INDEX(IMPORTRANGE(""13KC70HngS4DDi8y9E5khtSpQEPG6owaQ9z4E-tR5mnY"","&amp;"""Non-Food!B2:B""),MATCH($B474,IMPORTRANGE(""13KC70HngS4DDi8y9E5khtSpQEPG6owaQ9z4E-tR5mnY"",""Non-Food!A2:A""),0))),"""")"),"")</f>
        <v/>
      </c>
      <c r="D474" s="4"/>
      <c r="E474" s="4"/>
      <c r="F474" s="4"/>
      <c r="G474" s="4"/>
      <c r="H474" s="4"/>
      <c r="I474" s="4"/>
      <c r="J474" s="4" t="str">
        <f t="shared" si="2"/>
        <v/>
      </c>
      <c r="K474" s="4"/>
      <c r="L474" s="4"/>
    </row>
    <row r="475">
      <c r="A475" s="4"/>
      <c r="B475" s="15"/>
      <c r="C475" s="7" t="str">
        <f>IFERROR(__xludf.DUMMYFUNCTION("iferror(iferror(INDEX(IMPORTRANGE(""12vtnxaE_Q1s4tyr10kZQx7ZF_xG0lBFae4jQEUtgsMU"",""All!B2:B""),MATCH($B475,IMPORTRANGE(""12vtnxaE_Q1s4tyr10kZQx7ZF_xG0lBFae4jQEUtgsMU"",""All!A2:A""),0)),INDEX(IMPORTRANGE(""13KC70HngS4DDi8y9E5khtSpQEPG6owaQ9z4E-tR5mnY"","&amp;"""Non-Food!B2:B""),MATCH($B475,IMPORTRANGE(""13KC70HngS4DDi8y9E5khtSpQEPG6owaQ9z4E-tR5mnY"",""Non-Food!A2:A""),0))),"""")"),"")</f>
        <v/>
      </c>
      <c r="D475" s="4"/>
      <c r="E475" s="4"/>
      <c r="F475" s="4"/>
      <c r="G475" s="4"/>
      <c r="H475" s="4"/>
      <c r="I475" s="4"/>
      <c r="J475" s="4" t="str">
        <f t="shared" si="2"/>
        <v/>
      </c>
      <c r="K475" s="4"/>
      <c r="L475" s="4"/>
    </row>
    <row r="476" ht="1.5" customHeight="1">
      <c r="A476" s="4"/>
      <c r="B476" s="15"/>
      <c r="C476" s="7" t="str">
        <f>IFERROR(__xludf.DUMMYFUNCTION("iferror(iferror(INDEX(IMPORTRANGE(""12vtnxaE_Q1s4tyr10kZQx7ZF_xG0lBFae4jQEUtgsMU"",""All!B2:B""),MATCH($B476,IMPORTRANGE(""12vtnxaE_Q1s4tyr10kZQx7ZF_xG0lBFae4jQEUtgsMU"",""All!A2:A""),0)),INDEX(IMPORTRANGE(""13KC70HngS4DDi8y9E5khtSpQEPG6owaQ9z4E-tR5mnY"","&amp;"""Non-Food!B2:B""),MATCH($B476,IMPORTRANGE(""13KC70HngS4DDi8y9E5khtSpQEPG6owaQ9z4E-tR5mnY"",""Non-Food!A2:A""),0))),"""")"),"")</f>
        <v/>
      </c>
      <c r="D476" s="4"/>
      <c r="E476" s="4"/>
      <c r="F476" s="4"/>
      <c r="G476" s="4"/>
      <c r="H476" s="4"/>
      <c r="I476" s="4"/>
      <c r="J476" s="4" t="str">
        <f t="shared" si="2"/>
        <v/>
      </c>
      <c r="K476" s="4"/>
      <c r="L476" s="4"/>
    </row>
    <row r="477">
      <c r="A477" s="4"/>
      <c r="B477" s="15"/>
      <c r="C477" s="7" t="str">
        <f>IFERROR(__xludf.DUMMYFUNCTION("iferror(iferror(INDEX(IMPORTRANGE(""12vtnxaE_Q1s4tyr10kZQx7ZF_xG0lBFae4jQEUtgsMU"",""All!B2:B""),MATCH($B477,IMPORTRANGE(""12vtnxaE_Q1s4tyr10kZQx7ZF_xG0lBFae4jQEUtgsMU"",""All!A2:A""),0)),INDEX(IMPORTRANGE(""13KC70HngS4DDi8y9E5khtSpQEPG6owaQ9z4E-tR5mnY"","&amp;"""Non-Food!B2:B""),MATCH($B477,IMPORTRANGE(""13KC70HngS4DDi8y9E5khtSpQEPG6owaQ9z4E-tR5mnY"",""Non-Food!A2:A""),0))),"""")"),"")</f>
        <v/>
      </c>
      <c r="D477" s="4"/>
      <c r="E477" s="4"/>
      <c r="F477" s="4"/>
      <c r="G477" s="4"/>
      <c r="H477" s="4"/>
      <c r="I477" s="4"/>
      <c r="J477" s="4" t="str">
        <f t="shared" si="2"/>
        <v/>
      </c>
      <c r="K477" s="4"/>
      <c r="L477" s="4"/>
    </row>
    <row r="478">
      <c r="A478" s="4"/>
      <c r="B478" s="15"/>
      <c r="C478" s="7" t="str">
        <f>IFERROR(__xludf.DUMMYFUNCTION("iferror(iferror(INDEX(IMPORTRANGE(""12vtnxaE_Q1s4tyr10kZQx7ZF_xG0lBFae4jQEUtgsMU"",""All!B2:B""),MATCH($B478,IMPORTRANGE(""12vtnxaE_Q1s4tyr10kZQx7ZF_xG0lBFae4jQEUtgsMU"",""All!A2:A""),0)),INDEX(IMPORTRANGE(""13KC70HngS4DDi8y9E5khtSpQEPG6owaQ9z4E-tR5mnY"","&amp;"""Non-Food!B2:B""),MATCH($B478,IMPORTRANGE(""13KC70HngS4DDi8y9E5khtSpQEPG6owaQ9z4E-tR5mnY"",""Non-Food!A2:A""),0))),"""")"),"")</f>
        <v/>
      </c>
      <c r="D478" s="4"/>
      <c r="E478" s="4"/>
      <c r="F478" s="4"/>
      <c r="G478" s="4"/>
      <c r="H478" s="4"/>
      <c r="I478" s="4"/>
      <c r="J478" s="4" t="str">
        <f t="shared" si="2"/>
        <v/>
      </c>
      <c r="K478" s="4"/>
      <c r="L478" s="4"/>
    </row>
    <row r="479">
      <c r="A479" s="4"/>
      <c r="B479" s="15"/>
      <c r="C479" s="7" t="str">
        <f>IFERROR(__xludf.DUMMYFUNCTION("iferror(iferror(INDEX(IMPORTRANGE(""12vtnxaE_Q1s4tyr10kZQx7ZF_xG0lBFae4jQEUtgsMU"",""All!B2:B""),MATCH($B479,IMPORTRANGE(""12vtnxaE_Q1s4tyr10kZQx7ZF_xG0lBFae4jQEUtgsMU"",""All!A2:A""),0)),INDEX(IMPORTRANGE(""13KC70HngS4DDi8y9E5khtSpQEPG6owaQ9z4E-tR5mnY"","&amp;"""Non-Food!B2:B""),MATCH($B479,IMPORTRANGE(""13KC70HngS4DDi8y9E5khtSpQEPG6owaQ9z4E-tR5mnY"",""Non-Food!A2:A""),0))),"""")"),"")</f>
        <v/>
      </c>
      <c r="D479" s="4"/>
      <c r="E479" s="4"/>
      <c r="F479" s="4"/>
      <c r="G479" s="4"/>
      <c r="H479" s="4"/>
      <c r="I479" s="4"/>
      <c r="J479" s="4" t="str">
        <f t="shared" si="2"/>
        <v/>
      </c>
      <c r="K479" s="4"/>
      <c r="L479" s="4"/>
    </row>
    <row r="480">
      <c r="A480" s="4"/>
      <c r="B480" s="15"/>
      <c r="C480" s="7" t="str">
        <f>IFERROR(__xludf.DUMMYFUNCTION("iferror(iferror(INDEX(IMPORTRANGE(""12vtnxaE_Q1s4tyr10kZQx7ZF_xG0lBFae4jQEUtgsMU"",""All!B2:B""),MATCH($B480,IMPORTRANGE(""12vtnxaE_Q1s4tyr10kZQx7ZF_xG0lBFae4jQEUtgsMU"",""All!A2:A""),0)),INDEX(IMPORTRANGE(""13KC70HngS4DDi8y9E5khtSpQEPG6owaQ9z4E-tR5mnY"","&amp;"""Non-Food!B2:B""),MATCH($B480,IMPORTRANGE(""13KC70HngS4DDi8y9E5khtSpQEPG6owaQ9z4E-tR5mnY"",""Non-Food!A2:A""),0))),"""")"),"")</f>
        <v/>
      </c>
      <c r="D480" s="4"/>
      <c r="E480" s="4"/>
      <c r="F480" s="4"/>
      <c r="G480" s="4"/>
      <c r="H480" s="4"/>
      <c r="I480" s="4"/>
      <c r="J480" s="4" t="str">
        <f t="shared" si="2"/>
        <v/>
      </c>
      <c r="K480" s="4"/>
      <c r="L480" s="4"/>
    </row>
    <row r="481">
      <c r="A481" s="4"/>
      <c r="B481" s="15"/>
      <c r="C481" s="7" t="str">
        <f>IFERROR(__xludf.DUMMYFUNCTION("iferror(iferror(INDEX(IMPORTRANGE(""12vtnxaE_Q1s4tyr10kZQx7ZF_xG0lBFae4jQEUtgsMU"",""All!B2:B""),MATCH($B481,IMPORTRANGE(""12vtnxaE_Q1s4tyr10kZQx7ZF_xG0lBFae4jQEUtgsMU"",""All!A2:A""),0)),INDEX(IMPORTRANGE(""13KC70HngS4DDi8y9E5khtSpQEPG6owaQ9z4E-tR5mnY"","&amp;"""Non-Food!B2:B""),MATCH($B481,IMPORTRANGE(""13KC70HngS4DDi8y9E5khtSpQEPG6owaQ9z4E-tR5mnY"",""Non-Food!A2:A""),0))),"""")"),"")</f>
        <v/>
      </c>
      <c r="D481" s="4"/>
      <c r="E481" s="4"/>
      <c r="F481" s="4"/>
      <c r="G481" s="4"/>
      <c r="H481" s="4"/>
      <c r="I481" s="4"/>
      <c r="J481" s="4" t="str">
        <f t="shared" si="2"/>
        <v/>
      </c>
      <c r="K481" s="4"/>
      <c r="L481" s="4"/>
    </row>
    <row r="482">
      <c r="A482" s="4"/>
      <c r="B482" s="15"/>
      <c r="C482" s="7" t="str">
        <f>IFERROR(__xludf.DUMMYFUNCTION("iferror(iferror(INDEX(IMPORTRANGE(""12vtnxaE_Q1s4tyr10kZQx7ZF_xG0lBFae4jQEUtgsMU"",""All!B2:B""),MATCH($B482,IMPORTRANGE(""12vtnxaE_Q1s4tyr10kZQx7ZF_xG0lBFae4jQEUtgsMU"",""All!A2:A""),0)),INDEX(IMPORTRANGE(""13KC70HngS4DDi8y9E5khtSpQEPG6owaQ9z4E-tR5mnY"","&amp;"""Non-Food!B2:B""),MATCH($B482,IMPORTRANGE(""13KC70HngS4DDi8y9E5khtSpQEPG6owaQ9z4E-tR5mnY"",""Non-Food!A2:A""),0))),"""")"),"")</f>
        <v/>
      </c>
      <c r="D482" s="4"/>
      <c r="E482" s="4"/>
      <c r="F482" s="4"/>
      <c r="G482" s="4"/>
      <c r="H482" s="4"/>
      <c r="I482" s="4"/>
      <c r="J482" s="4" t="str">
        <f t="shared" si="2"/>
        <v/>
      </c>
      <c r="K482" s="4"/>
      <c r="L482" s="4"/>
    </row>
    <row r="483">
      <c r="A483" s="4"/>
      <c r="B483" s="15"/>
      <c r="C483" s="7" t="str">
        <f>IFERROR(__xludf.DUMMYFUNCTION("iferror(iferror(INDEX(IMPORTRANGE(""12vtnxaE_Q1s4tyr10kZQx7ZF_xG0lBFae4jQEUtgsMU"",""All!B2:B""),MATCH($B483,IMPORTRANGE(""12vtnxaE_Q1s4tyr10kZQx7ZF_xG0lBFae4jQEUtgsMU"",""All!A2:A""),0)),INDEX(IMPORTRANGE(""13KC70HngS4DDi8y9E5khtSpQEPG6owaQ9z4E-tR5mnY"","&amp;"""Non-Food!B2:B""),MATCH($B483,IMPORTRANGE(""13KC70HngS4DDi8y9E5khtSpQEPG6owaQ9z4E-tR5mnY"",""Non-Food!A2:A""),0))),"""")"),"")</f>
        <v/>
      </c>
      <c r="D483" s="4"/>
      <c r="E483" s="4"/>
      <c r="F483" s="4"/>
      <c r="G483" s="4"/>
      <c r="H483" s="4"/>
      <c r="I483" s="4"/>
      <c r="J483" s="4" t="str">
        <f t="shared" si="2"/>
        <v/>
      </c>
      <c r="K483" s="4"/>
      <c r="L483" s="4"/>
    </row>
    <row r="484">
      <c r="A484" s="4"/>
      <c r="B484" s="15"/>
      <c r="C484" s="7" t="str">
        <f>IFERROR(__xludf.DUMMYFUNCTION("iferror(iferror(INDEX(IMPORTRANGE(""12vtnxaE_Q1s4tyr10kZQx7ZF_xG0lBFae4jQEUtgsMU"",""All!B2:B""),MATCH($B484,IMPORTRANGE(""12vtnxaE_Q1s4tyr10kZQx7ZF_xG0lBFae4jQEUtgsMU"",""All!A2:A""),0)),INDEX(IMPORTRANGE(""13KC70HngS4DDi8y9E5khtSpQEPG6owaQ9z4E-tR5mnY"","&amp;"""Non-Food!B2:B""),MATCH($B484,IMPORTRANGE(""13KC70HngS4DDi8y9E5khtSpQEPG6owaQ9z4E-tR5mnY"",""Non-Food!A2:A""),0))),"""")"),"")</f>
        <v/>
      </c>
      <c r="D484" s="4"/>
      <c r="E484" s="4"/>
      <c r="F484" s="4"/>
      <c r="G484" s="4"/>
      <c r="H484" s="4"/>
      <c r="I484" s="4"/>
      <c r="J484" s="4" t="str">
        <f t="shared" si="2"/>
        <v/>
      </c>
      <c r="K484" s="4"/>
      <c r="L484" s="4"/>
    </row>
    <row r="485">
      <c r="A485" s="4"/>
      <c r="B485" s="15"/>
      <c r="C485" s="7" t="str">
        <f>IFERROR(__xludf.DUMMYFUNCTION("iferror(iferror(INDEX(IMPORTRANGE(""12vtnxaE_Q1s4tyr10kZQx7ZF_xG0lBFae4jQEUtgsMU"",""All!B2:B""),MATCH($B485,IMPORTRANGE(""12vtnxaE_Q1s4tyr10kZQx7ZF_xG0lBFae4jQEUtgsMU"",""All!A2:A""),0)),INDEX(IMPORTRANGE(""13KC70HngS4DDi8y9E5khtSpQEPG6owaQ9z4E-tR5mnY"","&amp;"""Non-Food!B2:B""),MATCH($B485,IMPORTRANGE(""13KC70HngS4DDi8y9E5khtSpQEPG6owaQ9z4E-tR5mnY"",""Non-Food!A2:A""),0))),"""")"),"")</f>
        <v/>
      </c>
      <c r="D485" s="4"/>
      <c r="E485" s="4"/>
      <c r="F485" s="4"/>
      <c r="G485" s="4"/>
      <c r="H485" s="4"/>
      <c r="I485" s="4"/>
      <c r="J485" s="4" t="str">
        <f t="shared" si="2"/>
        <v/>
      </c>
      <c r="K485" s="4"/>
      <c r="L485" s="4"/>
    </row>
    <row r="486">
      <c r="A486" s="4"/>
      <c r="B486" s="15"/>
      <c r="C486" s="7" t="str">
        <f>IFERROR(__xludf.DUMMYFUNCTION("iferror(iferror(INDEX(IMPORTRANGE(""12vtnxaE_Q1s4tyr10kZQx7ZF_xG0lBFae4jQEUtgsMU"",""All!B2:B""),MATCH($B486,IMPORTRANGE(""12vtnxaE_Q1s4tyr10kZQx7ZF_xG0lBFae4jQEUtgsMU"",""All!A2:A""),0)),INDEX(IMPORTRANGE(""13KC70HngS4DDi8y9E5khtSpQEPG6owaQ9z4E-tR5mnY"","&amp;"""Non-Food!B2:B""),MATCH($B486,IMPORTRANGE(""13KC70HngS4DDi8y9E5khtSpQEPG6owaQ9z4E-tR5mnY"",""Non-Food!A2:A""),0))),"""")"),"")</f>
        <v/>
      </c>
      <c r="D486" s="4"/>
      <c r="E486" s="4"/>
      <c r="F486" s="4"/>
      <c r="G486" s="4"/>
      <c r="H486" s="4"/>
      <c r="I486" s="4"/>
      <c r="J486" s="4" t="str">
        <f t="shared" si="2"/>
        <v/>
      </c>
      <c r="K486" s="4"/>
      <c r="L486" s="4"/>
    </row>
    <row r="487">
      <c r="A487" s="4"/>
      <c r="B487" s="15"/>
      <c r="C487" s="7" t="str">
        <f>IFERROR(__xludf.DUMMYFUNCTION("iferror(iferror(INDEX(IMPORTRANGE(""12vtnxaE_Q1s4tyr10kZQx7ZF_xG0lBFae4jQEUtgsMU"",""All!B2:B""),MATCH($B487,IMPORTRANGE(""12vtnxaE_Q1s4tyr10kZQx7ZF_xG0lBFae4jQEUtgsMU"",""All!A2:A""),0)),INDEX(IMPORTRANGE(""13KC70HngS4DDi8y9E5khtSpQEPG6owaQ9z4E-tR5mnY"","&amp;"""Non-Food!B2:B""),MATCH($B487,IMPORTRANGE(""13KC70HngS4DDi8y9E5khtSpQEPG6owaQ9z4E-tR5mnY"",""Non-Food!A2:A""),0))),"""")"),"")</f>
        <v/>
      </c>
      <c r="D487" s="4"/>
      <c r="E487" s="4"/>
      <c r="F487" s="4"/>
      <c r="G487" s="4"/>
      <c r="H487" s="4"/>
      <c r="I487" s="4"/>
      <c r="J487" s="4" t="str">
        <f t="shared" si="2"/>
        <v/>
      </c>
      <c r="K487" s="4"/>
      <c r="L487" s="4"/>
    </row>
    <row r="488">
      <c r="A488" s="4"/>
      <c r="B488" s="15"/>
      <c r="C488" s="7" t="str">
        <f>IFERROR(__xludf.DUMMYFUNCTION("iferror(iferror(INDEX(IMPORTRANGE(""12vtnxaE_Q1s4tyr10kZQx7ZF_xG0lBFae4jQEUtgsMU"",""All!B2:B""),MATCH($B488,IMPORTRANGE(""12vtnxaE_Q1s4tyr10kZQx7ZF_xG0lBFae4jQEUtgsMU"",""All!A2:A""),0)),INDEX(IMPORTRANGE(""13KC70HngS4DDi8y9E5khtSpQEPG6owaQ9z4E-tR5mnY"","&amp;"""Non-Food!B2:B""),MATCH($B488,IMPORTRANGE(""13KC70HngS4DDi8y9E5khtSpQEPG6owaQ9z4E-tR5mnY"",""Non-Food!A2:A""),0))),"""")"),"")</f>
        <v/>
      </c>
      <c r="D488" s="4"/>
      <c r="E488" s="4"/>
      <c r="F488" s="4"/>
      <c r="G488" s="4"/>
      <c r="H488" s="4"/>
      <c r="I488" s="4"/>
      <c r="J488" s="4" t="str">
        <f t="shared" si="2"/>
        <v/>
      </c>
      <c r="K488" s="4"/>
      <c r="L488" s="4"/>
    </row>
    <row r="489">
      <c r="A489" s="4"/>
      <c r="B489" s="15"/>
      <c r="C489" s="7" t="str">
        <f>IFERROR(__xludf.DUMMYFUNCTION("iferror(iferror(INDEX(IMPORTRANGE(""12vtnxaE_Q1s4tyr10kZQx7ZF_xG0lBFae4jQEUtgsMU"",""All!B2:B""),MATCH($B489,IMPORTRANGE(""12vtnxaE_Q1s4tyr10kZQx7ZF_xG0lBFae4jQEUtgsMU"",""All!A2:A""),0)),INDEX(IMPORTRANGE(""13KC70HngS4DDi8y9E5khtSpQEPG6owaQ9z4E-tR5mnY"","&amp;"""Non-Food!B2:B""),MATCH($B489,IMPORTRANGE(""13KC70HngS4DDi8y9E5khtSpQEPG6owaQ9z4E-tR5mnY"",""Non-Food!A2:A""),0))),"""")"),"")</f>
        <v/>
      </c>
      <c r="D489" s="4"/>
      <c r="E489" s="4"/>
      <c r="F489" s="4"/>
      <c r="G489" s="4"/>
      <c r="H489" s="4"/>
      <c r="I489" s="4"/>
      <c r="J489" s="4" t="str">
        <f t="shared" si="2"/>
        <v/>
      </c>
      <c r="K489" s="4"/>
      <c r="L489" s="4"/>
    </row>
    <row r="490">
      <c r="A490" s="4"/>
      <c r="B490" s="15"/>
      <c r="C490" s="7" t="str">
        <f>IFERROR(__xludf.DUMMYFUNCTION("iferror(iferror(INDEX(IMPORTRANGE(""12vtnxaE_Q1s4tyr10kZQx7ZF_xG0lBFae4jQEUtgsMU"",""All!B2:B""),MATCH($B490,IMPORTRANGE(""12vtnxaE_Q1s4tyr10kZQx7ZF_xG0lBFae4jQEUtgsMU"",""All!A2:A""),0)),INDEX(IMPORTRANGE(""13KC70HngS4DDi8y9E5khtSpQEPG6owaQ9z4E-tR5mnY"","&amp;"""Non-Food!B2:B""),MATCH($B490,IMPORTRANGE(""13KC70HngS4DDi8y9E5khtSpQEPG6owaQ9z4E-tR5mnY"",""Non-Food!A2:A""),0))),"""")"),"")</f>
        <v/>
      </c>
      <c r="D490" s="4"/>
      <c r="E490" s="4"/>
      <c r="F490" s="4"/>
      <c r="G490" s="4"/>
      <c r="H490" s="4"/>
      <c r="I490" s="4"/>
      <c r="J490" s="4" t="str">
        <f t="shared" si="2"/>
        <v/>
      </c>
      <c r="K490" s="4"/>
      <c r="L490" s="4"/>
    </row>
    <row r="491">
      <c r="A491" s="4"/>
      <c r="B491" s="15"/>
      <c r="C491" s="7" t="str">
        <f>IFERROR(__xludf.DUMMYFUNCTION("iferror(iferror(INDEX(IMPORTRANGE(""12vtnxaE_Q1s4tyr10kZQx7ZF_xG0lBFae4jQEUtgsMU"",""All!B2:B""),MATCH($B491,IMPORTRANGE(""12vtnxaE_Q1s4tyr10kZQx7ZF_xG0lBFae4jQEUtgsMU"",""All!A2:A""),0)),INDEX(IMPORTRANGE(""13KC70HngS4DDi8y9E5khtSpQEPG6owaQ9z4E-tR5mnY"","&amp;"""Non-Food!B2:B""),MATCH($B491,IMPORTRANGE(""13KC70HngS4DDi8y9E5khtSpQEPG6owaQ9z4E-tR5mnY"",""Non-Food!A2:A""),0))),"""")"),"")</f>
        <v/>
      </c>
      <c r="D491" s="4"/>
      <c r="E491" s="4"/>
      <c r="F491" s="4"/>
      <c r="G491" s="4"/>
      <c r="H491" s="4"/>
      <c r="I491" s="4"/>
      <c r="J491" s="4" t="str">
        <f t="shared" si="2"/>
        <v/>
      </c>
      <c r="K491" s="4"/>
      <c r="L491" s="4"/>
    </row>
    <row r="492">
      <c r="A492" s="4"/>
      <c r="B492" s="15"/>
      <c r="C492" s="7" t="str">
        <f>IFERROR(__xludf.DUMMYFUNCTION("iferror(iferror(INDEX(IMPORTRANGE(""12vtnxaE_Q1s4tyr10kZQx7ZF_xG0lBFae4jQEUtgsMU"",""All!B2:B""),MATCH($B492,IMPORTRANGE(""12vtnxaE_Q1s4tyr10kZQx7ZF_xG0lBFae4jQEUtgsMU"",""All!A2:A""),0)),INDEX(IMPORTRANGE(""13KC70HngS4DDi8y9E5khtSpQEPG6owaQ9z4E-tR5mnY"","&amp;"""Non-Food!B2:B""),MATCH($B492,IMPORTRANGE(""13KC70HngS4DDi8y9E5khtSpQEPG6owaQ9z4E-tR5mnY"",""Non-Food!A2:A""),0))),"""")"),"")</f>
        <v/>
      </c>
      <c r="D492" s="4"/>
      <c r="E492" s="4"/>
      <c r="F492" s="4"/>
      <c r="G492" s="4"/>
      <c r="H492" s="4"/>
      <c r="I492" s="4"/>
      <c r="J492" s="4" t="str">
        <f t="shared" si="2"/>
        <v/>
      </c>
      <c r="K492" s="4"/>
      <c r="L492" s="4"/>
    </row>
    <row r="493">
      <c r="A493" s="4"/>
      <c r="B493" s="15"/>
      <c r="C493" s="7" t="str">
        <f>IFERROR(__xludf.DUMMYFUNCTION("iferror(iferror(INDEX(IMPORTRANGE(""12vtnxaE_Q1s4tyr10kZQx7ZF_xG0lBFae4jQEUtgsMU"",""All!B2:B""),MATCH($B493,IMPORTRANGE(""12vtnxaE_Q1s4tyr10kZQx7ZF_xG0lBFae4jQEUtgsMU"",""All!A2:A""),0)),INDEX(IMPORTRANGE(""13KC70HngS4DDi8y9E5khtSpQEPG6owaQ9z4E-tR5mnY"","&amp;"""Non-Food!B2:B""),MATCH($B493,IMPORTRANGE(""13KC70HngS4DDi8y9E5khtSpQEPG6owaQ9z4E-tR5mnY"",""Non-Food!A2:A""),0))),"""")"),"")</f>
        <v/>
      </c>
      <c r="D493" s="4"/>
      <c r="E493" s="4"/>
      <c r="F493" s="4"/>
      <c r="G493" s="4"/>
      <c r="H493" s="4"/>
      <c r="I493" s="4"/>
      <c r="J493" s="4" t="str">
        <f t="shared" si="2"/>
        <v/>
      </c>
      <c r="K493" s="4"/>
      <c r="L493" s="4"/>
    </row>
    <row r="494">
      <c r="A494" s="4"/>
      <c r="B494" s="15"/>
      <c r="C494" s="7" t="str">
        <f>IFERROR(__xludf.DUMMYFUNCTION("iferror(iferror(INDEX(IMPORTRANGE(""12vtnxaE_Q1s4tyr10kZQx7ZF_xG0lBFae4jQEUtgsMU"",""All!B2:B""),MATCH($B494,IMPORTRANGE(""12vtnxaE_Q1s4tyr10kZQx7ZF_xG0lBFae4jQEUtgsMU"",""All!A2:A""),0)),INDEX(IMPORTRANGE(""13KC70HngS4DDi8y9E5khtSpQEPG6owaQ9z4E-tR5mnY"","&amp;"""Non-Food!B2:B""),MATCH($B494,IMPORTRANGE(""13KC70HngS4DDi8y9E5khtSpQEPG6owaQ9z4E-tR5mnY"",""Non-Food!A2:A""),0))),"""")"),"")</f>
        <v/>
      </c>
      <c r="D494" s="4"/>
      <c r="E494" s="4"/>
      <c r="F494" s="4"/>
      <c r="G494" s="4"/>
      <c r="H494" s="4"/>
      <c r="I494" s="4"/>
      <c r="J494" s="4" t="str">
        <f t="shared" si="2"/>
        <v/>
      </c>
      <c r="K494" s="4"/>
      <c r="L494" s="4"/>
    </row>
    <row r="495">
      <c r="A495" s="4"/>
      <c r="B495" s="15"/>
      <c r="C495" s="7" t="str">
        <f>IFERROR(__xludf.DUMMYFUNCTION("iferror(iferror(INDEX(IMPORTRANGE(""12vtnxaE_Q1s4tyr10kZQx7ZF_xG0lBFae4jQEUtgsMU"",""All!B2:B""),MATCH($B495,IMPORTRANGE(""12vtnxaE_Q1s4tyr10kZQx7ZF_xG0lBFae4jQEUtgsMU"",""All!A2:A""),0)),INDEX(IMPORTRANGE(""13KC70HngS4DDi8y9E5khtSpQEPG6owaQ9z4E-tR5mnY"","&amp;"""Non-Food!B2:B""),MATCH($B495,IMPORTRANGE(""13KC70HngS4DDi8y9E5khtSpQEPG6owaQ9z4E-tR5mnY"",""Non-Food!A2:A""),0))),"""")"),"")</f>
        <v/>
      </c>
      <c r="D495" s="4"/>
      <c r="E495" s="4"/>
      <c r="F495" s="4"/>
      <c r="G495" s="4"/>
      <c r="H495" s="4"/>
      <c r="I495" s="4"/>
      <c r="J495" s="4" t="str">
        <f t="shared" si="2"/>
        <v/>
      </c>
      <c r="K495" s="4"/>
      <c r="L495" s="4"/>
    </row>
    <row r="496">
      <c r="A496" s="4"/>
      <c r="B496" s="15"/>
      <c r="C496" s="7" t="str">
        <f>IFERROR(__xludf.DUMMYFUNCTION("iferror(iferror(INDEX(IMPORTRANGE(""12vtnxaE_Q1s4tyr10kZQx7ZF_xG0lBFae4jQEUtgsMU"",""All!B2:B""),MATCH($B496,IMPORTRANGE(""12vtnxaE_Q1s4tyr10kZQx7ZF_xG0lBFae4jQEUtgsMU"",""All!A2:A""),0)),INDEX(IMPORTRANGE(""13KC70HngS4DDi8y9E5khtSpQEPG6owaQ9z4E-tR5mnY"","&amp;"""Non-Food!B2:B""),MATCH($B496,IMPORTRANGE(""13KC70HngS4DDi8y9E5khtSpQEPG6owaQ9z4E-tR5mnY"",""Non-Food!A2:A""),0))),"""")"),"")</f>
        <v/>
      </c>
      <c r="D496" s="4"/>
      <c r="E496" s="4"/>
      <c r="F496" s="4"/>
      <c r="G496" s="4"/>
      <c r="H496" s="4"/>
      <c r="I496" s="4"/>
      <c r="J496" s="4" t="str">
        <f t="shared" si="2"/>
        <v/>
      </c>
      <c r="K496" s="4"/>
      <c r="L496" s="4"/>
    </row>
    <row r="497">
      <c r="A497" s="4"/>
      <c r="B497" s="15"/>
      <c r="C497" s="7" t="str">
        <f>IFERROR(__xludf.DUMMYFUNCTION("iferror(iferror(INDEX(IMPORTRANGE(""12vtnxaE_Q1s4tyr10kZQx7ZF_xG0lBFae4jQEUtgsMU"",""All!B2:B""),MATCH($B497,IMPORTRANGE(""12vtnxaE_Q1s4tyr10kZQx7ZF_xG0lBFae4jQEUtgsMU"",""All!A2:A""),0)),INDEX(IMPORTRANGE(""13KC70HngS4DDi8y9E5khtSpQEPG6owaQ9z4E-tR5mnY"","&amp;"""Non-Food!B2:B""),MATCH($B497,IMPORTRANGE(""13KC70HngS4DDi8y9E5khtSpQEPG6owaQ9z4E-tR5mnY"",""Non-Food!A2:A""),0))),"""")"),"")</f>
        <v/>
      </c>
      <c r="D497" s="4"/>
      <c r="E497" s="4"/>
      <c r="F497" s="4"/>
      <c r="G497" s="4"/>
      <c r="H497" s="4"/>
      <c r="I497" s="4"/>
      <c r="J497" s="4" t="str">
        <f t="shared" si="2"/>
        <v/>
      </c>
      <c r="K497" s="4"/>
      <c r="L497" s="4"/>
    </row>
    <row r="498">
      <c r="A498" s="4"/>
      <c r="B498" s="15"/>
      <c r="C498" s="7" t="str">
        <f>IFERROR(__xludf.DUMMYFUNCTION("iferror(iferror(INDEX(IMPORTRANGE(""12vtnxaE_Q1s4tyr10kZQx7ZF_xG0lBFae4jQEUtgsMU"",""All!B2:B""),MATCH($B498,IMPORTRANGE(""12vtnxaE_Q1s4tyr10kZQx7ZF_xG0lBFae4jQEUtgsMU"",""All!A2:A""),0)),INDEX(IMPORTRANGE(""13KC70HngS4DDi8y9E5khtSpQEPG6owaQ9z4E-tR5mnY"","&amp;"""Non-Food!B2:B""),MATCH($B498,IMPORTRANGE(""13KC70HngS4DDi8y9E5khtSpQEPG6owaQ9z4E-tR5mnY"",""Non-Food!A2:A""),0))),"""")"),"")</f>
        <v/>
      </c>
      <c r="D498" s="4"/>
      <c r="E498" s="4"/>
      <c r="F498" s="4"/>
      <c r="G498" s="4"/>
      <c r="H498" s="4"/>
      <c r="I498" s="4"/>
      <c r="J498" s="4" t="str">
        <f t="shared" si="2"/>
        <v/>
      </c>
      <c r="K498" s="4"/>
      <c r="L498" s="4"/>
    </row>
    <row r="499">
      <c r="A499" s="4"/>
      <c r="B499" s="15"/>
      <c r="C499" s="7" t="str">
        <f>IFERROR(__xludf.DUMMYFUNCTION("iferror(iferror(INDEX(IMPORTRANGE(""12vtnxaE_Q1s4tyr10kZQx7ZF_xG0lBFae4jQEUtgsMU"",""All!B2:B""),MATCH($B499,IMPORTRANGE(""12vtnxaE_Q1s4tyr10kZQx7ZF_xG0lBFae4jQEUtgsMU"",""All!A2:A""),0)),INDEX(IMPORTRANGE(""13KC70HngS4DDi8y9E5khtSpQEPG6owaQ9z4E-tR5mnY"","&amp;"""Non-Food!B2:B""),MATCH($B499,IMPORTRANGE(""13KC70HngS4DDi8y9E5khtSpQEPG6owaQ9z4E-tR5mnY"",""Non-Food!A2:A""),0))),"""")"),"")</f>
        <v/>
      </c>
      <c r="D499" s="4"/>
      <c r="E499" s="4"/>
      <c r="F499" s="4"/>
      <c r="G499" s="4"/>
      <c r="H499" s="4"/>
      <c r="I499" s="4"/>
      <c r="J499" s="4" t="str">
        <f t="shared" si="2"/>
        <v/>
      </c>
      <c r="K499" s="4"/>
      <c r="L499" s="4"/>
    </row>
  </sheetData>
  <dataValidations>
    <dataValidation type="decimal" allowBlank="1" showDropDown="1" showInputMessage="1" showErrorMessage="1" prompt="Please enter a number value" sqref="D2:F499">
      <formula1>0.0</formula1>
      <formula2>9999999.0</formula2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75"/>
    <col customWidth="1" min="2" max="2" width="16.88"/>
    <col customWidth="1" min="3" max="3" width="18.25"/>
    <col customWidth="1" min="4" max="4" width="25.5"/>
    <col customWidth="1" min="5" max="5" width="30.5"/>
    <col customWidth="1" min="8" max="8" width="7.38"/>
  </cols>
  <sheetData>
    <row r="1">
      <c r="A1" s="2" t="s">
        <v>397</v>
      </c>
      <c r="B1" s="2" t="s">
        <v>1</v>
      </c>
      <c r="C1" s="2" t="s">
        <v>2</v>
      </c>
      <c r="D1" s="3" t="s">
        <v>35</v>
      </c>
      <c r="E1" s="3" t="s">
        <v>36</v>
      </c>
      <c r="F1" s="2" t="s">
        <v>37</v>
      </c>
      <c r="G1" s="3" t="s">
        <v>38</v>
      </c>
      <c r="H1" s="3" t="s">
        <v>34</v>
      </c>
      <c r="I1" s="3" t="s">
        <v>39</v>
      </c>
      <c r="J1" s="3" t="s">
        <v>41</v>
      </c>
      <c r="K1" s="3" t="s">
        <v>398</v>
      </c>
      <c r="L1" s="3" t="s">
        <v>45</v>
      </c>
      <c r="M1" s="3" t="s">
        <v>6</v>
      </c>
    </row>
    <row r="2">
      <c r="A2" s="5" t="s">
        <v>399</v>
      </c>
      <c r="B2" s="14" t="s">
        <v>400</v>
      </c>
      <c r="C2" s="7" t="str">
        <f>IFERROR(__xludf.DUMMYFUNCTION("iferror(iferror(INDEX(IMPORTRANGE(""12vtnxaE_Q1s4tyr10kZQx7ZF_xG0lBFae4jQEUtgsMU"",""All!B2:B""),MATCH($B2,IMPORTRANGE(""12vtnxaE_Q1s4tyr10kZQx7ZF_xG0lBFae4jQEUtgsMU"",""All!A2:A""),0)),INDEX(IMPORTRANGE(""13KC70HngS4DDi8y9E5khtSpQEPG6owaQ9z4E-tR5mnY"","""&amp;"Non-Food!B2:B""),MATCH($B2,IMPORTRANGE(""13KC70HngS4DDi8y9E5khtSpQEPG6owaQ9z4E-tR5mnY"",""Non-Food!A2:A""),0))),"""")"),"نصف")</f>
        <v>نصف</v>
      </c>
      <c r="D2" s="14"/>
      <c r="E2" s="29"/>
      <c r="F2" s="40">
        <v>30.0</v>
      </c>
      <c r="G2" s="24" t="str">
        <f>IFERROR(__xludf.DUMMYFUNCTION("iferror(iferror(iferror(index(IMPORTRANGE(""1NK5L1mviMn0j3D3uo53ASkIZOFRlLnqaCTnwzOG2_Wg"",""Direct Link!B2:B""),MATCH($B2,IMPORTRANGE(""1NK5L1mviMn0j3D3uo53ASkIZOFRlLnqaCTnwzOG2_Wg"",""Direct Link!A2:A""),0)),XLOOKUP($B2,IMPORTRANGE(""1NK5L1mviMn0j3D3uo5"&amp;"3ASkIZOFRlLnqaCTnwzOG2_Wg"",""Direct links Without Sizes!A2:A""),IMPORTRANGE(""1NK5L1mviMn0j3D3uo53ASkIZOFRlLnqaCTnwzOG2_Wg"",""Direct links Without Sizes!B2:B""))),XLOOKUP($B2,IMPORTRANGE(""1NK5L1mviMn0j3D3uo53ASkIZOFRlLnqaCTnwzOG2_Wg"",""Direct links Wi"&amp;"thout Sizes!D2:D""),IMPORTRANGE(""1NK5L1mviMn0j3D3uo53ASkIZOFRlLnqaCTnwzOG2_Wg"",""Direct links Without Sizes!E2:E""))),"""")"),"")</f>
        <v/>
      </c>
      <c r="H2" s="41"/>
      <c r="I2" s="42"/>
      <c r="J2" s="42"/>
      <c r="K2" s="10" t="str">
        <f t="shared" ref="K2:K947" si="1">IF(OR(COUNTIF($B2:$E2,"*Soya Chaap*"),COUNTIF($B2:$E2,"*Kidney Beans*"),COUNTIF($B2:$E2,"*Hara Bhara*"),COUNTIF($B2:$E2,"*Heartbeat*"),COUNTIF($B2:$E2,"*Ginger Zinger*"),COUNTIF($B2:$E2,"*Eggplanet Kabab*"),COUNTIF($B2:$E2,"*Eggplanet Kebab*"),COUNTIF($B2:$E2,"*Cocktail*"),COUNTIF($B2:$E2,"Tea"),COUNTIF($B2:$E2,"*Soya *"),COUNTIF($B2:$E2,"*Veg Pulao*"),COUNTIF($B2:$E2,"*Planet Paleo Gelatin*"),COUNTIF($B2:$E2,"*Planet Gelatin*"),COUNTIF($B2:$E2,"*Veggie Meat*"),COUNTIF($B2:$E2,"*Veg Meat*"),COUNTIF($B2:$E2,"*Vegtable Meat*"),COUNTIF($B2:$E2,"*Soy meat*"),COUNTIF($B2:$E2,"*Wheat meat*"),COUNTIF($B2:$E2,"*soybean*"),COUNTIF($B2:$E2,"*soy bean*"),COUNTIF($B2:$E2,"*soyabean*"),COUNTIF($B2:$E2,"*soya bean*"),COUNTIF($B2:$E2,"*Seitan*"),COUNTIF($B2:$E2,"*Veggie burger*"),COUNTIF($B2:$E2,"*Soy*")),"veg",IF(OR(COUNTIF($B2:$E2,"*Chicken*"),COUNTIF($B2:$E2,"*Beef*"),COUNTIF($B2:$E2,"*Meat*"),COUNTIF($B2:$E2,"*Fish*"),COUNTIF($B2:$E2,"*Turkey*"),COUNTIF($B2:$E2,"*Lobster*"),COUNTIF($B2:$E2,"*Crab*"),COUNTIF($B2:$E2,"*Squid*"),COUNTIF($B2:$E2,"*Mutton*"),COUNTIF($B2:$E2,"*Lamb*"),COUNTIF($B2:$E2,"*Oaxtail*"),COUNTIF($B2:$E2,"*Trotters*"),COUNTIF($B2:$E2,"*Rip Eye*"),COUNTIF($B2:$E2,"*Shank*"),COUNTIF($B2:$E2,"* Leg *"),COUNTIF($B2:$E2,"*Shoulder*"),COUNTIF($B2:$E2,"*Thigh*"),COUNTIF($B2:$E2,"*Breast*"),COUNTIF($B2:$E2,"*Bone*"),COUNTIF($B2:$E2,"*Belly*"),COUNTIF($B2:$E2,"*Veal*"),COUNTIF($B2:$E2,"*Prawn*"),COUNTIF($B2:$E2,"*Anchovies*"),COUNTIF($B2:$E2,"*Anchovy*"),COUNTIF($B2:$E2,"*Shawrma*"),COUNTIF($B2:$E2,"*Calamari*"),COUNTIF($B2:$E2,"*Seabass*"),COUNTIF($B2:$E2,"*Oyster *"),COUNTIF($B2:$E2,"*Mussel*"),COUNTIF($B2:$E2,"*Sashimi*"),COUNTIF($B2:$E2,"* Wing*"),COUNTIF($B2:$E2,"*Octopus*"),COUNTIF($B2:$E2,"*Salmon*"),COUNTIF($B2:$E2,"*Sardine*"),COUNTIF($B2:$E2,"*Tilapia*"),COUNTIF($B2:$E2,"*Steak*"),COUNTIF($B2:$E2,"*Sujuk*"),COUNTIF($B2:$E2,"*Sausage*"),COUNTIF($B2:$E2,"*Salami*"),COUNTIF($B2:$E2,"*Peperoni*"),COUNTIF($B2:$E2,"*Duck*"),COUNTIF($B2:$E2,"*Quail*"),COUNTIF($B2:$E2,"*Teetar*"),COUNTIF($B2:$E2,"*Pigeon*"),COUNTIF($B2:$E2,"*Tuna*"),COUNTIF($B2:$E2,"*Liver *"),COUNTIF($B2:$E2,"*Buffalo*"),COUNTIF($B2:$E2,"*Hot Dog*"),COUNTIF($B2:$E2,"*Hotdog*"),COUNTIF($B2:$E2,"*Basterma*"),COUNTIF($B2:$E2,"*Pastrami*"),COUNTIF($B2:$E2,"*Dove*"),COUNTIF($B2:$E2,"*Tarab*"),COUNTIF($B2:$E2,"*Ribs*"),COUNTIF($B2:$E2,"*Brain*"),COUNTIF($B2:$E2,"*Mumbar*"),COUNTIF($B2:$E2,"*Mombar*"),COUNTIF($B2:$E2,"*Strips*"),COUNTIF($B2:$E2,"*Goose*"),COUNTIF($B2:$E2,"*Chops*"),COUNTIF($B2:$E2,"*T-Bone*"),COUNTIF($B2:$E2,"*Brisket*"),COUNTIF($B2:$E2,"*Sirloin*"),COUNTIF($B2:$E2,"*Herring*"),COUNTIF($B2:$E2,"*Majboos*"),COUNTIF($B2:$E2,"*Madhbi*"),COUNTIF($B2:$E2,"*Mandi*"),COUNTIF($B2:$E2,"*Kabsa*"),COUNTIF($B2:$E2,"*Hamour*"),COUNTIF($B2:$E2,"*Cod *"),COUNTIF($B2:$E2,"*Haneeth*"),COUNTIF($B2:$E2,"*Zurbian*"),COUNTIF($B2:$E2,"*Oqda*"),COUNTIF($B2:$E2,"*Madfoon*"),COUNTIF($B2:$E2,"*Sheesh Tawook*"),COUNTIF($B2:$E2,"*Khaleej Burger*"),COUNTIF($B2:$E2,"*Chicken Nuggets Burger*"),COUNTIF($B2:$E2,"*Fillet Burger*"),COUNTIF($B2:$E2,"*Mathafi Burger*"),COUNTIF($B2:$E2,"*LAHMEH*"),COUNTIF($B2:$E2,"*SOUJUK*"),COUNTIF($B2:$E2,"*Sheesh Tawooq*"),COUNTIF($B2:$E2,"*Nuggets*"),COUNTIF($B2:$E2,"*Taouk*"),COUNTIF($B2:$E2,"*Tawook*"),COUNTIF($B2:$E2,"*Tawooq*"),COUNTIF($B2:$E2,"*Shawerma*"),COUNTIF($B2:$E2,"*Shrimp*"),COUNTIF($B2:$E2,"*Murg *"),COUNTIF($B2:$E2,"*chargha*"),COUNTIF($B2:$E2,"*Koonthal*"),COUNTIF($B2:$E2,"*Natholi*"),COUNTIF($B2:$E2,"*Kaleji*"),COUNTIF($B2:$E2,"*Kalegi*"),COUNTIF($B2:$E2,"*Keema*"),COUNTIF($B2:$E2,"* Paya *"),COUNTIF($B2:$E2,"*SEABREAM*"),COUNTIF($B2:$E2,"*Seafood*"),COUNTIF($B2:$E2,"*AYALA*"),COUNTIF($B2:$E2,"*Gosht*"),COUNTIF($B2:$E2,"*Nuea *"),COUNTIF($B2:$E2,"*Kaphrao*"),COUNTIF($B2:$E2,"*Gai *"),COUNTIF($B2:$E2,"*Kai *"),COUNTIF($B2:$E2,"*Pet *"),COUNTIF($B2:$E2,"*Maphrao On*"),COUNTIF($B2:$E2,"*Goong*"),COUNTIF($B2:$E2,"*Krathiam*"),COUNTIF($B2:$E2,"*Muek *"),COUNTIF($B2:$E2,"*Pu *"),COUNTIF($B2:$E2,"*Pla *"),COUNTIF($B2:$E2,"*Khao Khluk Kapi*"),COUNTIF($B2:$E2,"*La Tiang*"),COUNTIF($B2:$E2,"*Luk Chin Ping*"),COUNTIF($B2:$E2,"*Calamares*"),COUNTIF($B2:$E2,"*Daing*"),COUNTIF($B2:$E2,"*Tadyang Ng Baka*"),COUNTIF($B2:$E2,"*Tambakol*"),COUNTIF($B2:$E2,"*Lechon Manok*"),COUNTIF($B2:$E2,"*Inihaw Na Atay*"),COUNTIF($B2:$E2,"*Hipon*"),COUNTIF($B2:$E2,"*Mukalkal*"),COUNTIF($B2:$E2,"*Madhfoon*"),COUNTIF($B2:$E2,"*Zurbiyan*"),COUNTIF($B2:$E2,"*Murgh*"),COUNTIF($B2:$E2,"*Zinger*"),COUNTIF($B2:$E2,"*Mathafi*"),COUNTIF($B2:$E2,"*Zinker*"),COUNTIF($B2:$E2,"*Pepperoni*"),COUNTIF($B2:$E2,"*Supreme*"),COUNTIF($B2:$E2,"* Eel *"),COUNTIF($B2:$E2,"*Mackerel*"),COUNTIF($B2:$E2,"*Scallop*"),COUNTIF($B2:$E2,"*Angus*"),COUNTIF($B2:$E2,"*Non. Veg*"),COUNTIF($B2:$E2,"*Non-Veg*"),COUNTIF($B2:$E2,"*Non Veg*"),COUNTIF($B2:$E2,"*Becon*"),COUNTIF($B2:$E2,"*Sea Bream*"),COUNTIF($B2:$E2,"*Sheri*"),COUNTIF($B2:$E2,"*Sherry*"),COUNTIF($B2:$E2,"*Kebab*"),COUNTIF($B2:$E2,"*Joojeh*"),COUNTIF($B2:$E2,"*Kabab*"),COUNTIF($B2:$E2,"*Kobide*"),COUNTIF($B2:$E2,"*koobideh*"),COUNTIF($B2:$E2,"*Buff.*"),COUNTIF($B2:$E2,"*Buff *"),COUNTIF($B2:$E2,"* Buff*"),COUNTIF($B2:$E2,"*MUQALQAL*"),COUNTIF($B2:$E2,"*Kanaad*"),COUNTIF($B2:$E2,"*Jasheed*"),COUNTIF($B2:$E2,"*Kharuf*"),COUNTIF($B2:$E2,"*Palaw*"),COUNTIF($B2:$E2,"*pulao*"),COUNTIF($B2:$E2,"Akkawi"),COUNTIF($B2:$E2,"*Tarb *"),COUNTIF($B2:$E2,"*Daoud Pasha*"),COUNTIF($B2:$E2,"*Muskhan*"),COUNTIF($B2:$E2,"*Kaware*"),COUNTIF($B2:$E2,"*Tom Yum Soup*"),COUNTIF($B2:$E2,"*Cordon Blu*"),COUNTIF($B2:$E2,"*Hawawshi*"),COUNTIF($B2:$E2,"*fillet*"),COUNTIF($B2:$E2,"*roe soup*"),COUNTIF($B2:$E2,"*fajita*"),COUNTIF($B2:$E2,"*lahm*"),COUNTIF($B2:$E2,"*Broasted*"),COUNTIF($B2:$E2,"*Rib *"),COUNTIF($B2:$E2,"*tenderloin*"),COUNTIF($B2:$E2,"*Rabbit*"),COUNTIF($B2:$E2,"*Goat*"),COUNTIF($B2:$E2,"*Venison*"),COUNTIF($B2:$E2,"*Bacon*"),COUNTIF($B2:$E2,"*Oysters*"),COUNTIF($B2:$E2,"*Buff *"),COUNTIF($B2:$E2,"*Bison*"),COUNTIF($B2:$E2,"*Sweetbread*"),COUNTIF($B2:$E2,"*Gizzard*"),COUNTIF($B2:$E2,"*Kidney*"),COUNTIF($B2:$E2,"* Tail *"),COUNTIF($B2:$E2,"*Pancreas*"),COUNTIF($B2:$E2,"*Testicle*"),COUNTIF($B2:$E2,"*Vattichathu*"),COUNTIF($B2:$E2,"*Kappayum*"),COUNTIF($B2:$E2,"*Aadu*"),COUNTIF($B2:$E2,"*Njandu*"),COUNTIF($B2:$E2,"*Nethili*"),COUNTIF($B2:$E2,"*Wayanadan Pothum Kaal*"),COUNTIF($B2:$E2,"*Pothu Palada keech*"),COUNTIF($B2:$E2,"*Chemmeen Choru*"),COUNTIF($B2:$E2,"*koffer*"),COUNTIF($B2:$E2,"*Manthal *"),COUNTIF($B2:$E2,"*Tawa*"),COUNTIF($B2:$E2,"*kozhi*"),COUNTIF($B2:$E2,"*Shawarma*"),COUNTIF($B2:$E2,"*Bolognese*"),COUNTIF($B2:$E2,"*Qeema*"),COUNTIF($B2:$E2,"*Turai Gosht*"),COUNTIF($B2:$E2,"*wagyu*"),COUNTIF($B2:$E2,"*Mortadella*"),COUNTIF($B2:$E2,"*Chevon*"),COUNTIF($B2:$E2,"*Bangus*"),COUNTIF($B2:$E2,"*Milkfish*"),COUNTIF($B2:$E2,"*bangús*"),COUNTIF($B2:$E2,"*Pancit Canton*"),COUNTIF($B2:$E2,"*California Maki*"),COUNTIF($B2:$E2,"*California roll*"),COUNTIF($B2:$E2,"*Tempura Maki*"),COUNTIF($B2:$E2,"*Kinsugi Maki*"),COUNTIF($B2:$E2,"*San Francisco*"),COUNTIF($B2:$E2,"*Haleem*"),COUNTIF($B2:$E2,"*Arayis*"),COUNTIF($B2:$E2,"*Rubyan*"),COUNTIF($B2:$E2,"*Tapsilog*"),COUNTIF($B2:$E2,"*Longsilog*"),COUNTIF($B2:$E2,"*Hotsilog*"),COUNTIF($B2:$E2,"*Bangsilog*"),COUNTIF($B2:$E2,"*Hamsilog*"),COUNTIF($B2:$E2,"*Isaw*"),COUNTIF($B2:$E2,"*Kikiam*"),COUNTIF($B2:$E2,"*Ke Kiam*"),COUNTIF($B2:$E2,"*Bulalo*"),COUNTIF($B2:$E2,"*Pinapaitan*"),COUNTIF($B2:$E2,"*Pininyahang Manok*"),COUNTIF($B2:$E2,"*Mexican Burger*"),COUNTIF($B2:$E2,"*Osso Bucco*"),COUNTIF($B2:$E2,"*Otak Otak*"),COUNTIF($B2:$E2,"*Asam Laksa*"),COUNTIF($B2:$E2,"*Coquilles*"),COUNTIF($B2:$E2,"*Mukozuke*"),COUNTIF($B2:$E2,"*gelatin*"),COUNTIF($B2:$E2,"*Khaleej Double Burger*"),COUNTIF($B2:$E2,"*Takoyaki*"),COUNTIF($B2:$E2,"*Yakitori*")),"non_veg",IF(OR(COUNTIF($B2:$E2,"*Eggless*"),COUNTIF($B2:$E2,"*No Egg*"),COUNTIF($B2:$E2,"*No Eggs*"),COUNTIF($B2:$E2,"*No-Egg*"),COUNTIF($B2:$E2,"*No-Eggs*"),COUNTIF($B2:$E2,"*Zero Egg*"),COUNTIF($B2:$E2,"*Zero Eggs*"),COUNTIF($B2:$E2,"*Zero-Egg*"),COUNTIF($B2:$E2,"*Zero-Eggs*"),COUNTIF($B2:$E2,"*Egg Free*"),COUNTIF($B2:$E2,"*Eggs Free*"),COUNTIF($B2:$E2,"*Egg Free*"),COUNTIF($B2:$E2,"*Egg-Free*")),"veg",IF(OR(COUNTIF($B2:$E2,"* Egg*"),COUNTIF($B2:$E2,"*Egg *"),COUNTIF($B2:$E2,"Egg"),COUNTIF($B2:$E2,"*Eggs *"),COUNTIF($B2:$E2,"* Eggs*"),COUNTIF($B2:$E2,"Eggs"),COUNTIF($B2:$E2,"*Omelette*"),COUNTIF($B2:$E2,"*Yolk*"),COUNTIF($B2:$E2,"*Sunny Side Up*"),COUNTIF($B2:$E2,"*Mutta*"),COUNTIF($B2:$E2,"*Balaleet*"),COUNTIF($B2:$E2,"*Shakshuka*"),COUNTIF($B2:$E2,"*Tortang Talong*"),COUNTIF($B2:$E2,"*Kwek Kwek*"),COUNTIF($B2:$E2,"*Lomi*"),COUNTIF($B2:$E2,"*Motta*"),COUNTIF($B2:$E2,"*Oeuf*"),COUNTIF($B2:$E2,"*Omlet*"),COUNTIF($B2:$E2,"*Omelet*"),COUNTIF($B2:$E2,"*Omlette*")),"egg",IF(OR(COUNTIF($B2:$E2,"*Idly Sambar*"),COUNTIF($B2:$E2,"*Poori Bhaji*"),COUNTIF($B2:$E2,"*Vegetable Burger*"),COUNTIF($B2:$E2,"*Falafel*"),COUNTIF($B2:$E2,"*Palak*"),COUNTIF($B2:$E2,"Gobi*"),COUNTIF($B2:$E2,"*Dal *"),COUNTIF($B2:$E2,"*Anar*"),COUNTIF($B2:$E2,"*Chawal*"),COUNTIF($B2:$E2,"*Pani Puri*"),COUNTIF($B2:$E2,"*Sev Puri*"),COUNTIF($B2:$E2,"*Aloo Gobi*"),COUNTIF($B2:$E2,"*Aloo Jeera*"),COUNTIF($B2:$E2,"*Veggie*"),COUNTIF($B2:$E2,"*Fava Beans*"),COUNTIF($B2:$E2,"*Fool*"),COUNTIF($B2:$E2,"*Foul*"),COUNTIF($B2:$E2,"*Eggplant*"),COUNTIF($B2:$E2,"*cauliflower*"),COUNTIF($B2:$E2,"*Vegetable*"),COUNTIF($B2:$E2,"*Veg.*"),COUNTIF($B2:$E2,"*Egg*"),COUNTIF($B2:$E2,"*margarita*"),COUNTIF($B2:$E2,"*Margherita*"),COUNTIF($B2:$E2,"*Paneer*"),COUNTIF($B2:$E2,"*Cheese*"),COUNTIF($B2:$E2,"*Veg Burger*"),COUNTIF($B2:$E2,"*Aloo*"),COUNTIF($B2:$E2,"*Mutter*"),COUNTIF($B2:$E2,"*Matar*"),COUNTIF($B2:$E2,"*Bhindi*"),COUNTIF($B2:$E2,"*Bhendi*"),COUNTIF($B2:$E2,"*Began*"),COUNTIF($B2:$E2,"*Chole*"),COUNTIF($B2:$E2,"*Arbi*"),COUNTIF($B2:$E2,"*Papad*"),COUNTIF($B2:$E2,"*Rajma*"),COUNTIF($B2:$E2,"*Sooji*"),COUNTIF($B2:$E2,"*Gajar*"),COUNTIF($B2:$E2,"*Gazar*"),COUNTIF($B2:$E2,"*Adraki*"),COUNTIF($B2:$E2,"*Dahi*"),COUNTIF($B2:$E2,"*Pudhina*"),COUNTIF($B2:$E2,"*Kheer*"),COUNTIF($B2:$E2,"*Chukandar*"),COUNTIF($B2:$E2,"*Lauki*"),COUNTIF($B2:$E2,"*Patta Gobhi*"),COUNTIF($B2:$E2,"*Shimla Mirch*"),COUNTIF($B2:$E2,"*Guar Ki Phali*"),COUNTIF($B2:$E2,"*Nariyal*"),COUNTIF($B2:$E2,"*Makai*"),COUNTIF($B2:$E2,"*Bhutta*"),COUNTIF($B2:$E2,"*Kheera*"),COUNTIF($B2:$E2,"*Khumb*"),COUNTIF($B2:$E2,"*Guchhi*"),COUNTIF($B2:$E2,"*Kukkurmutta*"),COUNTIF($B2:$E2,"*Mooli*"),COUNTIF($B2:$E2,"*Moongra*"),COUNTIF($B2:$E2,"*Mogri*"),COUNTIF($B2:$E2,"*Shakarkandi*"),COUNTIF($B2:$E2,"*Tamatar*"),COUNTIF($B2:$E2,"*Dal Makhni*"),COUNTIF($B2:$E2,"* Dal *"),COUNTIF($B2:$E2,"*Dal  *"),COUNTIF($B2:$E2,"*Mushroom Do Pyaza*"),COUNTIF($B2:$E2,"*Channa*"),COUNTIF($B2:$E2,"*Chana Dal*"),COUNTIF($B2:$E2,"*Chana*"),COUNTIF($B2:$E2,"*Baingan*"),COUNTIF($B2:$E2,"*Daeng*"),COUNTIF($B2:$E2,"* Khao*"),COUNTIF($B2:$E2,"*Khao *"),COUNTIF($B2:$E2,"* Kao*"),COUNTIF($B2:$E2,"*Kao *"),COUNTIF($B2:$E2,"*Khao Khai Chiao*"),COUNTIF($B2:$E2,"*Khao Phat*"),COUNTIF($B2:$E2,"*Khao Tom Kui*"),COUNTIF($B2:$E2,"*Bami Mu Daeng*"),COUNTIF($B2:$E2,"*Tom Chuet*"),COUNTIF($B2:$E2,"*Phat Phak Ruam*"),COUNTIF($B2:$E2,"*Por Pia Tod*"),countif($B2:$E2,"*Veg*"),COUNTIF($B2:$E2,"*Kamatis*"),COUNTIF($B2:$E2,"*Kamote*"),COUNTIF($B2:$E2,"*Kanin*"),COUNTIF($B2:$E2,"*Sinangag*"),COUNTIF($B2:$E2,"*Talong Ensalada*"),COUNTIF($B2:$E2,"*Karela*"),COUNTIF($B2:$E2,"*Idli*"),COUNTIF($B2:$E2,"*idly *"),COUNTIF($B2:$E2,"*Masala Dosa*"),COUNTIF($B2:$E2,"*Plain Dosa*"),COUNTIF($B2:$E2,"*Onion Dosa*"),COUNTIF($B2:$E2,"*Onion Rava Dosa*"),COUNTIF($B2:$E2,"*Rava Dosa*"),COUNTIF($B2:$E2,"*Pongal*"),COUNTIF($B2:$E2,"*Upma*"),COUNTIF($B2:$E2,"*Thattu dosai*"),COUNTIF($B2:$E2,"*Ghee Rice *"),COUNTIF($B2:$E2,"*Peas Pulao *"),COUNTIF($B2:$E2,"*Methu Vadai*"),COUNTIF($B2:$E2,"*Masala Vadai*"),COUNTIF($B2:$E2,"*Bonda*"),COUNTIF($B2:$E2,"*Bajji*"),COUNTIF($B2:$E2,"*Mixed Sundal*"),COUNTIF($B2:$E2,"*Coconut Rice*"),COUNTIF($B2:$E2,"*Maska Pav *"),COUNTIF($B2:$E2,"*Stuffed Mushroom Masala*"),COUNTIF($B2:$E2,"*Methi Chaman Kashmiri*"),COUNTIF($B2:$E2,"*Mushroom Butter Masala*"),COUNTIF($B2:$E2,"*Mushroom Hara Pyaz*"),COUNTIF($B2:$E2,"*Bhuna Mushroom*"),COUNTIF($B2:$E2,"*Kadai Mushroom*"),COUNTIF($B2:$E2,"*Baby Corn Mushroom Masala*"),COUNTIF($B2:$E2,"*Baby Corn Chatpata*"),COUNTIF($B2:$E2,"*Kadai Baby Corn*"),COUNTIF($B2:$E2,"*Corn Bhurjee*"),COUNTIF($B2:$E2,"*Malai Kofta*"),COUNTIF($B2:$E2,"*Navratan Korma*"),COUNTIF($B2:$E2,"*Diwani Handi*"),COUNTIF($B2:$E2,"*Kadai Gobi*"),COUNTIF($B2:$E2,"*Sarson Ka Saag*"),COUNTIF($B2:$E2,"*Tabbouleh*"),COUNTIF($B2:$E2,"*Fattoush*"),COUNTIF($B2:$E2,"*Tabouleh*"),COUNTIF($B2:$E2,"*Tabbouli*"),COUNTIF($B2:$E2,"*Tabouli*"),COUNTIF($B2:$E2,"*Taboulah*"),COUNTIF($B2:$E2,"*Arabic Salad*"),COUNTIF($B2:$E2,"*Green Salad*"),COUNTIF($B2:$E2,"*Papaya Salad*"),COUNTIF($B2:$E2,"*Hummus Salad*"),COUNTIF($B2:$E2,"*Corn Slaw Salad*"),COUNTIF($B2:$E2,"*Cucumber Salad*"),COUNTIF($B2:$E2,"*Rocca Salad*"),COUNTIF($B2:$E2,"*Arugula Salad*"),COUNTIF($B2:$E2,"*KAL Dosai*"),COUNTIF($B2:$E2,"*Sambar*"),COUNTIF($B2:$E2,"*Kidney Beans*"),COUNTIF($B2:$E2,"*Greek Salad*"),COUNTIF($B2:$E2,"*Quinoa Salad*"),COUNTIF($B2:$E2,"*Biryani*"),COUNTIF($B2:$E2,"*Noodle*"),COUNTIF($B2:$E2,"*Rice*"),COUNTIF($B2:$E2,"Fries"),COUNTIF($B2:$E2,"French Fries"),COUNTIF($B2:$E2,"*Rocket Salad*"),COUNTIF($B2:$E2,"*Baba ghanouj*"),COUNTIF($B2:$E2,"*Baba ghanoush*"),COUNTIF($B2:$E2,"*Soya Chaap*"),COUNTIF($B2:$E2,"*Bhindi do Pyaaza*"),COUNTIF($B2:$E2,"*Corn Capsicum Masala*"),COUNTIF($B2:$E2,"*Bhuna Mushrooms*"),COUNTIF($B2:$E2,"*Akkawi Cheese*"),COUNTIF($B2:$E2,"*Tomato Ginger soup*"),COUNTIF($B2:$E2,"*Lemon Coriander*"),COUNTIF($B2:$E2,"*Puttu*"),COUNTIF($B2:$E2,"*Appam*"),COUNTIF($B2:$E2,"*Fettuccine*"),COUNTIF($B2:$E2,"*Pasta*"),COUNTIF($B2:$E2,"*ACAI*"),COUNTIF($B2:$E2,"*Omelette*"),COUNTIF($B2:$E2,"*fatoush*"),COUNTIF($B2:$E2,"*corn*"),COUNTIF($B2:$E2,"*Potato*"),COUNTIF($B2:$E2,"*Onion Ring*"),COUNTIF($B2:$E2,"*Broccoli*"),COUNTIF($B2:$E2,"*Spaghetti*"),COUNTIF($B2:$E2,"*Pazham Pori*"),COUNTIF($B2:$E2,"*Ela Ada*"),COUNTIF($B2:$E2,"*Parippu*"),COUNTIF($B2:$E2,"*uzhunnu*"),COUNTIF($B2:$E2,"*Vada*"),COUNTIF($B2:$E2,"*Garelu*"),COUNTIF($B2:$E2,"*Pazham Nirachathu*"),COUNTIF($B2:$E2,"*Unnakai*"),COUNTIF($B2:$E2,"*Kozhukatta*"),COUNTIF($B2:$E2,"*Kadala*"),COUNTIF($B2:$E2,"*Uttapam*"),COUNTIF($B2:$E2,"*Dosa*"),COUNTIF($B2:$E2,"*Fries"),COUNTIF($B2:$E2,"*Daal Makhni*"),COUNTIF($B2:$E2,"*Dhokla*"),COUNTIF($B2:$E2,"*Fulka*"),COUNTIF($B2:$E2,"*puri*"),COUNTIF($B2:$E2,"*Aloo Rasawala*"),COUNTIF($B2:$E2,"*Kathol*"),COUNTIF($B2:$E2,"*Kadhi*"),COUNTIF($B2:$E2,"*pickle*"),COUNTIF($B2:$E2,"*Sabji*"),COUNTIF($B2:$E2,"*Poori*"),COUNTIF($B2:$E2,"*Phulka*"),COUNTIF($B2:$E2,"*Mango*"),COUNTIF($B2:$E2,"*Apple*"),COUNTIF($B2:$E2,"*Banana*"),COUNTIF($B2:$E2,"*Orange*"),COUNTIF($B2:$E2,"*Grape*"),COUNTIF($B2:$E2,"*Strawberry*"),COUNTIF($B2:$E2,"*Lemon*"),COUNTIF($B2:$E2,"*Lime*"),COUNTIF($B2:$E2,"*Grapefruit*"),COUNTIF($B2:$E2,"*Tangerine*"),COUNTIF($B2:$E2,"*Pineapple*"),COUNTIF($B2:$E2,"*Papaya*"),COUNTIF($B2:$E2,"*Coconut*"),COUNTIF($B2:$E2,"*Blueberry*"),COUNTIF($B2:$E2,"*Raspberry*"),COUNTIF($B2:$E2,"*Blackberry*"),COUNTIF($B2:$E2,"*Cranberry*"),COUNTIF($B2:$E2,"*Peach*"),COUNTIF($B2:$E2,"*Plum*"),COUNTIF($B2:$E2,"*Cherry*"),COUNTIF($B2:$E2,"*Apricot*"),COUNTIF($B2:$E2,"*Watermelon*"),COUNTIF($B2:$E2,"*Cantaloupe*"),COUNTIF($B2:$E2,"*Honeydew*"),COUNTIF($B2:$E2,"*Dragon Fruit*"),COUNTIF($B2:$E2,"*Durian*"),COUNTIF($B2:$E2,"*Rambutan*"),COUNTIF($B2:$E2,"*Lychee*"),COUNTIF($B2:$E2,"*Passionfruit*"),COUNTIF($B2:$E2,"*Guava*"),COUNTIF($B2:$E2,"*Coffee*"),COUNTIF($B2:$E2,"*Espresso*"),COUNTIF($B2:$E2,"*Karak*"),COUNTIF($B2:$E2,"*Sugarcane*"),COUNTIF($B2:$E2,"*avocado*"),COUNTIF($B2:$E2,"*Granola*"),COUNTIF($B2:$E2,"*Kiwi*"),COUNTIF($B2:$E2,"*strawberries*"),COUNTIF($B2:$E2,"*nutella*"),COUNTIF($B2:$E2,"*berries*"),COUNTIF($B2:$E2,"*ice cream *"),COUNTIF($B2:$E2,"*Rockmelon*"),COUNTIF($B2:$E2,"*Bagara Khana Dalcha*"),COUNTIF($B2:$E2,"*Pomegranate*"),COUNTIF($B2:$E2,"*Suji ka Halwa*"),COUNTIF($B2:$E2,"*Chapathi*"),COUNTIF($B2:$E2,"*Veggies*"),COUNTIF($B2:$E2,"*Masoob*"),COUNTIF($B2:$E2,"*Shake*"),COUNTIF($B2:$E2,"*Passion Fruit*"),COUNTIF($B2:$E2,"*Fruit Salad*"),COUNTIF($B2:$E2,"*Lucknow*"),COUNTIF($B2:$E2,"*Kulfi*"),COUNTIF($B2:$E2,"*Sundae*"),COUNTIF($B2:$E2,"*Milk*"),COUNTIF($B2:$E2,"*Chocolate*"),COUNTIF($B2:$E2,"*Ice Cream*"),COUNTIF($B2:$E2,"*Fruit*"),COUNTIF($B2:$E2,"*Jelly*"),COUNTIF($B2:$E2,"*Custard*"),COUNTIF($B2:$E2,"*Green Salaad*"),COUNTIF($B2:$E2,"*Hummus*"),COUNTIF($B2:$E2,"*Garlic Paste*"),COUNTIF($B2:$E2,"*Lentil*"),COUNTIF($B2:$E2,"*Tomato Cream Soup*"),COUNTIF($B2:$E2,"*Naan*"),COUNTIF($B2:$E2,"*Tandoori Roti*"),COUNTIF($B2:$E2,"*Gulab Jamun*"),COUNTIF($B2:$E2,"*Papri Chaat*"),COUNTIF($B2:$E2,"*Nescafe*"),COUNTIF($B2:$E2,"*Kraft*"),COUNTIF($B2:$E2,"*Labna*"),COUNTIF($B2:$E2,"*Carrot*"),COUNTIF($B2:$E2,"*Kunafa*"),COUNTIF($B2:$E2,"*cappuccino*"),COUNTIF($B2:$E2,"*Mocha*"),COUNTIF($B2:$E2,"*Mutabal*"),COUNTIF($B2:$E2,"*Sweet Melon*"),COUNTIF($B2:$E2,"*Sahlab*"),COUNTIF($B2:$E2,"*Mojito*"),COUNTIF($B2:$E2,"*Mohito*"),COUNTIF($B2:$E2,"*Ayran*"),COUNTIF($B2:$E2,"*Tomato Soup*"),COUNTIF($B2:$E2,"*Mushroom Masala*"),COUNTIF($B2:$E2,"Mushroom"),COUNTIF($B2:$E2,"*Chapati*"),COUNTIF($B2:$E2,"*Kerala Paratha*"),COUNTIF($B2:$E2,"*Wheat Paratha*"),COUNTIF($B2:$E2,"*Butter Roti*"),COUNTIF($B2:$E2,"*Latte*"),COUNTIF($B2:$E2,"*Americano*"),COUNTIF($B2:$E2,"*Macchiato*"),COUNTIF($B2:$E2,"*Pahadi Paratha*"),COUNTIF($B2:$E2,"*Masala Tea*"),COUNTIF($B2:$E2,"*Kachumber*"),COUNTIF($B2:$E2,"*Onion Salad*"),COUNTIF($B2:$E2,"*Plain Yogurt*"),COUNTIF($B2:$E2,"*Masala Raita*"),COUNTIF($B2:$E2,"*Boondi Raita*"),COUNTIF($B2:$E2,"*Ghee Roast*"),COUNTIF($B2:$E2,"*Kerala Parotta*"),COUNTIF($B2:$E2,"*Wheat Parotta*"),COUNTIF($B2:$E2,"*Ari Oratti*"),COUNTIF($B2:$E2,"*Green Peas Curry*"),COUNTIF($B2:$E2,"Garlic Sauce"),COUNTIF($B2:$E2,"*Sulaimani*"),COUNTIF($B2:$E2,"Salad"),COUNTIF($B2:$E2,"*Ulli Pakoda*"),COUNTIF($B2:$E2,"*Barik*"),COUNTIF($B2:$E2,"*Rasam*"),COUNTIF($B2:$E2,"*Aviyal*"),COUNTIF($B2:$E2,"*Erriserry*"),COUNTIF($B2:$E2,"* Moru *"),COUNTIF($B2:$E2,"*buttermilk*"),COUNTIF($B2:$E2,"* tofu *"),COUNTIF($B2:$E2,"*Misal*"),COUNTIF($B2:$E2,"*Batata*"),COUNTIF($B2:$E2,"*Kanda*"),COUNTIF($B2:$E2,"*Dabeli*"),COUNTIF($B2:$E2,"*Farsan*"),COUNTIF($B2:$E2,"* Pav *"),COUNTIF($B2:$E2,"*Matcha*"),COUNTIF($B2:$E2,"*Hojicha*"),COUNTIF($B2:$E2,"*Hot Chocolate*"),COUNTIF($B2:$E2,"*Chamomile*"),COUNTIF($B2:$E2,"*Earl Grey*"),COUNTIF($B2:$E2,"*Green Tea*"),COUNTIF($B2:$E2,"*Café*"),COUNTIF($B2:$E2,"*Cortado*"),COUNTIF($B2:$E2,"*Piccolo*"),COUNTIF($B2:$E2,"*Flat White*"),COUNTIF($B2:$E2,"*Pina Colada*"),COUNTIF($B2:$E2,"*Baguette*"),COUNTIF($B2:$E2,"*Shou Main*"),COUNTIF($B2:$E2,"*Laksa Soup*"),COUNTIF($B2:$E2,"*Nyonya Laksa*"),COUNTIF($B2:$E2,"*Sorbet*"),COUNTIF($B2:$E2,"*Fromage*"),COUNTIF($B2:$E2,"*Su-zakana*"),COUNTIF($B2:$E2,"*Mizumono*"),COUNTIF($B2:$E2,"*plant-based*"),COUNTIF($B2:$E2,"*Pasta Primavera*"),COUNTIF($B2:$E2,"*Paneer*"),COUNTIF($B2:$E2,"* Tart *"),COUNTIF($B2:$E2,"*Cake*"),COUNTIF($B2:$E2,"*Biscuit*"),COUNTIF($B2:$E2,"*Eclair*"),COUNTIF($B2:$E2,"*Cream Puff*"),COUNTIF($B2:$E2,"*Choux Pastry*"),COUNTIF($B2:$E2,"*Custard Pie*"),COUNTIF($B2:$E2,"*Cookie*"),COUNTIF($B2:$E2,"*Galettes*"),COUNTIF($B2:$E2,"*Lemon Bar*"),COUNTIF($B2:$E2,"*Vanilla Slice*"),COUNTIF($B2:$E2,"*Pavlova*"),COUNTIF($B2:$E2,"*French Silk Pie*"),COUNTIF($B2:$E2,"*Semifreddo*"),COUNTIF($B2:$E2,"*Croissant*"),COUNTIF($B2:$E2,"*Brioche*"),COUNTIF($B2:$E2,"*Bostock*"),COUNTIF($B2:$E2,"*Paris-Brest*"),COUNTIF($B2:$E2,"*Choux au Craquelin*"),COUNTIF($B2:$E2,"*Chouquettes*"),COUNTIF($B2:$E2,"*Profiteroles*"),COUNTIF($B2:$E2,"*Puff Pastry*"),COUNTIF($B2:$E2,"*Sweet Crepe*"),COUNTIF($B2:$E2,"*Pâte Sucrée*"),COUNTIF($B2:$E2,"*Marzipan*"),COUNTIF($B2:$E2,"*Nougat*"),COUNTIF($B2:$E2,"*Mayonnaise*"),COUNTIF($B2:$E2,"*Pate Sucree*"),COUNTIF($B2:$E2,"*Creme Brulee*"),COUNTIF($B2:$E2,"*Paris Brest*"),COUNTIF($B2:$E2,"*Jabab*"),COUNTIF($B2:$E2,"*Carrot Cake*"),COUNTIF($B2:$E2,"*Waffle*"),COUNTIF($B2:$E2,"Crepe"),COUNTIF($B2:$E2,"*Sherbet*"),COUNTIF($B2:$E2,"*Bhature*"),COUNTIF($B2:$E2,"*Bhatura*"),COUNTIF($B2:$E2,"*Tea"),COUNTIF($B2:$E2,"*Mozzarella Sticks*"),COUNTIF($B2:$E2,"*Muhalabia*"),COUNTIF($B2:$E2,"*Horlicks*"),COUNTIF($B2:$E2,"*Crinkle Cut Chips*"),COUNTIF($B2:$E2,"*Chikoo*"),COUNTIF($B2:$E2,"*Sapodilla*"),COUNTIF($B2:$E2,"*Affogato*"),COUNTIF($B2:$E2,"*Hibiscus*"),COUNTIF($B2:$E2,"*V60*"),COUNTIF($B2:$E2,"*frappe*"),COUNTIF($B2:$E2,"*Gelato*"),COUNTIF($B2:$E2,"*Pistachio*")),"veg","")))))</f>
        <v/>
      </c>
      <c r="L2" s="10"/>
      <c r="M2" s="10" t="str">
        <f t="shared" ref="M2:M947" si="2">IF(B2&lt;&gt;"","1","")</f>
        <v>1</v>
      </c>
    </row>
    <row r="3">
      <c r="A3" s="5" t="s">
        <v>401</v>
      </c>
      <c r="B3" s="14" t="s">
        <v>402</v>
      </c>
      <c r="C3" s="7" t="str">
        <f>IFERROR(__xludf.DUMMYFUNCTION("iferror(iferror(INDEX(IMPORTRANGE(""12vtnxaE_Q1s4tyr10kZQx7ZF_xG0lBFae4jQEUtgsMU"",""All!B2:B""),MATCH($B3,IMPORTRANGE(""12vtnxaE_Q1s4tyr10kZQx7ZF_xG0lBFae4jQEUtgsMU"",""All!A2:A""),0)),INDEX(IMPORTRANGE(""13KC70HngS4DDi8y9E5khtSpQEPG6owaQ9z4E-tR5mnY"","""&amp;"Non-Food!B2:B""),MATCH($B3,IMPORTRANGE(""13KC70HngS4DDi8y9E5khtSpQEPG6owaQ9z4E-tR5mnY"",""Non-Food!A2:A""),0))),"""")"),"كامل")</f>
        <v>كامل</v>
      </c>
      <c r="D3" s="14"/>
      <c r="E3" s="29"/>
      <c r="F3" s="22">
        <v>54.0</v>
      </c>
      <c r="G3" s="24" t="str">
        <f>IFERROR(__xludf.DUMMYFUNCTION("iferror(iferror(iferror(index(IMPORTRANGE(""1NK5L1mviMn0j3D3uo53ASkIZOFRlLnqaCTnwzOG2_Wg"",""Direct Link!B2:B""),MATCH($B3,IMPORTRANGE(""1NK5L1mviMn0j3D3uo53ASkIZOFRlLnqaCTnwzOG2_Wg"",""Direct Link!A2:A""),0)),XLOOKUP($B3,IMPORTRANGE(""1NK5L1mviMn0j3D3uo5"&amp;"3ASkIZOFRlLnqaCTnwzOG2_Wg"",""Direct links Without Sizes!A2:A""),IMPORTRANGE(""1NK5L1mviMn0j3D3uo53ASkIZOFRlLnqaCTnwzOG2_Wg"",""Direct links Without Sizes!B2:B""))),XLOOKUP($B3,IMPORTRANGE(""1NK5L1mviMn0j3D3uo53ASkIZOFRlLnqaCTnwzOG2_Wg"",""Direct links Wi"&amp;"thout Sizes!D2:D""),IMPORTRANGE(""1NK5L1mviMn0j3D3uo53ASkIZOFRlLnqaCTnwzOG2_Wg"",""Direct links Without Sizes!E2:E""))),"""")"),"")</f>
        <v/>
      </c>
      <c r="H3" s="41"/>
      <c r="I3" s="42"/>
      <c r="J3" s="42"/>
      <c r="K3" s="10" t="str">
        <f t="shared" si="1"/>
        <v/>
      </c>
      <c r="L3" s="10"/>
      <c r="M3" s="10" t="str">
        <f t="shared" si="2"/>
        <v>1</v>
      </c>
    </row>
    <row r="4">
      <c r="A4" s="5" t="s">
        <v>403</v>
      </c>
      <c r="B4" s="14" t="s">
        <v>400</v>
      </c>
      <c r="C4" s="7" t="s">
        <v>404</v>
      </c>
      <c r="D4" s="14"/>
      <c r="E4" s="29"/>
      <c r="F4" s="40">
        <v>30.0</v>
      </c>
      <c r="G4" s="24" t="str">
        <f>IFERROR(__xludf.DUMMYFUNCTION("iferror(iferror(iferror(index(IMPORTRANGE(""1NK5L1mviMn0j3D3uo53ASkIZOFRlLnqaCTnwzOG2_Wg"",""Direct Link!B2:B""),MATCH($B4,IMPORTRANGE(""1NK5L1mviMn0j3D3uo53ASkIZOFRlLnqaCTnwzOG2_Wg"",""Direct Link!A2:A""),0)),XLOOKUP($B4,IMPORTRANGE(""1NK5L1mviMn0j3D3uo5"&amp;"3ASkIZOFRlLnqaCTnwzOG2_Wg"",""Direct links Without Sizes!A2:A""),IMPORTRANGE(""1NK5L1mviMn0j3D3uo53ASkIZOFRlLnqaCTnwzOG2_Wg"",""Direct links Without Sizes!B2:B""))),XLOOKUP($B4,IMPORTRANGE(""1NK5L1mviMn0j3D3uo53ASkIZOFRlLnqaCTnwzOG2_Wg"",""Direct links Wi"&amp;"thout Sizes!D2:D""),IMPORTRANGE(""1NK5L1mviMn0j3D3uo53ASkIZOFRlLnqaCTnwzOG2_Wg"",""Direct links Without Sizes!E2:E""))),"""")"),"")</f>
        <v/>
      </c>
      <c r="H4" s="41"/>
      <c r="I4" s="42"/>
      <c r="J4" s="42"/>
      <c r="K4" s="10" t="str">
        <f t="shared" si="1"/>
        <v/>
      </c>
      <c r="L4" s="10"/>
      <c r="M4" s="10" t="str">
        <f t="shared" si="2"/>
        <v>1</v>
      </c>
    </row>
    <row r="5">
      <c r="A5" s="5" t="s">
        <v>405</v>
      </c>
      <c r="B5" s="14" t="s">
        <v>402</v>
      </c>
      <c r="C5" s="7" t="s">
        <v>406</v>
      </c>
      <c r="D5" s="14"/>
      <c r="E5" s="29"/>
      <c r="F5" s="22">
        <v>60.0</v>
      </c>
      <c r="G5" s="24" t="str">
        <f>IFERROR(__xludf.DUMMYFUNCTION("iferror(iferror(iferror(index(IMPORTRANGE(""1NK5L1mviMn0j3D3uo53ASkIZOFRlLnqaCTnwzOG2_Wg"",""Direct Link!B2:B""),MATCH($B5,IMPORTRANGE(""1NK5L1mviMn0j3D3uo53ASkIZOFRlLnqaCTnwzOG2_Wg"",""Direct Link!A2:A""),0)),XLOOKUP($B5,IMPORTRANGE(""1NK5L1mviMn0j3D3uo5"&amp;"3ASkIZOFRlLnqaCTnwzOG2_Wg"",""Direct links Without Sizes!A2:A""),IMPORTRANGE(""1NK5L1mviMn0j3D3uo53ASkIZOFRlLnqaCTnwzOG2_Wg"",""Direct links Without Sizes!B2:B""))),XLOOKUP($B5,IMPORTRANGE(""1NK5L1mviMn0j3D3uo53ASkIZOFRlLnqaCTnwzOG2_Wg"",""Direct links Wi"&amp;"thout Sizes!D2:D""),IMPORTRANGE(""1NK5L1mviMn0j3D3uo53ASkIZOFRlLnqaCTnwzOG2_Wg"",""Direct links Without Sizes!E2:E""))),"""")"),"")</f>
        <v/>
      </c>
      <c r="H5" s="41"/>
      <c r="I5" s="42"/>
      <c r="J5" s="42"/>
      <c r="K5" s="10" t="str">
        <f t="shared" si="1"/>
        <v/>
      </c>
      <c r="L5" s="10"/>
      <c r="M5" s="10" t="str">
        <f t="shared" si="2"/>
        <v>1</v>
      </c>
    </row>
    <row r="6">
      <c r="A6" s="5" t="s">
        <v>407</v>
      </c>
      <c r="B6" s="14" t="s">
        <v>400</v>
      </c>
      <c r="C6" s="7" t="s">
        <v>404</v>
      </c>
      <c r="D6" s="14"/>
      <c r="E6" s="29"/>
      <c r="F6" s="40">
        <v>36.0</v>
      </c>
      <c r="G6" s="24" t="str">
        <f>IFERROR(__xludf.DUMMYFUNCTION("iferror(iferror(iferror(index(IMPORTRANGE(""1NK5L1mviMn0j3D3uo53ASkIZOFRlLnqaCTnwzOG2_Wg"",""Direct Link!B2:B""),MATCH($B6,IMPORTRANGE(""1NK5L1mviMn0j3D3uo53ASkIZOFRlLnqaCTnwzOG2_Wg"",""Direct Link!A2:A""),0)),XLOOKUP($B6,IMPORTRANGE(""1NK5L1mviMn0j3D3uo5"&amp;"3ASkIZOFRlLnqaCTnwzOG2_Wg"",""Direct links Without Sizes!A2:A""),IMPORTRANGE(""1NK5L1mviMn0j3D3uo53ASkIZOFRlLnqaCTnwzOG2_Wg"",""Direct links Without Sizes!B2:B""))),XLOOKUP($B6,IMPORTRANGE(""1NK5L1mviMn0j3D3uo53ASkIZOFRlLnqaCTnwzOG2_Wg"",""Direct links Wi"&amp;"thout Sizes!D2:D""),IMPORTRANGE(""1NK5L1mviMn0j3D3uo53ASkIZOFRlLnqaCTnwzOG2_Wg"",""Direct links Without Sizes!E2:E""))),"""")"),"")</f>
        <v/>
      </c>
      <c r="H6" s="41"/>
      <c r="I6" s="42"/>
      <c r="J6" s="42"/>
      <c r="K6" s="10" t="str">
        <f t="shared" si="1"/>
        <v/>
      </c>
      <c r="L6" s="10"/>
      <c r="M6" s="10" t="str">
        <f t="shared" si="2"/>
        <v>1</v>
      </c>
    </row>
    <row r="7">
      <c r="A7" s="5" t="s">
        <v>408</v>
      </c>
      <c r="B7" s="14" t="s">
        <v>402</v>
      </c>
      <c r="C7" s="7" t="s">
        <v>406</v>
      </c>
      <c r="D7" s="14"/>
      <c r="E7" s="29"/>
      <c r="F7" s="40">
        <v>60.0</v>
      </c>
      <c r="G7" s="24" t="str">
        <f>IFERROR(__xludf.DUMMYFUNCTION("iferror(iferror(iferror(index(IMPORTRANGE(""1NK5L1mviMn0j3D3uo53ASkIZOFRlLnqaCTnwzOG2_Wg"",""Direct Link!B2:B""),MATCH($B7,IMPORTRANGE(""1NK5L1mviMn0j3D3uo53ASkIZOFRlLnqaCTnwzOG2_Wg"",""Direct Link!A2:A""),0)),XLOOKUP($B7,IMPORTRANGE(""1NK5L1mviMn0j3D3uo5"&amp;"3ASkIZOFRlLnqaCTnwzOG2_Wg"",""Direct links Without Sizes!A2:A""),IMPORTRANGE(""1NK5L1mviMn0j3D3uo53ASkIZOFRlLnqaCTnwzOG2_Wg"",""Direct links Without Sizes!B2:B""))),XLOOKUP($B7,IMPORTRANGE(""1NK5L1mviMn0j3D3uo53ASkIZOFRlLnqaCTnwzOG2_Wg"",""Direct links Wi"&amp;"thout Sizes!D2:D""),IMPORTRANGE(""1NK5L1mviMn0j3D3uo53ASkIZOFRlLnqaCTnwzOG2_Wg"",""Direct links Without Sizes!E2:E""))),"""")"),"")</f>
        <v/>
      </c>
      <c r="H7" s="41"/>
      <c r="I7" s="43"/>
      <c r="J7" s="42"/>
      <c r="K7" s="10" t="str">
        <f t="shared" si="1"/>
        <v/>
      </c>
      <c r="L7" s="10"/>
      <c r="M7" s="10" t="str">
        <f t="shared" si="2"/>
        <v>1</v>
      </c>
    </row>
    <row r="8">
      <c r="A8" s="5" t="s">
        <v>409</v>
      </c>
      <c r="B8" s="14" t="s">
        <v>400</v>
      </c>
      <c r="C8" s="7" t="s">
        <v>404</v>
      </c>
      <c r="D8" s="15"/>
      <c r="E8" s="15"/>
      <c r="F8" s="40">
        <v>35.0</v>
      </c>
      <c r="G8" s="24" t="str">
        <f>IFERROR(__xludf.DUMMYFUNCTION("iferror(iferror(iferror(index(IMPORTRANGE(""1NK5L1mviMn0j3D3uo53ASkIZOFRlLnqaCTnwzOG2_Wg"",""Direct Link!B2:B""),MATCH($B8,IMPORTRANGE(""1NK5L1mviMn0j3D3uo53ASkIZOFRlLnqaCTnwzOG2_Wg"",""Direct Link!A2:A""),0)),XLOOKUP($B8,IMPORTRANGE(""1NK5L1mviMn0j3D3uo5"&amp;"3ASkIZOFRlLnqaCTnwzOG2_Wg"",""Direct links Without Sizes!A2:A""),IMPORTRANGE(""1NK5L1mviMn0j3D3uo53ASkIZOFRlLnqaCTnwzOG2_Wg"",""Direct links Without Sizes!B2:B""))),XLOOKUP($B8,IMPORTRANGE(""1NK5L1mviMn0j3D3uo53ASkIZOFRlLnqaCTnwzOG2_Wg"",""Direct links Wi"&amp;"thout Sizes!D2:D""),IMPORTRANGE(""1NK5L1mviMn0j3D3uo53ASkIZOFRlLnqaCTnwzOG2_Wg"",""Direct links Without Sizes!E2:E""))),"""")"),"")</f>
        <v/>
      </c>
      <c r="H8" s="41"/>
      <c r="I8" s="43"/>
      <c r="J8" s="42"/>
      <c r="K8" s="10" t="str">
        <f t="shared" si="1"/>
        <v/>
      </c>
      <c r="L8" s="10"/>
      <c r="M8" s="10" t="str">
        <f t="shared" si="2"/>
        <v>1</v>
      </c>
    </row>
    <row r="9">
      <c r="A9" s="5" t="s">
        <v>410</v>
      </c>
      <c r="B9" s="14" t="s">
        <v>402</v>
      </c>
      <c r="C9" s="7" t="s">
        <v>406</v>
      </c>
      <c r="D9" s="15"/>
      <c r="E9" s="15"/>
      <c r="F9" s="22">
        <v>60.0</v>
      </c>
      <c r="G9" s="24" t="str">
        <f>IFERROR(__xludf.DUMMYFUNCTION("iferror(iferror(iferror(index(IMPORTRANGE(""1NK5L1mviMn0j3D3uo53ASkIZOFRlLnqaCTnwzOG2_Wg"",""Direct Link!B2:B""),MATCH($B9,IMPORTRANGE(""1NK5L1mviMn0j3D3uo53ASkIZOFRlLnqaCTnwzOG2_Wg"",""Direct Link!A2:A""),0)),XLOOKUP($B9,IMPORTRANGE(""1NK5L1mviMn0j3D3uo5"&amp;"3ASkIZOFRlLnqaCTnwzOG2_Wg"",""Direct links Without Sizes!A2:A""),IMPORTRANGE(""1NK5L1mviMn0j3D3uo53ASkIZOFRlLnqaCTnwzOG2_Wg"",""Direct links Without Sizes!B2:B""))),XLOOKUP($B9,IMPORTRANGE(""1NK5L1mviMn0j3D3uo53ASkIZOFRlLnqaCTnwzOG2_Wg"",""Direct links Wi"&amp;"thout Sizes!D2:D""),IMPORTRANGE(""1NK5L1mviMn0j3D3uo53ASkIZOFRlLnqaCTnwzOG2_Wg"",""Direct links Without Sizes!E2:E""))),"""")"),"")</f>
        <v/>
      </c>
      <c r="H9" s="41"/>
      <c r="I9" s="42"/>
      <c r="J9" s="42"/>
      <c r="K9" s="10" t="str">
        <f t="shared" si="1"/>
        <v/>
      </c>
      <c r="L9" s="10"/>
      <c r="M9" s="10" t="str">
        <f t="shared" si="2"/>
        <v>1</v>
      </c>
    </row>
    <row r="10">
      <c r="A10" s="5" t="s">
        <v>411</v>
      </c>
      <c r="B10" s="14" t="s">
        <v>400</v>
      </c>
      <c r="C10" s="7" t="s">
        <v>404</v>
      </c>
      <c r="D10" s="15"/>
      <c r="E10" s="15"/>
      <c r="F10" s="40">
        <v>42.0</v>
      </c>
      <c r="G10" s="24" t="str">
        <f>IFERROR(__xludf.DUMMYFUNCTION("iferror(iferror(iferror(index(IMPORTRANGE(""1NK5L1mviMn0j3D3uo53ASkIZOFRlLnqaCTnwzOG2_Wg"",""Direct Link!B2:B""),MATCH($B10,IMPORTRANGE(""1NK5L1mviMn0j3D3uo53ASkIZOFRlLnqaCTnwzOG2_Wg"",""Direct Link!A2:A""),0)),XLOOKUP($B10,IMPORTRANGE(""1NK5L1mviMn0j3D3u"&amp;"o53ASkIZOFRlLnqaCTnwzOG2_Wg"",""Direct links Without Sizes!A2:A""),IMPORTRANGE(""1NK5L1mviMn0j3D3uo53ASkIZOFRlLnqaCTnwzOG2_Wg"",""Direct links Without Sizes!B2:B""))),XLOOKUP($B10,IMPORTRANGE(""1NK5L1mviMn0j3D3uo53ASkIZOFRlLnqaCTnwzOG2_Wg"",""Direct links"&amp;" Without Sizes!D2:D""),IMPORTRANGE(""1NK5L1mviMn0j3D3uo53ASkIZOFRlLnqaCTnwzOG2_Wg"",""Direct links Without Sizes!E2:E""))),"""")"),"")</f>
        <v/>
      </c>
      <c r="H10" s="41"/>
      <c r="I10" s="43"/>
      <c r="J10" s="42"/>
      <c r="K10" s="10" t="str">
        <f t="shared" si="1"/>
        <v/>
      </c>
      <c r="L10" s="10"/>
      <c r="M10" s="10" t="str">
        <f t="shared" si="2"/>
        <v>1</v>
      </c>
    </row>
    <row r="11">
      <c r="A11" s="5" t="s">
        <v>412</v>
      </c>
      <c r="B11" s="14" t="s">
        <v>402</v>
      </c>
      <c r="C11" s="7" t="s">
        <v>406</v>
      </c>
      <c r="D11" s="15"/>
      <c r="E11" s="15"/>
      <c r="F11" s="40">
        <v>72.0</v>
      </c>
      <c r="G11" s="24" t="str">
        <f>IFERROR(__xludf.DUMMYFUNCTION("iferror(iferror(iferror(index(IMPORTRANGE(""1NK5L1mviMn0j3D3uo53ASkIZOFRlLnqaCTnwzOG2_Wg"",""Direct Link!B2:B""),MATCH($B11,IMPORTRANGE(""1NK5L1mviMn0j3D3uo53ASkIZOFRlLnqaCTnwzOG2_Wg"",""Direct Link!A2:A""),0)),XLOOKUP($B11,IMPORTRANGE(""1NK5L1mviMn0j3D3u"&amp;"o53ASkIZOFRlLnqaCTnwzOG2_Wg"",""Direct links Without Sizes!A2:A""),IMPORTRANGE(""1NK5L1mviMn0j3D3uo53ASkIZOFRlLnqaCTnwzOG2_Wg"",""Direct links Without Sizes!B2:B""))),XLOOKUP($B11,IMPORTRANGE(""1NK5L1mviMn0j3D3uo53ASkIZOFRlLnqaCTnwzOG2_Wg"",""Direct links"&amp;" Without Sizes!D2:D""),IMPORTRANGE(""1NK5L1mviMn0j3D3uo53ASkIZOFRlLnqaCTnwzOG2_Wg"",""Direct links Without Sizes!E2:E""))),"""")"),"")</f>
        <v/>
      </c>
      <c r="H11" s="41"/>
      <c r="I11" s="43"/>
      <c r="J11" s="42"/>
      <c r="K11" s="10" t="str">
        <f t="shared" si="1"/>
        <v/>
      </c>
      <c r="L11" s="10"/>
      <c r="M11" s="10" t="str">
        <f t="shared" si="2"/>
        <v>1</v>
      </c>
    </row>
    <row r="12">
      <c r="A12" s="5" t="s">
        <v>413</v>
      </c>
      <c r="B12" s="14" t="s">
        <v>400</v>
      </c>
      <c r="C12" s="7" t="s">
        <v>404</v>
      </c>
      <c r="D12" s="15"/>
      <c r="E12" s="15"/>
      <c r="F12" s="40">
        <v>12.0</v>
      </c>
      <c r="G12" s="24" t="str">
        <f>IFERROR(__xludf.DUMMYFUNCTION("iferror(iferror(iferror(index(IMPORTRANGE(""1NK5L1mviMn0j3D3uo53ASkIZOFRlLnqaCTnwzOG2_Wg"",""Direct Link!B2:B""),MATCH($B12,IMPORTRANGE(""1NK5L1mviMn0j3D3uo53ASkIZOFRlLnqaCTnwzOG2_Wg"",""Direct Link!A2:A""),0)),XLOOKUP($B12,IMPORTRANGE(""1NK5L1mviMn0j3D3u"&amp;"o53ASkIZOFRlLnqaCTnwzOG2_Wg"",""Direct links Without Sizes!A2:A""),IMPORTRANGE(""1NK5L1mviMn0j3D3uo53ASkIZOFRlLnqaCTnwzOG2_Wg"",""Direct links Without Sizes!B2:B""))),XLOOKUP($B12,IMPORTRANGE(""1NK5L1mviMn0j3D3uo53ASkIZOFRlLnqaCTnwzOG2_Wg"",""Direct links"&amp;" Without Sizes!D2:D""),IMPORTRANGE(""1NK5L1mviMn0j3D3uo53ASkIZOFRlLnqaCTnwzOG2_Wg"",""Direct links Without Sizes!E2:E""))),"""")"),"")</f>
        <v/>
      </c>
      <c r="H12" s="41"/>
      <c r="I12" s="43"/>
      <c r="J12" s="42"/>
      <c r="K12" s="10" t="str">
        <f t="shared" si="1"/>
        <v/>
      </c>
      <c r="L12" s="10"/>
      <c r="M12" s="10" t="str">
        <f t="shared" si="2"/>
        <v>1</v>
      </c>
    </row>
    <row r="13">
      <c r="A13" s="5" t="s">
        <v>414</v>
      </c>
      <c r="B13" s="14" t="s">
        <v>402</v>
      </c>
      <c r="C13" s="7" t="s">
        <v>406</v>
      </c>
      <c r="D13" s="15"/>
      <c r="E13" s="15"/>
      <c r="F13" s="40">
        <v>18.0</v>
      </c>
      <c r="G13" s="24" t="str">
        <f>IFERROR(__xludf.DUMMYFUNCTION("iferror(iferror(iferror(index(IMPORTRANGE(""1NK5L1mviMn0j3D3uo53ASkIZOFRlLnqaCTnwzOG2_Wg"",""Direct Link!B2:B""),MATCH($B13,IMPORTRANGE(""1NK5L1mviMn0j3D3uo53ASkIZOFRlLnqaCTnwzOG2_Wg"",""Direct Link!A2:A""),0)),XLOOKUP($B13,IMPORTRANGE(""1NK5L1mviMn0j3D3u"&amp;"o53ASkIZOFRlLnqaCTnwzOG2_Wg"",""Direct links Without Sizes!A2:A""),IMPORTRANGE(""1NK5L1mviMn0j3D3uo53ASkIZOFRlLnqaCTnwzOG2_Wg"",""Direct links Without Sizes!B2:B""))),XLOOKUP($B13,IMPORTRANGE(""1NK5L1mviMn0j3D3uo53ASkIZOFRlLnqaCTnwzOG2_Wg"",""Direct links"&amp;" Without Sizes!D2:D""),IMPORTRANGE(""1NK5L1mviMn0j3D3uo53ASkIZOFRlLnqaCTnwzOG2_Wg"",""Direct links Without Sizes!E2:E""))),"""")"),"")</f>
        <v/>
      </c>
      <c r="H13" s="41"/>
      <c r="I13" s="42"/>
      <c r="J13" s="42"/>
      <c r="K13" s="10" t="str">
        <f t="shared" si="1"/>
        <v/>
      </c>
      <c r="L13" s="10"/>
      <c r="M13" s="10" t="str">
        <f t="shared" si="2"/>
        <v>1</v>
      </c>
    </row>
    <row r="14">
      <c r="A14" s="5" t="s">
        <v>415</v>
      </c>
      <c r="B14" s="14" t="s">
        <v>400</v>
      </c>
      <c r="C14" s="7" t="s">
        <v>404</v>
      </c>
      <c r="D14" s="15"/>
      <c r="E14" s="15"/>
      <c r="F14" s="40">
        <v>12.0</v>
      </c>
      <c r="G14" s="24" t="str">
        <f>IFERROR(__xludf.DUMMYFUNCTION("iferror(iferror(iferror(index(IMPORTRANGE(""1NK5L1mviMn0j3D3uo53ASkIZOFRlLnqaCTnwzOG2_Wg"",""Direct Link!B2:B""),MATCH($B14,IMPORTRANGE(""1NK5L1mviMn0j3D3uo53ASkIZOFRlLnqaCTnwzOG2_Wg"",""Direct Link!A2:A""),0)),XLOOKUP($B14,IMPORTRANGE(""1NK5L1mviMn0j3D3u"&amp;"o53ASkIZOFRlLnqaCTnwzOG2_Wg"",""Direct links Without Sizes!A2:A""),IMPORTRANGE(""1NK5L1mviMn0j3D3uo53ASkIZOFRlLnqaCTnwzOG2_Wg"",""Direct links Without Sizes!B2:B""))),XLOOKUP($B14,IMPORTRANGE(""1NK5L1mviMn0j3D3uo53ASkIZOFRlLnqaCTnwzOG2_Wg"",""Direct links"&amp;" Without Sizes!D2:D""),IMPORTRANGE(""1NK5L1mviMn0j3D3uo53ASkIZOFRlLnqaCTnwzOG2_Wg"",""Direct links Without Sizes!E2:E""))),"""")"),"")</f>
        <v/>
      </c>
      <c r="H14" s="41"/>
      <c r="I14" s="42"/>
      <c r="J14" s="42"/>
      <c r="K14" s="10" t="str">
        <f t="shared" si="1"/>
        <v/>
      </c>
      <c r="L14" s="10"/>
      <c r="M14" s="10" t="str">
        <f t="shared" si="2"/>
        <v>1</v>
      </c>
    </row>
    <row r="15">
      <c r="A15" s="5" t="s">
        <v>416</v>
      </c>
      <c r="B15" s="14" t="s">
        <v>402</v>
      </c>
      <c r="C15" s="7" t="s">
        <v>406</v>
      </c>
      <c r="D15" s="15"/>
      <c r="E15" s="15"/>
      <c r="F15" s="40">
        <v>18.0</v>
      </c>
      <c r="G15" s="24" t="str">
        <f>IFERROR(__xludf.DUMMYFUNCTION("iferror(iferror(iferror(index(IMPORTRANGE(""1NK5L1mviMn0j3D3uo53ASkIZOFRlLnqaCTnwzOG2_Wg"",""Direct Link!B2:B""),MATCH($B15,IMPORTRANGE(""1NK5L1mviMn0j3D3uo53ASkIZOFRlLnqaCTnwzOG2_Wg"",""Direct Link!A2:A""),0)),XLOOKUP($B15,IMPORTRANGE(""1NK5L1mviMn0j3D3u"&amp;"o53ASkIZOFRlLnqaCTnwzOG2_Wg"",""Direct links Without Sizes!A2:A""),IMPORTRANGE(""1NK5L1mviMn0j3D3uo53ASkIZOFRlLnqaCTnwzOG2_Wg"",""Direct links Without Sizes!B2:B""))),XLOOKUP($B15,IMPORTRANGE(""1NK5L1mviMn0j3D3uo53ASkIZOFRlLnqaCTnwzOG2_Wg"",""Direct links"&amp;" Without Sizes!D2:D""),IMPORTRANGE(""1NK5L1mviMn0j3D3uo53ASkIZOFRlLnqaCTnwzOG2_Wg"",""Direct links Without Sizes!E2:E""))),"""")"),"")</f>
        <v/>
      </c>
      <c r="H15" s="41"/>
      <c r="I15" s="42"/>
      <c r="J15" s="42"/>
      <c r="K15" s="10" t="str">
        <f t="shared" si="1"/>
        <v/>
      </c>
      <c r="L15" s="10"/>
      <c r="M15" s="10" t="str">
        <f t="shared" si="2"/>
        <v>1</v>
      </c>
    </row>
    <row r="16">
      <c r="A16" s="5" t="s">
        <v>417</v>
      </c>
      <c r="B16" s="14" t="s">
        <v>400</v>
      </c>
      <c r="C16" s="7" t="s">
        <v>404</v>
      </c>
      <c r="D16" s="15"/>
      <c r="E16" s="15"/>
      <c r="F16" s="40">
        <v>10.0</v>
      </c>
      <c r="G16" s="24" t="str">
        <f>IFERROR(__xludf.DUMMYFUNCTION("iferror(iferror(iferror(index(IMPORTRANGE(""1NK5L1mviMn0j3D3uo53ASkIZOFRlLnqaCTnwzOG2_Wg"",""Direct Link!B2:B""),MATCH($B16,IMPORTRANGE(""1NK5L1mviMn0j3D3uo53ASkIZOFRlLnqaCTnwzOG2_Wg"",""Direct Link!A2:A""),0)),XLOOKUP($B16,IMPORTRANGE(""1NK5L1mviMn0j3D3u"&amp;"o53ASkIZOFRlLnqaCTnwzOG2_Wg"",""Direct links Without Sizes!A2:A""),IMPORTRANGE(""1NK5L1mviMn0j3D3uo53ASkIZOFRlLnqaCTnwzOG2_Wg"",""Direct links Without Sizes!B2:B""))),XLOOKUP($B16,IMPORTRANGE(""1NK5L1mviMn0j3D3uo53ASkIZOFRlLnqaCTnwzOG2_Wg"",""Direct links"&amp;" Without Sizes!D2:D""),IMPORTRANGE(""1NK5L1mviMn0j3D3uo53ASkIZOFRlLnqaCTnwzOG2_Wg"",""Direct links Without Sizes!E2:E""))),"""")"),"")</f>
        <v/>
      </c>
      <c r="H16" s="41"/>
      <c r="I16" s="42"/>
      <c r="J16" s="42"/>
      <c r="K16" s="10" t="str">
        <f t="shared" si="1"/>
        <v/>
      </c>
      <c r="L16" s="10"/>
      <c r="M16" s="10" t="str">
        <f t="shared" si="2"/>
        <v>1</v>
      </c>
    </row>
    <row r="17">
      <c r="A17" s="5" t="s">
        <v>418</v>
      </c>
      <c r="B17" s="14" t="s">
        <v>402</v>
      </c>
      <c r="C17" s="7" t="s">
        <v>406</v>
      </c>
      <c r="D17" s="15"/>
      <c r="E17" s="15"/>
      <c r="F17" s="40">
        <v>15.0</v>
      </c>
      <c r="G17" s="24" t="str">
        <f>IFERROR(__xludf.DUMMYFUNCTION("iferror(iferror(iferror(index(IMPORTRANGE(""1NK5L1mviMn0j3D3uo53ASkIZOFRlLnqaCTnwzOG2_Wg"",""Direct Link!B2:B""),MATCH($B17,IMPORTRANGE(""1NK5L1mviMn0j3D3uo53ASkIZOFRlLnqaCTnwzOG2_Wg"",""Direct Link!A2:A""),0)),XLOOKUP($B17,IMPORTRANGE(""1NK5L1mviMn0j3D3u"&amp;"o53ASkIZOFRlLnqaCTnwzOG2_Wg"",""Direct links Without Sizes!A2:A""),IMPORTRANGE(""1NK5L1mviMn0j3D3uo53ASkIZOFRlLnqaCTnwzOG2_Wg"",""Direct links Without Sizes!B2:B""))),XLOOKUP($B17,IMPORTRANGE(""1NK5L1mviMn0j3D3uo53ASkIZOFRlLnqaCTnwzOG2_Wg"",""Direct links"&amp;" Without Sizes!D2:D""),IMPORTRANGE(""1NK5L1mviMn0j3D3uo53ASkIZOFRlLnqaCTnwzOG2_Wg"",""Direct links Without Sizes!E2:E""))),"""")"),"")</f>
        <v/>
      </c>
      <c r="H17" s="41"/>
      <c r="I17" s="42"/>
      <c r="J17" s="42"/>
      <c r="K17" s="10" t="str">
        <f t="shared" si="1"/>
        <v/>
      </c>
      <c r="L17" s="10"/>
      <c r="M17" s="10" t="str">
        <f t="shared" si="2"/>
        <v>1</v>
      </c>
    </row>
    <row r="18">
      <c r="A18" s="5" t="s">
        <v>419</v>
      </c>
      <c r="B18" s="14" t="s">
        <v>400</v>
      </c>
      <c r="C18" s="7" t="s">
        <v>404</v>
      </c>
      <c r="D18" s="15"/>
      <c r="E18" s="15"/>
      <c r="F18" s="40">
        <v>6.0</v>
      </c>
      <c r="G18" s="24" t="str">
        <f>IFERROR(__xludf.DUMMYFUNCTION("iferror(iferror(iferror(index(IMPORTRANGE(""1NK5L1mviMn0j3D3uo53ASkIZOFRlLnqaCTnwzOG2_Wg"",""Direct Link!B2:B""),MATCH($B18,IMPORTRANGE(""1NK5L1mviMn0j3D3uo53ASkIZOFRlLnqaCTnwzOG2_Wg"",""Direct Link!A2:A""),0)),XLOOKUP($B18,IMPORTRANGE(""1NK5L1mviMn0j3D3u"&amp;"o53ASkIZOFRlLnqaCTnwzOG2_Wg"",""Direct links Without Sizes!A2:A""),IMPORTRANGE(""1NK5L1mviMn0j3D3uo53ASkIZOFRlLnqaCTnwzOG2_Wg"",""Direct links Without Sizes!B2:B""))),XLOOKUP($B18,IMPORTRANGE(""1NK5L1mviMn0j3D3uo53ASkIZOFRlLnqaCTnwzOG2_Wg"",""Direct links"&amp;" Without Sizes!D2:D""),IMPORTRANGE(""1NK5L1mviMn0j3D3uo53ASkIZOFRlLnqaCTnwzOG2_Wg"",""Direct links Without Sizes!E2:E""))),"""")"),"")</f>
        <v/>
      </c>
      <c r="H18" s="41"/>
      <c r="I18" s="4"/>
      <c r="J18" s="4"/>
      <c r="K18" s="10" t="str">
        <f t="shared" si="1"/>
        <v/>
      </c>
      <c r="L18" s="10"/>
      <c r="M18" s="10" t="str">
        <f t="shared" si="2"/>
        <v>1</v>
      </c>
    </row>
    <row r="19">
      <c r="A19" s="5" t="s">
        <v>420</v>
      </c>
      <c r="B19" s="14" t="s">
        <v>402</v>
      </c>
      <c r="C19" s="7" t="s">
        <v>406</v>
      </c>
      <c r="D19" s="15"/>
      <c r="E19" s="15"/>
      <c r="F19" s="40">
        <v>12.0</v>
      </c>
      <c r="G19" s="24" t="str">
        <f>IFERROR(__xludf.DUMMYFUNCTION("iferror(iferror(iferror(index(IMPORTRANGE(""1NK5L1mviMn0j3D3uo53ASkIZOFRlLnqaCTnwzOG2_Wg"",""Direct Link!B2:B""),MATCH($B19,IMPORTRANGE(""1NK5L1mviMn0j3D3uo53ASkIZOFRlLnqaCTnwzOG2_Wg"",""Direct Link!A2:A""),0)),XLOOKUP($B19,IMPORTRANGE(""1NK5L1mviMn0j3D3u"&amp;"o53ASkIZOFRlLnqaCTnwzOG2_Wg"",""Direct links Without Sizes!A2:A""),IMPORTRANGE(""1NK5L1mviMn0j3D3uo53ASkIZOFRlLnqaCTnwzOG2_Wg"",""Direct links Without Sizes!B2:B""))),XLOOKUP($B19,IMPORTRANGE(""1NK5L1mviMn0j3D3uo53ASkIZOFRlLnqaCTnwzOG2_Wg"",""Direct links"&amp;" Without Sizes!D2:D""),IMPORTRANGE(""1NK5L1mviMn0j3D3uo53ASkIZOFRlLnqaCTnwzOG2_Wg"",""Direct links Without Sizes!E2:E""))),"""")"),"")</f>
        <v/>
      </c>
      <c r="H19" s="41"/>
      <c r="I19" s="4"/>
      <c r="J19" s="4"/>
      <c r="K19" s="10" t="str">
        <f t="shared" si="1"/>
        <v/>
      </c>
      <c r="L19" s="10"/>
      <c r="M19" s="10" t="str">
        <f t="shared" si="2"/>
        <v>1</v>
      </c>
    </row>
    <row r="20">
      <c r="A20" s="5" t="s">
        <v>421</v>
      </c>
      <c r="B20" s="14" t="s">
        <v>400</v>
      </c>
      <c r="C20" s="7" t="s">
        <v>404</v>
      </c>
      <c r="D20" s="15"/>
      <c r="E20" s="15"/>
      <c r="F20" s="40">
        <v>7.0</v>
      </c>
      <c r="G20" s="24" t="str">
        <f>IFERROR(__xludf.DUMMYFUNCTION("iferror(iferror(iferror(index(IMPORTRANGE(""1NK5L1mviMn0j3D3uo53ASkIZOFRlLnqaCTnwzOG2_Wg"",""Direct Link!B2:B""),MATCH($B20,IMPORTRANGE(""1NK5L1mviMn0j3D3uo53ASkIZOFRlLnqaCTnwzOG2_Wg"",""Direct Link!A2:A""),0)),XLOOKUP($B20,IMPORTRANGE(""1NK5L1mviMn0j3D3u"&amp;"o53ASkIZOFRlLnqaCTnwzOG2_Wg"",""Direct links Without Sizes!A2:A""),IMPORTRANGE(""1NK5L1mviMn0j3D3uo53ASkIZOFRlLnqaCTnwzOG2_Wg"",""Direct links Without Sizes!B2:B""))),XLOOKUP($B20,IMPORTRANGE(""1NK5L1mviMn0j3D3uo53ASkIZOFRlLnqaCTnwzOG2_Wg"",""Direct links"&amp;" Without Sizes!D2:D""),IMPORTRANGE(""1NK5L1mviMn0j3D3uo53ASkIZOFRlLnqaCTnwzOG2_Wg"",""Direct links Without Sizes!E2:E""))),"""")"),"")</f>
        <v/>
      </c>
      <c r="H20" s="41"/>
      <c r="I20" s="4"/>
      <c r="J20" s="4"/>
      <c r="K20" s="10" t="str">
        <f t="shared" si="1"/>
        <v/>
      </c>
      <c r="L20" s="10"/>
      <c r="M20" s="10" t="str">
        <f t="shared" si="2"/>
        <v>1</v>
      </c>
    </row>
    <row r="21">
      <c r="A21" s="5" t="s">
        <v>422</v>
      </c>
      <c r="B21" s="14" t="s">
        <v>402</v>
      </c>
      <c r="C21" s="7" t="s">
        <v>406</v>
      </c>
      <c r="D21" s="15"/>
      <c r="E21" s="15"/>
      <c r="F21" s="40">
        <v>12.0</v>
      </c>
      <c r="G21" s="24" t="str">
        <f>IFERROR(__xludf.DUMMYFUNCTION("iferror(iferror(iferror(index(IMPORTRANGE(""1NK5L1mviMn0j3D3uo53ASkIZOFRlLnqaCTnwzOG2_Wg"",""Direct Link!B2:B""),MATCH($B21,IMPORTRANGE(""1NK5L1mviMn0j3D3uo53ASkIZOFRlLnqaCTnwzOG2_Wg"",""Direct Link!A2:A""),0)),XLOOKUP($B21,IMPORTRANGE(""1NK5L1mviMn0j3D3u"&amp;"o53ASkIZOFRlLnqaCTnwzOG2_Wg"",""Direct links Without Sizes!A2:A""),IMPORTRANGE(""1NK5L1mviMn0j3D3uo53ASkIZOFRlLnqaCTnwzOG2_Wg"",""Direct links Without Sizes!B2:B""))),XLOOKUP($B21,IMPORTRANGE(""1NK5L1mviMn0j3D3uo53ASkIZOFRlLnqaCTnwzOG2_Wg"",""Direct links"&amp;" Without Sizes!D2:D""),IMPORTRANGE(""1NK5L1mviMn0j3D3uo53ASkIZOFRlLnqaCTnwzOG2_Wg"",""Direct links Without Sizes!E2:E""))),"""")"),"")</f>
        <v/>
      </c>
      <c r="H21" s="41"/>
      <c r="I21" s="4"/>
      <c r="J21" s="4"/>
      <c r="K21" s="10" t="str">
        <f t="shared" si="1"/>
        <v/>
      </c>
      <c r="L21" s="10"/>
      <c r="M21" s="10" t="str">
        <f t="shared" si="2"/>
        <v>1</v>
      </c>
    </row>
    <row r="22">
      <c r="A22" s="5" t="s">
        <v>423</v>
      </c>
      <c r="B22" s="14" t="s">
        <v>400</v>
      </c>
      <c r="C22" s="7" t="s">
        <v>404</v>
      </c>
      <c r="D22" s="15"/>
      <c r="E22" s="44"/>
      <c r="F22" s="40">
        <v>10.0</v>
      </c>
      <c r="G22" s="24" t="str">
        <f>IFERROR(__xludf.DUMMYFUNCTION("iferror(iferror(iferror(index(IMPORTRANGE(""1NK5L1mviMn0j3D3uo53ASkIZOFRlLnqaCTnwzOG2_Wg"",""Direct Link!B2:B""),MATCH($B22,IMPORTRANGE(""1NK5L1mviMn0j3D3uo53ASkIZOFRlLnqaCTnwzOG2_Wg"",""Direct Link!A2:A""),0)),XLOOKUP($B22,IMPORTRANGE(""1NK5L1mviMn0j3D3u"&amp;"o53ASkIZOFRlLnqaCTnwzOG2_Wg"",""Direct links Without Sizes!A2:A""),IMPORTRANGE(""1NK5L1mviMn0j3D3uo53ASkIZOFRlLnqaCTnwzOG2_Wg"",""Direct links Without Sizes!B2:B""))),XLOOKUP($B22,IMPORTRANGE(""1NK5L1mviMn0j3D3uo53ASkIZOFRlLnqaCTnwzOG2_Wg"",""Direct links"&amp;" Without Sizes!D2:D""),IMPORTRANGE(""1NK5L1mviMn0j3D3uo53ASkIZOFRlLnqaCTnwzOG2_Wg"",""Direct links Without Sizes!E2:E""))),"""")"),"")</f>
        <v/>
      </c>
      <c r="H22" s="41"/>
      <c r="I22" s="4"/>
      <c r="J22" s="4"/>
      <c r="K22" s="10" t="str">
        <f t="shared" si="1"/>
        <v/>
      </c>
      <c r="L22" s="10"/>
      <c r="M22" s="10" t="str">
        <f t="shared" si="2"/>
        <v>1</v>
      </c>
    </row>
    <row r="23">
      <c r="A23" s="5" t="s">
        <v>424</v>
      </c>
      <c r="B23" s="14" t="s">
        <v>402</v>
      </c>
      <c r="C23" s="7" t="s">
        <v>406</v>
      </c>
      <c r="D23" s="15"/>
      <c r="E23" s="44"/>
      <c r="F23" s="40">
        <v>15.0</v>
      </c>
      <c r="G23" s="24" t="str">
        <f>IFERROR(__xludf.DUMMYFUNCTION("iferror(iferror(iferror(index(IMPORTRANGE(""1NK5L1mviMn0j3D3uo53ASkIZOFRlLnqaCTnwzOG2_Wg"",""Direct Link!B2:B""),MATCH($B23,IMPORTRANGE(""1NK5L1mviMn0j3D3uo53ASkIZOFRlLnqaCTnwzOG2_Wg"",""Direct Link!A2:A""),0)),XLOOKUP($B23,IMPORTRANGE(""1NK5L1mviMn0j3D3u"&amp;"o53ASkIZOFRlLnqaCTnwzOG2_Wg"",""Direct links Without Sizes!A2:A""),IMPORTRANGE(""1NK5L1mviMn0j3D3uo53ASkIZOFRlLnqaCTnwzOG2_Wg"",""Direct links Without Sizes!B2:B""))),XLOOKUP($B23,IMPORTRANGE(""1NK5L1mviMn0j3D3uo53ASkIZOFRlLnqaCTnwzOG2_Wg"",""Direct links"&amp;" Without Sizes!D2:D""),IMPORTRANGE(""1NK5L1mviMn0j3D3uo53ASkIZOFRlLnqaCTnwzOG2_Wg"",""Direct links Without Sizes!E2:E""))),"""")"),"")</f>
        <v/>
      </c>
      <c r="H23" s="41"/>
      <c r="I23" s="4"/>
      <c r="J23" s="4"/>
      <c r="K23" s="10" t="str">
        <f t="shared" si="1"/>
        <v/>
      </c>
      <c r="L23" s="10"/>
      <c r="M23" s="10" t="str">
        <f t="shared" si="2"/>
        <v>1</v>
      </c>
    </row>
    <row r="24">
      <c r="A24" s="5" t="s">
        <v>425</v>
      </c>
      <c r="B24" s="14" t="s">
        <v>400</v>
      </c>
      <c r="C24" s="7" t="s">
        <v>404</v>
      </c>
      <c r="D24" s="15"/>
      <c r="E24" s="15"/>
      <c r="F24" s="40">
        <v>8.0</v>
      </c>
      <c r="G24" s="24" t="str">
        <f>IFERROR(__xludf.DUMMYFUNCTION("iferror(iferror(iferror(index(IMPORTRANGE(""1NK5L1mviMn0j3D3uo53ASkIZOFRlLnqaCTnwzOG2_Wg"",""Direct Link!B2:B""),MATCH($B24,IMPORTRANGE(""1NK5L1mviMn0j3D3uo53ASkIZOFRlLnqaCTnwzOG2_Wg"",""Direct Link!A2:A""),0)),XLOOKUP($B24,IMPORTRANGE(""1NK5L1mviMn0j3D3u"&amp;"o53ASkIZOFRlLnqaCTnwzOG2_Wg"",""Direct links Without Sizes!A2:A""),IMPORTRANGE(""1NK5L1mviMn0j3D3uo53ASkIZOFRlLnqaCTnwzOG2_Wg"",""Direct links Without Sizes!B2:B""))),XLOOKUP($B24,IMPORTRANGE(""1NK5L1mviMn0j3D3uo53ASkIZOFRlLnqaCTnwzOG2_Wg"",""Direct links"&amp;" Without Sizes!D2:D""),IMPORTRANGE(""1NK5L1mviMn0j3D3uo53ASkIZOFRlLnqaCTnwzOG2_Wg"",""Direct links Without Sizes!E2:E""))),"""")"),"")</f>
        <v/>
      </c>
      <c r="H24" s="41"/>
      <c r="I24" s="4"/>
      <c r="J24" s="4"/>
      <c r="K24" s="10" t="str">
        <f t="shared" si="1"/>
        <v/>
      </c>
      <c r="L24" s="10"/>
      <c r="M24" s="10" t="str">
        <f t="shared" si="2"/>
        <v>1</v>
      </c>
    </row>
    <row r="25">
      <c r="A25" s="5" t="s">
        <v>426</v>
      </c>
      <c r="B25" s="14" t="s">
        <v>402</v>
      </c>
      <c r="C25" s="7" t="s">
        <v>406</v>
      </c>
      <c r="D25" s="15"/>
      <c r="E25" s="44"/>
      <c r="F25" s="40">
        <v>15.0</v>
      </c>
      <c r="G25" s="24" t="str">
        <f>IFERROR(__xludf.DUMMYFUNCTION("iferror(iferror(iferror(index(IMPORTRANGE(""1NK5L1mviMn0j3D3uo53ASkIZOFRlLnqaCTnwzOG2_Wg"",""Direct Link!B2:B""),MATCH($B25,IMPORTRANGE(""1NK5L1mviMn0j3D3uo53ASkIZOFRlLnqaCTnwzOG2_Wg"",""Direct Link!A2:A""),0)),XLOOKUP($B25,IMPORTRANGE(""1NK5L1mviMn0j3D3u"&amp;"o53ASkIZOFRlLnqaCTnwzOG2_Wg"",""Direct links Without Sizes!A2:A""),IMPORTRANGE(""1NK5L1mviMn0j3D3uo53ASkIZOFRlLnqaCTnwzOG2_Wg"",""Direct links Without Sizes!B2:B""))),XLOOKUP($B25,IMPORTRANGE(""1NK5L1mviMn0j3D3uo53ASkIZOFRlLnqaCTnwzOG2_Wg"",""Direct links"&amp;" Without Sizes!D2:D""),IMPORTRANGE(""1NK5L1mviMn0j3D3uo53ASkIZOFRlLnqaCTnwzOG2_Wg"",""Direct links Without Sizes!E2:E""))),"""")"),"")</f>
        <v/>
      </c>
      <c r="H25" s="41"/>
      <c r="I25" s="4"/>
      <c r="J25" s="4"/>
      <c r="K25" s="10" t="str">
        <f t="shared" si="1"/>
        <v/>
      </c>
      <c r="L25" s="10"/>
      <c r="M25" s="10" t="str">
        <f t="shared" si="2"/>
        <v>1</v>
      </c>
    </row>
    <row r="26">
      <c r="A26" s="5" t="s">
        <v>427</v>
      </c>
      <c r="B26" s="14" t="s">
        <v>400</v>
      </c>
      <c r="C26" s="7" t="s">
        <v>404</v>
      </c>
      <c r="D26" s="14"/>
      <c r="E26" s="45"/>
      <c r="F26" s="40">
        <v>30.0</v>
      </c>
      <c r="G26" s="24" t="str">
        <f>IFERROR(__xludf.DUMMYFUNCTION("iferror(iferror(iferror(index(IMPORTRANGE(""1NK5L1mviMn0j3D3uo53ASkIZOFRlLnqaCTnwzOG2_Wg"",""Direct Link!B2:B""),MATCH($B26,IMPORTRANGE(""1NK5L1mviMn0j3D3uo53ASkIZOFRlLnqaCTnwzOG2_Wg"",""Direct Link!A2:A""),0)),XLOOKUP($B26,IMPORTRANGE(""1NK5L1mviMn0j3D3u"&amp;"o53ASkIZOFRlLnqaCTnwzOG2_Wg"",""Direct links Without Sizes!A2:A""),IMPORTRANGE(""1NK5L1mviMn0j3D3uo53ASkIZOFRlLnqaCTnwzOG2_Wg"",""Direct links Without Sizes!B2:B""))),XLOOKUP($B26,IMPORTRANGE(""1NK5L1mviMn0j3D3uo53ASkIZOFRlLnqaCTnwzOG2_Wg"",""Direct links"&amp;" Without Sizes!D2:D""),IMPORTRANGE(""1NK5L1mviMn0j3D3uo53ASkIZOFRlLnqaCTnwzOG2_Wg"",""Direct links Without Sizes!E2:E""))),"""")"),"")</f>
        <v/>
      </c>
      <c r="H26" s="41"/>
      <c r="I26" s="4"/>
      <c r="J26" s="4"/>
      <c r="K26" s="10" t="str">
        <f t="shared" si="1"/>
        <v/>
      </c>
      <c r="L26" s="10"/>
      <c r="M26" s="10" t="str">
        <f t="shared" si="2"/>
        <v>1</v>
      </c>
    </row>
    <row r="27">
      <c r="A27" s="5" t="s">
        <v>428</v>
      </c>
      <c r="B27" s="14" t="s">
        <v>402</v>
      </c>
      <c r="C27" s="7" t="s">
        <v>406</v>
      </c>
      <c r="D27" s="14"/>
      <c r="E27" s="45"/>
      <c r="F27" s="40">
        <v>55.0</v>
      </c>
      <c r="G27" s="24" t="str">
        <f>IFERROR(__xludf.DUMMYFUNCTION("iferror(iferror(iferror(index(IMPORTRANGE(""1NK5L1mviMn0j3D3uo53ASkIZOFRlLnqaCTnwzOG2_Wg"",""Direct Link!B2:B""),MATCH($B27,IMPORTRANGE(""1NK5L1mviMn0j3D3uo53ASkIZOFRlLnqaCTnwzOG2_Wg"",""Direct Link!A2:A""),0)),XLOOKUP($B27,IMPORTRANGE(""1NK5L1mviMn0j3D3u"&amp;"o53ASkIZOFRlLnqaCTnwzOG2_Wg"",""Direct links Without Sizes!A2:A""),IMPORTRANGE(""1NK5L1mviMn0j3D3uo53ASkIZOFRlLnqaCTnwzOG2_Wg"",""Direct links Without Sizes!B2:B""))),XLOOKUP($B27,IMPORTRANGE(""1NK5L1mviMn0j3D3uo53ASkIZOFRlLnqaCTnwzOG2_Wg"",""Direct links"&amp;" Without Sizes!D2:D""),IMPORTRANGE(""1NK5L1mviMn0j3D3uo53ASkIZOFRlLnqaCTnwzOG2_Wg"",""Direct links Without Sizes!E2:E""))),"""")"),"")</f>
        <v/>
      </c>
      <c r="H27" s="41"/>
      <c r="I27" s="4"/>
      <c r="J27" s="4"/>
      <c r="K27" s="10" t="str">
        <f t="shared" si="1"/>
        <v/>
      </c>
      <c r="L27" s="10"/>
      <c r="M27" s="10" t="str">
        <f t="shared" si="2"/>
        <v>1</v>
      </c>
    </row>
    <row r="28">
      <c r="A28" s="5" t="s">
        <v>429</v>
      </c>
      <c r="B28" s="14" t="s">
        <v>400</v>
      </c>
      <c r="C28" s="7" t="s">
        <v>404</v>
      </c>
      <c r="D28" s="14"/>
      <c r="E28" s="45"/>
      <c r="F28" s="40">
        <v>20.0</v>
      </c>
      <c r="G28" s="24" t="str">
        <f>IFERROR(__xludf.DUMMYFUNCTION("iferror(iferror(iferror(index(IMPORTRANGE(""1NK5L1mviMn0j3D3uo53ASkIZOFRlLnqaCTnwzOG2_Wg"",""Direct Link!B2:B""),MATCH($B28,IMPORTRANGE(""1NK5L1mviMn0j3D3uo53ASkIZOFRlLnqaCTnwzOG2_Wg"",""Direct Link!A2:A""),0)),XLOOKUP($B28,IMPORTRANGE(""1NK5L1mviMn0j3D3u"&amp;"o53ASkIZOFRlLnqaCTnwzOG2_Wg"",""Direct links Without Sizes!A2:A""),IMPORTRANGE(""1NK5L1mviMn0j3D3uo53ASkIZOFRlLnqaCTnwzOG2_Wg"",""Direct links Without Sizes!B2:B""))),XLOOKUP($B28,IMPORTRANGE(""1NK5L1mviMn0j3D3uo53ASkIZOFRlLnqaCTnwzOG2_Wg"",""Direct links"&amp;" Without Sizes!D2:D""),IMPORTRANGE(""1NK5L1mviMn0j3D3uo53ASkIZOFRlLnqaCTnwzOG2_Wg"",""Direct links Without Sizes!E2:E""))),"""")"),"")</f>
        <v/>
      </c>
      <c r="H28" s="41"/>
      <c r="I28" s="4"/>
      <c r="J28" s="4"/>
      <c r="K28" s="10" t="str">
        <f t="shared" si="1"/>
        <v/>
      </c>
      <c r="L28" s="10"/>
      <c r="M28" s="10" t="str">
        <f t="shared" si="2"/>
        <v>1</v>
      </c>
    </row>
    <row r="29">
      <c r="A29" s="5" t="s">
        <v>430</v>
      </c>
      <c r="B29" s="14" t="s">
        <v>402</v>
      </c>
      <c r="C29" s="7" t="s">
        <v>406</v>
      </c>
      <c r="D29" s="14"/>
      <c r="E29" s="45"/>
      <c r="F29" s="22">
        <v>30.0</v>
      </c>
      <c r="G29" s="24" t="str">
        <f>IFERROR(__xludf.DUMMYFUNCTION("iferror(iferror(iferror(index(IMPORTRANGE(""1NK5L1mviMn0j3D3uo53ASkIZOFRlLnqaCTnwzOG2_Wg"",""Direct Link!B2:B""),MATCH($B29,IMPORTRANGE(""1NK5L1mviMn0j3D3uo53ASkIZOFRlLnqaCTnwzOG2_Wg"",""Direct Link!A2:A""),0)),XLOOKUP($B29,IMPORTRANGE(""1NK5L1mviMn0j3D3u"&amp;"o53ASkIZOFRlLnqaCTnwzOG2_Wg"",""Direct links Without Sizes!A2:A""),IMPORTRANGE(""1NK5L1mviMn0j3D3uo53ASkIZOFRlLnqaCTnwzOG2_Wg"",""Direct links Without Sizes!B2:B""))),XLOOKUP($B29,IMPORTRANGE(""1NK5L1mviMn0j3D3uo53ASkIZOFRlLnqaCTnwzOG2_Wg"",""Direct links"&amp;" Without Sizes!D2:D""),IMPORTRANGE(""1NK5L1mviMn0j3D3uo53ASkIZOFRlLnqaCTnwzOG2_Wg"",""Direct links Without Sizes!E2:E""))),"""")"),"")</f>
        <v/>
      </c>
      <c r="H29" s="41"/>
      <c r="I29" s="4"/>
      <c r="J29" s="4"/>
      <c r="K29" s="10" t="str">
        <f t="shared" si="1"/>
        <v/>
      </c>
      <c r="L29" s="10"/>
      <c r="M29" s="10" t="str">
        <f t="shared" si="2"/>
        <v>1</v>
      </c>
    </row>
    <row r="30">
      <c r="A30" s="5" t="s">
        <v>431</v>
      </c>
      <c r="B30" s="14" t="s">
        <v>400</v>
      </c>
      <c r="C30" s="7" t="s">
        <v>404</v>
      </c>
      <c r="D30" s="14"/>
      <c r="E30" s="45"/>
      <c r="F30" s="22">
        <v>17.0</v>
      </c>
      <c r="G30" s="24" t="str">
        <f>IFERROR(__xludf.DUMMYFUNCTION("iferror(iferror(iferror(index(IMPORTRANGE(""1NK5L1mviMn0j3D3uo53ASkIZOFRlLnqaCTnwzOG2_Wg"",""Direct Link!B2:B""),MATCH($B30,IMPORTRANGE(""1NK5L1mviMn0j3D3uo53ASkIZOFRlLnqaCTnwzOG2_Wg"",""Direct Link!A2:A""),0)),XLOOKUP($B30,IMPORTRANGE(""1NK5L1mviMn0j3D3u"&amp;"o53ASkIZOFRlLnqaCTnwzOG2_Wg"",""Direct links Without Sizes!A2:A""),IMPORTRANGE(""1NK5L1mviMn0j3D3uo53ASkIZOFRlLnqaCTnwzOG2_Wg"",""Direct links Without Sizes!B2:B""))),XLOOKUP($B30,IMPORTRANGE(""1NK5L1mviMn0j3D3uo53ASkIZOFRlLnqaCTnwzOG2_Wg"",""Direct links"&amp;" Without Sizes!D2:D""),IMPORTRANGE(""1NK5L1mviMn0j3D3uo53ASkIZOFRlLnqaCTnwzOG2_Wg"",""Direct links Without Sizes!E2:E""))),"""")"),"")</f>
        <v/>
      </c>
      <c r="H30" s="41"/>
      <c r="I30" s="4"/>
      <c r="J30" s="4"/>
      <c r="K30" s="10" t="str">
        <f t="shared" si="1"/>
        <v/>
      </c>
      <c r="L30" s="10"/>
      <c r="M30" s="10" t="str">
        <f t="shared" si="2"/>
        <v>1</v>
      </c>
    </row>
    <row r="31">
      <c r="A31" s="5" t="s">
        <v>432</v>
      </c>
      <c r="B31" s="14" t="s">
        <v>402</v>
      </c>
      <c r="C31" s="7" t="s">
        <v>406</v>
      </c>
      <c r="D31" s="14"/>
      <c r="E31" s="45"/>
      <c r="F31" s="22">
        <v>27.0</v>
      </c>
      <c r="G31" s="24" t="str">
        <f>IFERROR(__xludf.DUMMYFUNCTION("iferror(iferror(iferror(index(IMPORTRANGE(""1NK5L1mviMn0j3D3uo53ASkIZOFRlLnqaCTnwzOG2_Wg"",""Direct Link!B2:B""),MATCH($B31,IMPORTRANGE(""1NK5L1mviMn0j3D3uo53ASkIZOFRlLnqaCTnwzOG2_Wg"",""Direct Link!A2:A""),0)),XLOOKUP($B31,IMPORTRANGE(""1NK5L1mviMn0j3D3u"&amp;"o53ASkIZOFRlLnqaCTnwzOG2_Wg"",""Direct links Without Sizes!A2:A""),IMPORTRANGE(""1NK5L1mviMn0j3D3uo53ASkIZOFRlLnqaCTnwzOG2_Wg"",""Direct links Without Sizes!B2:B""))),XLOOKUP($B31,IMPORTRANGE(""1NK5L1mviMn0j3D3uo53ASkIZOFRlLnqaCTnwzOG2_Wg"",""Direct links"&amp;" Without Sizes!D2:D""),IMPORTRANGE(""1NK5L1mviMn0j3D3uo53ASkIZOFRlLnqaCTnwzOG2_Wg"",""Direct links Without Sizes!E2:E""))),"""")"),"")</f>
        <v/>
      </c>
      <c r="H31" s="41"/>
      <c r="I31" s="4"/>
      <c r="J31" s="4"/>
      <c r="K31" s="10" t="str">
        <f t="shared" si="1"/>
        <v/>
      </c>
      <c r="L31" s="10"/>
      <c r="M31" s="10" t="str">
        <f t="shared" si="2"/>
        <v>1</v>
      </c>
    </row>
    <row r="32">
      <c r="A32" s="5" t="s">
        <v>433</v>
      </c>
      <c r="B32" s="14" t="s">
        <v>400</v>
      </c>
      <c r="C32" s="7" t="s">
        <v>404</v>
      </c>
      <c r="D32" s="14"/>
      <c r="E32" s="45"/>
      <c r="F32" s="22">
        <v>35.0</v>
      </c>
      <c r="G32" s="24" t="str">
        <f>IFERROR(__xludf.DUMMYFUNCTION("iferror(iferror(iferror(index(IMPORTRANGE(""1NK5L1mviMn0j3D3uo53ASkIZOFRlLnqaCTnwzOG2_Wg"",""Direct Link!B2:B""),MATCH($B32,IMPORTRANGE(""1NK5L1mviMn0j3D3uo53ASkIZOFRlLnqaCTnwzOG2_Wg"",""Direct Link!A2:A""),0)),XLOOKUP($B32,IMPORTRANGE(""1NK5L1mviMn0j3D3u"&amp;"o53ASkIZOFRlLnqaCTnwzOG2_Wg"",""Direct links Without Sizes!A2:A""),IMPORTRANGE(""1NK5L1mviMn0j3D3uo53ASkIZOFRlLnqaCTnwzOG2_Wg"",""Direct links Without Sizes!B2:B""))),XLOOKUP($B32,IMPORTRANGE(""1NK5L1mviMn0j3D3uo53ASkIZOFRlLnqaCTnwzOG2_Wg"",""Direct links"&amp;" Without Sizes!D2:D""),IMPORTRANGE(""1NK5L1mviMn0j3D3uo53ASkIZOFRlLnqaCTnwzOG2_Wg"",""Direct links Without Sizes!E2:E""))),"""")"),"")</f>
        <v/>
      </c>
      <c r="H32" s="41"/>
      <c r="I32" s="4"/>
      <c r="J32" s="4"/>
      <c r="K32" s="10" t="str">
        <f t="shared" si="1"/>
        <v/>
      </c>
      <c r="L32" s="10"/>
      <c r="M32" s="10" t="str">
        <f t="shared" si="2"/>
        <v>1</v>
      </c>
    </row>
    <row r="33">
      <c r="A33" s="5" t="s">
        <v>434</v>
      </c>
      <c r="B33" s="14" t="s">
        <v>402</v>
      </c>
      <c r="C33" s="7" t="s">
        <v>406</v>
      </c>
      <c r="D33" s="14"/>
      <c r="E33" s="45"/>
      <c r="F33" s="22">
        <v>60.0</v>
      </c>
      <c r="G33" s="24" t="str">
        <f>IFERROR(__xludf.DUMMYFUNCTION("iferror(iferror(iferror(index(IMPORTRANGE(""1NK5L1mviMn0j3D3uo53ASkIZOFRlLnqaCTnwzOG2_Wg"",""Direct Link!B2:B""),MATCH($B33,IMPORTRANGE(""1NK5L1mviMn0j3D3uo53ASkIZOFRlLnqaCTnwzOG2_Wg"",""Direct Link!A2:A""),0)),XLOOKUP($B33,IMPORTRANGE(""1NK5L1mviMn0j3D3u"&amp;"o53ASkIZOFRlLnqaCTnwzOG2_Wg"",""Direct links Without Sizes!A2:A""),IMPORTRANGE(""1NK5L1mviMn0j3D3uo53ASkIZOFRlLnqaCTnwzOG2_Wg"",""Direct links Without Sizes!B2:B""))),XLOOKUP($B33,IMPORTRANGE(""1NK5L1mviMn0j3D3uo53ASkIZOFRlLnqaCTnwzOG2_Wg"",""Direct links"&amp;" Without Sizes!D2:D""),IMPORTRANGE(""1NK5L1mviMn0j3D3uo53ASkIZOFRlLnqaCTnwzOG2_Wg"",""Direct links Without Sizes!E2:E""))),"""")"),"")</f>
        <v/>
      </c>
      <c r="H33" s="41"/>
      <c r="I33" s="4"/>
      <c r="J33" s="4"/>
      <c r="K33" s="10" t="str">
        <f t="shared" si="1"/>
        <v/>
      </c>
      <c r="L33" s="10"/>
      <c r="M33" s="10" t="str">
        <f t="shared" si="2"/>
        <v>1</v>
      </c>
    </row>
    <row r="34">
      <c r="A34" s="5" t="s">
        <v>435</v>
      </c>
      <c r="B34" s="14" t="s">
        <v>400</v>
      </c>
      <c r="C34" s="7" t="s">
        <v>404</v>
      </c>
      <c r="D34" s="14"/>
      <c r="E34" s="45"/>
      <c r="F34" s="22">
        <v>40.0</v>
      </c>
      <c r="G34" s="24" t="str">
        <f>IFERROR(__xludf.DUMMYFUNCTION("iferror(iferror(iferror(index(IMPORTRANGE(""1NK5L1mviMn0j3D3uo53ASkIZOFRlLnqaCTnwzOG2_Wg"",""Direct Link!B2:B""),MATCH($B34,IMPORTRANGE(""1NK5L1mviMn0j3D3uo53ASkIZOFRlLnqaCTnwzOG2_Wg"",""Direct Link!A2:A""),0)),XLOOKUP($B34,IMPORTRANGE(""1NK5L1mviMn0j3D3u"&amp;"o53ASkIZOFRlLnqaCTnwzOG2_Wg"",""Direct links Without Sizes!A2:A""),IMPORTRANGE(""1NK5L1mviMn0j3D3uo53ASkIZOFRlLnqaCTnwzOG2_Wg"",""Direct links Without Sizes!B2:B""))),XLOOKUP($B34,IMPORTRANGE(""1NK5L1mviMn0j3D3uo53ASkIZOFRlLnqaCTnwzOG2_Wg"",""Direct links"&amp;" Without Sizes!D2:D""),IMPORTRANGE(""1NK5L1mviMn0j3D3uo53ASkIZOFRlLnqaCTnwzOG2_Wg"",""Direct links Without Sizes!E2:E""))),"""")"),"")</f>
        <v/>
      </c>
      <c r="H34" s="41"/>
      <c r="I34" s="4"/>
      <c r="J34" s="4"/>
      <c r="K34" s="10" t="str">
        <f t="shared" si="1"/>
        <v/>
      </c>
      <c r="L34" s="10"/>
      <c r="M34" s="10" t="str">
        <f t="shared" si="2"/>
        <v>1</v>
      </c>
    </row>
    <row r="35">
      <c r="A35" s="5" t="s">
        <v>436</v>
      </c>
      <c r="B35" s="14" t="s">
        <v>402</v>
      </c>
      <c r="C35" s="7" t="s">
        <v>406</v>
      </c>
      <c r="D35" s="14"/>
      <c r="E35" s="45"/>
      <c r="F35" s="22">
        <v>65.0</v>
      </c>
      <c r="G35" s="24" t="str">
        <f>IFERROR(__xludf.DUMMYFUNCTION("iferror(iferror(iferror(index(IMPORTRANGE(""1NK5L1mviMn0j3D3uo53ASkIZOFRlLnqaCTnwzOG2_Wg"",""Direct Link!B2:B""),MATCH($B35,IMPORTRANGE(""1NK5L1mviMn0j3D3uo53ASkIZOFRlLnqaCTnwzOG2_Wg"",""Direct Link!A2:A""),0)),XLOOKUP($B35,IMPORTRANGE(""1NK5L1mviMn0j3D3u"&amp;"o53ASkIZOFRlLnqaCTnwzOG2_Wg"",""Direct links Without Sizes!A2:A""),IMPORTRANGE(""1NK5L1mviMn0j3D3uo53ASkIZOFRlLnqaCTnwzOG2_Wg"",""Direct links Without Sizes!B2:B""))),XLOOKUP($B35,IMPORTRANGE(""1NK5L1mviMn0j3D3uo53ASkIZOFRlLnqaCTnwzOG2_Wg"",""Direct links"&amp;" Without Sizes!D2:D""),IMPORTRANGE(""1NK5L1mviMn0j3D3uo53ASkIZOFRlLnqaCTnwzOG2_Wg"",""Direct links Without Sizes!E2:E""))),"""")"),"")</f>
        <v/>
      </c>
      <c r="H35" s="41"/>
      <c r="I35" s="4"/>
      <c r="J35" s="4"/>
      <c r="K35" s="10" t="str">
        <f t="shared" si="1"/>
        <v/>
      </c>
      <c r="L35" s="10"/>
      <c r="M35" s="10" t="str">
        <f t="shared" si="2"/>
        <v>1</v>
      </c>
    </row>
    <row r="36">
      <c r="A36" s="5" t="s">
        <v>437</v>
      </c>
      <c r="B36" s="14" t="s">
        <v>438</v>
      </c>
      <c r="C36" s="7" t="str">
        <f>IFERROR(__xludf.DUMMYFUNCTION("iferror(iferror(INDEX(IMPORTRANGE(""12vtnxaE_Q1s4tyr10kZQx7ZF_xG0lBFae4jQEUtgsMU"",""All!B2:B""),MATCH($B36,IMPORTRANGE(""12vtnxaE_Q1s4tyr10kZQx7ZF_xG0lBFae4jQEUtgsMU"",""All!A2:A""),0)),INDEX(IMPORTRANGE(""13KC70HngS4DDi8y9E5khtSpQEPG6owaQ9z4E-tR5mnY"","&amp;"""Non-Food!B2:B""),MATCH($B36,IMPORTRANGE(""13KC70HngS4DDi8y9E5khtSpQEPG6owaQ9z4E-tR5mnY"",""Non-Food!A2:A""),0))),"""")"),"صغير")</f>
        <v>صغير</v>
      </c>
      <c r="D36" s="14"/>
      <c r="E36" s="45"/>
      <c r="F36" s="22">
        <v>12.0</v>
      </c>
      <c r="G36" s="24" t="str">
        <f>IFERROR(__xludf.DUMMYFUNCTION("iferror(iferror(iferror(index(IMPORTRANGE(""1NK5L1mviMn0j3D3uo53ASkIZOFRlLnqaCTnwzOG2_Wg"",""Direct Link!B2:B""),MATCH($B36,IMPORTRANGE(""1NK5L1mviMn0j3D3uo53ASkIZOFRlLnqaCTnwzOG2_Wg"",""Direct Link!A2:A""),0)),XLOOKUP($B36,IMPORTRANGE(""1NK5L1mviMn0j3D3u"&amp;"o53ASkIZOFRlLnqaCTnwzOG2_Wg"",""Direct links Without Sizes!A2:A""),IMPORTRANGE(""1NK5L1mviMn0j3D3uo53ASkIZOFRlLnqaCTnwzOG2_Wg"",""Direct links Without Sizes!B2:B""))),XLOOKUP($B36,IMPORTRANGE(""1NK5L1mviMn0j3D3uo53ASkIZOFRlLnqaCTnwzOG2_Wg"",""Direct links"&amp;" Without Sizes!D2:D""),IMPORTRANGE(""1NK5L1mviMn0j3D3uo53ASkIZOFRlLnqaCTnwzOG2_Wg"",""Direct links Without Sizes!E2:E""))),"""")"),"")</f>
        <v/>
      </c>
      <c r="H36" s="41"/>
      <c r="I36" s="4"/>
      <c r="J36" s="4"/>
      <c r="K36" s="10" t="str">
        <f t="shared" si="1"/>
        <v/>
      </c>
      <c r="L36" s="10"/>
      <c r="M36" s="10" t="str">
        <f t="shared" si="2"/>
        <v>1</v>
      </c>
    </row>
    <row r="37">
      <c r="A37" s="5" t="s">
        <v>439</v>
      </c>
      <c r="B37" s="14" t="s">
        <v>440</v>
      </c>
      <c r="C37" s="7" t="str">
        <f>IFERROR(__xludf.DUMMYFUNCTION("iferror(iferror(INDEX(IMPORTRANGE(""12vtnxaE_Q1s4tyr10kZQx7ZF_xG0lBFae4jQEUtgsMU"",""All!B2:B""),MATCH($B37,IMPORTRANGE(""12vtnxaE_Q1s4tyr10kZQx7ZF_xG0lBFae4jQEUtgsMU"",""All!A2:A""),0)),INDEX(IMPORTRANGE(""13KC70HngS4DDi8y9E5khtSpQEPG6owaQ9z4E-tR5mnY"","&amp;"""Non-Food!B2:B""),MATCH($B37,IMPORTRANGE(""13KC70HngS4DDi8y9E5khtSpQEPG6owaQ9z4E-tR5mnY"",""Non-Food!A2:A""),0))),"""")"),"كبير")</f>
        <v>كبير</v>
      </c>
      <c r="D37" s="14"/>
      <c r="E37" s="45"/>
      <c r="F37" s="22">
        <v>15.0</v>
      </c>
      <c r="G37" s="24" t="str">
        <f>IFERROR(__xludf.DUMMYFUNCTION("iferror(iferror(iferror(index(IMPORTRANGE(""1NK5L1mviMn0j3D3uo53ASkIZOFRlLnqaCTnwzOG2_Wg"",""Direct Link!B2:B""),MATCH($B37,IMPORTRANGE(""1NK5L1mviMn0j3D3uo53ASkIZOFRlLnqaCTnwzOG2_Wg"",""Direct Link!A2:A""),0)),XLOOKUP($B37,IMPORTRANGE(""1NK5L1mviMn0j3D3u"&amp;"o53ASkIZOFRlLnqaCTnwzOG2_Wg"",""Direct links Without Sizes!A2:A""),IMPORTRANGE(""1NK5L1mviMn0j3D3uo53ASkIZOFRlLnqaCTnwzOG2_Wg"",""Direct links Without Sizes!B2:B""))),XLOOKUP($B37,IMPORTRANGE(""1NK5L1mviMn0j3D3uo53ASkIZOFRlLnqaCTnwzOG2_Wg"",""Direct links"&amp;" Without Sizes!D2:D""),IMPORTRANGE(""1NK5L1mviMn0j3D3uo53ASkIZOFRlLnqaCTnwzOG2_Wg"",""Direct links Without Sizes!E2:E""))),"""")"),"")</f>
        <v/>
      </c>
      <c r="H37" s="41"/>
      <c r="I37" s="4"/>
      <c r="J37" s="4"/>
      <c r="K37" s="10" t="str">
        <f t="shared" si="1"/>
        <v/>
      </c>
      <c r="L37" s="10"/>
      <c r="M37" s="10" t="str">
        <f t="shared" si="2"/>
        <v>1</v>
      </c>
    </row>
    <row r="38">
      <c r="A38" s="5" t="s">
        <v>441</v>
      </c>
      <c r="B38" s="14" t="s">
        <v>438</v>
      </c>
      <c r="C38" s="7" t="s">
        <v>442</v>
      </c>
      <c r="D38" s="14"/>
      <c r="E38" s="45"/>
      <c r="F38" s="22">
        <v>10.0</v>
      </c>
      <c r="G38" s="24" t="str">
        <f>IFERROR(__xludf.DUMMYFUNCTION("iferror(iferror(iferror(index(IMPORTRANGE(""1NK5L1mviMn0j3D3uo53ASkIZOFRlLnqaCTnwzOG2_Wg"",""Direct Link!B2:B""),MATCH($B38,IMPORTRANGE(""1NK5L1mviMn0j3D3uo53ASkIZOFRlLnqaCTnwzOG2_Wg"",""Direct Link!A2:A""),0)),XLOOKUP($B38,IMPORTRANGE(""1NK5L1mviMn0j3D3u"&amp;"o53ASkIZOFRlLnqaCTnwzOG2_Wg"",""Direct links Without Sizes!A2:A""),IMPORTRANGE(""1NK5L1mviMn0j3D3uo53ASkIZOFRlLnqaCTnwzOG2_Wg"",""Direct links Without Sizes!B2:B""))),XLOOKUP($B38,IMPORTRANGE(""1NK5L1mviMn0j3D3uo53ASkIZOFRlLnqaCTnwzOG2_Wg"",""Direct links"&amp;" Without Sizes!D2:D""),IMPORTRANGE(""1NK5L1mviMn0j3D3uo53ASkIZOFRlLnqaCTnwzOG2_Wg"",""Direct links Without Sizes!E2:E""))),"""")"),"")</f>
        <v/>
      </c>
      <c r="H38" s="41"/>
      <c r="I38" s="4"/>
      <c r="J38" s="4"/>
      <c r="K38" s="10" t="str">
        <f t="shared" si="1"/>
        <v/>
      </c>
      <c r="L38" s="10"/>
      <c r="M38" s="10" t="str">
        <f t="shared" si="2"/>
        <v>1</v>
      </c>
    </row>
    <row r="39">
      <c r="A39" s="5" t="s">
        <v>443</v>
      </c>
      <c r="B39" s="14" t="s">
        <v>440</v>
      </c>
      <c r="C39" s="7" t="s">
        <v>444</v>
      </c>
      <c r="D39" s="14"/>
      <c r="E39" s="45"/>
      <c r="F39" s="22">
        <v>12.0</v>
      </c>
      <c r="G39" s="24" t="str">
        <f>IFERROR(__xludf.DUMMYFUNCTION("iferror(iferror(iferror(index(IMPORTRANGE(""1NK5L1mviMn0j3D3uo53ASkIZOFRlLnqaCTnwzOG2_Wg"",""Direct Link!B2:B""),MATCH($B39,IMPORTRANGE(""1NK5L1mviMn0j3D3uo53ASkIZOFRlLnqaCTnwzOG2_Wg"",""Direct Link!A2:A""),0)),XLOOKUP($B39,IMPORTRANGE(""1NK5L1mviMn0j3D3u"&amp;"o53ASkIZOFRlLnqaCTnwzOG2_Wg"",""Direct links Without Sizes!A2:A""),IMPORTRANGE(""1NK5L1mviMn0j3D3uo53ASkIZOFRlLnqaCTnwzOG2_Wg"",""Direct links Without Sizes!B2:B""))),XLOOKUP($B39,IMPORTRANGE(""1NK5L1mviMn0j3D3uo53ASkIZOFRlLnqaCTnwzOG2_Wg"",""Direct links"&amp;" Without Sizes!D2:D""),IMPORTRANGE(""1NK5L1mviMn0j3D3uo53ASkIZOFRlLnqaCTnwzOG2_Wg"",""Direct links Without Sizes!E2:E""))),"""")"),"")</f>
        <v/>
      </c>
      <c r="H39" s="41"/>
      <c r="I39" s="4"/>
      <c r="J39" s="4"/>
      <c r="K39" s="10" t="str">
        <f t="shared" si="1"/>
        <v/>
      </c>
      <c r="L39" s="10"/>
      <c r="M39" s="10" t="str">
        <f t="shared" si="2"/>
        <v>1</v>
      </c>
    </row>
    <row r="40">
      <c r="A40" s="5"/>
      <c r="B40" s="14"/>
      <c r="C40" s="7" t="str">
        <f>IFERROR(__xludf.DUMMYFUNCTION("iferror(iferror(INDEX(IMPORTRANGE(""12vtnxaE_Q1s4tyr10kZQx7ZF_xG0lBFae4jQEUtgsMU"",""All!B2:B""),MATCH($B40,IMPORTRANGE(""12vtnxaE_Q1s4tyr10kZQx7ZF_xG0lBFae4jQEUtgsMU"",""All!A2:A""),0)),INDEX(IMPORTRANGE(""13KC70HngS4DDi8y9E5khtSpQEPG6owaQ9z4E-tR5mnY"","&amp;"""Non-Food!B2:B""),MATCH($B40,IMPORTRANGE(""13KC70HngS4DDi8y9E5khtSpQEPG6owaQ9z4E-tR5mnY"",""Non-Food!A2:A""),0))),"""")"),"")</f>
        <v/>
      </c>
      <c r="D40" s="14"/>
      <c r="E40" s="45"/>
      <c r="F40" s="22"/>
      <c r="G40" s="24" t="str">
        <f>IFERROR(__xludf.DUMMYFUNCTION("iferror(iferror(iferror(index(IMPORTRANGE(""1NK5L1mviMn0j3D3uo53ASkIZOFRlLnqaCTnwzOG2_Wg"",""Direct Link!B2:B""),MATCH($B40,IMPORTRANGE(""1NK5L1mviMn0j3D3uo53ASkIZOFRlLnqaCTnwzOG2_Wg"",""Direct Link!A2:A""),0)),XLOOKUP($B40,IMPORTRANGE(""1NK5L1mviMn0j3D3u"&amp;"o53ASkIZOFRlLnqaCTnwzOG2_Wg"",""Direct links Without Sizes!A2:A""),IMPORTRANGE(""1NK5L1mviMn0j3D3uo53ASkIZOFRlLnqaCTnwzOG2_Wg"",""Direct links Without Sizes!B2:B""))),XLOOKUP($B40,IMPORTRANGE(""1NK5L1mviMn0j3D3uo53ASkIZOFRlLnqaCTnwzOG2_Wg"",""Direct links"&amp;" Without Sizes!D2:D""),IMPORTRANGE(""1NK5L1mviMn0j3D3uo53ASkIZOFRlLnqaCTnwzOG2_Wg"",""Direct links Without Sizes!E2:E""))),"""")"),"")</f>
        <v/>
      </c>
      <c r="H40" s="41"/>
      <c r="I40" s="4"/>
      <c r="J40" s="4"/>
      <c r="K40" s="10" t="str">
        <f t="shared" si="1"/>
        <v/>
      </c>
      <c r="L40" s="10"/>
      <c r="M40" s="10" t="str">
        <f t="shared" si="2"/>
        <v/>
      </c>
    </row>
    <row r="41">
      <c r="A41" s="5"/>
      <c r="B41" s="14"/>
      <c r="C41" s="7" t="str">
        <f>IFERROR(__xludf.DUMMYFUNCTION("iferror(iferror(INDEX(IMPORTRANGE(""12vtnxaE_Q1s4tyr10kZQx7ZF_xG0lBFae4jQEUtgsMU"",""All!B2:B""),MATCH($B41,IMPORTRANGE(""12vtnxaE_Q1s4tyr10kZQx7ZF_xG0lBFae4jQEUtgsMU"",""All!A2:A""),0)),INDEX(IMPORTRANGE(""13KC70HngS4DDi8y9E5khtSpQEPG6owaQ9z4E-tR5mnY"","&amp;"""Non-Food!B2:B""),MATCH($B41,IMPORTRANGE(""13KC70HngS4DDi8y9E5khtSpQEPG6owaQ9z4E-tR5mnY"",""Non-Food!A2:A""),0))),"""")"),"")</f>
        <v/>
      </c>
      <c r="D41" s="14"/>
      <c r="E41" s="45"/>
      <c r="F41" s="22"/>
      <c r="G41" s="24" t="str">
        <f>IFERROR(__xludf.DUMMYFUNCTION("iferror(iferror(iferror(index(IMPORTRANGE(""1NK5L1mviMn0j3D3uo53ASkIZOFRlLnqaCTnwzOG2_Wg"",""Direct Link!B2:B""),MATCH($B41,IMPORTRANGE(""1NK5L1mviMn0j3D3uo53ASkIZOFRlLnqaCTnwzOG2_Wg"",""Direct Link!A2:A""),0)),XLOOKUP($B41,IMPORTRANGE(""1NK5L1mviMn0j3D3u"&amp;"o53ASkIZOFRlLnqaCTnwzOG2_Wg"",""Direct links Without Sizes!A2:A""),IMPORTRANGE(""1NK5L1mviMn0j3D3uo53ASkIZOFRlLnqaCTnwzOG2_Wg"",""Direct links Without Sizes!B2:B""))),XLOOKUP($B41,IMPORTRANGE(""1NK5L1mviMn0j3D3uo53ASkIZOFRlLnqaCTnwzOG2_Wg"",""Direct links"&amp;" Without Sizes!D2:D""),IMPORTRANGE(""1NK5L1mviMn0j3D3uo53ASkIZOFRlLnqaCTnwzOG2_Wg"",""Direct links Without Sizes!E2:E""))),"""")"),"")</f>
        <v/>
      </c>
      <c r="H41" s="41"/>
      <c r="I41" s="4"/>
      <c r="J41" s="4"/>
      <c r="K41" s="10" t="str">
        <f t="shared" si="1"/>
        <v/>
      </c>
      <c r="L41" s="10"/>
      <c r="M41" s="10" t="str">
        <f t="shared" si="2"/>
        <v/>
      </c>
    </row>
    <row r="42">
      <c r="A42" s="5"/>
      <c r="B42" s="14"/>
      <c r="C42" s="7" t="str">
        <f>IFERROR(__xludf.DUMMYFUNCTION("iferror(iferror(INDEX(IMPORTRANGE(""12vtnxaE_Q1s4tyr10kZQx7ZF_xG0lBFae4jQEUtgsMU"",""All!B2:B""),MATCH($B42,IMPORTRANGE(""12vtnxaE_Q1s4tyr10kZQx7ZF_xG0lBFae4jQEUtgsMU"",""All!A2:A""),0)),INDEX(IMPORTRANGE(""13KC70HngS4DDi8y9E5khtSpQEPG6owaQ9z4E-tR5mnY"","&amp;"""Non-Food!B2:B""),MATCH($B42,IMPORTRANGE(""13KC70HngS4DDi8y9E5khtSpQEPG6owaQ9z4E-tR5mnY"",""Non-Food!A2:A""),0))),"""")"),"")</f>
        <v/>
      </c>
      <c r="D42" s="14"/>
      <c r="E42" s="45"/>
      <c r="F42" s="22"/>
      <c r="G42" s="24" t="str">
        <f>IFERROR(__xludf.DUMMYFUNCTION("iferror(iferror(iferror(index(IMPORTRANGE(""1NK5L1mviMn0j3D3uo53ASkIZOFRlLnqaCTnwzOG2_Wg"",""Direct Link!B2:B""),MATCH($B42,IMPORTRANGE(""1NK5L1mviMn0j3D3uo53ASkIZOFRlLnqaCTnwzOG2_Wg"",""Direct Link!A2:A""),0)),XLOOKUP($B42,IMPORTRANGE(""1NK5L1mviMn0j3D3u"&amp;"o53ASkIZOFRlLnqaCTnwzOG2_Wg"",""Direct links Without Sizes!A2:A""),IMPORTRANGE(""1NK5L1mviMn0j3D3uo53ASkIZOFRlLnqaCTnwzOG2_Wg"",""Direct links Without Sizes!B2:B""))),XLOOKUP($B42,IMPORTRANGE(""1NK5L1mviMn0j3D3uo53ASkIZOFRlLnqaCTnwzOG2_Wg"",""Direct links"&amp;" Without Sizes!D2:D""),IMPORTRANGE(""1NK5L1mviMn0j3D3uo53ASkIZOFRlLnqaCTnwzOG2_Wg"",""Direct links Without Sizes!E2:E""))),"""")"),"")</f>
        <v/>
      </c>
      <c r="H42" s="41"/>
      <c r="I42" s="4"/>
      <c r="J42" s="4"/>
      <c r="K42" s="10" t="str">
        <f t="shared" si="1"/>
        <v/>
      </c>
      <c r="L42" s="10"/>
      <c r="M42" s="10" t="str">
        <f t="shared" si="2"/>
        <v/>
      </c>
    </row>
    <row r="43">
      <c r="A43" s="5"/>
      <c r="B43" s="15"/>
      <c r="C43" s="7" t="str">
        <f>IFERROR(__xludf.DUMMYFUNCTION("iferror(iferror(INDEX(IMPORTRANGE(""12vtnxaE_Q1s4tyr10kZQx7ZF_xG0lBFae4jQEUtgsMU"",""All!B2:B""),MATCH($B43,IMPORTRANGE(""12vtnxaE_Q1s4tyr10kZQx7ZF_xG0lBFae4jQEUtgsMU"",""All!A2:A""),0)),INDEX(IMPORTRANGE(""13KC70HngS4DDi8y9E5khtSpQEPG6owaQ9z4E-tR5mnY"","&amp;"""Non-Food!B2:B""),MATCH($B43,IMPORTRANGE(""13KC70HngS4DDi8y9E5khtSpQEPG6owaQ9z4E-tR5mnY"",""Non-Food!A2:A""),0))),"""")"),"")</f>
        <v/>
      </c>
      <c r="D43" s="14"/>
      <c r="E43" s="45"/>
      <c r="F43" s="22"/>
      <c r="G43" s="24" t="str">
        <f>IFERROR(__xludf.DUMMYFUNCTION("iferror(iferror(iferror(index(IMPORTRANGE(""1NK5L1mviMn0j3D3uo53ASkIZOFRlLnqaCTnwzOG2_Wg"",""Direct Link!B2:B""),MATCH($B43,IMPORTRANGE(""1NK5L1mviMn0j3D3uo53ASkIZOFRlLnqaCTnwzOG2_Wg"",""Direct Link!A2:A""),0)),XLOOKUP($B43,IMPORTRANGE(""1NK5L1mviMn0j3D3u"&amp;"o53ASkIZOFRlLnqaCTnwzOG2_Wg"",""Direct links Without Sizes!A2:A""),IMPORTRANGE(""1NK5L1mviMn0j3D3uo53ASkIZOFRlLnqaCTnwzOG2_Wg"",""Direct links Without Sizes!B2:B""))),XLOOKUP($B43,IMPORTRANGE(""1NK5L1mviMn0j3D3uo53ASkIZOFRlLnqaCTnwzOG2_Wg"",""Direct links"&amp;" Without Sizes!D2:D""),IMPORTRANGE(""1NK5L1mviMn0j3D3uo53ASkIZOFRlLnqaCTnwzOG2_Wg"",""Direct links Without Sizes!E2:E""))),"""")"),"")</f>
        <v/>
      </c>
      <c r="H43" s="41"/>
      <c r="I43" s="4"/>
      <c r="J43" s="4"/>
      <c r="K43" s="10" t="str">
        <f t="shared" si="1"/>
        <v/>
      </c>
      <c r="L43" s="10"/>
      <c r="M43" s="10" t="str">
        <f t="shared" si="2"/>
        <v/>
      </c>
    </row>
    <row r="44">
      <c r="A44" s="5"/>
      <c r="B44" s="15"/>
      <c r="C44" s="7" t="str">
        <f>IFERROR(__xludf.DUMMYFUNCTION("iferror(iferror(INDEX(IMPORTRANGE(""12vtnxaE_Q1s4tyr10kZQx7ZF_xG0lBFae4jQEUtgsMU"",""All!B2:B""),MATCH($B44,IMPORTRANGE(""12vtnxaE_Q1s4tyr10kZQx7ZF_xG0lBFae4jQEUtgsMU"",""All!A2:A""),0)),INDEX(IMPORTRANGE(""13KC70HngS4DDi8y9E5khtSpQEPG6owaQ9z4E-tR5mnY"","&amp;"""Non-Food!B2:B""),MATCH($B44,IMPORTRANGE(""13KC70HngS4DDi8y9E5khtSpQEPG6owaQ9z4E-tR5mnY"",""Non-Food!A2:A""),0))),"""")"),"")</f>
        <v/>
      </c>
      <c r="D44" s="14"/>
      <c r="E44" s="45"/>
      <c r="F44" s="22"/>
      <c r="G44" s="24" t="str">
        <f>IFERROR(__xludf.DUMMYFUNCTION("iferror(iferror(iferror(index(IMPORTRANGE(""1NK5L1mviMn0j3D3uo53ASkIZOFRlLnqaCTnwzOG2_Wg"",""Direct Link!B2:B""),MATCH($B44,IMPORTRANGE(""1NK5L1mviMn0j3D3uo53ASkIZOFRlLnqaCTnwzOG2_Wg"",""Direct Link!A2:A""),0)),XLOOKUP($B44,IMPORTRANGE(""1NK5L1mviMn0j3D3u"&amp;"o53ASkIZOFRlLnqaCTnwzOG2_Wg"",""Direct links Without Sizes!A2:A""),IMPORTRANGE(""1NK5L1mviMn0j3D3uo53ASkIZOFRlLnqaCTnwzOG2_Wg"",""Direct links Without Sizes!B2:B""))),XLOOKUP($B44,IMPORTRANGE(""1NK5L1mviMn0j3D3uo53ASkIZOFRlLnqaCTnwzOG2_Wg"",""Direct links"&amp;" Without Sizes!D2:D""),IMPORTRANGE(""1NK5L1mviMn0j3D3uo53ASkIZOFRlLnqaCTnwzOG2_Wg"",""Direct links Without Sizes!E2:E""))),"""")"),"")</f>
        <v/>
      </c>
      <c r="H44" s="41"/>
      <c r="I44" s="4"/>
      <c r="J44" s="4"/>
      <c r="K44" s="10" t="str">
        <f t="shared" si="1"/>
        <v/>
      </c>
      <c r="L44" s="10"/>
      <c r="M44" s="10" t="str">
        <f t="shared" si="2"/>
        <v/>
      </c>
    </row>
    <row r="45">
      <c r="A45" s="5"/>
      <c r="B45" s="15"/>
      <c r="C45" s="7" t="str">
        <f>IFERROR(__xludf.DUMMYFUNCTION("iferror(iferror(INDEX(IMPORTRANGE(""12vtnxaE_Q1s4tyr10kZQx7ZF_xG0lBFae4jQEUtgsMU"",""All!B2:B""),MATCH($B45,IMPORTRANGE(""12vtnxaE_Q1s4tyr10kZQx7ZF_xG0lBFae4jQEUtgsMU"",""All!A2:A""),0)),INDEX(IMPORTRANGE(""13KC70HngS4DDi8y9E5khtSpQEPG6owaQ9z4E-tR5mnY"","&amp;"""Non-Food!B2:B""),MATCH($B45,IMPORTRANGE(""13KC70HngS4DDi8y9E5khtSpQEPG6owaQ9z4E-tR5mnY"",""Non-Food!A2:A""),0))),"""")"),"")</f>
        <v/>
      </c>
      <c r="D45" s="14"/>
      <c r="E45" s="45"/>
      <c r="F45" s="22"/>
      <c r="G45" s="24" t="str">
        <f>IFERROR(__xludf.DUMMYFUNCTION("iferror(iferror(iferror(index(IMPORTRANGE(""1NK5L1mviMn0j3D3uo53ASkIZOFRlLnqaCTnwzOG2_Wg"",""Direct Link!B2:B""),MATCH($B45,IMPORTRANGE(""1NK5L1mviMn0j3D3uo53ASkIZOFRlLnqaCTnwzOG2_Wg"",""Direct Link!A2:A""),0)),XLOOKUP($B45,IMPORTRANGE(""1NK5L1mviMn0j3D3u"&amp;"o53ASkIZOFRlLnqaCTnwzOG2_Wg"",""Direct links Without Sizes!A2:A""),IMPORTRANGE(""1NK5L1mviMn0j3D3uo53ASkIZOFRlLnqaCTnwzOG2_Wg"",""Direct links Without Sizes!B2:B""))),XLOOKUP($B45,IMPORTRANGE(""1NK5L1mviMn0j3D3uo53ASkIZOFRlLnqaCTnwzOG2_Wg"",""Direct links"&amp;" Without Sizes!D2:D""),IMPORTRANGE(""1NK5L1mviMn0j3D3uo53ASkIZOFRlLnqaCTnwzOG2_Wg"",""Direct links Without Sizes!E2:E""))),"""")"),"")</f>
        <v/>
      </c>
      <c r="H45" s="41"/>
      <c r="I45" s="4"/>
      <c r="J45" s="4"/>
      <c r="K45" s="10" t="str">
        <f t="shared" si="1"/>
        <v/>
      </c>
      <c r="L45" s="10"/>
      <c r="M45" s="10" t="str">
        <f t="shared" si="2"/>
        <v/>
      </c>
    </row>
    <row r="46">
      <c r="A46" s="5"/>
      <c r="B46" s="15"/>
      <c r="C46" s="7" t="str">
        <f>IFERROR(__xludf.DUMMYFUNCTION("iferror(iferror(INDEX(IMPORTRANGE(""12vtnxaE_Q1s4tyr10kZQx7ZF_xG0lBFae4jQEUtgsMU"",""All!B2:B""),MATCH($B46,IMPORTRANGE(""12vtnxaE_Q1s4tyr10kZQx7ZF_xG0lBFae4jQEUtgsMU"",""All!A2:A""),0)),INDEX(IMPORTRANGE(""13KC70HngS4DDi8y9E5khtSpQEPG6owaQ9z4E-tR5mnY"","&amp;"""Non-Food!B2:B""),MATCH($B46,IMPORTRANGE(""13KC70HngS4DDi8y9E5khtSpQEPG6owaQ9z4E-tR5mnY"",""Non-Food!A2:A""),0))),"""")"),"")</f>
        <v/>
      </c>
      <c r="D46" s="14"/>
      <c r="E46" s="45"/>
      <c r="F46" s="22"/>
      <c r="G46" s="24" t="str">
        <f>IFERROR(__xludf.DUMMYFUNCTION("iferror(iferror(iferror(index(IMPORTRANGE(""1NK5L1mviMn0j3D3uo53ASkIZOFRlLnqaCTnwzOG2_Wg"",""Direct Link!B2:B""),MATCH($B46,IMPORTRANGE(""1NK5L1mviMn0j3D3uo53ASkIZOFRlLnqaCTnwzOG2_Wg"",""Direct Link!A2:A""),0)),XLOOKUP($B46,IMPORTRANGE(""1NK5L1mviMn0j3D3u"&amp;"o53ASkIZOFRlLnqaCTnwzOG2_Wg"",""Direct links Without Sizes!A2:A""),IMPORTRANGE(""1NK5L1mviMn0j3D3uo53ASkIZOFRlLnqaCTnwzOG2_Wg"",""Direct links Without Sizes!B2:B""))),XLOOKUP($B46,IMPORTRANGE(""1NK5L1mviMn0j3D3uo53ASkIZOFRlLnqaCTnwzOG2_Wg"",""Direct links"&amp;" Without Sizes!D2:D""),IMPORTRANGE(""1NK5L1mviMn0j3D3uo53ASkIZOFRlLnqaCTnwzOG2_Wg"",""Direct links Without Sizes!E2:E""))),"""")"),"")</f>
        <v/>
      </c>
      <c r="H46" s="41"/>
      <c r="I46" s="4"/>
      <c r="J46" s="4"/>
      <c r="K46" s="10" t="str">
        <f t="shared" si="1"/>
        <v/>
      </c>
      <c r="L46" s="10"/>
      <c r="M46" s="10" t="str">
        <f t="shared" si="2"/>
        <v/>
      </c>
    </row>
    <row r="47">
      <c r="A47" s="5"/>
      <c r="B47" s="15"/>
      <c r="C47" s="7" t="str">
        <f>IFERROR(__xludf.DUMMYFUNCTION("iferror(iferror(INDEX(IMPORTRANGE(""12vtnxaE_Q1s4tyr10kZQx7ZF_xG0lBFae4jQEUtgsMU"",""All!B2:B""),MATCH($B47,IMPORTRANGE(""12vtnxaE_Q1s4tyr10kZQx7ZF_xG0lBFae4jQEUtgsMU"",""All!A2:A""),0)),INDEX(IMPORTRANGE(""13KC70HngS4DDi8y9E5khtSpQEPG6owaQ9z4E-tR5mnY"","&amp;"""Non-Food!B2:B""),MATCH($B47,IMPORTRANGE(""13KC70HngS4DDi8y9E5khtSpQEPG6owaQ9z4E-tR5mnY"",""Non-Food!A2:A""),0))),"""")"),"")</f>
        <v/>
      </c>
      <c r="D47" s="14"/>
      <c r="E47" s="45"/>
      <c r="F47" s="22"/>
      <c r="G47" s="24" t="str">
        <f>IFERROR(__xludf.DUMMYFUNCTION("iferror(iferror(iferror(index(IMPORTRANGE(""1NK5L1mviMn0j3D3uo53ASkIZOFRlLnqaCTnwzOG2_Wg"",""Direct Link!B2:B""),MATCH($B47,IMPORTRANGE(""1NK5L1mviMn0j3D3uo53ASkIZOFRlLnqaCTnwzOG2_Wg"",""Direct Link!A2:A""),0)),XLOOKUP($B47,IMPORTRANGE(""1NK5L1mviMn0j3D3u"&amp;"o53ASkIZOFRlLnqaCTnwzOG2_Wg"",""Direct links Without Sizes!A2:A""),IMPORTRANGE(""1NK5L1mviMn0j3D3uo53ASkIZOFRlLnqaCTnwzOG2_Wg"",""Direct links Without Sizes!B2:B""))),XLOOKUP($B47,IMPORTRANGE(""1NK5L1mviMn0j3D3uo53ASkIZOFRlLnqaCTnwzOG2_Wg"",""Direct links"&amp;" Without Sizes!D2:D""),IMPORTRANGE(""1NK5L1mviMn0j3D3uo53ASkIZOFRlLnqaCTnwzOG2_Wg"",""Direct links Without Sizes!E2:E""))),"""")"),"")</f>
        <v/>
      </c>
      <c r="H47" s="41"/>
      <c r="I47" s="4"/>
      <c r="J47" s="4"/>
      <c r="K47" s="10" t="str">
        <f t="shared" si="1"/>
        <v/>
      </c>
      <c r="L47" s="10"/>
      <c r="M47" s="10" t="str">
        <f t="shared" si="2"/>
        <v/>
      </c>
    </row>
    <row r="48">
      <c r="A48" s="5"/>
      <c r="B48" s="15"/>
      <c r="C48" s="7" t="str">
        <f>IFERROR(__xludf.DUMMYFUNCTION("iferror(iferror(INDEX(IMPORTRANGE(""12vtnxaE_Q1s4tyr10kZQx7ZF_xG0lBFae4jQEUtgsMU"",""All!B2:B""),MATCH($B48,IMPORTRANGE(""12vtnxaE_Q1s4tyr10kZQx7ZF_xG0lBFae4jQEUtgsMU"",""All!A2:A""),0)),INDEX(IMPORTRANGE(""13KC70HngS4DDi8y9E5khtSpQEPG6owaQ9z4E-tR5mnY"","&amp;"""Non-Food!B2:B""),MATCH($B48,IMPORTRANGE(""13KC70HngS4DDi8y9E5khtSpQEPG6owaQ9z4E-tR5mnY"",""Non-Food!A2:A""),0))),"""")"),"")</f>
        <v/>
      </c>
      <c r="D48" s="14"/>
      <c r="E48" s="45"/>
      <c r="F48" s="22"/>
      <c r="G48" s="24" t="str">
        <f>IFERROR(__xludf.DUMMYFUNCTION("iferror(iferror(iferror(index(IMPORTRANGE(""1NK5L1mviMn0j3D3uo53ASkIZOFRlLnqaCTnwzOG2_Wg"",""Direct Link!B2:B""),MATCH($B48,IMPORTRANGE(""1NK5L1mviMn0j3D3uo53ASkIZOFRlLnqaCTnwzOG2_Wg"",""Direct Link!A2:A""),0)),XLOOKUP($B48,IMPORTRANGE(""1NK5L1mviMn0j3D3u"&amp;"o53ASkIZOFRlLnqaCTnwzOG2_Wg"",""Direct links Without Sizes!A2:A""),IMPORTRANGE(""1NK5L1mviMn0j3D3uo53ASkIZOFRlLnqaCTnwzOG2_Wg"",""Direct links Without Sizes!B2:B""))),XLOOKUP($B48,IMPORTRANGE(""1NK5L1mviMn0j3D3uo53ASkIZOFRlLnqaCTnwzOG2_Wg"",""Direct links"&amp;" Without Sizes!D2:D""),IMPORTRANGE(""1NK5L1mviMn0j3D3uo53ASkIZOFRlLnqaCTnwzOG2_Wg"",""Direct links Without Sizes!E2:E""))),"""")"),"")</f>
        <v/>
      </c>
      <c r="H48" s="41"/>
      <c r="I48" s="4"/>
      <c r="J48" s="4"/>
      <c r="K48" s="10" t="str">
        <f t="shared" si="1"/>
        <v/>
      </c>
      <c r="L48" s="10"/>
      <c r="M48" s="10" t="str">
        <f t="shared" si="2"/>
        <v/>
      </c>
    </row>
    <row r="49">
      <c r="A49" s="5"/>
      <c r="B49" s="15"/>
      <c r="C49" s="7" t="str">
        <f>IFERROR(__xludf.DUMMYFUNCTION("iferror(iferror(INDEX(IMPORTRANGE(""12vtnxaE_Q1s4tyr10kZQx7ZF_xG0lBFae4jQEUtgsMU"",""All!B2:B""),MATCH($B49,IMPORTRANGE(""12vtnxaE_Q1s4tyr10kZQx7ZF_xG0lBFae4jQEUtgsMU"",""All!A2:A""),0)),INDEX(IMPORTRANGE(""13KC70HngS4DDi8y9E5khtSpQEPG6owaQ9z4E-tR5mnY"","&amp;"""Non-Food!B2:B""),MATCH($B49,IMPORTRANGE(""13KC70HngS4DDi8y9E5khtSpQEPG6owaQ9z4E-tR5mnY"",""Non-Food!A2:A""),0))),"""")"),"")</f>
        <v/>
      </c>
      <c r="D49" s="14"/>
      <c r="E49" s="45"/>
      <c r="F49" s="22"/>
      <c r="G49" s="24" t="str">
        <f>IFERROR(__xludf.DUMMYFUNCTION("iferror(iferror(iferror(index(IMPORTRANGE(""1NK5L1mviMn0j3D3uo53ASkIZOFRlLnqaCTnwzOG2_Wg"",""Direct Link!B2:B""),MATCH($B49,IMPORTRANGE(""1NK5L1mviMn0j3D3uo53ASkIZOFRlLnqaCTnwzOG2_Wg"",""Direct Link!A2:A""),0)),XLOOKUP($B49,IMPORTRANGE(""1NK5L1mviMn0j3D3u"&amp;"o53ASkIZOFRlLnqaCTnwzOG2_Wg"",""Direct links Without Sizes!A2:A""),IMPORTRANGE(""1NK5L1mviMn0j3D3uo53ASkIZOFRlLnqaCTnwzOG2_Wg"",""Direct links Without Sizes!B2:B""))),XLOOKUP($B49,IMPORTRANGE(""1NK5L1mviMn0j3D3uo53ASkIZOFRlLnqaCTnwzOG2_Wg"",""Direct links"&amp;" Without Sizes!D2:D""),IMPORTRANGE(""1NK5L1mviMn0j3D3uo53ASkIZOFRlLnqaCTnwzOG2_Wg"",""Direct links Without Sizes!E2:E""))),"""")"),"")</f>
        <v/>
      </c>
      <c r="H49" s="41"/>
      <c r="I49" s="4"/>
      <c r="J49" s="4"/>
      <c r="K49" s="10" t="str">
        <f t="shared" si="1"/>
        <v/>
      </c>
      <c r="L49" s="10"/>
      <c r="M49" s="10" t="str">
        <f t="shared" si="2"/>
        <v/>
      </c>
    </row>
    <row r="50">
      <c r="A50" s="5"/>
      <c r="B50" s="15"/>
      <c r="C50" s="7" t="str">
        <f>IFERROR(__xludf.DUMMYFUNCTION("iferror(iferror(INDEX(IMPORTRANGE(""12vtnxaE_Q1s4tyr10kZQx7ZF_xG0lBFae4jQEUtgsMU"",""All!B2:B""),MATCH($B50,IMPORTRANGE(""12vtnxaE_Q1s4tyr10kZQx7ZF_xG0lBFae4jQEUtgsMU"",""All!A2:A""),0)),INDEX(IMPORTRANGE(""13KC70HngS4DDi8y9E5khtSpQEPG6owaQ9z4E-tR5mnY"","&amp;"""Non-Food!B2:B""),MATCH($B50,IMPORTRANGE(""13KC70HngS4DDi8y9E5khtSpQEPG6owaQ9z4E-tR5mnY"",""Non-Food!A2:A""),0))),"""")"),"")</f>
        <v/>
      </c>
      <c r="D50" s="14"/>
      <c r="E50" s="45"/>
      <c r="F50" s="22"/>
      <c r="G50" s="24" t="str">
        <f>IFERROR(__xludf.DUMMYFUNCTION("iferror(iferror(iferror(index(IMPORTRANGE(""1NK5L1mviMn0j3D3uo53ASkIZOFRlLnqaCTnwzOG2_Wg"",""Direct Link!B2:B""),MATCH($B50,IMPORTRANGE(""1NK5L1mviMn0j3D3uo53ASkIZOFRlLnqaCTnwzOG2_Wg"",""Direct Link!A2:A""),0)),XLOOKUP($B50,IMPORTRANGE(""1NK5L1mviMn0j3D3u"&amp;"o53ASkIZOFRlLnqaCTnwzOG2_Wg"",""Direct links Without Sizes!A2:A""),IMPORTRANGE(""1NK5L1mviMn0j3D3uo53ASkIZOFRlLnqaCTnwzOG2_Wg"",""Direct links Without Sizes!B2:B""))),XLOOKUP($B50,IMPORTRANGE(""1NK5L1mviMn0j3D3uo53ASkIZOFRlLnqaCTnwzOG2_Wg"",""Direct links"&amp;" Without Sizes!D2:D""),IMPORTRANGE(""1NK5L1mviMn0j3D3uo53ASkIZOFRlLnqaCTnwzOG2_Wg"",""Direct links Without Sizes!E2:E""))),"""")"),"")</f>
        <v/>
      </c>
      <c r="H50" s="41"/>
      <c r="I50" s="4"/>
      <c r="J50" s="4"/>
      <c r="K50" s="10" t="str">
        <f t="shared" si="1"/>
        <v/>
      </c>
      <c r="L50" s="10"/>
      <c r="M50" s="10" t="str">
        <f t="shared" si="2"/>
        <v/>
      </c>
    </row>
    <row r="51">
      <c r="A51" s="5"/>
      <c r="B51" s="15"/>
      <c r="C51" s="7" t="str">
        <f>IFERROR(__xludf.DUMMYFUNCTION("iferror(iferror(INDEX(IMPORTRANGE(""12vtnxaE_Q1s4tyr10kZQx7ZF_xG0lBFae4jQEUtgsMU"",""All!B2:B""),MATCH($B51,IMPORTRANGE(""12vtnxaE_Q1s4tyr10kZQx7ZF_xG0lBFae4jQEUtgsMU"",""All!A2:A""),0)),INDEX(IMPORTRANGE(""13KC70HngS4DDi8y9E5khtSpQEPG6owaQ9z4E-tR5mnY"","&amp;"""Non-Food!B2:B""),MATCH($B51,IMPORTRANGE(""13KC70HngS4DDi8y9E5khtSpQEPG6owaQ9z4E-tR5mnY"",""Non-Food!A2:A""),0))),"""")"),"")</f>
        <v/>
      </c>
      <c r="D51" s="14"/>
      <c r="E51" s="45"/>
      <c r="F51" s="22"/>
      <c r="G51" s="24" t="str">
        <f>IFERROR(__xludf.DUMMYFUNCTION("iferror(iferror(iferror(index(IMPORTRANGE(""1NK5L1mviMn0j3D3uo53ASkIZOFRlLnqaCTnwzOG2_Wg"",""Direct Link!B2:B""),MATCH($B51,IMPORTRANGE(""1NK5L1mviMn0j3D3uo53ASkIZOFRlLnqaCTnwzOG2_Wg"",""Direct Link!A2:A""),0)),XLOOKUP($B51,IMPORTRANGE(""1NK5L1mviMn0j3D3u"&amp;"o53ASkIZOFRlLnqaCTnwzOG2_Wg"",""Direct links Without Sizes!A2:A""),IMPORTRANGE(""1NK5L1mviMn0j3D3uo53ASkIZOFRlLnqaCTnwzOG2_Wg"",""Direct links Without Sizes!B2:B""))),XLOOKUP($B51,IMPORTRANGE(""1NK5L1mviMn0j3D3uo53ASkIZOFRlLnqaCTnwzOG2_Wg"",""Direct links"&amp;" Without Sizes!D2:D""),IMPORTRANGE(""1NK5L1mviMn0j3D3uo53ASkIZOFRlLnqaCTnwzOG2_Wg"",""Direct links Without Sizes!E2:E""))),"""")"),"")</f>
        <v/>
      </c>
      <c r="H51" s="41"/>
      <c r="I51" s="4"/>
      <c r="J51" s="4"/>
      <c r="K51" s="10" t="str">
        <f t="shared" si="1"/>
        <v/>
      </c>
      <c r="L51" s="10"/>
      <c r="M51" s="10" t="str">
        <f t="shared" si="2"/>
        <v/>
      </c>
    </row>
    <row r="52">
      <c r="A52" s="5"/>
      <c r="B52" s="15"/>
      <c r="C52" s="7" t="str">
        <f>IFERROR(__xludf.DUMMYFUNCTION("iferror(iferror(INDEX(IMPORTRANGE(""12vtnxaE_Q1s4tyr10kZQx7ZF_xG0lBFae4jQEUtgsMU"",""All!B2:B""),MATCH($B52,IMPORTRANGE(""12vtnxaE_Q1s4tyr10kZQx7ZF_xG0lBFae4jQEUtgsMU"",""All!A2:A""),0)),INDEX(IMPORTRANGE(""13KC70HngS4DDi8y9E5khtSpQEPG6owaQ9z4E-tR5mnY"","&amp;"""Non-Food!B2:B""),MATCH($B52,IMPORTRANGE(""13KC70HngS4DDi8y9E5khtSpQEPG6owaQ9z4E-tR5mnY"",""Non-Food!A2:A""),0))),"""")"),"")</f>
        <v/>
      </c>
      <c r="D52" s="14"/>
      <c r="E52" s="29"/>
      <c r="F52" s="22"/>
      <c r="G52" s="24" t="str">
        <f>IFERROR(__xludf.DUMMYFUNCTION("iferror(iferror(iferror(index(IMPORTRANGE(""1NK5L1mviMn0j3D3uo53ASkIZOFRlLnqaCTnwzOG2_Wg"",""Direct Link!B2:B""),MATCH($B52,IMPORTRANGE(""1NK5L1mviMn0j3D3uo53ASkIZOFRlLnqaCTnwzOG2_Wg"",""Direct Link!A2:A""),0)),XLOOKUP($B52,IMPORTRANGE(""1NK5L1mviMn0j3D3u"&amp;"o53ASkIZOFRlLnqaCTnwzOG2_Wg"",""Direct links Without Sizes!A2:A""),IMPORTRANGE(""1NK5L1mviMn0j3D3uo53ASkIZOFRlLnqaCTnwzOG2_Wg"",""Direct links Without Sizes!B2:B""))),XLOOKUP($B52,IMPORTRANGE(""1NK5L1mviMn0j3D3uo53ASkIZOFRlLnqaCTnwzOG2_Wg"",""Direct links"&amp;" Without Sizes!D2:D""),IMPORTRANGE(""1NK5L1mviMn0j3D3uo53ASkIZOFRlLnqaCTnwzOG2_Wg"",""Direct links Without Sizes!E2:E""))),"""")"),"")</f>
        <v/>
      </c>
      <c r="H52" s="41"/>
      <c r="I52" s="4"/>
      <c r="J52" s="4"/>
      <c r="K52" s="10" t="str">
        <f t="shared" si="1"/>
        <v/>
      </c>
      <c r="L52" s="10"/>
      <c r="M52" s="10" t="str">
        <f t="shared" si="2"/>
        <v/>
      </c>
    </row>
    <row r="53">
      <c r="A53" s="5"/>
      <c r="B53" s="15"/>
      <c r="C53" s="7" t="str">
        <f>IFERROR(__xludf.DUMMYFUNCTION("iferror(iferror(INDEX(IMPORTRANGE(""12vtnxaE_Q1s4tyr10kZQx7ZF_xG0lBFae4jQEUtgsMU"",""All!B2:B""),MATCH($B53,IMPORTRANGE(""12vtnxaE_Q1s4tyr10kZQx7ZF_xG0lBFae4jQEUtgsMU"",""All!A2:A""),0)),INDEX(IMPORTRANGE(""13KC70HngS4DDi8y9E5khtSpQEPG6owaQ9z4E-tR5mnY"","&amp;"""Non-Food!B2:B""),MATCH($B53,IMPORTRANGE(""13KC70HngS4DDi8y9E5khtSpQEPG6owaQ9z4E-tR5mnY"",""Non-Food!A2:A""),0))),"""")"),"")</f>
        <v/>
      </c>
      <c r="D53" s="14"/>
      <c r="E53" s="29"/>
      <c r="F53" s="22"/>
      <c r="G53" s="24" t="str">
        <f>IFERROR(__xludf.DUMMYFUNCTION("iferror(iferror(iferror(index(IMPORTRANGE(""1NK5L1mviMn0j3D3uo53ASkIZOFRlLnqaCTnwzOG2_Wg"",""Direct Link!B2:B""),MATCH($B53,IMPORTRANGE(""1NK5L1mviMn0j3D3uo53ASkIZOFRlLnqaCTnwzOG2_Wg"",""Direct Link!A2:A""),0)),XLOOKUP($B53,IMPORTRANGE(""1NK5L1mviMn0j3D3u"&amp;"o53ASkIZOFRlLnqaCTnwzOG2_Wg"",""Direct links Without Sizes!A2:A""),IMPORTRANGE(""1NK5L1mviMn0j3D3uo53ASkIZOFRlLnqaCTnwzOG2_Wg"",""Direct links Without Sizes!B2:B""))),XLOOKUP($B53,IMPORTRANGE(""1NK5L1mviMn0j3D3uo53ASkIZOFRlLnqaCTnwzOG2_Wg"",""Direct links"&amp;" Without Sizes!D2:D""),IMPORTRANGE(""1NK5L1mviMn0j3D3uo53ASkIZOFRlLnqaCTnwzOG2_Wg"",""Direct links Without Sizes!E2:E""))),"""")"),"")</f>
        <v/>
      </c>
      <c r="H53" s="41"/>
      <c r="I53" s="4"/>
      <c r="J53" s="4"/>
      <c r="K53" s="10" t="str">
        <f t="shared" si="1"/>
        <v/>
      </c>
      <c r="L53" s="10"/>
      <c r="M53" s="10" t="str">
        <f t="shared" si="2"/>
        <v/>
      </c>
    </row>
    <row r="54">
      <c r="A54" s="5"/>
      <c r="B54" s="15"/>
      <c r="C54" s="7" t="str">
        <f>IFERROR(__xludf.DUMMYFUNCTION("iferror(iferror(INDEX(IMPORTRANGE(""12vtnxaE_Q1s4tyr10kZQx7ZF_xG0lBFae4jQEUtgsMU"",""All!B2:B""),MATCH($B54,IMPORTRANGE(""12vtnxaE_Q1s4tyr10kZQx7ZF_xG0lBFae4jQEUtgsMU"",""All!A2:A""),0)),INDEX(IMPORTRANGE(""13KC70HngS4DDi8y9E5khtSpQEPG6owaQ9z4E-tR5mnY"","&amp;"""Non-Food!B2:B""),MATCH($B54,IMPORTRANGE(""13KC70HngS4DDi8y9E5khtSpQEPG6owaQ9z4E-tR5mnY"",""Non-Food!A2:A""),0))),"""")"),"")</f>
        <v/>
      </c>
      <c r="D54" s="15"/>
      <c r="E54" s="44"/>
      <c r="F54" s="22"/>
      <c r="G54" s="24" t="str">
        <f>IFERROR(__xludf.DUMMYFUNCTION("iferror(iferror(iferror(index(IMPORTRANGE(""1NK5L1mviMn0j3D3uo53ASkIZOFRlLnqaCTnwzOG2_Wg"",""Direct Link!B2:B""),MATCH($B54,IMPORTRANGE(""1NK5L1mviMn0j3D3uo53ASkIZOFRlLnqaCTnwzOG2_Wg"",""Direct Link!A2:A""),0)),XLOOKUP($B54,IMPORTRANGE(""1NK5L1mviMn0j3D3u"&amp;"o53ASkIZOFRlLnqaCTnwzOG2_Wg"",""Direct links Without Sizes!A2:A""),IMPORTRANGE(""1NK5L1mviMn0j3D3uo53ASkIZOFRlLnqaCTnwzOG2_Wg"",""Direct links Without Sizes!B2:B""))),XLOOKUP($B54,IMPORTRANGE(""1NK5L1mviMn0j3D3uo53ASkIZOFRlLnqaCTnwzOG2_Wg"",""Direct links"&amp;" Without Sizes!D2:D""),IMPORTRANGE(""1NK5L1mviMn0j3D3uo53ASkIZOFRlLnqaCTnwzOG2_Wg"",""Direct links Without Sizes!E2:E""))),"""")"),"")</f>
        <v/>
      </c>
      <c r="H54" s="41"/>
      <c r="I54" s="4"/>
      <c r="J54" s="4"/>
      <c r="K54" s="10" t="str">
        <f t="shared" si="1"/>
        <v/>
      </c>
      <c r="L54" s="10"/>
      <c r="M54" s="10" t="str">
        <f t="shared" si="2"/>
        <v/>
      </c>
    </row>
    <row r="55">
      <c r="A55" s="5"/>
      <c r="B55" s="15"/>
      <c r="C55" s="7" t="str">
        <f>IFERROR(__xludf.DUMMYFUNCTION("iferror(iferror(INDEX(IMPORTRANGE(""12vtnxaE_Q1s4tyr10kZQx7ZF_xG0lBFae4jQEUtgsMU"",""All!B2:B""),MATCH($B55,IMPORTRANGE(""12vtnxaE_Q1s4tyr10kZQx7ZF_xG0lBFae4jQEUtgsMU"",""All!A2:A""),0)),INDEX(IMPORTRANGE(""13KC70HngS4DDi8y9E5khtSpQEPG6owaQ9z4E-tR5mnY"","&amp;"""Non-Food!B2:B""),MATCH($B55,IMPORTRANGE(""13KC70HngS4DDi8y9E5khtSpQEPG6owaQ9z4E-tR5mnY"",""Non-Food!A2:A""),0))),"""")"),"")</f>
        <v/>
      </c>
      <c r="D55" s="15"/>
      <c r="E55" s="44"/>
      <c r="F55" s="22"/>
      <c r="G55" s="24" t="str">
        <f>IFERROR(__xludf.DUMMYFUNCTION("iferror(iferror(iferror(index(IMPORTRANGE(""1NK5L1mviMn0j3D3uo53ASkIZOFRlLnqaCTnwzOG2_Wg"",""Direct Link!B2:B""),MATCH($B55,IMPORTRANGE(""1NK5L1mviMn0j3D3uo53ASkIZOFRlLnqaCTnwzOG2_Wg"",""Direct Link!A2:A""),0)),XLOOKUP($B55,IMPORTRANGE(""1NK5L1mviMn0j3D3u"&amp;"o53ASkIZOFRlLnqaCTnwzOG2_Wg"",""Direct links Without Sizes!A2:A""),IMPORTRANGE(""1NK5L1mviMn0j3D3uo53ASkIZOFRlLnqaCTnwzOG2_Wg"",""Direct links Without Sizes!B2:B""))),XLOOKUP($B55,IMPORTRANGE(""1NK5L1mviMn0j3D3uo53ASkIZOFRlLnqaCTnwzOG2_Wg"",""Direct links"&amp;" Without Sizes!D2:D""),IMPORTRANGE(""1NK5L1mviMn0j3D3uo53ASkIZOFRlLnqaCTnwzOG2_Wg"",""Direct links Without Sizes!E2:E""))),"""")"),"")</f>
        <v/>
      </c>
      <c r="H55" s="41"/>
      <c r="I55" s="4"/>
      <c r="J55" s="4"/>
      <c r="K55" s="10" t="str">
        <f t="shared" si="1"/>
        <v/>
      </c>
      <c r="L55" s="10"/>
      <c r="M55" s="10" t="str">
        <f t="shared" si="2"/>
        <v/>
      </c>
    </row>
    <row r="56">
      <c r="A56" s="5"/>
      <c r="B56" s="15"/>
      <c r="C56" s="7" t="str">
        <f>IFERROR(__xludf.DUMMYFUNCTION("iferror(iferror(INDEX(IMPORTRANGE(""12vtnxaE_Q1s4tyr10kZQx7ZF_xG0lBFae4jQEUtgsMU"",""All!B2:B""),MATCH($B56,IMPORTRANGE(""12vtnxaE_Q1s4tyr10kZQx7ZF_xG0lBFae4jQEUtgsMU"",""All!A2:A""),0)),INDEX(IMPORTRANGE(""13KC70HngS4DDi8y9E5khtSpQEPG6owaQ9z4E-tR5mnY"","&amp;"""Non-Food!B2:B""),MATCH($B56,IMPORTRANGE(""13KC70HngS4DDi8y9E5khtSpQEPG6owaQ9z4E-tR5mnY"",""Non-Food!A2:A""),0))),"""")"),"")</f>
        <v/>
      </c>
      <c r="D56" s="15"/>
      <c r="E56" s="15"/>
      <c r="F56" s="22"/>
      <c r="G56" s="24" t="str">
        <f>IFERROR(__xludf.DUMMYFUNCTION("iferror(iferror(iferror(index(IMPORTRANGE(""1NK5L1mviMn0j3D3uo53ASkIZOFRlLnqaCTnwzOG2_Wg"",""Direct Link!B2:B""),MATCH($B56,IMPORTRANGE(""1NK5L1mviMn0j3D3uo53ASkIZOFRlLnqaCTnwzOG2_Wg"",""Direct Link!A2:A""),0)),XLOOKUP($B56,IMPORTRANGE(""1NK5L1mviMn0j3D3u"&amp;"o53ASkIZOFRlLnqaCTnwzOG2_Wg"",""Direct links Without Sizes!A2:A""),IMPORTRANGE(""1NK5L1mviMn0j3D3uo53ASkIZOFRlLnqaCTnwzOG2_Wg"",""Direct links Without Sizes!B2:B""))),XLOOKUP($B56,IMPORTRANGE(""1NK5L1mviMn0j3D3uo53ASkIZOFRlLnqaCTnwzOG2_Wg"",""Direct links"&amp;" Without Sizes!D2:D""),IMPORTRANGE(""1NK5L1mviMn0j3D3uo53ASkIZOFRlLnqaCTnwzOG2_Wg"",""Direct links Without Sizes!E2:E""))),"""")"),"")</f>
        <v/>
      </c>
      <c r="H56" s="41"/>
      <c r="I56" s="4"/>
      <c r="J56" s="4"/>
      <c r="K56" s="10" t="str">
        <f t="shared" si="1"/>
        <v/>
      </c>
      <c r="L56" s="10"/>
      <c r="M56" s="10" t="str">
        <f t="shared" si="2"/>
        <v/>
      </c>
    </row>
    <row r="57">
      <c r="A57" s="5"/>
      <c r="B57" s="15"/>
      <c r="C57" s="7" t="str">
        <f>IFERROR(__xludf.DUMMYFUNCTION("iferror(iferror(INDEX(IMPORTRANGE(""12vtnxaE_Q1s4tyr10kZQx7ZF_xG0lBFae4jQEUtgsMU"",""All!B2:B""),MATCH($B57,IMPORTRANGE(""12vtnxaE_Q1s4tyr10kZQx7ZF_xG0lBFae4jQEUtgsMU"",""All!A2:A""),0)),INDEX(IMPORTRANGE(""13KC70HngS4DDi8y9E5khtSpQEPG6owaQ9z4E-tR5mnY"","&amp;"""Non-Food!B2:B""),MATCH($B57,IMPORTRANGE(""13KC70HngS4DDi8y9E5khtSpQEPG6owaQ9z4E-tR5mnY"",""Non-Food!A2:A""),0))),"""")"),"")</f>
        <v/>
      </c>
      <c r="D57" s="15"/>
      <c r="E57" s="15"/>
      <c r="F57" s="22"/>
      <c r="G57" s="24" t="str">
        <f>IFERROR(__xludf.DUMMYFUNCTION("iferror(iferror(iferror(index(IMPORTRANGE(""1NK5L1mviMn0j3D3uo53ASkIZOFRlLnqaCTnwzOG2_Wg"",""Direct Link!B2:B""),MATCH($B57,IMPORTRANGE(""1NK5L1mviMn0j3D3uo53ASkIZOFRlLnqaCTnwzOG2_Wg"",""Direct Link!A2:A""),0)),XLOOKUP($B57,IMPORTRANGE(""1NK5L1mviMn0j3D3u"&amp;"o53ASkIZOFRlLnqaCTnwzOG2_Wg"",""Direct links Without Sizes!A2:A""),IMPORTRANGE(""1NK5L1mviMn0j3D3uo53ASkIZOFRlLnqaCTnwzOG2_Wg"",""Direct links Without Sizes!B2:B""))),XLOOKUP($B57,IMPORTRANGE(""1NK5L1mviMn0j3D3uo53ASkIZOFRlLnqaCTnwzOG2_Wg"",""Direct links"&amp;" Without Sizes!D2:D""),IMPORTRANGE(""1NK5L1mviMn0j3D3uo53ASkIZOFRlLnqaCTnwzOG2_Wg"",""Direct links Without Sizes!E2:E""))),"""")"),"")</f>
        <v/>
      </c>
      <c r="H57" s="41"/>
      <c r="I57" s="4"/>
      <c r="J57" s="4"/>
      <c r="K57" s="10" t="str">
        <f t="shared" si="1"/>
        <v/>
      </c>
      <c r="L57" s="10"/>
      <c r="M57" s="10" t="str">
        <f t="shared" si="2"/>
        <v/>
      </c>
    </row>
    <row r="58">
      <c r="A58" s="5"/>
      <c r="B58" s="15"/>
      <c r="C58" s="7" t="str">
        <f>IFERROR(__xludf.DUMMYFUNCTION("iferror(iferror(INDEX(IMPORTRANGE(""12vtnxaE_Q1s4tyr10kZQx7ZF_xG0lBFae4jQEUtgsMU"",""All!B2:B""),MATCH($B58,IMPORTRANGE(""12vtnxaE_Q1s4tyr10kZQx7ZF_xG0lBFae4jQEUtgsMU"",""All!A2:A""),0)),INDEX(IMPORTRANGE(""13KC70HngS4DDi8y9E5khtSpQEPG6owaQ9z4E-tR5mnY"","&amp;"""Non-Food!B2:B""),MATCH($B58,IMPORTRANGE(""13KC70HngS4DDi8y9E5khtSpQEPG6owaQ9z4E-tR5mnY"",""Non-Food!A2:A""),0))),"""")"),"")</f>
        <v/>
      </c>
      <c r="D58" s="15"/>
      <c r="E58" s="15"/>
      <c r="F58" s="22"/>
      <c r="G58" s="24" t="str">
        <f>IFERROR(__xludf.DUMMYFUNCTION("iferror(iferror(iferror(index(IMPORTRANGE(""1NK5L1mviMn0j3D3uo53ASkIZOFRlLnqaCTnwzOG2_Wg"",""Direct Link!B2:B""),MATCH($B58,IMPORTRANGE(""1NK5L1mviMn0j3D3uo53ASkIZOFRlLnqaCTnwzOG2_Wg"",""Direct Link!A2:A""),0)),XLOOKUP($B58,IMPORTRANGE(""1NK5L1mviMn0j3D3u"&amp;"o53ASkIZOFRlLnqaCTnwzOG2_Wg"",""Direct links Without Sizes!A2:A""),IMPORTRANGE(""1NK5L1mviMn0j3D3uo53ASkIZOFRlLnqaCTnwzOG2_Wg"",""Direct links Without Sizes!B2:B""))),XLOOKUP($B58,IMPORTRANGE(""1NK5L1mviMn0j3D3uo53ASkIZOFRlLnqaCTnwzOG2_Wg"",""Direct links"&amp;" Without Sizes!D2:D""),IMPORTRANGE(""1NK5L1mviMn0j3D3uo53ASkIZOFRlLnqaCTnwzOG2_Wg"",""Direct links Without Sizes!E2:E""))),"""")"),"")</f>
        <v/>
      </c>
      <c r="H58" s="41"/>
      <c r="I58" s="4"/>
      <c r="J58" s="4"/>
      <c r="K58" s="10" t="str">
        <f t="shared" si="1"/>
        <v/>
      </c>
      <c r="L58" s="10"/>
      <c r="M58" s="10" t="str">
        <f t="shared" si="2"/>
        <v/>
      </c>
    </row>
    <row r="59">
      <c r="A59" s="5"/>
      <c r="B59" s="15"/>
      <c r="C59" s="7" t="str">
        <f>IFERROR(__xludf.DUMMYFUNCTION("iferror(iferror(INDEX(IMPORTRANGE(""12vtnxaE_Q1s4tyr10kZQx7ZF_xG0lBFae4jQEUtgsMU"",""All!B2:B""),MATCH($B59,IMPORTRANGE(""12vtnxaE_Q1s4tyr10kZQx7ZF_xG0lBFae4jQEUtgsMU"",""All!A2:A""),0)),INDEX(IMPORTRANGE(""13KC70HngS4DDi8y9E5khtSpQEPG6owaQ9z4E-tR5mnY"","&amp;"""Non-Food!B2:B""),MATCH($B59,IMPORTRANGE(""13KC70HngS4DDi8y9E5khtSpQEPG6owaQ9z4E-tR5mnY"",""Non-Food!A2:A""),0))),"""")"),"")</f>
        <v/>
      </c>
      <c r="D59" s="15"/>
      <c r="E59" s="44"/>
      <c r="F59" s="22"/>
      <c r="G59" s="24" t="str">
        <f>IFERROR(__xludf.DUMMYFUNCTION("iferror(iferror(iferror(index(IMPORTRANGE(""1NK5L1mviMn0j3D3uo53ASkIZOFRlLnqaCTnwzOG2_Wg"",""Direct Link!B2:B""),MATCH($B59,IMPORTRANGE(""1NK5L1mviMn0j3D3uo53ASkIZOFRlLnqaCTnwzOG2_Wg"",""Direct Link!A2:A""),0)),XLOOKUP($B59,IMPORTRANGE(""1NK5L1mviMn0j3D3u"&amp;"o53ASkIZOFRlLnqaCTnwzOG2_Wg"",""Direct links Without Sizes!A2:A""),IMPORTRANGE(""1NK5L1mviMn0j3D3uo53ASkIZOFRlLnqaCTnwzOG2_Wg"",""Direct links Without Sizes!B2:B""))),XLOOKUP($B59,IMPORTRANGE(""1NK5L1mviMn0j3D3uo53ASkIZOFRlLnqaCTnwzOG2_Wg"",""Direct links"&amp;" Without Sizes!D2:D""),IMPORTRANGE(""1NK5L1mviMn0j3D3uo53ASkIZOFRlLnqaCTnwzOG2_Wg"",""Direct links Without Sizes!E2:E""))),"""")"),"")</f>
        <v/>
      </c>
      <c r="H59" s="41"/>
      <c r="I59" s="4"/>
      <c r="J59" s="4"/>
      <c r="K59" s="10" t="str">
        <f t="shared" si="1"/>
        <v/>
      </c>
      <c r="L59" s="10"/>
      <c r="M59" s="10" t="str">
        <f t="shared" si="2"/>
        <v/>
      </c>
    </row>
    <row r="60">
      <c r="A60" s="5"/>
      <c r="B60" s="15"/>
      <c r="C60" s="7" t="str">
        <f>IFERROR(__xludf.DUMMYFUNCTION("iferror(iferror(INDEX(IMPORTRANGE(""12vtnxaE_Q1s4tyr10kZQx7ZF_xG0lBFae4jQEUtgsMU"",""All!B2:B""),MATCH($B60,IMPORTRANGE(""12vtnxaE_Q1s4tyr10kZQx7ZF_xG0lBFae4jQEUtgsMU"",""All!A2:A""),0)),INDEX(IMPORTRANGE(""13KC70HngS4DDi8y9E5khtSpQEPG6owaQ9z4E-tR5mnY"","&amp;"""Non-Food!B2:B""),MATCH($B60,IMPORTRANGE(""13KC70HngS4DDi8y9E5khtSpQEPG6owaQ9z4E-tR5mnY"",""Non-Food!A2:A""),0))),"""")"),"")</f>
        <v/>
      </c>
      <c r="D60" s="15"/>
      <c r="E60" s="44"/>
      <c r="F60" s="22"/>
      <c r="G60" s="24" t="str">
        <f>IFERROR(__xludf.DUMMYFUNCTION("iferror(iferror(iferror(index(IMPORTRANGE(""1NK5L1mviMn0j3D3uo53ASkIZOFRlLnqaCTnwzOG2_Wg"",""Direct Link!B2:B""),MATCH($B60,IMPORTRANGE(""1NK5L1mviMn0j3D3uo53ASkIZOFRlLnqaCTnwzOG2_Wg"",""Direct Link!A2:A""),0)),XLOOKUP($B60,IMPORTRANGE(""1NK5L1mviMn0j3D3u"&amp;"o53ASkIZOFRlLnqaCTnwzOG2_Wg"",""Direct links Without Sizes!A2:A""),IMPORTRANGE(""1NK5L1mviMn0j3D3uo53ASkIZOFRlLnqaCTnwzOG2_Wg"",""Direct links Without Sizes!B2:B""))),XLOOKUP($B60,IMPORTRANGE(""1NK5L1mviMn0j3D3uo53ASkIZOFRlLnqaCTnwzOG2_Wg"",""Direct links"&amp;" Without Sizes!D2:D""),IMPORTRANGE(""1NK5L1mviMn0j3D3uo53ASkIZOFRlLnqaCTnwzOG2_Wg"",""Direct links Without Sizes!E2:E""))),"""")"),"")</f>
        <v/>
      </c>
      <c r="H60" s="41"/>
      <c r="I60" s="4"/>
      <c r="J60" s="4"/>
      <c r="K60" s="10" t="str">
        <f t="shared" si="1"/>
        <v/>
      </c>
      <c r="L60" s="10"/>
      <c r="M60" s="10" t="str">
        <f t="shared" si="2"/>
        <v/>
      </c>
    </row>
    <row r="61">
      <c r="A61" s="5"/>
      <c r="B61" s="15"/>
      <c r="C61" s="7" t="str">
        <f>IFERROR(__xludf.DUMMYFUNCTION("iferror(iferror(INDEX(IMPORTRANGE(""12vtnxaE_Q1s4tyr10kZQx7ZF_xG0lBFae4jQEUtgsMU"",""All!B2:B""),MATCH($B61,IMPORTRANGE(""12vtnxaE_Q1s4tyr10kZQx7ZF_xG0lBFae4jQEUtgsMU"",""All!A2:A""),0)),INDEX(IMPORTRANGE(""13KC70HngS4DDi8y9E5khtSpQEPG6owaQ9z4E-tR5mnY"","&amp;"""Non-Food!B2:B""),MATCH($B61,IMPORTRANGE(""13KC70HngS4DDi8y9E5khtSpQEPG6owaQ9z4E-tR5mnY"",""Non-Food!A2:A""),0))),"""")"),"")</f>
        <v/>
      </c>
      <c r="D61" s="15"/>
      <c r="E61" s="44"/>
      <c r="F61" s="22"/>
      <c r="G61" s="24" t="str">
        <f>IFERROR(__xludf.DUMMYFUNCTION("iferror(iferror(iferror(index(IMPORTRANGE(""1NK5L1mviMn0j3D3uo53ASkIZOFRlLnqaCTnwzOG2_Wg"",""Direct Link!B2:B""),MATCH($B61,IMPORTRANGE(""1NK5L1mviMn0j3D3uo53ASkIZOFRlLnqaCTnwzOG2_Wg"",""Direct Link!A2:A""),0)),XLOOKUP($B61,IMPORTRANGE(""1NK5L1mviMn0j3D3u"&amp;"o53ASkIZOFRlLnqaCTnwzOG2_Wg"",""Direct links Without Sizes!A2:A""),IMPORTRANGE(""1NK5L1mviMn0j3D3uo53ASkIZOFRlLnqaCTnwzOG2_Wg"",""Direct links Without Sizes!B2:B""))),XLOOKUP($B61,IMPORTRANGE(""1NK5L1mviMn0j3D3uo53ASkIZOFRlLnqaCTnwzOG2_Wg"",""Direct links"&amp;" Without Sizes!D2:D""),IMPORTRANGE(""1NK5L1mviMn0j3D3uo53ASkIZOFRlLnqaCTnwzOG2_Wg"",""Direct links Without Sizes!E2:E""))),"""")"),"")</f>
        <v/>
      </c>
      <c r="H61" s="41"/>
      <c r="I61" s="4"/>
      <c r="J61" s="4"/>
      <c r="K61" s="10" t="str">
        <f t="shared" si="1"/>
        <v/>
      </c>
      <c r="L61" s="10"/>
      <c r="M61" s="10" t="str">
        <f t="shared" si="2"/>
        <v/>
      </c>
    </row>
    <row r="62">
      <c r="A62" s="5"/>
      <c r="B62" s="15"/>
      <c r="C62" s="7" t="str">
        <f>IFERROR(__xludf.DUMMYFUNCTION("iferror(iferror(INDEX(IMPORTRANGE(""12vtnxaE_Q1s4tyr10kZQx7ZF_xG0lBFae4jQEUtgsMU"",""All!B2:B""),MATCH($B62,IMPORTRANGE(""12vtnxaE_Q1s4tyr10kZQx7ZF_xG0lBFae4jQEUtgsMU"",""All!A2:A""),0)),INDEX(IMPORTRANGE(""13KC70HngS4DDi8y9E5khtSpQEPG6owaQ9z4E-tR5mnY"","&amp;"""Non-Food!B2:B""),MATCH($B62,IMPORTRANGE(""13KC70HngS4DDi8y9E5khtSpQEPG6owaQ9z4E-tR5mnY"",""Non-Food!A2:A""),0))),"""")"),"")</f>
        <v/>
      </c>
      <c r="D62" s="15"/>
      <c r="E62" s="44"/>
      <c r="F62" s="22"/>
      <c r="G62" s="24" t="str">
        <f>IFERROR(__xludf.DUMMYFUNCTION("iferror(iferror(iferror(index(IMPORTRANGE(""1NK5L1mviMn0j3D3uo53ASkIZOFRlLnqaCTnwzOG2_Wg"",""Direct Link!B2:B""),MATCH($B62,IMPORTRANGE(""1NK5L1mviMn0j3D3uo53ASkIZOFRlLnqaCTnwzOG2_Wg"",""Direct Link!A2:A""),0)),XLOOKUP($B62,IMPORTRANGE(""1NK5L1mviMn0j3D3u"&amp;"o53ASkIZOFRlLnqaCTnwzOG2_Wg"",""Direct links Without Sizes!A2:A""),IMPORTRANGE(""1NK5L1mviMn0j3D3uo53ASkIZOFRlLnqaCTnwzOG2_Wg"",""Direct links Without Sizes!B2:B""))),XLOOKUP($B62,IMPORTRANGE(""1NK5L1mviMn0j3D3uo53ASkIZOFRlLnqaCTnwzOG2_Wg"",""Direct links"&amp;" Without Sizes!D2:D""),IMPORTRANGE(""1NK5L1mviMn0j3D3uo53ASkIZOFRlLnqaCTnwzOG2_Wg"",""Direct links Without Sizes!E2:E""))),"""")"),"")</f>
        <v/>
      </c>
      <c r="H62" s="41"/>
      <c r="I62" s="4"/>
      <c r="J62" s="4"/>
      <c r="K62" s="10" t="str">
        <f t="shared" si="1"/>
        <v/>
      </c>
      <c r="L62" s="10"/>
      <c r="M62" s="10" t="str">
        <f t="shared" si="2"/>
        <v/>
      </c>
    </row>
    <row r="63">
      <c r="A63" s="5"/>
      <c r="B63" s="15"/>
      <c r="C63" s="7" t="str">
        <f>IFERROR(__xludf.DUMMYFUNCTION("iferror(iferror(INDEX(IMPORTRANGE(""12vtnxaE_Q1s4tyr10kZQx7ZF_xG0lBFae4jQEUtgsMU"",""All!B2:B""),MATCH($B63,IMPORTRANGE(""12vtnxaE_Q1s4tyr10kZQx7ZF_xG0lBFae4jQEUtgsMU"",""All!A2:A""),0)),INDEX(IMPORTRANGE(""13KC70HngS4DDi8y9E5khtSpQEPG6owaQ9z4E-tR5mnY"","&amp;"""Non-Food!B2:B""),MATCH($B63,IMPORTRANGE(""13KC70HngS4DDi8y9E5khtSpQEPG6owaQ9z4E-tR5mnY"",""Non-Food!A2:A""),0))),"""")"),"")</f>
        <v/>
      </c>
      <c r="D63" s="15"/>
      <c r="E63" s="15"/>
      <c r="F63" s="22"/>
      <c r="G63" s="24" t="str">
        <f>IFERROR(__xludf.DUMMYFUNCTION("iferror(iferror(iferror(index(IMPORTRANGE(""1NK5L1mviMn0j3D3uo53ASkIZOFRlLnqaCTnwzOG2_Wg"",""Direct Link!B2:B""),MATCH($B63,IMPORTRANGE(""1NK5L1mviMn0j3D3uo53ASkIZOFRlLnqaCTnwzOG2_Wg"",""Direct Link!A2:A""),0)),XLOOKUP($B63,IMPORTRANGE(""1NK5L1mviMn0j3D3u"&amp;"o53ASkIZOFRlLnqaCTnwzOG2_Wg"",""Direct links Without Sizes!A2:A""),IMPORTRANGE(""1NK5L1mviMn0j3D3uo53ASkIZOFRlLnqaCTnwzOG2_Wg"",""Direct links Without Sizes!B2:B""))),XLOOKUP($B63,IMPORTRANGE(""1NK5L1mviMn0j3D3uo53ASkIZOFRlLnqaCTnwzOG2_Wg"",""Direct links"&amp;" Without Sizes!D2:D""),IMPORTRANGE(""1NK5L1mviMn0j3D3uo53ASkIZOFRlLnqaCTnwzOG2_Wg"",""Direct links Without Sizes!E2:E""))),"""")"),"")</f>
        <v/>
      </c>
      <c r="H63" s="41"/>
      <c r="I63" s="4"/>
      <c r="J63" s="4"/>
      <c r="K63" s="10" t="str">
        <f t="shared" si="1"/>
        <v/>
      </c>
      <c r="L63" s="10"/>
      <c r="M63" s="10" t="str">
        <f t="shared" si="2"/>
        <v/>
      </c>
    </row>
    <row r="64">
      <c r="A64" s="5"/>
      <c r="B64" s="15"/>
      <c r="C64" s="7" t="str">
        <f>IFERROR(__xludf.DUMMYFUNCTION("iferror(iferror(INDEX(IMPORTRANGE(""12vtnxaE_Q1s4tyr10kZQx7ZF_xG0lBFae4jQEUtgsMU"",""All!B2:B""),MATCH($B64,IMPORTRANGE(""12vtnxaE_Q1s4tyr10kZQx7ZF_xG0lBFae4jQEUtgsMU"",""All!A2:A""),0)),INDEX(IMPORTRANGE(""13KC70HngS4DDi8y9E5khtSpQEPG6owaQ9z4E-tR5mnY"","&amp;"""Non-Food!B2:B""),MATCH($B64,IMPORTRANGE(""13KC70HngS4DDi8y9E5khtSpQEPG6owaQ9z4E-tR5mnY"",""Non-Food!A2:A""),0))),"""")"),"")</f>
        <v/>
      </c>
      <c r="D64" s="15"/>
      <c r="E64" s="15"/>
      <c r="F64" s="22"/>
      <c r="G64" s="24" t="str">
        <f>IFERROR(__xludf.DUMMYFUNCTION("iferror(iferror(iferror(index(IMPORTRANGE(""1NK5L1mviMn0j3D3uo53ASkIZOFRlLnqaCTnwzOG2_Wg"",""Direct Link!B2:B""),MATCH($B64,IMPORTRANGE(""1NK5L1mviMn0j3D3uo53ASkIZOFRlLnqaCTnwzOG2_Wg"",""Direct Link!A2:A""),0)),XLOOKUP($B64,IMPORTRANGE(""1NK5L1mviMn0j3D3u"&amp;"o53ASkIZOFRlLnqaCTnwzOG2_Wg"",""Direct links Without Sizes!A2:A""),IMPORTRANGE(""1NK5L1mviMn0j3D3uo53ASkIZOFRlLnqaCTnwzOG2_Wg"",""Direct links Without Sizes!B2:B""))),XLOOKUP($B64,IMPORTRANGE(""1NK5L1mviMn0j3D3uo53ASkIZOFRlLnqaCTnwzOG2_Wg"",""Direct links"&amp;" Without Sizes!D2:D""),IMPORTRANGE(""1NK5L1mviMn0j3D3uo53ASkIZOFRlLnqaCTnwzOG2_Wg"",""Direct links Without Sizes!E2:E""))),"""")"),"")</f>
        <v/>
      </c>
      <c r="H64" s="41"/>
      <c r="I64" s="4"/>
      <c r="J64" s="4"/>
      <c r="K64" s="10" t="str">
        <f t="shared" si="1"/>
        <v/>
      </c>
      <c r="L64" s="10"/>
      <c r="M64" s="10" t="str">
        <f t="shared" si="2"/>
        <v/>
      </c>
    </row>
    <row r="65">
      <c r="A65" s="5"/>
      <c r="B65" s="15"/>
      <c r="C65" s="7" t="str">
        <f>IFERROR(__xludf.DUMMYFUNCTION("iferror(iferror(INDEX(IMPORTRANGE(""12vtnxaE_Q1s4tyr10kZQx7ZF_xG0lBFae4jQEUtgsMU"",""All!B2:B""),MATCH($B65,IMPORTRANGE(""12vtnxaE_Q1s4tyr10kZQx7ZF_xG0lBFae4jQEUtgsMU"",""All!A2:A""),0)),INDEX(IMPORTRANGE(""13KC70HngS4DDi8y9E5khtSpQEPG6owaQ9z4E-tR5mnY"","&amp;"""Non-Food!B2:B""),MATCH($B65,IMPORTRANGE(""13KC70HngS4DDi8y9E5khtSpQEPG6owaQ9z4E-tR5mnY"",""Non-Food!A2:A""),0))),"""")"),"")</f>
        <v/>
      </c>
      <c r="D65" s="15"/>
      <c r="E65" s="15"/>
      <c r="F65" s="22"/>
      <c r="G65" s="24" t="str">
        <f>IFERROR(__xludf.DUMMYFUNCTION("iferror(iferror(iferror(index(IMPORTRANGE(""1NK5L1mviMn0j3D3uo53ASkIZOFRlLnqaCTnwzOG2_Wg"",""Direct Link!B2:B""),MATCH($B65,IMPORTRANGE(""1NK5L1mviMn0j3D3uo53ASkIZOFRlLnqaCTnwzOG2_Wg"",""Direct Link!A2:A""),0)),XLOOKUP($B65,IMPORTRANGE(""1NK5L1mviMn0j3D3u"&amp;"o53ASkIZOFRlLnqaCTnwzOG2_Wg"",""Direct links Without Sizes!A2:A""),IMPORTRANGE(""1NK5L1mviMn0j3D3uo53ASkIZOFRlLnqaCTnwzOG2_Wg"",""Direct links Without Sizes!B2:B""))),XLOOKUP($B65,IMPORTRANGE(""1NK5L1mviMn0j3D3uo53ASkIZOFRlLnqaCTnwzOG2_Wg"",""Direct links"&amp;" Without Sizes!D2:D""),IMPORTRANGE(""1NK5L1mviMn0j3D3uo53ASkIZOFRlLnqaCTnwzOG2_Wg"",""Direct links Without Sizes!E2:E""))),"""")"),"")</f>
        <v/>
      </c>
      <c r="H65" s="41"/>
      <c r="I65" s="4"/>
      <c r="J65" s="4"/>
      <c r="K65" s="10" t="str">
        <f t="shared" si="1"/>
        <v/>
      </c>
      <c r="L65" s="10"/>
      <c r="M65" s="10" t="str">
        <f t="shared" si="2"/>
        <v/>
      </c>
    </row>
    <row r="66">
      <c r="A66" s="5"/>
      <c r="B66" s="15"/>
      <c r="C66" s="7" t="str">
        <f>IFERROR(__xludf.DUMMYFUNCTION("iferror(iferror(INDEX(IMPORTRANGE(""12vtnxaE_Q1s4tyr10kZQx7ZF_xG0lBFae4jQEUtgsMU"",""All!B2:B""),MATCH($B66,IMPORTRANGE(""12vtnxaE_Q1s4tyr10kZQx7ZF_xG0lBFae4jQEUtgsMU"",""All!A2:A""),0)),INDEX(IMPORTRANGE(""13KC70HngS4DDi8y9E5khtSpQEPG6owaQ9z4E-tR5mnY"","&amp;"""Non-Food!B2:B""),MATCH($B66,IMPORTRANGE(""13KC70HngS4DDi8y9E5khtSpQEPG6owaQ9z4E-tR5mnY"",""Non-Food!A2:A""),0))),"""")"),"")</f>
        <v/>
      </c>
      <c r="D66" s="15"/>
      <c r="E66" s="15"/>
      <c r="F66" s="22"/>
      <c r="G66" s="24" t="str">
        <f>IFERROR(__xludf.DUMMYFUNCTION("iferror(iferror(iferror(index(IMPORTRANGE(""1NK5L1mviMn0j3D3uo53ASkIZOFRlLnqaCTnwzOG2_Wg"",""Direct Link!B2:B""),MATCH($B66,IMPORTRANGE(""1NK5L1mviMn0j3D3uo53ASkIZOFRlLnqaCTnwzOG2_Wg"",""Direct Link!A2:A""),0)),XLOOKUP($B66,IMPORTRANGE(""1NK5L1mviMn0j3D3u"&amp;"o53ASkIZOFRlLnqaCTnwzOG2_Wg"",""Direct links Without Sizes!A2:A""),IMPORTRANGE(""1NK5L1mviMn0j3D3uo53ASkIZOFRlLnqaCTnwzOG2_Wg"",""Direct links Without Sizes!B2:B""))),XLOOKUP($B66,IMPORTRANGE(""1NK5L1mviMn0j3D3uo53ASkIZOFRlLnqaCTnwzOG2_Wg"",""Direct links"&amp;" Without Sizes!D2:D""),IMPORTRANGE(""1NK5L1mviMn0j3D3uo53ASkIZOFRlLnqaCTnwzOG2_Wg"",""Direct links Without Sizes!E2:E""))),"""")"),"")</f>
        <v/>
      </c>
      <c r="H66" s="41"/>
      <c r="I66" s="4"/>
      <c r="J66" s="4"/>
      <c r="K66" s="10" t="str">
        <f t="shared" si="1"/>
        <v/>
      </c>
      <c r="L66" s="10"/>
      <c r="M66" s="10" t="str">
        <f t="shared" si="2"/>
        <v/>
      </c>
    </row>
    <row r="67">
      <c r="A67" s="5"/>
      <c r="B67" s="15"/>
      <c r="C67" s="7" t="str">
        <f>IFERROR(__xludf.DUMMYFUNCTION("iferror(iferror(INDEX(IMPORTRANGE(""12vtnxaE_Q1s4tyr10kZQx7ZF_xG0lBFae4jQEUtgsMU"",""All!B2:B""),MATCH($B67,IMPORTRANGE(""12vtnxaE_Q1s4tyr10kZQx7ZF_xG0lBFae4jQEUtgsMU"",""All!A2:A""),0)),INDEX(IMPORTRANGE(""13KC70HngS4DDi8y9E5khtSpQEPG6owaQ9z4E-tR5mnY"","&amp;"""Non-Food!B2:B""),MATCH($B67,IMPORTRANGE(""13KC70HngS4DDi8y9E5khtSpQEPG6owaQ9z4E-tR5mnY"",""Non-Food!A2:A""),0))),"""")"),"")</f>
        <v/>
      </c>
      <c r="D67" s="15"/>
      <c r="E67" s="15"/>
      <c r="F67" s="22"/>
      <c r="G67" s="24" t="str">
        <f>IFERROR(__xludf.DUMMYFUNCTION("iferror(iferror(iferror(index(IMPORTRANGE(""1NK5L1mviMn0j3D3uo53ASkIZOFRlLnqaCTnwzOG2_Wg"",""Direct Link!B2:B""),MATCH($B67,IMPORTRANGE(""1NK5L1mviMn0j3D3uo53ASkIZOFRlLnqaCTnwzOG2_Wg"",""Direct Link!A2:A""),0)),XLOOKUP($B67,IMPORTRANGE(""1NK5L1mviMn0j3D3u"&amp;"o53ASkIZOFRlLnqaCTnwzOG2_Wg"",""Direct links Without Sizes!A2:A""),IMPORTRANGE(""1NK5L1mviMn0j3D3uo53ASkIZOFRlLnqaCTnwzOG2_Wg"",""Direct links Without Sizes!B2:B""))),XLOOKUP($B67,IMPORTRANGE(""1NK5L1mviMn0j3D3uo53ASkIZOFRlLnqaCTnwzOG2_Wg"",""Direct links"&amp;" Without Sizes!D2:D""),IMPORTRANGE(""1NK5L1mviMn0j3D3uo53ASkIZOFRlLnqaCTnwzOG2_Wg"",""Direct links Without Sizes!E2:E""))),"""")"),"")</f>
        <v/>
      </c>
      <c r="H67" s="41"/>
      <c r="I67" s="4"/>
      <c r="J67" s="4"/>
      <c r="K67" s="10" t="str">
        <f t="shared" si="1"/>
        <v/>
      </c>
      <c r="L67" s="10"/>
      <c r="M67" s="10" t="str">
        <f t="shared" si="2"/>
        <v/>
      </c>
    </row>
    <row r="68">
      <c r="A68" s="5"/>
      <c r="B68" s="15"/>
      <c r="C68" s="7" t="str">
        <f>IFERROR(__xludf.DUMMYFUNCTION("iferror(iferror(INDEX(IMPORTRANGE(""12vtnxaE_Q1s4tyr10kZQx7ZF_xG0lBFae4jQEUtgsMU"",""All!B2:B""),MATCH($B68,IMPORTRANGE(""12vtnxaE_Q1s4tyr10kZQx7ZF_xG0lBFae4jQEUtgsMU"",""All!A2:A""),0)),INDEX(IMPORTRANGE(""13KC70HngS4DDi8y9E5khtSpQEPG6owaQ9z4E-tR5mnY"","&amp;"""Non-Food!B2:B""),MATCH($B68,IMPORTRANGE(""13KC70HngS4DDi8y9E5khtSpQEPG6owaQ9z4E-tR5mnY"",""Non-Food!A2:A""),0))),"""")"),"")</f>
        <v/>
      </c>
      <c r="D68" s="15"/>
      <c r="E68" s="15"/>
      <c r="F68" s="22"/>
      <c r="G68" s="24" t="str">
        <f>IFERROR(__xludf.DUMMYFUNCTION("iferror(iferror(iferror(index(IMPORTRANGE(""1NK5L1mviMn0j3D3uo53ASkIZOFRlLnqaCTnwzOG2_Wg"",""Direct Link!B2:B""),MATCH($B68,IMPORTRANGE(""1NK5L1mviMn0j3D3uo53ASkIZOFRlLnqaCTnwzOG2_Wg"",""Direct Link!A2:A""),0)),XLOOKUP($B68,IMPORTRANGE(""1NK5L1mviMn0j3D3u"&amp;"o53ASkIZOFRlLnqaCTnwzOG2_Wg"",""Direct links Without Sizes!A2:A""),IMPORTRANGE(""1NK5L1mviMn0j3D3uo53ASkIZOFRlLnqaCTnwzOG2_Wg"",""Direct links Without Sizes!B2:B""))),XLOOKUP($B68,IMPORTRANGE(""1NK5L1mviMn0j3D3uo53ASkIZOFRlLnqaCTnwzOG2_Wg"",""Direct links"&amp;" Without Sizes!D2:D""),IMPORTRANGE(""1NK5L1mviMn0j3D3uo53ASkIZOFRlLnqaCTnwzOG2_Wg"",""Direct links Without Sizes!E2:E""))),"""")"),"")</f>
        <v/>
      </c>
      <c r="H68" s="41"/>
      <c r="I68" s="4"/>
      <c r="J68" s="4"/>
      <c r="K68" s="10" t="str">
        <f t="shared" si="1"/>
        <v/>
      </c>
      <c r="L68" s="10"/>
      <c r="M68" s="10" t="str">
        <f t="shared" si="2"/>
        <v/>
      </c>
    </row>
    <row r="69">
      <c r="A69" s="5"/>
      <c r="B69" s="15"/>
      <c r="C69" s="7" t="str">
        <f>IFERROR(__xludf.DUMMYFUNCTION("iferror(iferror(INDEX(IMPORTRANGE(""12vtnxaE_Q1s4tyr10kZQx7ZF_xG0lBFae4jQEUtgsMU"",""All!B2:B""),MATCH($B69,IMPORTRANGE(""12vtnxaE_Q1s4tyr10kZQx7ZF_xG0lBFae4jQEUtgsMU"",""All!A2:A""),0)),INDEX(IMPORTRANGE(""13KC70HngS4DDi8y9E5khtSpQEPG6owaQ9z4E-tR5mnY"","&amp;"""Non-Food!B2:B""),MATCH($B69,IMPORTRANGE(""13KC70HngS4DDi8y9E5khtSpQEPG6owaQ9z4E-tR5mnY"",""Non-Food!A2:A""),0))),"""")"),"")</f>
        <v/>
      </c>
      <c r="D69" s="15"/>
      <c r="E69" s="15"/>
      <c r="F69" s="22"/>
      <c r="G69" s="24" t="str">
        <f>IFERROR(__xludf.DUMMYFUNCTION("iferror(iferror(iferror(index(IMPORTRANGE(""1NK5L1mviMn0j3D3uo53ASkIZOFRlLnqaCTnwzOG2_Wg"",""Direct Link!B2:B""),MATCH($B69,IMPORTRANGE(""1NK5L1mviMn0j3D3uo53ASkIZOFRlLnqaCTnwzOG2_Wg"",""Direct Link!A2:A""),0)),XLOOKUP($B69,IMPORTRANGE(""1NK5L1mviMn0j3D3u"&amp;"o53ASkIZOFRlLnqaCTnwzOG2_Wg"",""Direct links Without Sizes!A2:A""),IMPORTRANGE(""1NK5L1mviMn0j3D3uo53ASkIZOFRlLnqaCTnwzOG2_Wg"",""Direct links Without Sizes!B2:B""))),XLOOKUP($B69,IMPORTRANGE(""1NK5L1mviMn0j3D3uo53ASkIZOFRlLnqaCTnwzOG2_Wg"",""Direct links"&amp;" Without Sizes!D2:D""),IMPORTRANGE(""1NK5L1mviMn0j3D3uo53ASkIZOFRlLnqaCTnwzOG2_Wg"",""Direct links Without Sizes!E2:E""))),"""")"),"")</f>
        <v/>
      </c>
      <c r="H69" s="41"/>
      <c r="I69" s="4"/>
      <c r="J69" s="4"/>
      <c r="K69" s="10" t="str">
        <f t="shared" si="1"/>
        <v/>
      </c>
      <c r="L69" s="10"/>
      <c r="M69" s="10" t="str">
        <f t="shared" si="2"/>
        <v/>
      </c>
    </row>
    <row r="70">
      <c r="A70" s="5"/>
      <c r="B70" s="15"/>
      <c r="C70" s="7" t="str">
        <f>IFERROR(__xludf.DUMMYFUNCTION("iferror(iferror(INDEX(IMPORTRANGE(""12vtnxaE_Q1s4tyr10kZQx7ZF_xG0lBFae4jQEUtgsMU"",""All!B2:B""),MATCH($B70,IMPORTRANGE(""12vtnxaE_Q1s4tyr10kZQx7ZF_xG0lBFae4jQEUtgsMU"",""All!A2:A""),0)),INDEX(IMPORTRANGE(""13KC70HngS4DDi8y9E5khtSpQEPG6owaQ9z4E-tR5mnY"","&amp;"""Non-Food!B2:B""),MATCH($B70,IMPORTRANGE(""13KC70HngS4DDi8y9E5khtSpQEPG6owaQ9z4E-tR5mnY"",""Non-Food!A2:A""),0))),"""")"),"")</f>
        <v/>
      </c>
      <c r="D70" s="15"/>
      <c r="E70" s="15"/>
      <c r="F70" s="22"/>
      <c r="G70" s="24" t="str">
        <f>IFERROR(__xludf.DUMMYFUNCTION("iferror(iferror(iferror(index(IMPORTRANGE(""1NK5L1mviMn0j3D3uo53ASkIZOFRlLnqaCTnwzOG2_Wg"",""Direct Link!B2:B""),MATCH($B70,IMPORTRANGE(""1NK5L1mviMn0j3D3uo53ASkIZOFRlLnqaCTnwzOG2_Wg"",""Direct Link!A2:A""),0)),XLOOKUP($B70,IMPORTRANGE(""1NK5L1mviMn0j3D3u"&amp;"o53ASkIZOFRlLnqaCTnwzOG2_Wg"",""Direct links Without Sizes!A2:A""),IMPORTRANGE(""1NK5L1mviMn0j3D3uo53ASkIZOFRlLnqaCTnwzOG2_Wg"",""Direct links Without Sizes!B2:B""))),XLOOKUP($B70,IMPORTRANGE(""1NK5L1mviMn0j3D3uo53ASkIZOFRlLnqaCTnwzOG2_Wg"",""Direct links"&amp;" Without Sizes!D2:D""),IMPORTRANGE(""1NK5L1mviMn0j3D3uo53ASkIZOFRlLnqaCTnwzOG2_Wg"",""Direct links Without Sizes!E2:E""))),"""")"),"")</f>
        <v/>
      </c>
      <c r="H70" s="41"/>
      <c r="I70" s="4"/>
      <c r="J70" s="4"/>
      <c r="K70" s="10" t="str">
        <f t="shared" si="1"/>
        <v/>
      </c>
      <c r="L70" s="10"/>
      <c r="M70" s="10" t="str">
        <f t="shared" si="2"/>
        <v/>
      </c>
    </row>
    <row r="71">
      <c r="A71" s="5"/>
      <c r="B71" s="15"/>
      <c r="C71" s="7" t="str">
        <f>IFERROR(__xludf.DUMMYFUNCTION("iferror(iferror(INDEX(IMPORTRANGE(""12vtnxaE_Q1s4tyr10kZQx7ZF_xG0lBFae4jQEUtgsMU"",""All!B2:B""),MATCH($B71,IMPORTRANGE(""12vtnxaE_Q1s4tyr10kZQx7ZF_xG0lBFae4jQEUtgsMU"",""All!A2:A""),0)),INDEX(IMPORTRANGE(""13KC70HngS4DDi8y9E5khtSpQEPG6owaQ9z4E-tR5mnY"","&amp;"""Non-Food!B2:B""),MATCH($B71,IMPORTRANGE(""13KC70HngS4DDi8y9E5khtSpQEPG6owaQ9z4E-tR5mnY"",""Non-Food!A2:A""),0))),"""")"),"")</f>
        <v/>
      </c>
      <c r="D71" s="15"/>
      <c r="E71" s="15"/>
      <c r="F71" s="22"/>
      <c r="G71" s="24" t="str">
        <f>IFERROR(__xludf.DUMMYFUNCTION("iferror(iferror(iferror(index(IMPORTRANGE(""1NK5L1mviMn0j3D3uo53ASkIZOFRlLnqaCTnwzOG2_Wg"",""Direct Link!B2:B""),MATCH($B71,IMPORTRANGE(""1NK5L1mviMn0j3D3uo53ASkIZOFRlLnqaCTnwzOG2_Wg"",""Direct Link!A2:A""),0)),XLOOKUP($B71,IMPORTRANGE(""1NK5L1mviMn0j3D3u"&amp;"o53ASkIZOFRlLnqaCTnwzOG2_Wg"",""Direct links Without Sizes!A2:A""),IMPORTRANGE(""1NK5L1mviMn0j3D3uo53ASkIZOFRlLnqaCTnwzOG2_Wg"",""Direct links Without Sizes!B2:B""))),XLOOKUP($B71,IMPORTRANGE(""1NK5L1mviMn0j3D3uo53ASkIZOFRlLnqaCTnwzOG2_Wg"",""Direct links"&amp;" Without Sizes!D2:D""),IMPORTRANGE(""1NK5L1mviMn0j3D3uo53ASkIZOFRlLnqaCTnwzOG2_Wg"",""Direct links Without Sizes!E2:E""))),"""")"),"")</f>
        <v/>
      </c>
      <c r="H71" s="41"/>
      <c r="I71" s="4"/>
      <c r="J71" s="4"/>
      <c r="K71" s="10" t="str">
        <f t="shared" si="1"/>
        <v/>
      </c>
      <c r="L71" s="10"/>
      <c r="M71" s="10" t="str">
        <f t="shared" si="2"/>
        <v/>
      </c>
    </row>
    <row r="72">
      <c r="A72" s="5"/>
      <c r="B72" s="15"/>
      <c r="C72" s="7" t="str">
        <f>IFERROR(__xludf.DUMMYFUNCTION("iferror(iferror(INDEX(IMPORTRANGE(""12vtnxaE_Q1s4tyr10kZQx7ZF_xG0lBFae4jQEUtgsMU"",""All!B2:B""),MATCH($B72,IMPORTRANGE(""12vtnxaE_Q1s4tyr10kZQx7ZF_xG0lBFae4jQEUtgsMU"",""All!A2:A""),0)),INDEX(IMPORTRANGE(""13KC70HngS4DDi8y9E5khtSpQEPG6owaQ9z4E-tR5mnY"","&amp;"""Non-Food!B2:B""),MATCH($B72,IMPORTRANGE(""13KC70HngS4DDi8y9E5khtSpQEPG6owaQ9z4E-tR5mnY"",""Non-Food!A2:A""),0))),"""")"),"")</f>
        <v/>
      </c>
      <c r="D72" s="15"/>
      <c r="E72" s="15"/>
      <c r="F72" s="22"/>
      <c r="G72" s="24" t="str">
        <f>IFERROR(__xludf.DUMMYFUNCTION("iferror(iferror(iferror(index(IMPORTRANGE(""1NK5L1mviMn0j3D3uo53ASkIZOFRlLnqaCTnwzOG2_Wg"",""Direct Link!B2:B""),MATCH($B72,IMPORTRANGE(""1NK5L1mviMn0j3D3uo53ASkIZOFRlLnqaCTnwzOG2_Wg"",""Direct Link!A2:A""),0)),XLOOKUP($B72,IMPORTRANGE(""1NK5L1mviMn0j3D3u"&amp;"o53ASkIZOFRlLnqaCTnwzOG2_Wg"",""Direct links Without Sizes!A2:A""),IMPORTRANGE(""1NK5L1mviMn0j3D3uo53ASkIZOFRlLnqaCTnwzOG2_Wg"",""Direct links Without Sizes!B2:B""))),XLOOKUP($B72,IMPORTRANGE(""1NK5L1mviMn0j3D3uo53ASkIZOFRlLnqaCTnwzOG2_Wg"",""Direct links"&amp;" Without Sizes!D2:D""),IMPORTRANGE(""1NK5L1mviMn0j3D3uo53ASkIZOFRlLnqaCTnwzOG2_Wg"",""Direct links Without Sizes!E2:E""))),"""")"),"")</f>
        <v/>
      </c>
      <c r="H72" s="41"/>
      <c r="I72" s="4"/>
      <c r="J72" s="4"/>
      <c r="K72" s="10" t="str">
        <f t="shared" si="1"/>
        <v/>
      </c>
      <c r="L72" s="10"/>
      <c r="M72" s="10" t="str">
        <f t="shared" si="2"/>
        <v/>
      </c>
    </row>
    <row r="73">
      <c r="A73" s="5"/>
      <c r="B73" s="15"/>
      <c r="C73" s="7" t="str">
        <f>IFERROR(__xludf.DUMMYFUNCTION("iferror(iferror(INDEX(IMPORTRANGE(""12vtnxaE_Q1s4tyr10kZQx7ZF_xG0lBFae4jQEUtgsMU"",""All!B2:B""),MATCH($B73,IMPORTRANGE(""12vtnxaE_Q1s4tyr10kZQx7ZF_xG0lBFae4jQEUtgsMU"",""All!A2:A""),0)),INDEX(IMPORTRANGE(""13KC70HngS4DDi8y9E5khtSpQEPG6owaQ9z4E-tR5mnY"","&amp;"""Non-Food!B2:B""),MATCH($B73,IMPORTRANGE(""13KC70HngS4DDi8y9E5khtSpQEPG6owaQ9z4E-tR5mnY"",""Non-Food!A2:A""),0))),"""")"),"")</f>
        <v/>
      </c>
      <c r="D73" s="15"/>
      <c r="E73" s="29"/>
      <c r="F73" s="22"/>
      <c r="G73" s="24" t="str">
        <f>IFERROR(__xludf.DUMMYFUNCTION("iferror(iferror(iferror(index(IMPORTRANGE(""1NK5L1mviMn0j3D3uo53ASkIZOFRlLnqaCTnwzOG2_Wg"",""Direct Link!B2:B""),MATCH($B73,IMPORTRANGE(""1NK5L1mviMn0j3D3uo53ASkIZOFRlLnqaCTnwzOG2_Wg"",""Direct Link!A2:A""),0)),XLOOKUP($B73,IMPORTRANGE(""1NK5L1mviMn0j3D3u"&amp;"o53ASkIZOFRlLnqaCTnwzOG2_Wg"",""Direct links Without Sizes!A2:A""),IMPORTRANGE(""1NK5L1mviMn0j3D3uo53ASkIZOFRlLnqaCTnwzOG2_Wg"",""Direct links Without Sizes!B2:B""))),XLOOKUP($B73,IMPORTRANGE(""1NK5L1mviMn0j3D3uo53ASkIZOFRlLnqaCTnwzOG2_Wg"",""Direct links"&amp;" Without Sizes!D2:D""),IMPORTRANGE(""1NK5L1mviMn0j3D3uo53ASkIZOFRlLnqaCTnwzOG2_Wg"",""Direct links Without Sizes!E2:E""))),"""")"),"")</f>
        <v/>
      </c>
      <c r="H73" s="41"/>
      <c r="I73" s="4"/>
      <c r="J73" s="4"/>
      <c r="K73" s="10" t="str">
        <f t="shared" si="1"/>
        <v/>
      </c>
      <c r="L73" s="10"/>
      <c r="M73" s="10" t="str">
        <f t="shared" si="2"/>
        <v/>
      </c>
    </row>
    <row r="74">
      <c r="A74" s="5"/>
      <c r="B74" s="15"/>
      <c r="C74" s="7" t="str">
        <f>IFERROR(__xludf.DUMMYFUNCTION("iferror(iferror(INDEX(IMPORTRANGE(""12vtnxaE_Q1s4tyr10kZQx7ZF_xG0lBFae4jQEUtgsMU"",""All!B2:B""),MATCH($B74,IMPORTRANGE(""12vtnxaE_Q1s4tyr10kZQx7ZF_xG0lBFae4jQEUtgsMU"",""All!A2:A""),0)),INDEX(IMPORTRANGE(""13KC70HngS4DDi8y9E5khtSpQEPG6owaQ9z4E-tR5mnY"","&amp;"""Non-Food!B2:B""),MATCH($B74,IMPORTRANGE(""13KC70HngS4DDi8y9E5khtSpQEPG6owaQ9z4E-tR5mnY"",""Non-Food!A2:A""),0))),"""")"),"")</f>
        <v/>
      </c>
      <c r="D74" s="15"/>
      <c r="E74" s="29"/>
      <c r="F74" s="22"/>
      <c r="G74" s="24" t="str">
        <f>IFERROR(__xludf.DUMMYFUNCTION("iferror(iferror(iferror(index(IMPORTRANGE(""1NK5L1mviMn0j3D3uo53ASkIZOFRlLnqaCTnwzOG2_Wg"",""Direct Link!B2:B""),MATCH($B74,IMPORTRANGE(""1NK5L1mviMn0j3D3uo53ASkIZOFRlLnqaCTnwzOG2_Wg"",""Direct Link!A2:A""),0)),XLOOKUP($B74,IMPORTRANGE(""1NK5L1mviMn0j3D3u"&amp;"o53ASkIZOFRlLnqaCTnwzOG2_Wg"",""Direct links Without Sizes!A2:A""),IMPORTRANGE(""1NK5L1mviMn0j3D3uo53ASkIZOFRlLnqaCTnwzOG2_Wg"",""Direct links Without Sizes!B2:B""))),XLOOKUP($B74,IMPORTRANGE(""1NK5L1mviMn0j3D3uo53ASkIZOFRlLnqaCTnwzOG2_Wg"",""Direct links"&amp;" Without Sizes!D2:D""),IMPORTRANGE(""1NK5L1mviMn0j3D3uo53ASkIZOFRlLnqaCTnwzOG2_Wg"",""Direct links Without Sizes!E2:E""))),"""")"),"")</f>
        <v/>
      </c>
      <c r="H74" s="41"/>
      <c r="I74" s="4"/>
      <c r="J74" s="4"/>
      <c r="K74" s="10" t="str">
        <f t="shared" si="1"/>
        <v/>
      </c>
      <c r="L74" s="10"/>
      <c r="M74" s="10" t="str">
        <f t="shared" si="2"/>
        <v/>
      </c>
    </row>
    <row r="75">
      <c r="A75" s="5"/>
      <c r="B75" s="15"/>
      <c r="C75" s="7" t="str">
        <f>IFERROR(__xludf.DUMMYFUNCTION("iferror(iferror(INDEX(IMPORTRANGE(""12vtnxaE_Q1s4tyr10kZQx7ZF_xG0lBFae4jQEUtgsMU"",""All!B2:B""),MATCH($B75,IMPORTRANGE(""12vtnxaE_Q1s4tyr10kZQx7ZF_xG0lBFae4jQEUtgsMU"",""All!A2:A""),0)),INDEX(IMPORTRANGE(""13KC70HngS4DDi8y9E5khtSpQEPG6owaQ9z4E-tR5mnY"","&amp;"""Non-Food!B2:B""),MATCH($B75,IMPORTRANGE(""13KC70HngS4DDi8y9E5khtSpQEPG6owaQ9z4E-tR5mnY"",""Non-Food!A2:A""),0))),"""")"),"")</f>
        <v/>
      </c>
      <c r="D75" s="15"/>
      <c r="E75" s="29"/>
      <c r="F75" s="22"/>
      <c r="G75" s="24" t="str">
        <f>IFERROR(__xludf.DUMMYFUNCTION("iferror(iferror(iferror(index(IMPORTRANGE(""1NK5L1mviMn0j3D3uo53ASkIZOFRlLnqaCTnwzOG2_Wg"",""Direct Link!B2:B""),MATCH($B75,IMPORTRANGE(""1NK5L1mviMn0j3D3uo53ASkIZOFRlLnqaCTnwzOG2_Wg"",""Direct Link!A2:A""),0)),XLOOKUP($B75,IMPORTRANGE(""1NK5L1mviMn0j3D3u"&amp;"o53ASkIZOFRlLnqaCTnwzOG2_Wg"",""Direct links Without Sizes!A2:A""),IMPORTRANGE(""1NK5L1mviMn0j3D3uo53ASkIZOFRlLnqaCTnwzOG2_Wg"",""Direct links Without Sizes!B2:B""))),XLOOKUP($B75,IMPORTRANGE(""1NK5L1mviMn0j3D3uo53ASkIZOFRlLnqaCTnwzOG2_Wg"",""Direct links"&amp;" Without Sizes!D2:D""),IMPORTRANGE(""1NK5L1mviMn0j3D3uo53ASkIZOFRlLnqaCTnwzOG2_Wg"",""Direct links Without Sizes!E2:E""))),"""")"),"")</f>
        <v/>
      </c>
      <c r="H75" s="41"/>
      <c r="I75" s="4"/>
      <c r="J75" s="4"/>
      <c r="K75" s="10" t="str">
        <f t="shared" si="1"/>
        <v/>
      </c>
      <c r="L75" s="10"/>
      <c r="M75" s="10" t="str">
        <f t="shared" si="2"/>
        <v/>
      </c>
    </row>
    <row r="76">
      <c r="A76" s="5"/>
      <c r="B76" s="15"/>
      <c r="C76" s="7" t="str">
        <f>IFERROR(__xludf.DUMMYFUNCTION("iferror(iferror(INDEX(IMPORTRANGE(""12vtnxaE_Q1s4tyr10kZQx7ZF_xG0lBFae4jQEUtgsMU"",""All!B2:B""),MATCH($B76,IMPORTRANGE(""12vtnxaE_Q1s4tyr10kZQx7ZF_xG0lBFae4jQEUtgsMU"",""All!A2:A""),0)),INDEX(IMPORTRANGE(""13KC70HngS4DDi8y9E5khtSpQEPG6owaQ9z4E-tR5mnY"","&amp;"""Non-Food!B2:B""),MATCH($B76,IMPORTRANGE(""13KC70HngS4DDi8y9E5khtSpQEPG6owaQ9z4E-tR5mnY"",""Non-Food!A2:A""),0))),"""")"),"")</f>
        <v/>
      </c>
      <c r="D76" s="15"/>
      <c r="E76" s="29"/>
      <c r="F76" s="22"/>
      <c r="G76" s="24" t="str">
        <f>IFERROR(__xludf.DUMMYFUNCTION("iferror(iferror(iferror(index(IMPORTRANGE(""1NK5L1mviMn0j3D3uo53ASkIZOFRlLnqaCTnwzOG2_Wg"",""Direct Link!B2:B""),MATCH($B76,IMPORTRANGE(""1NK5L1mviMn0j3D3uo53ASkIZOFRlLnqaCTnwzOG2_Wg"",""Direct Link!A2:A""),0)),XLOOKUP($B76,IMPORTRANGE(""1NK5L1mviMn0j3D3u"&amp;"o53ASkIZOFRlLnqaCTnwzOG2_Wg"",""Direct links Without Sizes!A2:A""),IMPORTRANGE(""1NK5L1mviMn0j3D3uo53ASkIZOFRlLnqaCTnwzOG2_Wg"",""Direct links Without Sizes!B2:B""))),XLOOKUP($B76,IMPORTRANGE(""1NK5L1mviMn0j3D3uo53ASkIZOFRlLnqaCTnwzOG2_Wg"",""Direct links"&amp;" Without Sizes!D2:D""),IMPORTRANGE(""1NK5L1mviMn0j3D3uo53ASkIZOFRlLnqaCTnwzOG2_Wg"",""Direct links Without Sizes!E2:E""))),"""")"),"")</f>
        <v/>
      </c>
      <c r="H76" s="41"/>
      <c r="I76" s="4"/>
      <c r="J76" s="4"/>
      <c r="K76" s="10" t="str">
        <f t="shared" si="1"/>
        <v/>
      </c>
      <c r="L76" s="10"/>
      <c r="M76" s="10" t="str">
        <f t="shared" si="2"/>
        <v/>
      </c>
    </row>
    <row r="77">
      <c r="A77" s="5"/>
      <c r="B77" s="15"/>
      <c r="C77" s="7" t="str">
        <f>IFERROR(__xludf.DUMMYFUNCTION("iferror(iferror(INDEX(IMPORTRANGE(""12vtnxaE_Q1s4tyr10kZQx7ZF_xG0lBFae4jQEUtgsMU"",""All!B2:B""),MATCH($B77,IMPORTRANGE(""12vtnxaE_Q1s4tyr10kZQx7ZF_xG0lBFae4jQEUtgsMU"",""All!A2:A""),0)),INDEX(IMPORTRANGE(""13KC70HngS4DDi8y9E5khtSpQEPG6owaQ9z4E-tR5mnY"","&amp;"""Non-Food!B2:B""),MATCH($B77,IMPORTRANGE(""13KC70HngS4DDi8y9E5khtSpQEPG6owaQ9z4E-tR5mnY"",""Non-Food!A2:A""),0))),"""")"),"")</f>
        <v/>
      </c>
      <c r="D77" s="15"/>
      <c r="E77" s="29"/>
      <c r="F77" s="22"/>
      <c r="G77" s="24" t="str">
        <f>IFERROR(__xludf.DUMMYFUNCTION("iferror(iferror(iferror(index(IMPORTRANGE(""1NK5L1mviMn0j3D3uo53ASkIZOFRlLnqaCTnwzOG2_Wg"",""Direct Link!B2:B""),MATCH($B77,IMPORTRANGE(""1NK5L1mviMn0j3D3uo53ASkIZOFRlLnqaCTnwzOG2_Wg"",""Direct Link!A2:A""),0)),XLOOKUP($B77,IMPORTRANGE(""1NK5L1mviMn0j3D3u"&amp;"o53ASkIZOFRlLnqaCTnwzOG2_Wg"",""Direct links Without Sizes!A2:A""),IMPORTRANGE(""1NK5L1mviMn0j3D3uo53ASkIZOFRlLnqaCTnwzOG2_Wg"",""Direct links Without Sizes!B2:B""))),XLOOKUP($B77,IMPORTRANGE(""1NK5L1mviMn0j3D3uo53ASkIZOFRlLnqaCTnwzOG2_Wg"",""Direct links"&amp;" Without Sizes!D2:D""),IMPORTRANGE(""1NK5L1mviMn0j3D3uo53ASkIZOFRlLnqaCTnwzOG2_Wg"",""Direct links Without Sizes!E2:E""))),"""")"),"")</f>
        <v/>
      </c>
      <c r="H77" s="41"/>
      <c r="I77" s="4"/>
      <c r="J77" s="4"/>
      <c r="K77" s="10" t="str">
        <f t="shared" si="1"/>
        <v/>
      </c>
      <c r="L77" s="10"/>
      <c r="M77" s="10" t="str">
        <f t="shared" si="2"/>
        <v/>
      </c>
    </row>
    <row r="78">
      <c r="A78" s="5"/>
      <c r="B78" s="15"/>
      <c r="C78" s="7" t="str">
        <f>IFERROR(__xludf.DUMMYFUNCTION("iferror(iferror(INDEX(IMPORTRANGE(""12vtnxaE_Q1s4tyr10kZQx7ZF_xG0lBFae4jQEUtgsMU"",""All!B2:B""),MATCH($B78,IMPORTRANGE(""12vtnxaE_Q1s4tyr10kZQx7ZF_xG0lBFae4jQEUtgsMU"",""All!A2:A""),0)),INDEX(IMPORTRANGE(""13KC70HngS4DDi8y9E5khtSpQEPG6owaQ9z4E-tR5mnY"","&amp;"""Non-Food!B2:B""),MATCH($B78,IMPORTRANGE(""13KC70HngS4DDi8y9E5khtSpQEPG6owaQ9z4E-tR5mnY"",""Non-Food!A2:A""),0))),"""")"),"")</f>
        <v/>
      </c>
      <c r="D78" s="15"/>
      <c r="E78" s="29"/>
      <c r="F78" s="22"/>
      <c r="G78" s="24" t="str">
        <f>IFERROR(__xludf.DUMMYFUNCTION("iferror(iferror(iferror(index(IMPORTRANGE(""1NK5L1mviMn0j3D3uo53ASkIZOFRlLnqaCTnwzOG2_Wg"",""Direct Link!B2:B""),MATCH($B78,IMPORTRANGE(""1NK5L1mviMn0j3D3uo53ASkIZOFRlLnqaCTnwzOG2_Wg"",""Direct Link!A2:A""),0)),XLOOKUP($B78,IMPORTRANGE(""1NK5L1mviMn0j3D3u"&amp;"o53ASkIZOFRlLnqaCTnwzOG2_Wg"",""Direct links Without Sizes!A2:A""),IMPORTRANGE(""1NK5L1mviMn0j3D3uo53ASkIZOFRlLnqaCTnwzOG2_Wg"",""Direct links Without Sizes!B2:B""))),XLOOKUP($B78,IMPORTRANGE(""1NK5L1mviMn0j3D3uo53ASkIZOFRlLnqaCTnwzOG2_Wg"",""Direct links"&amp;" Without Sizes!D2:D""),IMPORTRANGE(""1NK5L1mviMn0j3D3uo53ASkIZOFRlLnqaCTnwzOG2_Wg"",""Direct links Without Sizes!E2:E""))),"""")"),"")</f>
        <v/>
      </c>
      <c r="H78" s="41"/>
      <c r="I78" s="4"/>
      <c r="J78" s="4"/>
      <c r="K78" s="10" t="str">
        <f t="shared" si="1"/>
        <v/>
      </c>
      <c r="L78" s="10"/>
      <c r="M78" s="10" t="str">
        <f t="shared" si="2"/>
        <v/>
      </c>
    </row>
    <row r="79">
      <c r="A79" s="5"/>
      <c r="B79" s="15"/>
      <c r="C79" s="7" t="str">
        <f>IFERROR(__xludf.DUMMYFUNCTION("iferror(iferror(INDEX(IMPORTRANGE(""12vtnxaE_Q1s4tyr10kZQx7ZF_xG0lBFae4jQEUtgsMU"",""All!B2:B""),MATCH($B79,IMPORTRANGE(""12vtnxaE_Q1s4tyr10kZQx7ZF_xG0lBFae4jQEUtgsMU"",""All!A2:A""),0)),INDEX(IMPORTRANGE(""13KC70HngS4DDi8y9E5khtSpQEPG6owaQ9z4E-tR5mnY"","&amp;"""Non-Food!B2:B""),MATCH($B79,IMPORTRANGE(""13KC70HngS4DDi8y9E5khtSpQEPG6owaQ9z4E-tR5mnY"",""Non-Food!A2:A""),0))),"""")"),"")</f>
        <v/>
      </c>
      <c r="D79" s="15"/>
      <c r="E79" s="29"/>
      <c r="F79" s="22"/>
      <c r="G79" s="24" t="str">
        <f>IFERROR(__xludf.DUMMYFUNCTION("iferror(iferror(iferror(index(IMPORTRANGE(""1NK5L1mviMn0j3D3uo53ASkIZOFRlLnqaCTnwzOG2_Wg"",""Direct Link!B2:B""),MATCH($B79,IMPORTRANGE(""1NK5L1mviMn0j3D3uo53ASkIZOFRlLnqaCTnwzOG2_Wg"",""Direct Link!A2:A""),0)),XLOOKUP($B79,IMPORTRANGE(""1NK5L1mviMn0j3D3u"&amp;"o53ASkIZOFRlLnqaCTnwzOG2_Wg"",""Direct links Without Sizes!A2:A""),IMPORTRANGE(""1NK5L1mviMn0j3D3uo53ASkIZOFRlLnqaCTnwzOG2_Wg"",""Direct links Without Sizes!B2:B""))),XLOOKUP($B79,IMPORTRANGE(""1NK5L1mviMn0j3D3uo53ASkIZOFRlLnqaCTnwzOG2_Wg"",""Direct links"&amp;" Without Sizes!D2:D""),IMPORTRANGE(""1NK5L1mviMn0j3D3uo53ASkIZOFRlLnqaCTnwzOG2_Wg"",""Direct links Without Sizes!E2:E""))),"""")"),"")</f>
        <v/>
      </c>
      <c r="H79" s="41"/>
      <c r="I79" s="4"/>
      <c r="J79" s="4"/>
      <c r="K79" s="10" t="str">
        <f t="shared" si="1"/>
        <v/>
      </c>
      <c r="L79" s="10"/>
      <c r="M79" s="10" t="str">
        <f t="shared" si="2"/>
        <v/>
      </c>
    </row>
    <row r="80">
      <c r="A80" s="5"/>
      <c r="B80" s="15"/>
      <c r="C80" s="7" t="str">
        <f>IFERROR(__xludf.DUMMYFUNCTION("iferror(iferror(INDEX(IMPORTRANGE(""12vtnxaE_Q1s4tyr10kZQx7ZF_xG0lBFae4jQEUtgsMU"",""All!B2:B""),MATCH($B80,IMPORTRANGE(""12vtnxaE_Q1s4tyr10kZQx7ZF_xG0lBFae4jQEUtgsMU"",""All!A2:A""),0)),INDEX(IMPORTRANGE(""13KC70HngS4DDi8y9E5khtSpQEPG6owaQ9z4E-tR5mnY"","&amp;"""Non-Food!B2:B""),MATCH($B80,IMPORTRANGE(""13KC70HngS4DDi8y9E5khtSpQEPG6owaQ9z4E-tR5mnY"",""Non-Food!A2:A""),0))),"""")"),"")</f>
        <v/>
      </c>
      <c r="D80" s="15"/>
      <c r="E80" s="29"/>
      <c r="F80" s="22"/>
      <c r="G80" s="24" t="str">
        <f>IFERROR(__xludf.DUMMYFUNCTION("iferror(iferror(iferror(index(IMPORTRANGE(""1NK5L1mviMn0j3D3uo53ASkIZOFRlLnqaCTnwzOG2_Wg"",""Direct Link!B2:B""),MATCH($B80,IMPORTRANGE(""1NK5L1mviMn0j3D3uo53ASkIZOFRlLnqaCTnwzOG2_Wg"",""Direct Link!A2:A""),0)),XLOOKUP($B80,IMPORTRANGE(""1NK5L1mviMn0j3D3u"&amp;"o53ASkIZOFRlLnqaCTnwzOG2_Wg"",""Direct links Without Sizes!A2:A""),IMPORTRANGE(""1NK5L1mviMn0j3D3uo53ASkIZOFRlLnqaCTnwzOG2_Wg"",""Direct links Without Sizes!B2:B""))),XLOOKUP($B80,IMPORTRANGE(""1NK5L1mviMn0j3D3uo53ASkIZOFRlLnqaCTnwzOG2_Wg"",""Direct links"&amp;" Without Sizes!D2:D""),IMPORTRANGE(""1NK5L1mviMn0j3D3uo53ASkIZOFRlLnqaCTnwzOG2_Wg"",""Direct links Without Sizes!E2:E""))),"""")"),"")</f>
        <v/>
      </c>
      <c r="H80" s="41"/>
      <c r="I80" s="4"/>
      <c r="J80" s="4"/>
      <c r="K80" s="10" t="str">
        <f t="shared" si="1"/>
        <v/>
      </c>
      <c r="L80" s="10"/>
      <c r="M80" s="10" t="str">
        <f t="shared" si="2"/>
        <v/>
      </c>
    </row>
    <row r="81">
      <c r="A81" s="5"/>
      <c r="B81" s="15"/>
      <c r="C81" s="7" t="str">
        <f>IFERROR(__xludf.DUMMYFUNCTION("iferror(iferror(INDEX(IMPORTRANGE(""12vtnxaE_Q1s4tyr10kZQx7ZF_xG0lBFae4jQEUtgsMU"",""All!B2:B""),MATCH($B81,IMPORTRANGE(""12vtnxaE_Q1s4tyr10kZQx7ZF_xG0lBFae4jQEUtgsMU"",""All!A2:A""),0)),INDEX(IMPORTRANGE(""13KC70HngS4DDi8y9E5khtSpQEPG6owaQ9z4E-tR5mnY"","&amp;"""Non-Food!B2:B""),MATCH($B81,IMPORTRANGE(""13KC70HngS4DDi8y9E5khtSpQEPG6owaQ9z4E-tR5mnY"",""Non-Food!A2:A""),0))),"""")"),"")</f>
        <v/>
      </c>
      <c r="D81" s="15"/>
      <c r="E81" s="29"/>
      <c r="F81" s="22"/>
      <c r="G81" s="24" t="str">
        <f>IFERROR(__xludf.DUMMYFUNCTION("iferror(iferror(iferror(index(IMPORTRANGE(""1NK5L1mviMn0j3D3uo53ASkIZOFRlLnqaCTnwzOG2_Wg"",""Direct Link!B2:B""),MATCH($B81,IMPORTRANGE(""1NK5L1mviMn0j3D3uo53ASkIZOFRlLnqaCTnwzOG2_Wg"",""Direct Link!A2:A""),0)),XLOOKUP($B81,IMPORTRANGE(""1NK5L1mviMn0j3D3u"&amp;"o53ASkIZOFRlLnqaCTnwzOG2_Wg"",""Direct links Without Sizes!A2:A""),IMPORTRANGE(""1NK5L1mviMn0j3D3uo53ASkIZOFRlLnqaCTnwzOG2_Wg"",""Direct links Without Sizes!B2:B""))),XLOOKUP($B81,IMPORTRANGE(""1NK5L1mviMn0j3D3uo53ASkIZOFRlLnqaCTnwzOG2_Wg"",""Direct links"&amp;" Without Sizes!D2:D""),IMPORTRANGE(""1NK5L1mviMn0j3D3uo53ASkIZOFRlLnqaCTnwzOG2_Wg"",""Direct links Without Sizes!E2:E""))),"""")"),"")</f>
        <v/>
      </c>
      <c r="H81" s="41"/>
      <c r="I81" s="4"/>
      <c r="J81" s="4"/>
      <c r="K81" s="10" t="str">
        <f t="shared" si="1"/>
        <v/>
      </c>
      <c r="L81" s="10"/>
      <c r="M81" s="10" t="str">
        <f t="shared" si="2"/>
        <v/>
      </c>
    </row>
    <row r="82">
      <c r="A82" s="5"/>
      <c r="B82" s="15"/>
      <c r="C82" s="7" t="str">
        <f>IFERROR(__xludf.DUMMYFUNCTION("iferror(iferror(INDEX(IMPORTRANGE(""12vtnxaE_Q1s4tyr10kZQx7ZF_xG0lBFae4jQEUtgsMU"",""All!B2:B""),MATCH($B82,IMPORTRANGE(""12vtnxaE_Q1s4tyr10kZQx7ZF_xG0lBFae4jQEUtgsMU"",""All!A2:A""),0)),INDEX(IMPORTRANGE(""13KC70HngS4DDi8y9E5khtSpQEPG6owaQ9z4E-tR5mnY"","&amp;"""Non-Food!B2:B""),MATCH($B82,IMPORTRANGE(""13KC70HngS4DDi8y9E5khtSpQEPG6owaQ9z4E-tR5mnY"",""Non-Food!A2:A""),0))),"""")"),"")</f>
        <v/>
      </c>
      <c r="D82" s="15"/>
      <c r="E82" s="29"/>
      <c r="F82" s="22"/>
      <c r="G82" s="24" t="str">
        <f>IFERROR(__xludf.DUMMYFUNCTION("iferror(iferror(iferror(index(IMPORTRANGE(""1NK5L1mviMn0j3D3uo53ASkIZOFRlLnqaCTnwzOG2_Wg"",""Direct Link!B2:B""),MATCH($B82,IMPORTRANGE(""1NK5L1mviMn0j3D3uo53ASkIZOFRlLnqaCTnwzOG2_Wg"",""Direct Link!A2:A""),0)),XLOOKUP($B82,IMPORTRANGE(""1NK5L1mviMn0j3D3u"&amp;"o53ASkIZOFRlLnqaCTnwzOG2_Wg"",""Direct links Without Sizes!A2:A""),IMPORTRANGE(""1NK5L1mviMn0j3D3uo53ASkIZOFRlLnqaCTnwzOG2_Wg"",""Direct links Without Sizes!B2:B""))),XLOOKUP($B82,IMPORTRANGE(""1NK5L1mviMn0j3D3uo53ASkIZOFRlLnqaCTnwzOG2_Wg"",""Direct links"&amp;" Without Sizes!D2:D""),IMPORTRANGE(""1NK5L1mviMn0j3D3uo53ASkIZOFRlLnqaCTnwzOG2_Wg"",""Direct links Without Sizes!E2:E""))),"""")"),"")</f>
        <v/>
      </c>
      <c r="H82" s="41"/>
      <c r="I82" s="4"/>
      <c r="J82" s="4"/>
      <c r="K82" s="10" t="str">
        <f t="shared" si="1"/>
        <v/>
      </c>
      <c r="L82" s="10"/>
      <c r="M82" s="10" t="str">
        <f t="shared" si="2"/>
        <v/>
      </c>
    </row>
    <row r="83">
      <c r="A83" s="5"/>
      <c r="B83" s="15"/>
      <c r="C83" s="7" t="str">
        <f>IFERROR(__xludf.DUMMYFUNCTION("iferror(iferror(INDEX(IMPORTRANGE(""12vtnxaE_Q1s4tyr10kZQx7ZF_xG0lBFae4jQEUtgsMU"",""All!B2:B""),MATCH($B83,IMPORTRANGE(""12vtnxaE_Q1s4tyr10kZQx7ZF_xG0lBFae4jQEUtgsMU"",""All!A2:A""),0)),INDEX(IMPORTRANGE(""13KC70HngS4DDi8y9E5khtSpQEPG6owaQ9z4E-tR5mnY"","&amp;"""Non-Food!B2:B""),MATCH($B83,IMPORTRANGE(""13KC70HngS4DDi8y9E5khtSpQEPG6owaQ9z4E-tR5mnY"",""Non-Food!A2:A""),0))),"""")"),"")</f>
        <v/>
      </c>
      <c r="D83" s="15"/>
      <c r="E83" s="29"/>
      <c r="F83" s="22"/>
      <c r="G83" s="24" t="str">
        <f>IFERROR(__xludf.DUMMYFUNCTION("iferror(iferror(iferror(index(IMPORTRANGE(""1NK5L1mviMn0j3D3uo53ASkIZOFRlLnqaCTnwzOG2_Wg"",""Direct Link!B2:B""),MATCH($B83,IMPORTRANGE(""1NK5L1mviMn0j3D3uo53ASkIZOFRlLnqaCTnwzOG2_Wg"",""Direct Link!A2:A""),0)),XLOOKUP($B83,IMPORTRANGE(""1NK5L1mviMn0j3D3u"&amp;"o53ASkIZOFRlLnqaCTnwzOG2_Wg"",""Direct links Without Sizes!A2:A""),IMPORTRANGE(""1NK5L1mviMn0j3D3uo53ASkIZOFRlLnqaCTnwzOG2_Wg"",""Direct links Without Sizes!B2:B""))),XLOOKUP($B83,IMPORTRANGE(""1NK5L1mviMn0j3D3uo53ASkIZOFRlLnqaCTnwzOG2_Wg"",""Direct links"&amp;" Without Sizes!D2:D""),IMPORTRANGE(""1NK5L1mviMn0j3D3uo53ASkIZOFRlLnqaCTnwzOG2_Wg"",""Direct links Without Sizes!E2:E""))),"""")"),"")</f>
        <v/>
      </c>
      <c r="H83" s="41"/>
      <c r="I83" s="4"/>
      <c r="J83" s="4"/>
      <c r="K83" s="10" t="str">
        <f t="shared" si="1"/>
        <v/>
      </c>
      <c r="L83" s="10"/>
      <c r="M83" s="10" t="str">
        <f t="shared" si="2"/>
        <v/>
      </c>
    </row>
    <row r="84">
      <c r="A84" s="5"/>
      <c r="B84" s="15"/>
      <c r="C84" s="7" t="str">
        <f>IFERROR(__xludf.DUMMYFUNCTION("iferror(iferror(INDEX(IMPORTRANGE(""12vtnxaE_Q1s4tyr10kZQx7ZF_xG0lBFae4jQEUtgsMU"",""All!B2:B""),MATCH($B84,IMPORTRANGE(""12vtnxaE_Q1s4tyr10kZQx7ZF_xG0lBFae4jQEUtgsMU"",""All!A2:A""),0)),INDEX(IMPORTRANGE(""13KC70HngS4DDi8y9E5khtSpQEPG6owaQ9z4E-tR5mnY"","&amp;"""Non-Food!B2:B""),MATCH($B84,IMPORTRANGE(""13KC70HngS4DDi8y9E5khtSpQEPG6owaQ9z4E-tR5mnY"",""Non-Food!A2:A""),0))),"""")"),"")</f>
        <v/>
      </c>
      <c r="D84" s="15"/>
      <c r="E84" s="29"/>
      <c r="F84" s="22"/>
      <c r="G84" s="24" t="str">
        <f>IFERROR(__xludf.DUMMYFUNCTION("iferror(iferror(iferror(index(IMPORTRANGE(""1NK5L1mviMn0j3D3uo53ASkIZOFRlLnqaCTnwzOG2_Wg"",""Direct Link!B2:B""),MATCH($B84,IMPORTRANGE(""1NK5L1mviMn0j3D3uo53ASkIZOFRlLnqaCTnwzOG2_Wg"",""Direct Link!A2:A""),0)),XLOOKUP($B84,IMPORTRANGE(""1NK5L1mviMn0j3D3u"&amp;"o53ASkIZOFRlLnqaCTnwzOG2_Wg"",""Direct links Without Sizes!A2:A""),IMPORTRANGE(""1NK5L1mviMn0j3D3uo53ASkIZOFRlLnqaCTnwzOG2_Wg"",""Direct links Without Sizes!B2:B""))),XLOOKUP($B84,IMPORTRANGE(""1NK5L1mviMn0j3D3uo53ASkIZOFRlLnqaCTnwzOG2_Wg"",""Direct links"&amp;" Without Sizes!D2:D""),IMPORTRANGE(""1NK5L1mviMn0j3D3uo53ASkIZOFRlLnqaCTnwzOG2_Wg"",""Direct links Without Sizes!E2:E""))),"""")"),"")</f>
        <v/>
      </c>
      <c r="H84" s="41"/>
      <c r="I84" s="4"/>
      <c r="J84" s="4"/>
      <c r="K84" s="10" t="str">
        <f t="shared" si="1"/>
        <v/>
      </c>
      <c r="L84" s="10"/>
      <c r="M84" s="10" t="str">
        <f t="shared" si="2"/>
        <v/>
      </c>
    </row>
    <row r="85">
      <c r="A85" s="5"/>
      <c r="B85" s="15"/>
      <c r="C85" s="7" t="str">
        <f>IFERROR(__xludf.DUMMYFUNCTION("iferror(iferror(INDEX(IMPORTRANGE(""12vtnxaE_Q1s4tyr10kZQx7ZF_xG0lBFae4jQEUtgsMU"",""All!B2:B""),MATCH($B85,IMPORTRANGE(""12vtnxaE_Q1s4tyr10kZQx7ZF_xG0lBFae4jQEUtgsMU"",""All!A2:A""),0)),INDEX(IMPORTRANGE(""13KC70HngS4DDi8y9E5khtSpQEPG6owaQ9z4E-tR5mnY"","&amp;"""Non-Food!B2:B""),MATCH($B85,IMPORTRANGE(""13KC70HngS4DDi8y9E5khtSpQEPG6owaQ9z4E-tR5mnY"",""Non-Food!A2:A""),0))),"""")"),"")</f>
        <v/>
      </c>
      <c r="D85" s="15"/>
      <c r="E85" s="29"/>
      <c r="F85" s="22"/>
      <c r="G85" s="24" t="str">
        <f>IFERROR(__xludf.DUMMYFUNCTION("iferror(iferror(iferror(index(IMPORTRANGE(""1NK5L1mviMn0j3D3uo53ASkIZOFRlLnqaCTnwzOG2_Wg"",""Direct Link!B2:B""),MATCH($B85,IMPORTRANGE(""1NK5L1mviMn0j3D3uo53ASkIZOFRlLnqaCTnwzOG2_Wg"",""Direct Link!A2:A""),0)),XLOOKUP($B85,IMPORTRANGE(""1NK5L1mviMn0j3D3u"&amp;"o53ASkIZOFRlLnqaCTnwzOG2_Wg"",""Direct links Without Sizes!A2:A""),IMPORTRANGE(""1NK5L1mviMn0j3D3uo53ASkIZOFRlLnqaCTnwzOG2_Wg"",""Direct links Without Sizes!B2:B""))),XLOOKUP($B85,IMPORTRANGE(""1NK5L1mviMn0j3D3uo53ASkIZOFRlLnqaCTnwzOG2_Wg"",""Direct links"&amp;" Without Sizes!D2:D""),IMPORTRANGE(""1NK5L1mviMn0j3D3uo53ASkIZOFRlLnqaCTnwzOG2_Wg"",""Direct links Without Sizes!E2:E""))),"""")"),"")</f>
        <v/>
      </c>
      <c r="H85" s="41"/>
      <c r="I85" s="4"/>
      <c r="J85" s="4"/>
      <c r="K85" s="10" t="str">
        <f t="shared" si="1"/>
        <v/>
      </c>
      <c r="L85" s="10"/>
      <c r="M85" s="10" t="str">
        <f t="shared" si="2"/>
        <v/>
      </c>
    </row>
    <row r="86">
      <c r="A86" s="5"/>
      <c r="B86" s="15"/>
      <c r="C86" s="7" t="str">
        <f>IFERROR(__xludf.DUMMYFUNCTION("iferror(iferror(INDEX(IMPORTRANGE(""12vtnxaE_Q1s4tyr10kZQx7ZF_xG0lBFae4jQEUtgsMU"",""All!B2:B""),MATCH($B86,IMPORTRANGE(""12vtnxaE_Q1s4tyr10kZQx7ZF_xG0lBFae4jQEUtgsMU"",""All!A2:A""),0)),INDEX(IMPORTRANGE(""13KC70HngS4DDi8y9E5khtSpQEPG6owaQ9z4E-tR5mnY"","&amp;"""Non-Food!B2:B""),MATCH($B86,IMPORTRANGE(""13KC70HngS4DDi8y9E5khtSpQEPG6owaQ9z4E-tR5mnY"",""Non-Food!A2:A""),0))),"""")"),"")</f>
        <v/>
      </c>
      <c r="D86" s="15"/>
      <c r="E86" s="29"/>
      <c r="F86" s="22"/>
      <c r="G86" s="24" t="str">
        <f>IFERROR(__xludf.DUMMYFUNCTION("iferror(iferror(iferror(index(IMPORTRANGE(""1NK5L1mviMn0j3D3uo53ASkIZOFRlLnqaCTnwzOG2_Wg"",""Direct Link!B2:B""),MATCH($B86,IMPORTRANGE(""1NK5L1mviMn0j3D3uo53ASkIZOFRlLnqaCTnwzOG2_Wg"",""Direct Link!A2:A""),0)),XLOOKUP($B86,IMPORTRANGE(""1NK5L1mviMn0j3D3u"&amp;"o53ASkIZOFRlLnqaCTnwzOG2_Wg"",""Direct links Without Sizes!A2:A""),IMPORTRANGE(""1NK5L1mviMn0j3D3uo53ASkIZOFRlLnqaCTnwzOG2_Wg"",""Direct links Without Sizes!B2:B""))),XLOOKUP($B86,IMPORTRANGE(""1NK5L1mviMn0j3D3uo53ASkIZOFRlLnqaCTnwzOG2_Wg"",""Direct links"&amp;" Without Sizes!D2:D""),IMPORTRANGE(""1NK5L1mviMn0j3D3uo53ASkIZOFRlLnqaCTnwzOG2_Wg"",""Direct links Without Sizes!E2:E""))),"""")"),"")</f>
        <v/>
      </c>
      <c r="H86" s="41"/>
      <c r="I86" s="4"/>
      <c r="J86" s="4"/>
      <c r="K86" s="10" t="str">
        <f t="shared" si="1"/>
        <v/>
      </c>
      <c r="L86" s="10"/>
      <c r="M86" s="10" t="str">
        <f t="shared" si="2"/>
        <v/>
      </c>
    </row>
    <row r="87">
      <c r="A87" s="5"/>
      <c r="B87" s="15"/>
      <c r="C87" s="7" t="str">
        <f>IFERROR(__xludf.DUMMYFUNCTION("iferror(iferror(INDEX(IMPORTRANGE(""12vtnxaE_Q1s4tyr10kZQx7ZF_xG0lBFae4jQEUtgsMU"",""All!B2:B""),MATCH($B87,IMPORTRANGE(""12vtnxaE_Q1s4tyr10kZQx7ZF_xG0lBFae4jQEUtgsMU"",""All!A2:A""),0)),INDEX(IMPORTRANGE(""13KC70HngS4DDi8y9E5khtSpQEPG6owaQ9z4E-tR5mnY"","&amp;"""Non-Food!B2:B""),MATCH($B87,IMPORTRANGE(""13KC70HngS4DDi8y9E5khtSpQEPG6owaQ9z4E-tR5mnY"",""Non-Food!A2:A""),0))),"""")"),"")</f>
        <v/>
      </c>
      <c r="D87" s="15"/>
      <c r="E87" s="29"/>
      <c r="F87" s="22"/>
      <c r="G87" s="24" t="str">
        <f>IFERROR(__xludf.DUMMYFUNCTION("iferror(iferror(iferror(index(IMPORTRANGE(""1NK5L1mviMn0j3D3uo53ASkIZOFRlLnqaCTnwzOG2_Wg"",""Direct Link!B2:B""),MATCH($B87,IMPORTRANGE(""1NK5L1mviMn0j3D3uo53ASkIZOFRlLnqaCTnwzOG2_Wg"",""Direct Link!A2:A""),0)),XLOOKUP($B87,IMPORTRANGE(""1NK5L1mviMn0j3D3u"&amp;"o53ASkIZOFRlLnqaCTnwzOG2_Wg"",""Direct links Without Sizes!A2:A""),IMPORTRANGE(""1NK5L1mviMn0j3D3uo53ASkIZOFRlLnqaCTnwzOG2_Wg"",""Direct links Without Sizes!B2:B""))),XLOOKUP($B87,IMPORTRANGE(""1NK5L1mviMn0j3D3uo53ASkIZOFRlLnqaCTnwzOG2_Wg"",""Direct links"&amp;" Without Sizes!D2:D""),IMPORTRANGE(""1NK5L1mviMn0j3D3uo53ASkIZOFRlLnqaCTnwzOG2_Wg"",""Direct links Without Sizes!E2:E""))),"""")"),"")</f>
        <v/>
      </c>
      <c r="H87" s="41"/>
      <c r="I87" s="4"/>
      <c r="J87" s="4"/>
      <c r="K87" s="10" t="str">
        <f t="shared" si="1"/>
        <v/>
      </c>
      <c r="L87" s="10"/>
      <c r="M87" s="10" t="str">
        <f t="shared" si="2"/>
        <v/>
      </c>
    </row>
    <row r="88">
      <c r="A88" s="5"/>
      <c r="B88" s="15"/>
      <c r="C88" s="7" t="str">
        <f>IFERROR(__xludf.DUMMYFUNCTION("iferror(iferror(INDEX(IMPORTRANGE(""12vtnxaE_Q1s4tyr10kZQx7ZF_xG0lBFae4jQEUtgsMU"",""All!B2:B""),MATCH($B88,IMPORTRANGE(""12vtnxaE_Q1s4tyr10kZQx7ZF_xG0lBFae4jQEUtgsMU"",""All!A2:A""),0)),INDEX(IMPORTRANGE(""13KC70HngS4DDi8y9E5khtSpQEPG6owaQ9z4E-tR5mnY"","&amp;"""Non-Food!B2:B""),MATCH($B88,IMPORTRANGE(""13KC70HngS4DDi8y9E5khtSpQEPG6owaQ9z4E-tR5mnY"",""Non-Food!A2:A""),0))),"""")"),"")</f>
        <v/>
      </c>
      <c r="D88" s="14"/>
      <c r="E88" s="29"/>
      <c r="F88" s="22"/>
      <c r="G88" s="24" t="str">
        <f>IFERROR(__xludf.DUMMYFUNCTION("iferror(iferror(iferror(index(IMPORTRANGE(""1NK5L1mviMn0j3D3uo53ASkIZOFRlLnqaCTnwzOG2_Wg"",""Direct Link!B2:B""),MATCH($B88,IMPORTRANGE(""1NK5L1mviMn0j3D3uo53ASkIZOFRlLnqaCTnwzOG2_Wg"",""Direct Link!A2:A""),0)),XLOOKUP($B88,IMPORTRANGE(""1NK5L1mviMn0j3D3u"&amp;"o53ASkIZOFRlLnqaCTnwzOG2_Wg"",""Direct links Without Sizes!A2:A""),IMPORTRANGE(""1NK5L1mviMn0j3D3uo53ASkIZOFRlLnqaCTnwzOG2_Wg"",""Direct links Without Sizes!B2:B""))),XLOOKUP($B88,IMPORTRANGE(""1NK5L1mviMn0j3D3uo53ASkIZOFRlLnqaCTnwzOG2_Wg"",""Direct links"&amp;" Without Sizes!D2:D""),IMPORTRANGE(""1NK5L1mviMn0j3D3uo53ASkIZOFRlLnqaCTnwzOG2_Wg"",""Direct links Without Sizes!E2:E""))),"""")"),"")</f>
        <v/>
      </c>
      <c r="H88" s="41"/>
      <c r="I88" s="4"/>
      <c r="J88" s="4"/>
      <c r="K88" s="10" t="str">
        <f t="shared" si="1"/>
        <v/>
      </c>
      <c r="L88" s="10"/>
      <c r="M88" s="10" t="str">
        <f t="shared" si="2"/>
        <v/>
      </c>
    </row>
    <row r="89">
      <c r="A89" s="5"/>
      <c r="B89" s="15"/>
      <c r="C89" s="7" t="str">
        <f>IFERROR(__xludf.DUMMYFUNCTION("iferror(iferror(INDEX(IMPORTRANGE(""12vtnxaE_Q1s4tyr10kZQx7ZF_xG0lBFae4jQEUtgsMU"",""All!B2:B""),MATCH($B89,IMPORTRANGE(""12vtnxaE_Q1s4tyr10kZQx7ZF_xG0lBFae4jQEUtgsMU"",""All!A2:A""),0)),INDEX(IMPORTRANGE(""13KC70HngS4DDi8y9E5khtSpQEPG6owaQ9z4E-tR5mnY"","&amp;"""Non-Food!B2:B""),MATCH($B89,IMPORTRANGE(""13KC70HngS4DDi8y9E5khtSpQEPG6owaQ9z4E-tR5mnY"",""Non-Food!A2:A""),0))),"""")"),"")</f>
        <v/>
      </c>
      <c r="D89" s="15"/>
      <c r="E89" s="15"/>
      <c r="F89" s="22"/>
      <c r="G89" s="24" t="str">
        <f>IFERROR(__xludf.DUMMYFUNCTION("iferror(iferror(iferror(index(IMPORTRANGE(""1NK5L1mviMn0j3D3uo53ASkIZOFRlLnqaCTnwzOG2_Wg"",""Direct Link!B2:B""),MATCH($B89,IMPORTRANGE(""1NK5L1mviMn0j3D3uo53ASkIZOFRlLnqaCTnwzOG2_Wg"",""Direct Link!A2:A""),0)),XLOOKUP($B89,IMPORTRANGE(""1NK5L1mviMn0j3D3u"&amp;"o53ASkIZOFRlLnqaCTnwzOG2_Wg"",""Direct links Without Sizes!A2:A""),IMPORTRANGE(""1NK5L1mviMn0j3D3uo53ASkIZOFRlLnqaCTnwzOG2_Wg"",""Direct links Without Sizes!B2:B""))),XLOOKUP($B89,IMPORTRANGE(""1NK5L1mviMn0j3D3uo53ASkIZOFRlLnqaCTnwzOG2_Wg"",""Direct links"&amp;" Without Sizes!D2:D""),IMPORTRANGE(""1NK5L1mviMn0j3D3uo53ASkIZOFRlLnqaCTnwzOG2_Wg"",""Direct links Without Sizes!E2:E""))),"""")"),"")</f>
        <v/>
      </c>
      <c r="H89" s="41"/>
      <c r="I89" s="4"/>
      <c r="J89" s="4"/>
      <c r="K89" s="10" t="str">
        <f t="shared" si="1"/>
        <v/>
      </c>
      <c r="L89" s="10"/>
      <c r="M89" s="10" t="str">
        <f t="shared" si="2"/>
        <v/>
      </c>
    </row>
    <row r="90">
      <c r="A90" s="5"/>
      <c r="B90" s="15"/>
      <c r="C90" s="7" t="str">
        <f>IFERROR(__xludf.DUMMYFUNCTION("iferror(iferror(INDEX(IMPORTRANGE(""12vtnxaE_Q1s4tyr10kZQx7ZF_xG0lBFae4jQEUtgsMU"",""All!B2:B""),MATCH($B90,IMPORTRANGE(""12vtnxaE_Q1s4tyr10kZQx7ZF_xG0lBFae4jQEUtgsMU"",""All!A2:A""),0)),INDEX(IMPORTRANGE(""13KC70HngS4DDi8y9E5khtSpQEPG6owaQ9z4E-tR5mnY"","&amp;"""Non-Food!B2:B""),MATCH($B90,IMPORTRANGE(""13KC70HngS4DDi8y9E5khtSpQEPG6owaQ9z4E-tR5mnY"",""Non-Food!A2:A""),0))),"""")"),"")</f>
        <v/>
      </c>
      <c r="D90" s="15"/>
      <c r="E90" s="29"/>
      <c r="F90" s="22"/>
      <c r="G90" s="24" t="str">
        <f>IFERROR(__xludf.DUMMYFUNCTION("iferror(iferror(iferror(index(IMPORTRANGE(""1NK5L1mviMn0j3D3uo53ASkIZOFRlLnqaCTnwzOG2_Wg"",""Direct Link!B2:B""),MATCH($B90,IMPORTRANGE(""1NK5L1mviMn0j3D3uo53ASkIZOFRlLnqaCTnwzOG2_Wg"",""Direct Link!A2:A""),0)),XLOOKUP($B90,IMPORTRANGE(""1NK5L1mviMn0j3D3u"&amp;"o53ASkIZOFRlLnqaCTnwzOG2_Wg"",""Direct links Without Sizes!A2:A""),IMPORTRANGE(""1NK5L1mviMn0j3D3uo53ASkIZOFRlLnqaCTnwzOG2_Wg"",""Direct links Without Sizes!B2:B""))),XLOOKUP($B90,IMPORTRANGE(""1NK5L1mviMn0j3D3uo53ASkIZOFRlLnqaCTnwzOG2_Wg"",""Direct links"&amp;" Without Sizes!D2:D""),IMPORTRANGE(""1NK5L1mviMn0j3D3uo53ASkIZOFRlLnqaCTnwzOG2_Wg"",""Direct links Without Sizes!E2:E""))),"""")"),"")</f>
        <v/>
      </c>
      <c r="H90" s="41"/>
      <c r="I90" s="4"/>
      <c r="J90" s="4"/>
      <c r="K90" s="10" t="str">
        <f t="shared" si="1"/>
        <v/>
      </c>
      <c r="L90" s="10"/>
      <c r="M90" s="10" t="str">
        <f t="shared" si="2"/>
        <v/>
      </c>
    </row>
    <row r="91">
      <c r="A91" s="5"/>
      <c r="B91" s="15"/>
      <c r="C91" s="7" t="str">
        <f>IFERROR(__xludf.DUMMYFUNCTION("iferror(iferror(INDEX(IMPORTRANGE(""12vtnxaE_Q1s4tyr10kZQx7ZF_xG0lBFae4jQEUtgsMU"",""All!B2:B""),MATCH($B91,IMPORTRANGE(""12vtnxaE_Q1s4tyr10kZQx7ZF_xG0lBFae4jQEUtgsMU"",""All!A2:A""),0)),INDEX(IMPORTRANGE(""13KC70HngS4DDi8y9E5khtSpQEPG6owaQ9z4E-tR5mnY"","&amp;"""Non-Food!B2:B""),MATCH($B91,IMPORTRANGE(""13KC70HngS4DDi8y9E5khtSpQEPG6owaQ9z4E-tR5mnY"",""Non-Food!A2:A""),0))),"""")"),"")</f>
        <v/>
      </c>
      <c r="D91" s="15"/>
      <c r="E91" s="29"/>
      <c r="F91" s="22"/>
      <c r="G91" s="24" t="str">
        <f>IFERROR(__xludf.DUMMYFUNCTION("iferror(iferror(iferror(index(IMPORTRANGE(""1NK5L1mviMn0j3D3uo53ASkIZOFRlLnqaCTnwzOG2_Wg"",""Direct Link!B2:B""),MATCH($B91,IMPORTRANGE(""1NK5L1mviMn0j3D3uo53ASkIZOFRlLnqaCTnwzOG2_Wg"",""Direct Link!A2:A""),0)),XLOOKUP($B91,IMPORTRANGE(""1NK5L1mviMn0j3D3u"&amp;"o53ASkIZOFRlLnqaCTnwzOG2_Wg"",""Direct links Without Sizes!A2:A""),IMPORTRANGE(""1NK5L1mviMn0j3D3uo53ASkIZOFRlLnqaCTnwzOG2_Wg"",""Direct links Without Sizes!B2:B""))),XLOOKUP($B91,IMPORTRANGE(""1NK5L1mviMn0j3D3uo53ASkIZOFRlLnqaCTnwzOG2_Wg"",""Direct links"&amp;" Without Sizes!D2:D""),IMPORTRANGE(""1NK5L1mviMn0j3D3uo53ASkIZOFRlLnqaCTnwzOG2_Wg"",""Direct links Without Sizes!E2:E""))),"""")"),"")</f>
        <v/>
      </c>
      <c r="H91" s="41"/>
      <c r="I91" s="4"/>
      <c r="J91" s="4"/>
      <c r="K91" s="10" t="str">
        <f t="shared" si="1"/>
        <v/>
      </c>
      <c r="L91" s="10"/>
      <c r="M91" s="10" t="str">
        <f t="shared" si="2"/>
        <v/>
      </c>
    </row>
    <row r="92">
      <c r="A92" s="5"/>
      <c r="B92" s="15"/>
      <c r="C92" s="7" t="str">
        <f>IFERROR(__xludf.DUMMYFUNCTION("iferror(iferror(INDEX(IMPORTRANGE(""12vtnxaE_Q1s4tyr10kZQx7ZF_xG0lBFae4jQEUtgsMU"",""All!B2:B""),MATCH($B92,IMPORTRANGE(""12vtnxaE_Q1s4tyr10kZQx7ZF_xG0lBFae4jQEUtgsMU"",""All!A2:A""),0)),INDEX(IMPORTRANGE(""13KC70HngS4DDi8y9E5khtSpQEPG6owaQ9z4E-tR5mnY"","&amp;"""Non-Food!B2:B""),MATCH($B92,IMPORTRANGE(""13KC70HngS4DDi8y9E5khtSpQEPG6owaQ9z4E-tR5mnY"",""Non-Food!A2:A""),0))),"""")"),"")</f>
        <v/>
      </c>
      <c r="D92" s="15"/>
      <c r="E92" s="15"/>
      <c r="F92" s="22"/>
      <c r="G92" s="24" t="str">
        <f>IFERROR(__xludf.DUMMYFUNCTION("iferror(iferror(iferror(index(IMPORTRANGE(""1NK5L1mviMn0j3D3uo53ASkIZOFRlLnqaCTnwzOG2_Wg"",""Direct Link!B2:B""),MATCH($B92,IMPORTRANGE(""1NK5L1mviMn0j3D3uo53ASkIZOFRlLnqaCTnwzOG2_Wg"",""Direct Link!A2:A""),0)),XLOOKUP($B92,IMPORTRANGE(""1NK5L1mviMn0j3D3u"&amp;"o53ASkIZOFRlLnqaCTnwzOG2_Wg"",""Direct links Without Sizes!A2:A""),IMPORTRANGE(""1NK5L1mviMn0j3D3uo53ASkIZOFRlLnqaCTnwzOG2_Wg"",""Direct links Without Sizes!B2:B""))),XLOOKUP($B92,IMPORTRANGE(""1NK5L1mviMn0j3D3uo53ASkIZOFRlLnqaCTnwzOG2_Wg"",""Direct links"&amp;" Without Sizes!D2:D""),IMPORTRANGE(""1NK5L1mviMn0j3D3uo53ASkIZOFRlLnqaCTnwzOG2_Wg"",""Direct links Without Sizes!E2:E""))),"""")"),"")</f>
        <v/>
      </c>
      <c r="H92" s="41"/>
      <c r="I92" s="4"/>
      <c r="J92" s="4"/>
      <c r="K92" s="10" t="str">
        <f t="shared" si="1"/>
        <v/>
      </c>
      <c r="L92" s="10"/>
      <c r="M92" s="10" t="str">
        <f t="shared" si="2"/>
        <v/>
      </c>
    </row>
    <row r="93">
      <c r="A93" s="5"/>
      <c r="B93" s="15"/>
      <c r="C93" s="7" t="str">
        <f>IFERROR(__xludf.DUMMYFUNCTION("iferror(iferror(INDEX(IMPORTRANGE(""12vtnxaE_Q1s4tyr10kZQx7ZF_xG0lBFae4jQEUtgsMU"",""All!B2:B""),MATCH($B93,IMPORTRANGE(""12vtnxaE_Q1s4tyr10kZQx7ZF_xG0lBFae4jQEUtgsMU"",""All!A2:A""),0)),INDEX(IMPORTRANGE(""13KC70HngS4DDi8y9E5khtSpQEPG6owaQ9z4E-tR5mnY"","&amp;"""Non-Food!B2:B""),MATCH($B93,IMPORTRANGE(""13KC70HngS4DDi8y9E5khtSpQEPG6owaQ9z4E-tR5mnY"",""Non-Food!A2:A""),0))),"""")"),"")</f>
        <v/>
      </c>
      <c r="D93" s="15"/>
      <c r="E93" s="15"/>
      <c r="F93" s="22"/>
      <c r="G93" s="24" t="str">
        <f>IFERROR(__xludf.DUMMYFUNCTION("iferror(iferror(iferror(index(IMPORTRANGE(""1NK5L1mviMn0j3D3uo53ASkIZOFRlLnqaCTnwzOG2_Wg"",""Direct Link!B2:B""),MATCH($B93,IMPORTRANGE(""1NK5L1mviMn0j3D3uo53ASkIZOFRlLnqaCTnwzOG2_Wg"",""Direct Link!A2:A""),0)),XLOOKUP($B93,IMPORTRANGE(""1NK5L1mviMn0j3D3u"&amp;"o53ASkIZOFRlLnqaCTnwzOG2_Wg"",""Direct links Without Sizes!A2:A""),IMPORTRANGE(""1NK5L1mviMn0j3D3uo53ASkIZOFRlLnqaCTnwzOG2_Wg"",""Direct links Without Sizes!B2:B""))),XLOOKUP($B93,IMPORTRANGE(""1NK5L1mviMn0j3D3uo53ASkIZOFRlLnqaCTnwzOG2_Wg"",""Direct links"&amp;" Without Sizes!D2:D""),IMPORTRANGE(""1NK5L1mviMn0j3D3uo53ASkIZOFRlLnqaCTnwzOG2_Wg"",""Direct links Without Sizes!E2:E""))),"""")"),"")</f>
        <v/>
      </c>
      <c r="H93" s="41"/>
      <c r="I93" s="4"/>
      <c r="J93" s="4"/>
      <c r="K93" s="10" t="str">
        <f t="shared" si="1"/>
        <v/>
      </c>
      <c r="L93" s="10"/>
      <c r="M93" s="10" t="str">
        <f t="shared" si="2"/>
        <v/>
      </c>
    </row>
    <row r="94">
      <c r="A94" s="5"/>
      <c r="B94" s="15"/>
      <c r="C94" s="7" t="str">
        <f>IFERROR(__xludf.DUMMYFUNCTION("iferror(iferror(INDEX(IMPORTRANGE(""12vtnxaE_Q1s4tyr10kZQx7ZF_xG0lBFae4jQEUtgsMU"",""All!B2:B""),MATCH($B94,IMPORTRANGE(""12vtnxaE_Q1s4tyr10kZQx7ZF_xG0lBFae4jQEUtgsMU"",""All!A2:A""),0)),INDEX(IMPORTRANGE(""13KC70HngS4DDi8y9E5khtSpQEPG6owaQ9z4E-tR5mnY"","&amp;"""Non-Food!B2:B""),MATCH($B94,IMPORTRANGE(""13KC70HngS4DDi8y9E5khtSpQEPG6owaQ9z4E-tR5mnY"",""Non-Food!A2:A""),0))),"""")"),"")</f>
        <v/>
      </c>
      <c r="D94" s="15"/>
      <c r="E94" s="15"/>
      <c r="F94" s="22"/>
      <c r="G94" s="24" t="str">
        <f>IFERROR(__xludf.DUMMYFUNCTION("iferror(iferror(iferror(index(IMPORTRANGE(""1NK5L1mviMn0j3D3uo53ASkIZOFRlLnqaCTnwzOG2_Wg"",""Direct Link!B2:B""),MATCH($B94,IMPORTRANGE(""1NK5L1mviMn0j3D3uo53ASkIZOFRlLnqaCTnwzOG2_Wg"",""Direct Link!A2:A""),0)),XLOOKUP($B94,IMPORTRANGE(""1NK5L1mviMn0j3D3u"&amp;"o53ASkIZOFRlLnqaCTnwzOG2_Wg"",""Direct links Without Sizes!A2:A""),IMPORTRANGE(""1NK5L1mviMn0j3D3uo53ASkIZOFRlLnqaCTnwzOG2_Wg"",""Direct links Without Sizes!B2:B""))),XLOOKUP($B94,IMPORTRANGE(""1NK5L1mviMn0j3D3uo53ASkIZOFRlLnqaCTnwzOG2_Wg"",""Direct links"&amp;" Without Sizes!D2:D""),IMPORTRANGE(""1NK5L1mviMn0j3D3uo53ASkIZOFRlLnqaCTnwzOG2_Wg"",""Direct links Without Sizes!E2:E""))),"""")"),"")</f>
        <v/>
      </c>
      <c r="H94" s="41"/>
      <c r="I94" s="4"/>
      <c r="J94" s="4"/>
      <c r="K94" s="10" t="str">
        <f t="shared" si="1"/>
        <v/>
      </c>
      <c r="L94" s="10"/>
      <c r="M94" s="10" t="str">
        <f t="shared" si="2"/>
        <v/>
      </c>
    </row>
    <row r="95">
      <c r="A95" s="5"/>
      <c r="B95" s="15"/>
      <c r="C95" s="7" t="str">
        <f>IFERROR(__xludf.DUMMYFUNCTION("iferror(iferror(INDEX(IMPORTRANGE(""12vtnxaE_Q1s4tyr10kZQx7ZF_xG0lBFae4jQEUtgsMU"",""All!B2:B""),MATCH($B95,IMPORTRANGE(""12vtnxaE_Q1s4tyr10kZQx7ZF_xG0lBFae4jQEUtgsMU"",""All!A2:A""),0)),INDEX(IMPORTRANGE(""13KC70HngS4DDi8y9E5khtSpQEPG6owaQ9z4E-tR5mnY"","&amp;"""Non-Food!B2:B""),MATCH($B95,IMPORTRANGE(""13KC70HngS4DDi8y9E5khtSpQEPG6owaQ9z4E-tR5mnY"",""Non-Food!A2:A""),0))),"""")"),"")</f>
        <v/>
      </c>
      <c r="D95" s="15"/>
      <c r="E95" s="15"/>
      <c r="F95" s="22"/>
      <c r="G95" s="24" t="str">
        <f>IFERROR(__xludf.DUMMYFUNCTION("iferror(iferror(iferror(index(IMPORTRANGE(""1NK5L1mviMn0j3D3uo53ASkIZOFRlLnqaCTnwzOG2_Wg"",""Direct Link!B2:B""),MATCH($B95,IMPORTRANGE(""1NK5L1mviMn0j3D3uo53ASkIZOFRlLnqaCTnwzOG2_Wg"",""Direct Link!A2:A""),0)),XLOOKUP($B95,IMPORTRANGE(""1NK5L1mviMn0j3D3u"&amp;"o53ASkIZOFRlLnqaCTnwzOG2_Wg"",""Direct links Without Sizes!A2:A""),IMPORTRANGE(""1NK5L1mviMn0j3D3uo53ASkIZOFRlLnqaCTnwzOG2_Wg"",""Direct links Without Sizes!B2:B""))),XLOOKUP($B95,IMPORTRANGE(""1NK5L1mviMn0j3D3uo53ASkIZOFRlLnqaCTnwzOG2_Wg"",""Direct links"&amp;" Without Sizes!D2:D""),IMPORTRANGE(""1NK5L1mviMn0j3D3uo53ASkIZOFRlLnqaCTnwzOG2_Wg"",""Direct links Without Sizes!E2:E""))),"""")"),"")</f>
        <v/>
      </c>
      <c r="H95" s="41"/>
      <c r="I95" s="4"/>
      <c r="J95" s="4"/>
      <c r="K95" s="10" t="str">
        <f t="shared" si="1"/>
        <v/>
      </c>
      <c r="L95" s="10"/>
      <c r="M95" s="10" t="str">
        <f t="shared" si="2"/>
        <v/>
      </c>
    </row>
    <row r="96">
      <c r="A96" s="5"/>
      <c r="B96" s="15"/>
      <c r="C96" s="7" t="str">
        <f>IFERROR(__xludf.DUMMYFUNCTION("iferror(iferror(INDEX(IMPORTRANGE(""12vtnxaE_Q1s4tyr10kZQx7ZF_xG0lBFae4jQEUtgsMU"",""All!B2:B""),MATCH($B96,IMPORTRANGE(""12vtnxaE_Q1s4tyr10kZQx7ZF_xG0lBFae4jQEUtgsMU"",""All!A2:A""),0)),INDEX(IMPORTRANGE(""13KC70HngS4DDi8y9E5khtSpQEPG6owaQ9z4E-tR5mnY"","&amp;"""Non-Food!B2:B""),MATCH($B96,IMPORTRANGE(""13KC70HngS4DDi8y9E5khtSpQEPG6owaQ9z4E-tR5mnY"",""Non-Food!A2:A""),0))),"""")"),"")</f>
        <v/>
      </c>
      <c r="D96" s="15"/>
      <c r="E96" s="15"/>
      <c r="F96" s="22"/>
      <c r="G96" s="24" t="str">
        <f>IFERROR(__xludf.DUMMYFUNCTION("iferror(iferror(iferror(index(IMPORTRANGE(""1NK5L1mviMn0j3D3uo53ASkIZOFRlLnqaCTnwzOG2_Wg"",""Direct Link!B2:B""),MATCH($B96,IMPORTRANGE(""1NK5L1mviMn0j3D3uo53ASkIZOFRlLnqaCTnwzOG2_Wg"",""Direct Link!A2:A""),0)),XLOOKUP($B96,IMPORTRANGE(""1NK5L1mviMn0j3D3u"&amp;"o53ASkIZOFRlLnqaCTnwzOG2_Wg"",""Direct links Without Sizes!A2:A""),IMPORTRANGE(""1NK5L1mviMn0j3D3uo53ASkIZOFRlLnqaCTnwzOG2_Wg"",""Direct links Without Sizes!B2:B""))),XLOOKUP($B96,IMPORTRANGE(""1NK5L1mviMn0j3D3uo53ASkIZOFRlLnqaCTnwzOG2_Wg"",""Direct links"&amp;" Without Sizes!D2:D""),IMPORTRANGE(""1NK5L1mviMn0j3D3uo53ASkIZOFRlLnqaCTnwzOG2_Wg"",""Direct links Without Sizes!E2:E""))),"""")"),"")</f>
        <v/>
      </c>
      <c r="H96" s="41"/>
      <c r="I96" s="4"/>
      <c r="J96" s="4"/>
      <c r="K96" s="10" t="str">
        <f t="shared" si="1"/>
        <v/>
      </c>
      <c r="L96" s="10"/>
      <c r="M96" s="10" t="str">
        <f t="shared" si="2"/>
        <v/>
      </c>
    </row>
    <row r="97">
      <c r="A97" s="5"/>
      <c r="B97" s="15"/>
      <c r="C97" s="7" t="str">
        <f>IFERROR(__xludf.DUMMYFUNCTION("iferror(iferror(INDEX(IMPORTRANGE(""12vtnxaE_Q1s4tyr10kZQx7ZF_xG0lBFae4jQEUtgsMU"",""All!B2:B""),MATCH($B97,IMPORTRANGE(""12vtnxaE_Q1s4tyr10kZQx7ZF_xG0lBFae4jQEUtgsMU"",""All!A2:A""),0)),INDEX(IMPORTRANGE(""13KC70HngS4DDi8y9E5khtSpQEPG6owaQ9z4E-tR5mnY"","&amp;"""Non-Food!B2:B""),MATCH($B97,IMPORTRANGE(""13KC70HngS4DDi8y9E5khtSpQEPG6owaQ9z4E-tR5mnY"",""Non-Food!A2:A""),0))),"""")"),"")</f>
        <v/>
      </c>
      <c r="D97" s="15"/>
      <c r="E97" s="15"/>
      <c r="F97" s="22"/>
      <c r="G97" s="24" t="str">
        <f>IFERROR(__xludf.DUMMYFUNCTION("iferror(iferror(iferror(index(IMPORTRANGE(""1NK5L1mviMn0j3D3uo53ASkIZOFRlLnqaCTnwzOG2_Wg"",""Direct Link!B2:B""),MATCH($B97,IMPORTRANGE(""1NK5L1mviMn0j3D3uo53ASkIZOFRlLnqaCTnwzOG2_Wg"",""Direct Link!A2:A""),0)),XLOOKUP($B97,IMPORTRANGE(""1NK5L1mviMn0j3D3u"&amp;"o53ASkIZOFRlLnqaCTnwzOG2_Wg"",""Direct links Without Sizes!A2:A""),IMPORTRANGE(""1NK5L1mviMn0j3D3uo53ASkIZOFRlLnqaCTnwzOG2_Wg"",""Direct links Without Sizes!B2:B""))),XLOOKUP($B97,IMPORTRANGE(""1NK5L1mviMn0j3D3uo53ASkIZOFRlLnqaCTnwzOG2_Wg"",""Direct links"&amp;" Without Sizes!D2:D""),IMPORTRANGE(""1NK5L1mviMn0j3D3uo53ASkIZOFRlLnqaCTnwzOG2_Wg"",""Direct links Without Sizes!E2:E""))),"""")"),"")</f>
        <v/>
      </c>
      <c r="H97" s="41"/>
      <c r="I97" s="4"/>
      <c r="J97" s="4"/>
      <c r="K97" s="10" t="str">
        <f t="shared" si="1"/>
        <v/>
      </c>
      <c r="L97" s="10"/>
      <c r="M97" s="10" t="str">
        <f t="shared" si="2"/>
        <v/>
      </c>
    </row>
    <row r="98">
      <c r="A98" s="5"/>
      <c r="B98" s="15"/>
      <c r="C98" s="7" t="str">
        <f>IFERROR(__xludf.DUMMYFUNCTION("iferror(iferror(INDEX(IMPORTRANGE(""12vtnxaE_Q1s4tyr10kZQx7ZF_xG0lBFae4jQEUtgsMU"",""All!B2:B""),MATCH($B98,IMPORTRANGE(""12vtnxaE_Q1s4tyr10kZQx7ZF_xG0lBFae4jQEUtgsMU"",""All!A2:A""),0)),INDEX(IMPORTRANGE(""13KC70HngS4DDi8y9E5khtSpQEPG6owaQ9z4E-tR5mnY"","&amp;"""Non-Food!B2:B""),MATCH($B98,IMPORTRANGE(""13KC70HngS4DDi8y9E5khtSpQEPG6owaQ9z4E-tR5mnY"",""Non-Food!A2:A""),0))),"""")"),"")</f>
        <v/>
      </c>
      <c r="D98" s="15"/>
      <c r="E98" s="15"/>
      <c r="F98" s="22"/>
      <c r="G98" s="24" t="str">
        <f>IFERROR(__xludf.DUMMYFUNCTION("iferror(iferror(iferror(index(IMPORTRANGE(""1NK5L1mviMn0j3D3uo53ASkIZOFRlLnqaCTnwzOG2_Wg"",""Direct Link!B2:B""),MATCH($B98,IMPORTRANGE(""1NK5L1mviMn0j3D3uo53ASkIZOFRlLnqaCTnwzOG2_Wg"",""Direct Link!A2:A""),0)),XLOOKUP($B98,IMPORTRANGE(""1NK5L1mviMn0j3D3u"&amp;"o53ASkIZOFRlLnqaCTnwzOG2_Wg"",""Direct links Without Sizes!A2:A""),IMPORTRANGE(""1NK5L1mviMn0j3D3uo53ASkIZOFRlLnqaCTnwzOG2_Wg"",""Direct links Without Sizes!B2:B""))),XLOOKUP($B98,IMPORTRANGE(""1NK5L1mviMn0j3D3uo53ASkIZOFRlLnqaCTnwzOG2_Wg"",""Direct links"&amp;" Without Sizes!D2:D""),IMPORTRANGE(""1NK5L1mviMn0j3D3uo53ASkIZOFRlLnqaCTnwzOG2_Wg"",""Direct links Without Sizes!E2:E""))),"""")"),"")</f>
        <v/>
      </c>
      <c r="H98" s="41"/>
      <c r="I98" s="4"/>
      <c r="J98" s="4"/>
      <c r="K98" s="10" t="str">
        <f t="shared" si="1"/>
        <v/>
      </c>
      <c r="L98" s="10"/>
      <c r="M98" s="10" t="str">
        <f t="shared" si="2"/>
        <v/>
      </c>
    </row>
    <row r="99">
      <c r="A99" s="5"/>
      <c r="B99" s="15"/>
      <c r="C99" s="7" t="str">
        <f>IFERROR(__xludf.DUMMYFUNCTION("iferror(iferror(INDEX(IMPORTRANGE(""12vtnxaE_Q1s4tyr10kZQx7ZF_xG0lBFae4jQEUtgsMU"",""All!B2:B""),MATCH($B99,IMPORTRANGE(""12vtnxaE_Q1s4tyr10kZQx7ZF_xG0lBFae4jQEUtgsMU"",""All!A2:A""),0)),INDEX(IMPORTRANGE(""13KC70HngS4DDi8y9E5khtSpQEPG6owaQ9z4E-tR5mnY"","&amp;"""Non-Food!B2:B""),MATCH($B99,IMPORTRANGE(""13KC70HngS4DDi8y9E5khtSpQEPG6owaQ9z4E-tR5mnY"",""Non-Food!A2:A""),0))),"""")"),"")</f>
        <v/>
      </c>
      <c r="D99" s="15"/>
      <c r="E99" s="15"/>
      <c r="F99" s="22"/>
      <c r="G99" s="24" t="str">
        <f>IFERROR(__xludf.DUMMYFUNCTION("iferror(iferror(iferror(index(IMPORTRANGE(""1NK5L1mviMn0j3D3uo53ASkIZOFRlLnqaCTnwzOG2_Wg"",""Direct Link!B2:B""),MATCH($B99,IMPORTRANGE(""1NK5L1mviMn0j3D3uo53ASkIZOFRlLnqaCTnwzOG2_Wg"",""Direct Link!A2:A""),0)),XLOOKUP($B99,IMPORTRANGE(""1NK5L1mviMn0j3D3u"&amp;"o53ASkIZOFRlLnqaCTnwzOG2_Wg"",""Direct links Without Sizes!A2:A""),IMPORTRANGE(""1NK5L1mviMn0j3D3uo53ASkIZOFRlLnqaCTnwzOG2_Wg"",""Direct links Without Sizes!B2:B""))),XLOOKUP($B99,IMPORTRANGE(""1NK5L1mviMn0j3D3uo53ASkIZOFRlLnqaCTnwzOG2_Wg"",""Direct links"&amp;" Without Sizes!D2:D""),IMPORTRANGE(""1NK5L1mviMn0j3D3uo53ASkIZOFRlLnqaCTnwzOG2_Wg"",""Direct links Without Sizes!E2:E""))),"""")"),"")</f>
        <v/>
      </c>
      <c r="H99" s="41"/>
      <c r="I99" s="4"/>
      <c r="J99" s="4"/>
      <c r="K99" s="10" t="str">
        <f t="shared" si="1"/>
        <v/>
      </c>
      <c r="L99" s="10"/>
      <c r="M99" s="10" t="str">
        <f t="shared" si="2"/>
        <v/>
      </c>
    </row>
    <row r="100">
      <c r="A100" s="5"/>
      <c r="B100" s="15"/>
      <c r="C100" s="7" t="str">
        <f>IFERROR(__xludf.DUMMYFUNCTION("iferror(iferror(INDEX(IMPORTRANGE(""12vtnxaE_Q1s4tyr10kZQx7ZF_xG0lBFae4jQEUtgsMU"",""All!B2:B""),MATCH($B100,IMPORTRANGE(""12vtnxaE_Q1s4tyr10kZQx7ZF_xG0lBFae4jQEUtgsMU"",""All!A2:A""),0)),INDEX(IMPORTRANGE(""13KC70HngS4DDi8y9E5khtSpQEPG6owaQ9z4E-tR5mnY"","&amp;"""Non-Food!B2:B""),MATCH($B100,IMPORTRANGE(""13KC70HngS4DDi8y9E5khtSpQEPG6owaQ9z4E-tR5mnY"",""Non-Food!A2:A""),0))),"""")"),"")</f>
        <v/>
      </c>
      <c r="D100" s="15"/>
      <c r="E100" s="29"/>
      <c r="F100" s="22"/>
      <c r="G100" s="24" t="str">
        <f>IFERROR(__xludf.DUMMYFUNCTION("iferror(iferror(iferror(index(IMPORTRANGE(""1NK5L1mviMn0j3D3uo53ASkIZOFRlLnqaCTnwzOG2_Wg"",""Direct Link!B2:B""),MATCH($B100,IMPORTRANGE(""1NK5L1mviMn0j3D3uo53ASkIZOFRlLnqaCTnwzOG2_Wg"",""Direct Link!A2:A""),0)),XLOOKUP($B100,IMPORTRANGE(""1NK5L1mviMn0j3D"&amp;"3uo53ASkIZOFRlLnqaCTnwzOG2_Wg"",""Direct links Without Sizes!A2:A""),IMPORTRANGE(""1NK5L1mviMn0j3D3uo53ASkIZOFRlLnqaCTnwzOG2_Wg"",""Direct links Without Sizes!B2:B""))),XLOOKUP($B100,IMPORTRANGE(""1NK5L1mviMn0j3D3uo53ASkIZOFRlLnqaCTnwzOG2_Wg"",""Direct li"&amp;"nks Without Sizes!D2:D""),IMPORTRANGE(""1NK5L1mviMn0j3D3uo53ASkIZOFRlLnqaCTnwzOG2_Wg"",""Direct links Without Sizes!E2:E""))),"""")"),"")</f>
        <v/>
      </c>
      <c r="H100" s="41"/>
      <c r="I100" s="4"/>
      <c r="J100" s="4"/>
      <c r="K100" s="10" t="str">
        <f t="shared" si="1"/>
        <v/>
      </c>
      <c r="L100" s="10"/>
      <c r="M100" s="10" t="str">
        <f t="shared" si="2"/>
        <v/>
      </c>
    </row>
    <row r="101">
      <c r="A101" s="5"/>
      <c r="B101" s="15"/>
      <c r="C101" s="7" t="str">
        <f>IFERROR(__xludf.DUMMYFUNCTION("iferror(iferror(INDEX(IMPORTRANGE(""12vtnxaE_Q1s4tyr10kZQx7ZF_xG0lBFae4jQEUtgsMU"",""All!B2:B""),MATCH($B101,IMPORTRANGE(""12vtnxaE_Q1s4tyr10kZQx7ZF_xG0lBFae4jQEUtgsMU"",""All!A2:A""),0)),INDEX(IMPORTRANGE(""13KC70HngS4DDi8y9E5khtSpQEPG6owaQ9z4E-tR5mnY"","&amp;"""Non-Food!B2:B""),MATCH($B101,IMPORTRANGE(""13KC70HngS4DDi8y9E5khtSpQEPG6owaQ9z4E-tR5mnY"",""Non-Food!A2:A""),0))),"""")"),"")</f>
        <v/>
      </c>
      <c r="D101" s="46"/>
      <c r="E101" s="29"/>
      <c r="F101" s="22"/>
      <c r="G101" s="24" t="str">
        <f>IFERROR(__xludf.DUMMYFUNCTION("iferror(iferror(iferror(index(IMPORTRANGE(""1NK5L1mviMn0j3D3uo53ASkIZOFRlLnqaCTnwzOG2_Wg"",""Direct Link!B2:B""),MATCH($B101,IMPORTRANGE(""1NK5L1mviMn0j3D3uo53ASkIZOFRlLnqaCTnwzOG2_Wg"",""Direct Link!A2:A""),0)),XLOOKUP($B101,IMPORTRANGE(""1NK5L1mviMn0j3D"&amp;"3uo53ASkIZOFRlLnqaCTnwzOG2_Wg"",""Direct links Without Sizes!A2:A""),IMPORTRANGE(""1NK5L1mviMn0j3D3uo53ASkIZOFRlLnqaCTnwzOG2_Wg"",""Direct links Without Sizes!B2:B""))),XLOOKUP($B101,IMPORTRANGE(""1NK5L1mviMn0j3D3uo53ASkIZOFRlLnqaCTnwzOG2_Wg"",""Direct li"&amp;"nks Without Sizes!D2:D""),IMPORTRANGE(""1NK5L1mviMn0j3D3uo53ASkIZOFRlLnqaCTnwzOG2_Wg"",""Direct links Without Sizes!E2:E""))),"""")"),"")</f>
        <v/>
      </c>
      <c r="H101" s="41"/>
      <c r="I101" s="4"/>
      <c r="J101" s="4"/>
      <c r="K101" s="10" t="str">
        <f t="shared" si="1"/>
        <v/>
      </c>
      <c r="L101" s="10"/>
      <c r="M101" s="10" t="str">
        <f t="shared" si="2"/>
        <v/>
      </c>
    </row>
    <row r="102">
      <c r="A102" s="5"/>
      <c r="B102" s="15"/>
      <c r="C102" s="7" t="str">
        <f>IFERROR(__xludf.DUMMYFUNCTION("iferror(iferror(INDEX(IMPORTRANGE(""12vtnxaE_Q1s4tyr10kZQx7ZF_xG0lBFae4jQEUtgsMU"",""All!B2:B""),MATCH($B102,IMPORTRANGE(""12vtnxaE_Q1s4tyr10kZQx7ZF_xG0lBFae4jQEUtgsMU"",""All!A2:A""),0)),INDEX(IMPORTRANGE(""13KC70HngS4DDi8y9E5khtSpQEPG6owaQ9z4E-tR5mnY"","&amp;"""Non-Food!B2:B""),MATCH($B102,IMPORTRANGE(""13KC70HngS4DDi8y9E5khtSpQEPG6owaQ9z4E-tR5mnY"",""Non-Food!A2:A""),0))),"""")"),"")</f>
        <v/>
      </c>
      <c r="D102" s="15"/>
      <c r="E102" s="15"/>
      <c r="F102" s="22"/>
      <c r="G102" s="24" t="str">
        <f>IFERROR(__xludf.DUMMYFUNCTION("iferror(iferror(iferror(index(IMPORTRANGE(""1NK5L1mviMn0j3D3uo53ASkIZOFRlLnqaCTnwzOG2_Wg"",""Direct Link!B2:B""),MATCH($B102,IMPORTRANGE(""1NK5L1mviMn0j3D3uo53ASkIZOFRlLnqaCTnwzOG2_Wg"",""Direct Link!A2:A""),0)),XLOOKUP($B102,IMPORTRANGE(""1NK5L1mviMn0j3D"&amp;"3uo53ASkIZOFRlLnqaCTnwzOG2_Wg"",""Direct links Without Sizes!A2:A""),IMPORTRANGE(""1NK5L1mviMn0j3D3uo53ASkIZOFRlLnqaCTnwzOG2_Wg"",""Direct links Without Sizes!B2:B""))),XLOOKUP($B102,IMPORTRANGE(""1NK5L1mviMn0j3D3uo53ASkIZOFRlLnqaCTnwzOG2_Wg"",""Direct li"&amp;"nks Without Sizes!D2:D""),IMPORTRANGE(""1NK5L1mviMn0j3D3uo53ASkIZOFRlLnqaCTnwzOG2_Wg"",""Direct links Without Sizes!E2:E""))),"""")"),"")</f>
        <v/>
      </c>
      <c r="H102" s="41"/>
      <c r="I102" s="4"/>
      <c r="J102" s="4"/>
      <c r="K102" s="10" t="str">
        <f t="shared" si="1"/>
        <v/>
      </c>
      <c r="L102" s="10"/>
      <c r="M102" s="10" t="str">
        <f t="shared" si="2"/>
        <v/>
      </c>
    </row>
    <row r="103">
      <c r="A103" s="5"/>
      <c r="B103" s="15"/>
      <c r="C103" s="7" t="str">
        <f>IFERROR(__xludf.DUMMYFUNCTION("iferror(iferror(INDEX(IMPORTRANGE(""12vtnxaE_Q1s4tyr10kZQx7ZF_xG0lBFae4jQEUtgsMU"",""All!B2:B""),MATCH($B103,IMPORTRANGE(""12vtnxaE_Q1s4tyr10kZQx7ZF_xG0lBFae4jQEUtgsMU"",""All!A2:A""),0)),INDEX(IMPORTRANGE(""13KC70HngS4DDi8y9E5khtSpQEPG6owaQ9z4E-tR5mnY"","&amp;"""Non-Food!B2:B""),MATCH($B103,IMPORTRANGE(""13KC70HngS4DDi8y9E5khtSpQEPG6owaQ9z4E-tR5mnY"",""Non-Food!A2:A""),0))),"""")"),"")</f>
        <v/>
      </c>
      <c r="D103" s="15"/>
      <c r="E103" s="15"/>
      <c r="F103" s="22"/>
      <c r="G103" s="24" t="str">
        <f>IFERROR(__xludf.DUMMYFUNCTION("iferror(iferror(iferror(index(IMPORTRANGE(""1NK5L1mviMn0j3D3uo53ASkIZOFRlLnqaCTnwzOG2_Wg"",""Direct Link!B2:B""),MATCH($B103,IMPORTRANGE(""1NK5L1mviMn0j3D3uo53ASkIZOFRlLnqaCTnwzOG2_Wg"",""Direct Link!A2:A""),0)),XLOOKUP($B103,IMPORTRANGE(""1NK5L1mviMn0j3D"&amp;"3uo53ASkIZOFRlLnqaCTnwzOG2_Wg"",""Direct links Without Sizes!A2:A""),IMPORTRANGE(""1NK5L1mviMn0j3D3uo53ASkIZOFRlLnqaCTnwzOG2_Wg"",""Direct links Without Sizes!B2:B""))),XLOOKUP($B103,IMPORTRANGE(""1NK5L1mviMn0j3D3uo53ASkIZOFRlLnqaCTnwzOG2_Wg"",""Direct li"&amp;"nks Without Sizes!D2:D""),IMPORTRANGE(""1NK5L1mviMn0j3D3uo53ASkIZOFRlLnqaCTnwzOG2_Wg"",""Direct links Without Sizes!E2:E""))),"""")"),"")</f>
        <v/>
      </c>
      <c r="H103" s="41"/>
      <c r="I103" s="4"/>
      <c r="J103" s="4"/>
      <c r="K103" s="10" t="str">
        <f t="shared" si="1"/>
        <v/>
      </c>
      <c r="L103" s="10"/>
      <c r="M103" s="10" t="str">
        <f t="shared" si="2"/>
        <v/>
      </c>
    </row>
    <row r="104">
      <c r="A104" s="5"/>
      <c r="B104" s="15"/>
      <c r="C104" s="7" t="str">
        <f>IFERROR(__xludf.DUMMYFUNCTION("iferror(iferror(INDEX(IMPORTRANGE(""12vtnxaE_Q1s4tyr10kZQx7ZF_xG0lBFae4jQEUtgsMU"",""All!B2:B""),MATCH($B104,IMPORTRANGE(""12vtnxaE_Q1s4tyr10kZQx7ZF_xG0lBFae4jQEUtgsMU"",""All!A2:A""),0)),INDEX(IMPORTRANGE(""13KC70HngS4DDi8y9E5khtSpQEPG6owaQ9z4E-tR5mnY"","&amp;"""Non-Food!B2:B""),MATCH($B104,IMPORTRANGE(""13KC70HngS4DDi8y9E5khtSpQEPG6owaQ9z4E-tR5mnY"",""Non-Food!A2:A""),0))),"""")"),"")</f>
        <v/>
      </c>
      <c r="D104" s="15"/>
      <c r="E104" s="15"/>
      <c r="F104" s="22"/>
      <c r="G104" s="24" t="str">
        <f>IFERROR(__xludf.DUMMYFUNCTION("iferror(iferror(iferror(index(IMPORTRANGE(""1NK5L1mviMn0j3D3uo53ASkIZOFRlLnqaCTnwzOG2_Wg"",""Direct Link!B2:B""),MATCH($B104,IMPORTRANGE(""1NK5L1mviMn0j3D3uo53ASkIZOFRlLnqaCTnwzOG2_Wg"",""Direct Link!A2:A""),0)),XLOOKUP($B104,IMPORTRANGE(""1NK5L1mviMn0j3D"&amp;"3uo53ASkIZOFRlLnqaCTnwzOG2_Wg"",""Direct links Without Sizes!A2:A""),IMPORTRANGE(""1NK5L1mviMn0j3D3uo53ASkIZOFRlLnqaCTnwzOG2_Wg"",""Direct links Without Sizes!B2:B""))),XLOOKUP($B104,IMPORTRANGE(""1NK5L1mviMn0j3D3uo53ASkIZOFRlLnqaCTnwzOG2_Wg"",""Direct li"&amp;"nks Without Sizes!D2:D""),IMPORTRANGE(""1NK5L1mviMn0j3D3uo53ASkIZOFRlLnqaCTnwzOG2_Wg"",""Direct links Without Sizes!E2:E""))),"""")"),"")</f>
        <v/>
      </c>
      <c r="H104" s="41"/>
      <c r="I104" s="4"/>
      <c r="J104" s="4"/>
      <c r="K104" s="10" t="str">
        <f t="shared" si="1"/>
        <v/>
      </c>
      <c r="L104" s="10"/>
      <c r="M104" s="10" t="str">
        <f t="shared" si="2"/>
        <v/>
      </c>
    </row>
    <row r="105">
      <c r="A105" s="5"/>
      <c r="B105" s="15"/>
      <c r="C105" s="7" t="str">
        <f>IFERROR(__xludf.DUMMYFUNCTION("iferror(iferror(INDEX(IMPORTRANGE(""12vtnxaE_Q1s4tyr10kZQx7ZF_xG0lBFae4jQEUtgsMU"",""All!B2:B""),MATCH($B105,IMPORTRANGE(""12vtnxaE_Q1s4tyr10kZQx7ZF_xG0lBFae4jQEUtgsMU"",""All!A2:A""),0)),INDEX(IMPORTRANGE(""13KC70HngS4DDi8y9E5khtSpQEPG6owaQ9z4E-tR5mnY"","&amp;"""Non-Food!B2:B""),MATCH($B105,IMPORTRANGE(""13KC70HngS4DDi8y9E5khtSpQEPG6owaQ9z4E-tR5mnY"",""Non-Food!A2:A""),0))),"""")"),"")</f>
        <v/>
      </c>
      <c r="D105" s="15"/>
      <c r="E105" s="15"/>
      <c r="F105" s="22"/>
      <c r="G105" s="24" t="str">
        <f>IFERROR(__xludf.DUMMYFUNCTION("iferror(iferror(iferror(index(IMPORTRANGE(""1NK5L1mviMn0j3D3uo53ASkIZOFRlLnqaCTnwzOG2_Wg"",""Direct Link!B2:B""),MATCH($B105,IMPORTRANGE(""1NK5L1mviMn0j3D3uo53ASkIZOFRlLnqaCTnwzOG2_Wg"",""Direct Link!A2:A""),0)),XLOOKUP($B105,IMPORTRANGE(""1NK5L1mviMn0j3D"&amp;"3uo53ASkIZOFRlLnqaCTnwzOG2_Wg"",""Direct links Without Sizes!A2:A""),IMPORTRANGE(""1NK5L1mviMn0j3D3uo53ASkIZOFRlLnqaCTnwzOG2_Wg"",""Direct links Without Sizes!B2:B""))),XLOOKUP($B105,IMPORTRANGE(""1NK5L1mviMn0j3D3uo53ASkIZOFRlLnqaCTnwzOG2_Wg"",""Direct li"&amp;"nks Without Sizes!D2:D""),IMPORTRANGE(""1NK5L1mviMn0j3D3uo53ASkIZOFRlLnqaCTnwzOG2_Wg"",""Direct links Without Sizes!E2:E""))),"""")"),"")</f>
        <v/>
      </c>
      <c r="H105" s="41"/>
      <c r="I105" s="4"/>
      <c r="J105" s="4"/>
      <c r="K105" s="10" t="str">
        <f t="shared" si="1"/>
        <v/>
      </c>
      <c r="L105" s="10"/>
      <c r="M105" s="10" t="str">
        <f t="shared" si="2"/>
        <v/>
      </c>
    </row>
    <row r="106">
      <c r="A106" s="5"/>
      <c r="B106" s="15"/>
      <c r="C106" s="7" t="str">
        <f>IFERROR(__xludf.DUMMYFUNCTION("iferror(iferror(INDEX(IMPORTRANGE(""12vtnxaE_Q1s4tyr10kZQx7ZF_xG0lBFae4jQEUtgsMU"",""All!B2:B""),MATCH($B106,IMPORTRANGE(""12vtnxaE_Q1s4tyr10kZQx7ZF_xG0lBFae4jQEUtgsMU"",""All!A2:A""),0)),INDEX(IMPORTRANGE(""13KC70HngS4DDi8y9E5khtSpQEPG6owaQ9z4E-tR5mnY"","&amp;"""Non-Food!B2:B""),MATCH($B106,IMPORTRANGE(""13KC70HngS4DDi8y9E5khtSpQEPG6owaQ9z4E-tR5mnY"",""Non-Food!A2:A""),0))),"""")"),"")</f>
        <v/>
      </c>
      <c r="D106" s="15"/>
      <c r="E106" s="15"/>
      <c r="F106" s="22"/>
      <c r="G106" s="24" t="str">
        <f>IFERROR(__xludf.DUMMYFUNCTION("iferror(iferror(iferror(index(IMPORTRANGE(""1NK5L1mviMn0j3D3uo53ASkIZOFRlLnqaCTnwzOG2_Wg"",""Direct Link!B2:B""),MATCH($B106,IMPORTRANGE(""1NK5L1mviMn0j3D3uo53ASkIZOFRlLnqaCTnwzOG2_Wg"",""Direct Link!A2:A""),0)),XLOOKUP($B106,IMPORTRANGE(""1NK5L1mviMn0j3D"&amp;"3uo53ASkIZOFRlLnqaCTnwzOG2_Wg"",""Direct links Without Sizes!A2:A""),IMPORTRANGE(""1NK5L1mviMn0j3D3uo53ASkIZOFRlLnqaCTnwzOG2_Wg"",""Direct links Without Sizes!B2:B""))),XLOOKUP($B106,IMPORTRANGE(""1NK5L1mviMn0j3D3uo53ASkIZOFRlLnqaCTnwzOG2_Wg"",""Direct li"&amp;"nks Without Sizes!D2:D""),IMPORTRANGE(""1NK5L1mviMn0j3D3uo53ASkIZOFRlLnqaCTnwzOG2_Wg"",""Direct links Without Sizes!E2:E""))),"""")"),"")</f>
        <v/>
      </c>
      <c r="H106" s="41"/>
      <c r="I106" s="4"/>
      <c r="J106" s="4"/>
      <c r="K106" s="10" t="str">
        <f t="shared" si="1"/>
        <v/>
      </c>
      <c r="L106" s="10"/>
      <c r="M106" s="10" t="str">
        <f t="shared" si="2"/>
        <v/>
      </c>
    </row>
    <row r="107">
      <c r="A107" s="5"/>
      <c r="B107" s="15"/>
      <c r="C107" s="7" t="str">
        <f>IFERROR(__xludf.DUMMYFUNCTION("iferror(iferror(INDEX(IMPORTRANGE(""12vtnxaE_Q1s4tyr10kZQx7ZF_xG0lBFae4jQEUtgsMU"",""All!B2:B""),MATCH($B107,IMPORTRANGE(""12vtnxaE_Q1s4tyr10kZQx7ZF_xG0lBFae4jQEUtgsMU"",""All!A2:A""),0)),INDEX(IMPORTRANGE(""13KC70HngS4DDi8y9E5khtSpQEPG6owaQ9z4E-tR5mnY"","&amp;"""Non-Food!B2:B""),MATCH($B107,IMPORTRANGE(""13KC70HngS4DDi8y9E5khtSpQEPG6owaQ9z4E-tR5mnY"",""Non-Food!A2:A""),0))),"""")"),"")</f>
        <v/>
      </c>
      <c r="D107" s="15"/>
      <c r="E107" s="15"/>
      <c r="F107" s="22"/>
      <c r="G107" s="24" t="str">
        <f>IFERROR(__xludf.DUMMYFUNCTION("iferror(iferror(iferror(index(IMPORTRANGE(""1NK5L1mviMn0j3D3uo53ASkIZOFRlLnqaCTnwzOG2_Wg"",""Direct Link!B2:B""),MATCH($B107,IMPORTRANGE(""1NK5L1mviMn0j3D3uo53ASkIZOFRlLnqaCTnwzOG2_Wg"",""Direct Link!A2:A""),0)),XLOOKUP($B107,IMPORTRANGE(""1NK5L1mviMn0j3D"&amp;"3uo53ASkIZOFRlLnqaCTnwzOG2_Wg"",""Direct links Without Sizes!A2:A""),IMPORTRANGE(""1NK5L1mviMn0j3D3uo53ASkIZOFRlLnqaCTnwzOG2_Wg"",""Direct links Without Sizes!B2:B""))),XLOOKUP($B107,IMPORTRANGE(""1NK5L1mviMn0j3D3uo53ASkIZOFRlLnqaCTnwzOG2_Wg"",""Direct li"&amp;"nks Without Sizes!D2:D""),IMPORTRANGE(""1NK5L1mviMn0j3D3uo53ASkIZOFRlLnqaCTnwzOG2_Wg"",""Direct links Without Sizes!E2:E""))),"""")"),"")</f>
        <v/>
      </c>
      <c r="H107" s="41"/>
      <c r="I107" s="4"/>
      <c r="J107" s="4"/>
      <c r="K107" s="10" t="str">
        <f t="shared" si="1"/>
        <v/>
      </c>
      <c r="L107" s="10"/>
      <c r="M107" s="10" t="str">
        <f t="shared" si="2"/>
        <v/>
      </c>
    </row>
    <row r="108">
      <c r="A108" s="5"/>
      <c r="B108" s="15"/>
      <c r="C108" s="7" t="str">
        <f>IFERROR(__xludf.DUMMYFUNCTION("iferror(iferror(INDEX(IMPORTRANGE(""12vtnxaE_Q1s4tyr10kZQx7ZF_xG0lBFae4jQEUtgsMU"",""All!B2:B""),MATCH($B108,IMPORTRANGE(""12vtnxaE_Q1s4tyr10kZQx7ZF_xG0lBFae4jQEUtgsMU"",""All!A2:A""),0)),INDEX(IMPORTRANGE(""13KC70HngS4DDi8y9E5khtSpQEPG6owaQ9z4E-tR5mnY"","&amp;"""Non-Food!B2:B""),MATCH($B108,IMPORTRANGE(""13KC70HngS4DDi8y9E5khtSpQEPG6owaQ9z4E-tR5mnY"",""Non-Food!A2:A""),0))),"""")"),"")</f>
        <v/>
      </c>
      <c r="D108" s="15"/>
      <c r="E108" s="15"/>
      <c r="F108" s="22"/>
      <c r="G108" s="24" t="str">
        <f>IFERROR(__xludf.DUMMYFUNCTION("iferror(iferror(iferror(index(IMPORTRANGE(""1NK5L1mviMn0j3D3uo53ASkIZOFRlLnqaCTnwzOG2_Wg"",""Direct Link!B2:B""),MATCH($B108,IMPORTRANGE(""1NK5L1mviMn0j3D3uo53ASkIZOFRlLnqaCTnwzOG2_Wg"",""Direct Link!A2:A""),0)),XLOOKUP($B108,IMPORTRANGE(""1NK5L1mviMn0j3D"&amp;"3uo53ASkIZOFRlLnqaCTnwzOG2_Wg"",""Direct links Without Sizes!A2:A""),IMPORTRANGE(""1NK5L1mviMn0j3D3uo53ASkIZOFRlLnqaCTnwzOG2_Wg"",""Direct links Without Sizes!B2:B""))),XLOOKUP($B108,IMPORTRANGE(""1NK5L1mviMn0j3D3uo53ASkIZOFRlLnqaCTnwzOG2_Wg"",""Direct li"&amp;"nks Without Sizes!D2:D""),IMPORTRANGE(""1NK5L1mviMn0j3D3uo53ASkIZOFRlLnqaCTnwzOG2_Wg"",""Direct links Without Sizes!E2:E""))),"""")"),"")</f>
        <v/>
      </c>
      <c r="H108" s="41"/>
      <c r="I108" s="4"/>
      <c r="J108" s="4"/>
      <c r="K108" s="10" t="str">
        <f t="shared" si="1"/>
        <v/>
      </c>
      <c r="L108" s="10"/>
      <c r="M108" s="10" t="str">
        <f t="shared" si="2"/>
        <v/>
      </c>
    </row>
    <row r="109">
      <c r="A109" s="5"/>
      <c r="B109" s="15"/>
      <c r="C109" s="7" t="str">
        <f>IFERROR(__xludf.DUMMYFUNCTION("iferror(iferror(INDEX(IMPORTRANGE(""12vtnxaE_Q1s4tyr10kZQx7ZF_xG0lBFae4jQEUtgsMU"",""All!B2:B""),MATCH($B109,IMPORTRANGE(""12vtnxaE_Q1s4tyr10kZQx7ZF_xG0lBFae4jQEUtgsMU"",""All!A2:A""),0)),INDEX(IMPORTRANGE(""13KC70HngS4DDi8y9E5khtSpQEPG6owaQ9z4E-tR5mnY"","&amp;"""Non-Food!B2:B""),MATCH($B109,IMPORTRANGE(""13KC70HngS4DDi8y9E5khtSpQEPG6owaQ9z4E-tR5mnY"",""Non-Food!A2:A""),0))),"""")"),"")</f>
        <v/>
      </c>
      <c r="D109" s="15"/>
      <c r="E109" s="15"/>
      <c r="F109" s="22"/>
      <c r="G109" s="24" t="str">
        <f>IFERROR(__xludf.DUMMYFUNCTION("iferror(iferror(iferror(index(IMPORTRANGE(""1NK5L1mviMn0j3D3uo53ASkIZOFRlLnqaCTnwzOG2_Wg"",""Direct Link!B2:B""),MATCH($B109,IMPORTRANGE(""1NK5L1mviMn0j3D3uo53ASkIZOFRlLnqaCTnwzOG2_Wg"",""Direct Link!A2:A""),0)),XLOOKUP($B109,IMPORTRANGE(""1NK5L1mviMn0j3D"&amp;"3uo53ASkIZOFRlLnqaCTnwzOG2_Wg"",""Direct links Without Sizes!A2:A""),IMPORTRANGE(""1NK5L1mviMn0j3D3uo53ASkIZOFRlLnqaCTnwzOG2_Wg"",""Direct links Without Sizes!B2:B""))),XLOOKUP($B109,IMPORTRANGE(""1NK5L1mviMn0j3D3uo53ASkIZOFRlLnqaCTnwzOG2_Wg"",""Direct li"&amp;"nks Without Sizes!D2:D""),IMPORTRANGE(""1NK5L1mviMn0j3D3uo53ASkIZOFRlLnqaCTnwzOG2_Wg"",""Direct links Without Sizes!E2:E""))),"""")"),"")</f>
        <v/>
      </c>
      <c r="H109" s="41"/>
      <c r="I109" s="4"/>
      <c r="J109" s="4"/>
      <c r="K109" s="10" t="str">
        <f t="shared" si="1"/>
        <v/>
      </c>
      <c r="L109" s="10"/>
      <c r="M109" s="10" t="str">
        <f t="shared" si="2"/>
        <v/>
      </c>
    </row>
    <row r="110">
      <c r="A110" s="5"/>
      <c r="B110" s="15"/>
      <c r="C110" s="7" t="str">
        <f>IFERROR(__xludf.DUMMYFUNCTION("iferror(iferror(INDEX(IMPORTRANGE(""12vtnxaE_Q1s4tyr10kZQx7ZF_xG0lBFae4jQEUtgsMU"",""All!B2:B""),MATCH($B110,IMPORTRANGE(""12vtnxaE_Q1s4tyr10kZQx7ZF_xG0lBFae4jQEUtgsMU"",""All!A2:A""),0)),INDEX(IMPORTRANGE(""13KC70HngS4DDi8y9E5khtSpQEPG6owaQ9z4E-tR5mnY"","&amp;"""Non-Food!B2:B""),MATCH($B110,IMPORTRANGE(""13KC70HngS4DDi8y9E5khtSpQEPG6owaQ9z4E-tR5mnY"",""Non-Food!A2:A""),0))),"""")"),"")</f>
        <v/>
      </c>
      <c r="D110" s="15"/>
      <c r="E110" s="15"/>
      <c r="F110" s="22"/>
      <c r="G110" s="24" t="str">
        <f>IFERROR(__xludf.DUMMYFUNCTION("iferror(iferror(iferror(index(IMPORTRANGE(""1NK5L1mviMn0j3D3uo53ASkIZOFRlLnqaCTnwzOG2_Wg"",""Direct Link!B2:B""),MATCH($B110,IMPORTRANGE(""1NK5L1mviMn0j3D3uo53ASkIZOFRlLnqaCTnwzOG2_Wg"",""Direct Link!A2:A""),0)),XLOOKUP($B110,IMPORTRANGE(""1NK5L1mviMn0j3D"&amp;"3uo53ASkIZOFRlLnqaCTnwzOG2_Wg"",""Direct links Without Sizes!A2:A""),IMPORTRANGE(""1NK5L1mviMn0j3D3uo53ASkIZOFRlLnqaCTnwzOG2_Wg"",""Direct links Without Sizes!B2:B""))),XLOOKUP($B110,IMPORTRANGE(""1NK5L1mviMn0j3D3uo53ASkIZOFRlLnqaCTnwzOG2_Wg"",""Direct li"&amp;"nks Without Sizes!D2:D""),IMPORTRANGE(""1NK5L1mviMn0j3D3uo53ASkIZOFRlLnqaCTnwzOG2_Wg"",""Direct links Without Sizes!E2:E""))),"""")"),"")</f>
        <v/>
      </c>
      <c r="H110" s="41"/>
      <c r="I110" s="4"/>
      <c r="J110" s="4"/>
      <c r="K110" s="10" t="str">
        <f t="shared" si="1"/>
        <v/>
      </c>
      <c r="L110" s="10"/>
      <c r="M110" s="10" t="str">
        <f t="shared" si="2"/>
        <v/>
      </c>
    </row>
    <row r="111">
      <c r="A111" s="5"/>
      <c r="B111" s="15"/>
      <c r="C111" s="7" t="str">
        <f>IFERROR(__xludf.DUMMYFUNCTION("iferror(iferror(INDEX(IMPORTRANGE(""12vtnxaE_Q1s4tyr10kZQx7ZF_xG0lBFae4jQEUtgsMU"",""All!B2:B""),MATCH($B111,IMPORTRANGE(""12vtnxaE_Q1s4tyr10kZQx7ZF_xG0lBFae4jQEUtgsMU"",""All!A2:A""),0)),INDEX(IMPORTRANGE(""13KC70HngS4DDi8y9E5khtSpQEPG6owaQ9z4E-tR5mnY"","&amp;"""Non-Food!B2:B""),MATCH($B111,IMPORTRANGE(""13KC70HngS4DDi8y9E5khtSpQEPG6owaQ9z4E-tR5mnY"",""Non-Food!A2:A""),0))),"""")"),"")</f>
        <v/>
      </c>
      <c r="D111" s="15"/>
      <c r="E111" s="15"/>
      <c r="F111" s="22"/>
      <c r="G111" s="24" t="str">
        <f>IFERROR(__xludf.DUMMYFUNCTION("iferror(iferror(iferror(index(IMPORTRANGE(""1NK5L1mviMn0j3D3uo53ASkIZOFRlLnqaCTnwzOG2_Wg"",""Direct Link!B2:B""),MATCH($B111,IMPORTRANGE(""1NK5L1mviMn0j3D3uo53ASkIZOFRlLnqaCTnwzOG2_Wg"",""Direct Link!A2:A""),0)),XLOOKUP($B111,IMPORTRANGE(""1NK5L1mviMn0j3D"&amp;"3uo53ASkIZOFRlLnqaCTnwzOG2_Wg"",""Direct links Without Sizes!A2:A""),IMPORTRANGE(""1NK5L1mviMn0j3D3uo53ASkIZOFRlLnqaCTnwzOG2_Wg"",""Direct links Without Sizes!B2:B""))),XLOOKUP($B111,IMPORTRANGE(""1NK5L1mviMn0j3D3uo53ASkIZOFRlLnqaCTnwzOG2_Wg"",""Direct li"&amp;"nks Without Sizes!D2:D""),IMPORTRANGE(""1NK5L1mviMn0j3D3uo53ASkIZOFRlLnqaCTnwzOG2_Wg"",""Direct links Without Sizes!E2:E""))),"""")"),"")</f>
        <v/>
      </c>
      <c r="H111" s="41"/>
      <c r="I111" s="4"/>
      <c r="J111" s="4"/>
      <c r="K111" s="10" t="str">
        <f t="shared" si="1"/>
        <v/>
      </c>
      <c r="L111" s="10"/>
      <c r="M111" s="10" t="str">
        <f t="shared" si="2"/>
        <v/>
      </c>
    </row>
    <row r="112">
      <c r="A112" s="5"/>
      <c r="B112" s="14"/>
      <c r="C112" s="7" t="str">
        <f>IFERROR(__xludf.DUMMYFUNCTION("iferror(iferror(INDEX(IMPORTRANGE(""12vtnxaE_Q1s4tyr10kZQx7ZF_xG0lBFae4jQEUtgsMU"",""All!B2:B""),MATCH($B112,IMPORTRANGE(""12vtnxaE_Q1s4tyr10kZQx7ZF_xG0lBFae4jQEUtgsMU"",""All!A2:A""),0)),INDEX(IMPORTRANGE(""13KC70HngS4DDi8y9E5khtSpQEPG6owaQ9z4E-tR5mnY"","&amp;"""Non-Food!B2:B""),MATCH($B112,IMPORTRANGE(""13KC70HngS4DDi8y9E5khtSpQEPG6owaQ9z4E-tR5mnY"",""Non-Food!A2:A""),0))),"""")"),"")</f>
        <v/>
      </c>
      <c r="D112" s="15"/>
      <c r="E112" s="15"/>
      <c r="F112" s="22"/>
      <c r="G112" s="24" t="str">
        <f>IFERROR(__xludf.DUMMYFUNCTION("iferror(iferror(iferror(index(IMPORTRANGE(""1NK5L1mviMn0j3D3uo53ASkIZOFRlLnqaCTnwzOG2_Wg"",""Direct Link!B2:B""),MATCH($B112,IMPORTRANGE(""1NK5L1mviMn0j3D3uo53ASkIZOFRlLnqaCTnwzOG2_Wg"",""Direct Link!A2:A""),0)),XLOOKUP($B112,IMPORTRANGE(""1NK5L1mviMn0j3D"&amp;"3uo53ASkIZOFRlLnqaCTnwzOG2_Wg"",""Direct links Without Sizes!A2:A""),IMPORTRANGE(""1NK5L1mviMn0j3D3uo53ASkIZOFRlLnqaCTnwzOG2_Wg"",""Direct links Without Sizes!B2:B""))),XLOOKUP($B112,IMPORTRANGE(""1NK5L1mviMn0j3D3uo53ASkIZOFRlLnqaCTnwzOG2_Wg"",""Direct li"&amp;"nks Without Sizes!D2:D""),IMPORTRANGE(""1NK5L1mviMn0j3D3uo53ASkIZOFRlLnqaCTnwzOG2_Wg"",""Direct links Without Sizes!E2:E""))),"""")"),"")</f>
        <v/>
      </c>
      <c r="H112" s="41"/>
      <c r="I112" s="4"/>
      <c r="J112" s="4"/>
      <c r="K112" s="10" t="str">
        <f t="shared" si="1"/>
        <v/>
      </c>
      <c r="L112" s="10"/>
      <c r="M112" s="10" t="str">
        <f t="shared" si="2"/>
        <v/>
      </c>
    </row>
    <row r="113">
      <c r="A113" s="5"/>
      <c r="B113" s="14"/>
      <c r="C113" s="7" t="str">
        <f>IFERROR(__xludf.DUMMYFUNCTION("iferror(iferror(INDEX(IMPORTRANGE(""12vtnxaE_Q1s4tyr10kZQx7ZF_xG0lBFae4jQEUtgsMU"",""All!B2:B""),MATCH($B113,IMPORTRANGE(""12vtnxaE_Q1s4tyr10kZQx7ZF_xG0lBFae4jQEUtgsMU"",""All!A2:A""),0)),INDEX(IMPORTRANGE(""13KC70HngS4DDi8y9E5khtSpQEPG6owaQ9z4E-tR5mnY"","&amp;"""Non-Food!B2:B""),MATCH($B113,IMPORTRANGE(""13KC70HngS4DDi8y9E5khtSpQEPG6owaQ9z4E-tR5mnY"",""Non-Food!A2:A""),0))),"""")"),"")</f>
        <v/>
      </c>
      <c r="D113" s="15"/>
      <c r="E113" s="15"/>
      <c r="F113" s="22"/>
      <c r="G113" s="24" t="str">
        <f>IFERROR(__xludf.DUMMYFUNCTION("iferror(iferror(iferror(index(IMPORTRANGE(""1NK5L1mviMn0j3D3uo53ASkIZOFRlLnqaCTnwzOG2_Wg"",""Direct Link!B2:B""),MATCH($B113,IMPORTRANGE(""1NK5L1mviMn0j3D3uo53ASkIZOFRlLnqaCTnwzOG2_Wg"",""Direct Link!A2:A""),0)),XLOOKUP($B113,IMPORTRANGE(""1NK5L1mviMn0j3D"&amp;"3uo53ASkIZOFRlLnqaCTnwzOG2_Wg"",""Direct links Without Sizes!A2:A""),IMPORTRANGE(""1NK5L1mviMn0j3D3uo53ASkIZOFRlLnqaCTnwzOG2_Wg"",""Direct links Without Sizes!B2:B""))),XLOOKUP($B113,IMPORTRANGE(""1NK5L1mviMn0j3D3uo53ASkIZOFRlLnqaCTnwzOG2_Wg"",""Direct li"&amp;"nks Without Sizes!D2:D""),IMPORTRANGE(""1NK5L1mviMn0j3D3uo53ASkIZOFRlLnqaCTnwzOG2_Wg"",""Direct links Without Sizes!E2:E""))),"""")"),"")</f>
        <v/>
      </c>
      <c r="H113" s="41"/>
      <c r="I113" s="4"/>
      <c r="J113" s="4"/>
      <c r="K113" s="10" t="str">
        <f t="shared" si="1"/>
        <v/>
      </c>
      <c r="L113" s="10"/>
      <c r="M113" s="10" t="str">
        <f t="shared" si="2"/>
        <v/>
      </c>
    </row>
    <row r="114">
      <c r="A114" s="5"/>
      <c r="B114" s="14"/>
      <c r="C114" s="7" t="str">
        <f>IFERROR(__xludf.DUMMYFUNCTION("iferror(iferror(INDEX(IMPORTRANGE(""12vtnxaE_Q1s4tyr10kZQx7ZF_xG0lBFae4jQEUtgsMU"",""All!B2:B""),MATCH($B114,IMPORTRANGE(""12vtnxaE_Q1s4tyr10kZQx7ZF_xG0lBFae4jQEUtgsMU"",""All!A2:A""),0)),INDEX(IMPORTRANGE(""13KC70HngS4DDi8y9E5khtSpQEPG6owaQ9z4E-tR5mnY"","&amp;"""Non-Food!B2:B""),MATCH($B114,IMPORTRANGE(""13KC70HngS4DDi8y9E5khtSpQEPG6owaQ9z4E-tR5mnY"",""Non-Food!A2:A""),0))),"""")"),"")</f>
        <v/>
      </c>
      <c r="D114" s="15"/>
      <c r="E114" s="15"/>
      <c r="F114" s="22"/>
      <c r="G114" s="24" t="str">
        <f>IFERROR(__xludf.DUMMYFUNCTION("iferror(iferror(iferror(index(IMPORTRANGE(""1NK5L1mviMn0j3D3uo53ASkIZOFRlLnqaCTnwzOG2_Wg"",""Direct Link!B2:B""),MATCH($B114,IMPORTRANGE(""1NK5L1mviMn0j3D3uo53ASkIZOFRlLnqaCTnwzOG2_Wg"",""Direct Link!A2:A""),0)),XLOOKUP($B114,IMPORTRANGE(""1NK5L1mviMn0j3D"&amp;"3uo53ASkIZOFRlLnqaCTnwzOG2_Wg"",""Direct links Without Sizes!A2:A""),IMPORTRANGE(""1NK5L1mviMn0j3D3uo53ASkIZOFRlLnqaCTnwzOG2_Wg"",""Direct links Without Sizes!B2:B""))),XLOOKUP($B114,IMPORTRANGE(""1NK5L1mviMn0j3D3uo53ASkIZOFRlLnqaCTnwzOG2_Wg"",""Direct li"&amp;"nks Without Sizes!D2:D""),IMPORTRANGE(""1NK5L1mviMn0j3D3uo53ASkIZOFRlLnqaCTnwzOG2_Wg"",""Direct links Without Sizes!E2:E""))),"""")"),"")</f>
        <v/>
      </c>
      <c r="H114" s="41"/>
      <c r="I114" s="4"/>
      <c r="J114" s="4"/>
      <c r="K114" s="10" t="str">
        <f t="shared" si="1"/>
        <v/>
      </c>
      <c r="L114" s="10"/>
      <c r="M114" s="10" t="str">
        <f t="shared" si="2"/>
        <v/>
      </c>
    </row>
    <row r="115">
      <c r="A115" s="5"/>
      <c r="B115" s="14"/>
      <c r="C115" s="7" t="str">
        <f>IFERROR(__xludf.DUMMYFUNCTION("iferror(iferror(INDEX(IMPORTRANGE(""12vtnxaE_Q1s4tyr10kZQx7ZF_xG0lBFae4jQEUtgsMU"",""All!B2:B""),MATCH($B115,IMPORTRANGE(""12vtnxaE_Q1s4tyr10kZQx7ZF_xG0lBFae4jQEUtgsMU"",""All!A2:A""),0)),INDEX(IMPORTRANGE(""13KC70HngS4DDi8y9E5khtSpQEPG6owaQ9z4E-tR5mnY"","&amp;"""Non-Food!B2:B""),MATCH($B115,IMPORTRANGE(""13KC70HngS4DDi8y9E5khtSpQEPG6owaQ9z4E-tR5mnY"",""Non-Food!A2:A""),0))),"""")"),"")</f>
        <v/>
      </c>
      <c r="D115" s="15"/>
      <c r="E115" s="15"/>
      <c r="F115" s="22"/>
      <c r="G115" s="24" t="str">
        <f>IFERROR(__xludf.DUMMYFUNCTION("iferror(iferror(iferror(index(IMPORTRANGE(""1NK5L1mviMn0j3D3uo53ASkIZOFRlLnqaCTnwzOG2_Wg"",""Direct Link!B2:B""),MATCH($B115,IMPORTRANGE(""1NK5L1mviMn0j3D3uo53ASkIZOFRlLnqaCTnwzOG2_Wg"",""Direct Link!A2:A""),0)),XLOOKUP($B115,IMPORTRANGE(""1NK5L1mviMn0j3D"&amp;"3uo53ASkIZOFRlLnqaCTnwzOG2_Wg"",""Direct links Without Sizes!A2:A""),IMPORTRANGE(""1NK5L1mviMn0j3D3uo53ASkIZOFRlLnqaCTnwzOG2_Wg"",""Direct links Without Sizes!B2:B""))),XLOOKUP($B115,IMPORTRANGE(""1NK5L1mviMn0j3D3uo53ASkIZOFRlLnqaCTnwzOG2_Wg"",""Direct li"&amp;"nks Without Sizes!D2:D""),IMPORTRANGE(""1NK5L1mviMn0j3D3uo53ASkIZOFRlLnqaCTnwzOG2_Wg"",""Direct links Without Sizes!E2:E""))),"""")"),"")</f>
        <v/>
      </c>
      <c r="H115" s="41"/>
      <c r="I115" s="4"/>
      <c r="J115" s="4"/>
      <c r="K115" s="10" t="str">
        <f t="shared" si="1"/>
        <v/>
      </c>
      <c r="L115" s="10"/>
      <c r="M115" s="10" t="str">
        <f t="shared" si="2"/>
        <v/>
      </c>
    </row>
    <row r="116">
      <c r="A116" s="5"/>
      <c r="B116" s="14"/>
      <c r="C116" s="7" t="str">
        <f>IFERROR(__xludf.DUMMYFUNCTION("iferror(iferror(INDEX(IMPORTRANGE(""12vtnxaE_Q1s4tyr10kZQx7ZF_xG0lBFae4jQEUtgsMU"",""All!B2:B""),MATCH($B116,IMPORTRANGE(""12vtnxaE_Q1s4tyr10kZQx7ZF_xG0lBFae4jQEUtgsMU"",""All!A2:A""),0)),INDEX(IMPORTRANGE(""13KC70HngS4DDi8y9E5khtSpQEPG6owaQ9z4E-tR5mnY"","&amp;"""Non-Food!B2:B""),MATCH($B116,IMPORTRANGE(""13KC70HngS4DDi8y9E5khtSpQEPG6owaQ9z4E-tR5mnY"",""Non-Food!A2:A""),0))),"""")"),"")</f>
        <v/>
      </c>
      <c r="D116" s="15"/>
      <c r="E116" s="15"/>
      <c r="F116" s="22"/>
      <c r="G116" s="24" t="str">
        <f>IFERROR(__xludf.DUMMYFUNCTION("iferror(iferror(iferror(index(IMPORTRANGE(""1NK5L1mviMn0j3D3uo53ASkIZOFRlLnqaCTnwzOG2_Wg"",""Direct Link!B2:B""),MATCH($B116,IMPORTRANGE(""1NK5L1mviMn0j3D3uo53ASkIZOFRlLnqaCTnwzOG2_Wg"",""Direct Link!A2:A""),0)),XLOOKUP($B116,IMPORTRANGE(""1NK5L1mviMn0j3D"&amp;"3uo53ASkIZOFRlLnqaCTnwzOG2_Wg"",""Direct links Without Sizes!A2:A""),IMPORTRANGE(""1NK5L1mviMn0j3D3uo53ASkIZOFRlLnqaCTnwzOG2_Wg"",""Direct links Without Sizes!B2:B""))),XLOOKUP($B116,IMPORTRANGE(""1NK5L1mviMn0j3D3uo53ASkIZOFRlLnqaCTnwzOG2_Wg"",""Direct li"&amp;"nks Without Sizes!D2:D""),IMPORTRANGE(""1NK5L1mviMn0j3D3uo53ASkIZOFRlLnqaCTnwzOG2_Wg"",""Direct links Without Sizes!E2:E""))),"""")"),"")</f>
        <v/>
      </c>
      <c r="H116" s="41"/>
      <c r="I116" s="4"/>
      <c r="J116" s="4"/>
      <c r="K116" s="10" t="str">
        <f t="shared" si="1"/>
        <v/>
      </c>
      <c r="L116" s="10"/>
      <c r="M116" s="10" t="str">
        <f t="shared" si="2"/>
        <v/>
      </c>
    </row>
    <row r="117">
      <c r="A117" s="5"/>
      <c r="B117" s="14"/>
      <c r="C117" s="7" t="str">
        <f>IFERROR(__xludf.DUMMYFUNCTION("iferror(iferror(INDEX(IMPORTRANGE(""12vtnxaE_Q1s4tyr10kZQx7ZF_xG0lBFae4jQEUtgsMU"",""All!B2:B""),MATCH($B117,IMPORTRANGE(""12vtnxaE_Q1s4tyr10kZQx7ZF_xG0lBFae4jQEUtgsMU"",""All!A2:A""),0)),INDEX(IMPORTRANGE(""13KC70HngS4DDi8y9E5khtSpQEPG6owaQ9z4E-tR5mnY"","&amp;"""Non-Food!B2:B""),MATCH($B117,IMPORTRANGE(""13KC70HngS4DDi8y9E5khtSpQEPG6owaQ9z4E-tR5mnY"",""Non-Food!A2:A""),0))),"""")"),"")</f>
        <v/>
      </c>
      <c r="D117" s="15"/>
      <c r="E117" s="15"/>
      <c r="F117" s="22"/>
      <c r="G117" s="24" t="str">
        <f>IFERROR(__xludf.DUMMYFUNCTION("iferror(iferror(iferror(index(IMPORTRANGE(""1NK5L1mviMn0j3D3uo53ASkIZOFRlLnqaCTnwzOG2_Wg"",""Direct Link!B2:B""),MATCH($B117,IMPORTRANGE(""1NK5L1mviMn0j3D3uo53ASkIZOFRlLnqaCTnwzOG2_Wg"",""Direct Link!A2:A""),0)),XLOOKUP($B117,IMPORTRANGE(""1NK5L1mviMn0j3D"&amp;"3uo53ASkIZOFRlLnqaCTnwzOG2_Wg"",""Direct links Without Sizes!A2:A""),IMPORTRANGE(""1NK5L1mviMn0j3D3uo53ASkIZOFRlLnqaCTnwzOG2_Wg"",""Direct links Without Sizes!B2:B""))),XLOOKUP($B117,IMPORTRANGE(""1NK5L1mviMn0j3D3uo53ASkIZOFRlLnqaCTnwzOG2_Wg"",""Direct li"&amp;"nks Without Sizes!D2:D""),IMPORTRANGE(""1NK5L1mviMn0j3D3uo53ASkIZOFRlLnqaCTnwzOG2_Wg"",""Direct links Without Sizes!E2:E""))),"""")"),"")</f>
        <v/>
      </c>
      <c r="H117" s="41"/>
      <c r="I117" s="4"/>
      <c r="J117" s="4"/>
      <c r="K117" s="10" t="str">
        <f t="shared" si="1"/>
        <v/>
      </c>
      <c r="L117" s="10"/>
      <c r="M117" s="10" t="str">
        <f t="shared" si="2"/>
        <v/>
      </c>
    </row>
    <row r="118">
      <c r="A118" s="5"/>
      <c r="B118" s="14"/>
      <c r="C118" s="7" t="str">
        <f>IFERROR(__xludf.DUMMYFUNCTION("iferror(iferror(INDEX(IMPORTRANGE(""12vtnxaE_Q1s4tyr10kZQx7ZF_xG0lBFae4jQEUtgsMU"",""All!B2:B""),MATCH($B118,IMPORTRANGE(""12vtnxaE_Q1s4tyr10kZQx7ZF_xG0lBFae4jQEUtgsMU"",""All!A2:A""),0)),INDEX(IMPORTRANGE(""13KC70HngS4DDi8y9E5khtSpQEPG6owaQ9z4E-tR5mnY"","&amp;"""Non-Food!B2:B""),MATCH($B118,IMPORTRANGE(""13KC70HngS4DDi8y9E5khtSpQEPG6owaQ9z4E-tR5mnY"",""Non-Food!A2:A""),0))),"""")"),"")</f>
        <v/>
      </c>
      <c r="D118" s="15"/>
      <c r="E118" s="15"/>
      <c r="F118" s="22"/>
      <c r="G118" s="24" t="str">
        <f>IFERROR(__xludf.DUMMYFUNCTION("iferror(iferror(iferror(index(IMPORTRANGE(""1NK5L1mviMn0j3D3uo53ASkIZOFRlLnqaCTnwzOG2_Wg"",""Direct Link!B2:B""),MATCH($B118,IMPORTRANGE(""1NK5L1mviMn0j3D3uo53ASkIZOFRlLnqaCTnwzOG2_Wg"",""Direct Link!A2:A""),0)),XLOOKUP($B118,IMPORTRANGE(""1NK5L1mviMn0j3D"&amp;"3uo53ASkIZOFRlLnqaCTnwzOG2_Wg"",""Direct links Without Sizes!A2:A""),IMPORTRANGE(""1NK5L1mviMn0j3D3uo53ASkIZOFRlLnqaCTnwzOG2_Wg"",""Direct links Without Sizes!B2:B""))),XLOOKUP($B118,IMPORTRANGE(""1NK5L1mviMn0j3D3uo53ASkIZOFRlLnqaCTnwzOG2_Wg"",""Direct li"&amp;"nks Without Sizes!D2:D""),IMPORTRANGE(""1NK5L1mviMn0j3D3uo53ASkIZOFRlLnqaCTnwzOG2_Wg"",""Direct links Without Sizes!E2:E""))),"""")"),"")</f>
        <v/>
      </c>
      <c r="H118" s="41"/>
      <c r="I118" s="4"/>
      <c r="J118" s="4"/>
      <c r="K118" s="10" t="str">
        <f t="shared" si="1"/>
        <v/>
      </c>
      <c r="L118" s="10"/>
      <c r="M118" s="10" t="str">
        <f t="shared" si="2"/>
        <v/>
      </c>
    </row>
    <row r="119">
      <c r="A119" s="5"/>
      <c r="B119" s="14"/>
      <c r="C119" s="7" t="str">
        <f>IFERROR(__xludf.DUMMYFUNCTION("iferror(iferror(INDEX(IMPORTRANGE(""12vtnxaE_Q1s4tyr10kZQx7ZF_xG0lBFae4jQEUtgsMU"",""All!B2:B""),MATCH($B119,IMPORTRANGE(""12vtnxaE_Q1s4tyr10kZQx7ZF_xG0lBFae4jQEUtgsMU"",""All!A2:A""),0)),INDEX(IMPORTRANGE(""13KC70HngS4DDi8y9E5khtSpQEPG6owaQ9z4E-tR5mnY"","&amp;"""Non-Food!B2:B""),MATCH($B119,IMPORTRANGE(""13KC70HngS4DDi8y9E5khtSpQEPG6owaQ9z4E-tR5mnY"",""Non-Food!A2:A""),0))),"""")"),"")</f>
        <v/>
      </c>
      <c r="D119" s="15"/>
      <c r="E119" s="15"/>
      <c r="F119" s="22"/>
      <c r="G119" s="24" t="str">
        <f>IFERROR(__xludf.DUMMYFUNCTION("iferror(iferror(iferror(index(IMPORTRANGE(""1NK5L1mviMn0j3D3uo53ASkIZOFRlLnqaCTnwzOG2_Wg"",""Direct Link!B2:B""),MATCH($B119,IMPORTRANGE(""1NK5L1mviMn0j3D3uo53ASkIZOFRlLnqaCTnwzOG2_Wg"",""Direct Link!A2:A""),0)),XLOOKUP($B119,IMPORTRANGE(""1NK5L1mviMn0j3D"&amp;"3uo53ASkIZOFRlLnqaCTnwzOG2_Wg"",""Direct links Without Sizes!A2:A""),IMPORTRANGE(""1NK5L1mviMn0j3D3uo53ASkIZOFRlLnqaCTnwzOG2_Wg"",""Direct links Without Sizes!B2:B""))),XLOOKUP($B119,IMPORTRANGE(""1NK5L1mviMn0j3D3uo53ASkIZOFRlLnqaCTnwzOG2_Wg"",""Direct li"&amp;"nks Without Sizes!D2:D""),IMPORTRANGE(""1NK5L1mviMn0j3D3uo53ASkIZOFRlLnqaCTnwzOG2_Wg"",""Direct links Without Sizes!E2:E""))),"""")"),"")</f>
        <v/>
      </c>
      <c r="H119" s="41"/>
      <c r="I119" s="4"/>
      <c r="J119" s="4"/>
      <c r="K119" s="10" t="str">
        <f t="shared" si="1"/>
        <v/>
      </c>
      <c r="L119" s="10"/>
      <c r="M119" s="10" t="str">
        <f t="shared" si="2"/>
        <v/>
      </c>
    </row>
    <row r="120">
      <c r="A120" s="5"/>
      <c r="B120" s="14"/>
      <c r="C120" s="7" t="str">
        <f>IFERROR(__xludf.DUMMYFUNCTION("iferror(iferror(INDEX(IMPORTRANGE(""12vtnxaE_Q1s4tyr10kZQx7ZF_xG0lBFae4jQEUtgsMU"",""All!B2:B""),MATCH($B120,IMPORTRANGE(""12vtnxaE_Q1s4tyr10kZQx7ZF_xG0lBFae4jQEUtgsMU"",""All!A2:A""),0)),INDEX(IMPORTRANGE(""13KC70HngS4DDi8y9E5khtSpQEPG6owaQ9z4E-tR5mnY"","&amp;"""Non-Food!B2:B""),MATCH($B120,IMPORTRANGE(""13KC70HngS4DDi8y9E5khtSpQEPG6owaQ9z4E-tR5mnY"",""Non-Food!A2:A""),0))),"""")"),"")</f>
        <v/>
      </c>
      <c r="D120" s="15"/>
      <c r="E120" s="15"/>
      <c r="F120" s="22"/>
      <c r="G120" s="24" t="str">
        <f>IFERROR(__xludf.DUMMYFUNCTION("iferror(iferror(iferror(index(IMPORTRANGE(""1NK5L1mviMn0j3D3uo53ASkIZOFRlLnqaCTnwzOG2_Wg"",""Direct Link!B2:B""),MATCH($B120,IMPORTRANGE(""1NK5L1mviMn0j3D3uo53ASkIZOFRlLnqaCTnwzOG2_Wg"",""Direct Link!A2:A""),0)),XLOOKUP($B120,IMPORTRANGE(""1NK5L1mviMn0j3D"&amp;"3uo53ASkIZOFRlLnqaCTnwzOG2_Wg"",""Direct links Without Sizes!A2:A""),IMPORTRANGE(""1NK5L1mviMn0j3D3uo53ASkIZOFRlLnqaCTnwzOG2_Wg"",""Direct links Without Sizes!B2:B""))),XLOOKUP($B120,IMPORTRANGE(""1NK5L1mviMn0j3D3uo53ASkIZOFRlLnqaCTnwzOG2_Wg"",""Direct li"&amp;"nks Without Sizes!D2:D""),IMPORTRANGE(""1NK5L1mviMn0j3D3uo53ASkIZOFRlLnqaCTnwzOG2_Wg"",""Direct links Without Sizes!E2:E""))),"""")"),"")</f>
        <v/>
      </c>
      <c r="H120" s="41"/>
      <c r="I120" s="4"/>
      <c r="J120" s="4"/>
      <c r="K120" s="10" t="str">
        <f t="shared" si="1"/>
        <v/>
      </c>
      <c r="L120" s="10"/>
      <c r="M120" s="10" t="str">
        <f t="shared" si="2"/>
        <v/>
      </c>
    </row>
    <row r="121">
      <c r="A121" s="5"/>
      <c r="B121" s="14"/>
      <c r="C121" s="7" t="str">
        <f>IFERROR(__xludf.DUMMYFUNCTION("iferror(iferror(INDEX(IMPORTRANGE(""12vtnxaE_Q1s4tyr10kZQx7ZF_xG0lBFae4jQEUtgsMU"",""All!B2:B""),MATCH($B121,IMPORTRANGE(""12vtnxaE_Q1s4tyr10kZQx7ZF_xG0lBFae4jQEUtgsMU"",""All!A2:A""),0)),INDEX(IMPORTRANGE(""13KC70HngS4DDi8y9E5khtSpQEPG6owaQ9z4E-tR5mnY"","&amp;"""Non-Food!B2:B""),MATCH($B121,IMPORTRANGE(""13KC70HngS4DDi8y9E5khtSpQEPG6owaQ9z4E-tR5mnY"",""Non-Food!A2:A""),0))),"""")"),"")</f>
        <v/>
      </c>
      <c r="D121" s="15"/>
      <c r="E121" s="15"/>
      <c r="F121" s="22"/>
      <c r="G121" s="24" t="str">
        <f>IFERROR(__xludf.DUMMYFUNCTION("iferror(iferror(iferror(index(IMPORTRANGE(""1NK5L1mviMn0j3D3uo53ASkIZOFRlLnqaCTnwzOG2_Wg"",""Direct Link!B2:B""),MATCH($B121,IMPORTRANGE(""1NK5L1mviMn0j3D3uo53ASkIZOFRlLnqaCTnwzOG2_Wg"",""Direct Link!A2:A""),0)),XLOOKUP($B121,IMPORTRANGE(""1NK5L1mviMn0j3D"&amp;"3uo53ASkIZOFRlLnqaCTnwzOG2_Wg"",""Direct links Without Sizes!A2:A""),IMPORTRANGE(""1NK5L1mviMn0j3D3uo53ASkIZOFRlLnqaCTnwzOG2_Wg"",""Direct links Without Sizes!B2:B""))),XLOOKUP($B121,IMPORTRANGE(""1NK5L1mviMn0j3D3uo53ASkIZOFRlLnqaCTnwzOG2_Wg"",""Direct li"&amp;"nks Without Sizes!D2:D""),IMPORTRANGE(""1NK5L1mviMn0j3D3uo53ASkIZOFRlLnqaCTnwzOG2_Wg"",""Direct links Without Sizes!E2:E""))),"""")"),"")</f>
        <v/>
      </c>
      <c r="H121" s="41"/>
      <c r="I121" s="4"/>
      <c r="J121" s="4"/>
      <c r="K121" s="10" t="str">
        <f t="shared" si="1"/>
        <v/>
      </c>
      <c r="L121" s="10"/>
      <c r="M121" s="10" t="str">
        <f t="shared" si="2"/>
        <v/>
      </c>
    </row>
    <row r="122">
      <c r="A122" s="5"/>
      <c r="B122" s="14"/>
      <c r="C122" s="7" t="str">
        <f>IFERROR(__xludf.DUMMYFUNCTION("iferror(iferror(INDEX(IMPORTRANGE(""12vtnxaE_Q1s4tyr10kZQx7ZF_xG0lBFae4jQEUtgsMU"",""All!B2:B""),MATCH($B122,IMPORTRANGE(""12vtnxaE_Q1s4tyr10kZQx7ZF_xG0lBFae4jQEUtgsMU"",""All!A2:A""),0)),INDEX(IMPORTRANGE(""13KC70HngS4DDi8y9E5khtSpQEPG6owaQ9z4E-tR5mnY"","&amp;"""Non-Food!B2:B""),MATCH($B122,IMPORTRANGE(""13KC70HngS4DDi8y9E5khtSpQEPG6owaQ9z4E-tR5mnY"",""Non-Food!A2:A""),0))),"""")"),"")</f>
        <v/>
      </c>
      <c r="D122" s="15"/>
      <c r="E122" s="15"/>
      <c r="F122" s="22"/>
      <c r="G122" s="24" t="str">
        <f>IFERROR(__xludf.DUMMYFUNCTION("iferror(iferror(iferror(index(IMPORTRANGE(""1NK5L1mviMn0j3D3uo53ASkIZOFRlLnqaCTnwzOG2_Wg"",""Direct Link!B2:B""),MATCH($B122,IMPORTRANGE(""1NK5L1mviMn0j3D3uo53ASkIZOFRlLnqaCTnwzOG2_Wg"",""Direct Link!A2:A""),0)),XLOOKUP($B122,IMPORTRANGE(""1NK5L1mviMn0j3D"&amp;"3uo53ASkIZOFRlLnqaCTnwzOG2_Wg"",""Direct links Without Sizes!A2:A""),IMPORTRANGE(""1NK5L1mviMn0j3D3uo53ASkIZOFRlLnqaCTnwzOG2_Wg"",""Direct links Without Sizes!B2:B""))),XLOOKUP($B122,IMPORTRANGE(""1NK5L1mviMn0j3D3uo53ASkIZOFRlLnqaCTnwzOG2_Wg"",""Direct li"&amp;"nks Without Sizes!D2:D""),IMPORTRANGE(""1NK5L1mviMn0j3D3uo53ASkIZOFRlLnqaCTnwzOG2_Wg"",""Direct links Without Sizes!E2:E""))),"""")"),"")</f>
        <v/>
      </c>
      <c r="H122" s="41"/>
      <c r="I122" s="4"/>
      <c r="J122" s="4"/>
      <c r="K122" s="10" t="str">
        <f t="shared" si="1"/>
        <v/>
      </c>
      <c r="L122" s="10"/>
      <c r="M122" s="10" t="str">
        <f t="shared" si="2"/>
        <v/>
      </c>
    </row>
    <row r="123">
      <c r="A123" s="5"/>
      <c r="B123" s="14"/>
      <c r="C123" s="7" t="str">
        <f>IFERROR(__xludf.DUMMYFUNCTION("iferror(iferror(INDEX(IMPORTRANGE(""12vtnxaE_Q1s4tyr10kZQx7ZF_xG0lBFae4jQEUtgsMU"",""All!B2:B""),MATCH($B123,IMPORTRANGE(""12vtnxaE_Q1s4tyr10kZQx7ZF_xG0lBFae4jQEUtgsMU"",""All!A2:A""),0)),INDEX(IMPORTRANGE(""13KC70HngS4DDi8y9E5khtSpQEPG6owaQ9z4E-tR5mnY"","&amp;"""Non-Food!B2:B""),MATCH($B123,IMPORTRANGE(""13KC70HngS4DDi8y9E5khtSpQEPG6owaQ9z4E-tR5mnY"",""Non-Food!A2:A""),0))),"""")"),"")</f>
        <v/>
      </c>
      <c r="D123" s="15"/>
      <c r="E123" s="15"/>
      <c r="F123" s="22"/>
      <c r="G123" s="24" t="str">
        <f>IFERROR(__xludf.DUMMYFUNCTION("iferror(iferror(iferror(index(IMPORTRANGE(""1NK5L1mviMn0j3D3uo53ASkIZOFRlLnqaCTnwzOG2_Wg"",""Direct Link!B2:B""),MATCH($B123,IMPORTRANGE(""1NK5L1mviMn0j3D3uo53ASkIZOFRlLnqaCTnwzOG2_Wg"",""Direct Link!A2:A""),0)),XLOOKUP($B123,IMPORTRANGE(""1NK5L1mviMn0j3D"&amp;"3uo53ASkIZOFRlLnqaCTnwzOG2_Wg"",""Direct links Without Sizes!A2:A""),IMPORTRANGE(""1NK5L1mviMn0j3D3uo53ASkIZOFRlLnqaCTnwzOG2_Wg"",""Direct links Without Sizes!B2:B""))),XLOOKUP($B123,IMPORTRANGE(""1NK5L1mviMn0j3D3uo53ASkIZOFRlLnqaCTnwzOG2_Wg"",""Direct li"&amp;"nks Without Sizes!D2:D""),IMPORTRANGE(""1NK5L1mviMn0j3D3uo53ASkIZOFRlLnqaCTnwzOG2_Wg"",""Direct links Without Sizes!E2:E""))),"""")"),"")</f>
        <v/>
      </c>
      <c r="H123" s="41"/>
      <c r="I123" s="4"/>
      <c r="J123" s="4"/>
      <c r="K123" s="10" t="str">
        <f t="shared" si="1"/>
        <v/>
      </c>
      <c r="L123" s="10"/>
      <c r="M123" s="10" t="str">
        <f t="shared" si="2"/>
        <v/>
      </c>
    </row>
    <row r="124">
      <c r="A124" s="5"/>
      <c r="B124" s="14"/>
      <c r="C124" s="7" t="str">
        <f>IFERROR(__xludf.DUMMYFUNCTION("iferror(iferror(INDEX(IMPORTRANGE(""12vtnxaE_Q1s4tyr10kZQx7ZF_xG0lBFae4jQEUtgsMU"",""All!B2:B""),MATCH($B124,IMPORTRANGE(""12vtnxaE_Q1s4tyr10kZQx7ZF_xG0lBFae4jQEUtgsMU"",""All!A2:A""),0)),INDEX(IMPORTRANGE(""13KC70HngS4DDi8y9E5khtSpQEPG6owaQ9z4E-tR5mnY"","&amp;"""Non-Food!B2:B""),MATCH($B124,IMPORTRANGE(""13KC70HngS4DDi8y9E5khtSpQEPG6owaQ9z4E-tR5mnY"",""Non-Food!A2:A""),0))),"""")"),"")</f>
        <v/>
      </c>
      <c r="D124" s="15"/>
      <c r="E124" s="15"/>
      <c r="F124" s="22"/>
      <c r="G124" s="24" t="str">
        <f>IFERROR(__xludf.DUMMYFUNCTION("iferror(iferror(iferror(index(IMPORTRANGE(""1NK5L1mviMn0j3D3uo53ASkIZOFRlLnqaCTnwzOG2_Wg"",""Direct Link!B2:B""),MATCH($B124,IMPORTRANGE(""1NK5L1mviMn0j3D3uo53ASkIZOFRlLnqaCTnwzOG2_Wg"",""Direct Link!A2:A""),0)),XLOOKUP($B124,IMPORTRANGE(""1NK5L1mviMn0j3D"&amp;"3uo53ASkIZOFRlLnqaCTnwzOG2_Wg"",""Direct links Without Sizes!A2:A""),IMPORTRANGE(""1NK5L1mviMn0j3D3uo53ASkIZOFRlLnqaCTnwzOG2_Wg"",""Direct links Without Sizes!B2:B""))),XLOOKUP($B124,IMPORTRANGE(""1NK5L1mviMn0j3D3uo53ASkIZOFRlLnqaCTnwzOG2_Wg"",""Direct li"&amp;"nks Without Sizes!D2:D""),IMPORTRANGE(""1NK5L1mviMn0j3D3uo53ASkIZOFRlLnqaCTnwzOG2_Wg"",""Direct links Without Sizes!E2:E""))),"""")"),"")</f>
        <v/>
      </c>
      <c r="H124" s="41"/>
      <c r="I124" s="4"/>
      <c r="J124" s="4"/>
      <c r="K124" s="10" t="str">
        <f t="shared" si="1"/>
        <v/>
      </c>
      <c r="L124" s="10"/>
      <c r="M124" s="10" t="str">
        <f t="shared" si="2"/>
        <v/>
      </c>
    </row>
    <row r="125">
      <c r="A125" s="5"/>
      <c r="B125" s="14"/>
      <c r="C125" s="7" t="str">
        <f>IFERROR(__xludf.DUMMYFUNCTION("iferror(iferror(INDEX(IMPORTRANGE(""12vtnxaE_Q1s4tyr10kZQx7ZF_xG0lBFae4jQEUtgsMU"",""All!B2:B""),MATCH($B125,IMPORTRANGE(""12vtnxaE_Q1s4tyr10kZQx7ZF_xG0lBFae4jQEUtgsMU"",""All!A2:A""),0)),INDEX(IMPORTRANGE(""13KC70HngS4DDi8y9E5khtSpQEPG6owaQ9z4E-tR5mnY"","&amp;"""Non-Food!B2:B""),MATCH($B125,IMPORTRANGE(""13KC70HngS4DDi8y9E5khtSpQEPG6owaQ9z4E-tR5mnY"",""Non-Food!A2:A""),0))),"""")"),"")</f>
        <v/>
      </c>
      <c r="D125" s="15"/>
      <c r="E125" s="15"/>
      <c r="F125" s="22"/>
      <c r="G125" s="24" t="str">
        <f>IFERROR(__xludf.DUMMYFUNCTION("iferror(iferror(iferror(index(IMPORTRANGE(""1NK5L1mviMn0j3D3uo53ASkIZOFRlLnqaCTnwzOG2_Wg"",""Direct Link!B2:B""),MATCH($B125,IMPORTRANGE(""1NK5L1mviMn0j3D3uo53ASkIZOFRlLnqaCTnwzOG2_Wg"",""Direct Link!A2:A""),0)),XLOOKUP($B125,IMPORTRANGE(""1NK5L1mviMn0j3D"&amp;"3uo53ASkIZOFRlLnqaCTnwzOG2_Wg"",""Direct links Without Sizes!A2:A""),IMPORTRANGE(""1NK5L1mviMn0j3D3uo53ASkIZOFRlLnqaCTnwzOG2_Wg"",""Direct links Without Sizes!B2:B""))),XLOOKUP($B125,IMPORTRANGE(""1NK5L1mviMn0j3D3uo53ASkIZOFRlLnqaCTnwzOG2_Wg"",""Direct li"&amp;"nks Without Sizes!D2:D""),IMPORTRANGE(""1NK5L1mviMn0j3D3uo53ASkIZOFRlLnqaCTnwzOG2_Wg"",""Direct links Without Sizes!E2:E""))),"""")"),"")</f>
        <v/>
      </c>
      <c r="H125" s="41"/>
      <c r="I125" s="4"/>
      <c r="J125" s="4"/>
      <c r="K125" s="10" t="str">
        <f t="shared" si="1"/>
        <v/>
      </c>
      <c r="L125" s="10"/>
      <c r="M125" s="10" t="str">
        <f t="shared" si="2"/>
        <v/>
      </c>
    </row>
    <row r="126">
      <c r="A126" s="5"/>
      <c r="B126" s="14"/>
      <c r="C126" s="7" t="str">
        <f>IFERROR(__xludf.DUMMYFUNCTION("iferror(iferror(INDEX(IMPORTRANGE(""12vtnxaE_Q1s4tyr10kZQx7ZF_xG0lBFae4jQEUtgsMU"",""All!B2:B""),MATCH($B126,IMPORTRANGE(""12vtnxaE_Q1s4tyr10kZQx7ZF_xG0lBFae4jQEUtgsMU"",""All!A2:A""),0)),INDEX(IMPORTRANGE(""13KC70HngS4DDi8y9E5khtSpQEPG6owaQ9z4E-tR5mnY"","&amp;"""Non-Food!B2:B""),MATCH($B126,IMPORTRANGE(""13KC70HngS4DDi8y9E5khtSpQEPG6owaQ9z4E-tR5mnY"",""Non-Food!A2:A""),0))),"""")"),"")</f>
        <v/>
      </c>
      <c r="D126" s="15"/>
      <c r="E126" s="15"/>
      <c r="F126" s="22"/>
      <c r="G126" s="24" t="str">
        <f>IFERROR(__xludf.DUMMYFUNCTION("iferror(iferror(iferror(index(IMPORTRANGE(""1NK5L1mviMn0j3D3uo53ASkIZOFRlLnqaCTnwzOG2_Wg"",""Direct Link!B2:B""),MATCH($B126,IMPORTRANGE(""1NK5L1mviMn0j3D3uo53ASkIZOFRlLnqaCTnwzOG2_Wg"",""Direct Link!A2:A""),0)),XLOOKUP($B126,IMPORTRANGE(""1NK5L1mviMn0j3D"&amp;"3uo53ASkIZOFRlLnqaCTnwzOG2_Wg"",""Direct links Without Sizes!A2:A""),IMPORTRANGE(""1NK5L1mviMn0j3D3uo53ASkIZOFRlLnqaCTnwzOG2_Wg"",""Direct links Without Sizes!B2:B""))),XLOOKUP($B126,IMPORTRANGE(""1NK5L1mviMn0j3D3uo53ASkIZOFRlLnqaCTnwzOG2_Wg"",""Direct li"&amp;"nks Without Sizes!D2:D""),IMPORTRANGE(""1NK5L1mviMn0j3D3uo53ASkIZOFRlLnqaCTnwzOG2_Wg"",""Direct links Without Sizes!E2:E""))),"""")"),"")</f>
        <v/>
      </c>
      <c r="H126" s="41"/>
      <c r="I126" s="4"/>
      <c r="J126" s="4"/>
      <c r="K126" s="10" t="str">
        <f t="shared" si="1"/>
        <v/>
      </c>
      <c r="L126" s="10"/>
      <c r="M126" s="10" t="str">
        <f t="shared" si="2"/>
        <v/>
      </c>
    </row>
    <row r="127">
      <c r="A127" s="5"/>
      <c r="B127" s="14"/>
      <c r="C127" s="7" t="str">
        <f>IFERROR(__xludf.DUMMYFUNCTION("iferror(iferror(INDEX(IMPORTRANGE(""12vtnxaE_Q1s4tyr10kZQx7ZF_xG0lBFae4jQEUtgsMU"",""All!B2:B""),MATCH($B127,IMPORTRANGE(""12vtnxaE_Q1s4tyr10kZQx7ZF_xG0lBFae4jQEUtgsMU"",""All!A2:A""),0)),INDEX(IMPORTRANGE(""13KC70HngS4DDi8y9E5khtSpQEPG6owaQ9z4E-tR5mnY"","&amp;"""Non-Food!B2:B""),MATCH($B127,IMPORTRANGE(""13KC70HngS4DDi8y9E5khtSpQEPG6owaQ9z4E-tR5mnY"",""Non-Food!A2:A""),0))),"""")"),"")</f>
        <v/>
      </c>
      <c r="D127" s="15"/>
      <c r="E127" s="15"/>
      <c r="F127" s="22"/>
      <c r="G127" s="24" t="str">
        <f>IFERROR(__xludf.DUMMYFUNCTION("iferror(iferror(iferror(index(IMPORTRANGE(""1NK5L1mviMn0j3D3uo53ASkIZOFRlLnqaCTnwzOG2_Wg"",""Direct Link!B2:B""),MATCH($B127,IMPORTRANGE(""1NK5L1mviMn0j3D3uo53ASkIZOFRlLnqaCTnwzOG2_Wg"",""Direct Link!A2:A""),0)),XLOOKUP($B127,IMPORTRANGE(""1NK5L1mviMn0j3D"&amp;"3uo53ASkIZOFRlLnqaCTnwzOG2_Wg"",""Direct links Without Sizes!A2:A""),IMPORTRANGE(""1NK5L1mviMn0j3D3uo53ASkIZOFRlLnqaCTnwzOG2_Wg"",""Direct links Without Sizes!B2:B""))),XLOOKUP($B127,IMPORTRANGE(""1NK5L1mviMn0j3D3uo53ASkIZOFRlLnqaCTnwzOG2_Wg"",""Direct li"&amp;"nks Without Sizes!D2:D""),IMPORTRANGE(""1NK5L1mviMn0j3D3uo53ASkIZOFRlLnqaCTnwzOG2_Wg"",""Direct links Without Sizes!E2:E""))),"""")"),"")</f>
        <v/>
      </c>
      <c r="H127" s="41"/>
      <c r="I127" s="4"/>
      <c r="J127" s="4"/>
      <c r="K127" s="10" t="str">
        <f t="shared" si="1"/>
        <v/>
      </c>
      <c r="L127" s="10"/>
      <c r="M127" s="10" t="str">
        <f t="shared" si="2"/>
        <v/>
      </c>
    </row>
    <row r="128">
      <c r="A128" s="5"/>
      <c r="B128" s="14"/>
      <c r="C128" s="7" t="str">
        <f>IFERROR(__xludf.DUMMYFUNCTION("iferror(iferror(INDEX(IMPORTRANGE(""12vtnxaE_Q1s4tyr10kZQx7ZF_xG0lBFae4jQEUtgsMU"",""All!B2:B""),MATCH($B128,IMPORTRANGE(""12vtnxaE_Q1s4tyr10kZQx7ZF_xG0lBFae4jQEUtgsMU"",""All!A2:A""),0)),INDEX(IMPORTRANGE(""13KC70HngS4DDi8y9E5khtSpQEPG6owaQ9z4E-tR5mnY"","&amp;"""Non-Food!B2:B""),MATCH($B128,IMPORTRANGE(""13KC70HngS4DDi8y9E5khtSpQEPG6owaQ9z4E-tR5mnY"",""Non-Food!A2:A""),0))),"""")"),"")</f>
        <v/>
      </c>
      <c r="D128" s="15"/>
      <c r="E128" s="15"/>
      <c r="F128" s="22"/>
      <c r="G128" s="24" t="str">
        <f>IFERROR(__xludf.DUMMYFUNCTION("iferror(iferror(iferror(index(IMPORTRANGE(""1NK5L1mviMn0j3D3uo53ASkIZOFRlLnqaCTnwzOG2_Wg"",""Direct Link!B2:B""),MATCH($B128,IMPORTRANGE(""1NK5L1mviMn0j3D3uo53ASkIZOFRlLnqaCTnwzOG2_Wg"",""Direct Link!A2:A""),0)),XLOOKUP($B128,IMPORTRANGE(""1NK5L1mviMn0j3D"&amp;"3uo53ASkIZOFRlLnqaCTnwzOG2_Wg"",""Direct links Without Sizes!A2:A""),IMPORTRANGE(""1NK5L1mviMn0j3D3uo53ASkIZOFRlLnqaCTnwzOG2_Wg"",""Direct links Without Sizes!B2:B""))),XLOOKUP($B128,IMPORTRANGE(""1NK5L1mviMn0j3D3uo53ASkIZOFRlLnqaCTnwzOG2_Wg"",""Direct li"&amp;"nks Without Sizes!D2:D""),IMPORTRANGE(""1NK5L1mviMn0j3D3uo53ASkIZOFRlLnqaCTnwzOG2_Wg"",""Direct links Without Sizes!E2:E""))),"""")"),"")</f>
        <v/>
      </c>
      <c r="H128" s="41"/>
      <c r="I128" s="4"/>
      <c r="J128" s="4"/>
      <c r="K128" s="10" t="str">
        <f t="shared" si="1"/>
        <v/>
      </c>
      <c r="L128" s="10"/>
      <c r="M128" s="10" t="str">
        <f t="shared" si="2"/>
        <v/>
      </c>
    </row>
    <row r="129">
      <c r="A129" s="5"/>
      <c r="B129" s="14"/>
      <c r="C129" s="7" t="str">
        <f>IFERROR(__xludf.DUMMYFUNCTION("iferror(iferror(INDEX(IMPORTRANGE(""12vtnxaE_Q1s4tyr10kZQx7ZF_xG0lBFae4jQEUtgsMU"",""All!B2:B""),MATCH($B129,IMPORTRANGE(""12vtnxaE_Q1s4tyr10kZQx7ZF_xG0lBFae4jQEUtgsMU"",""All!A2:A""),0)),INDEX(IMPORTRANGE(""13KC70HngS4DDi8y9E5khtSpQEPG6owaQ9z4E-tR5mnY"","&amp;"""Non-Food!B2:B""),MATCH($B129,IMPORTRANGE(""13KC70HngS4DDi8y9E5khtSpQEPG6owaQ9z4E-tR5mnY"",""Non-Food!A2:A""),0))),"""")"),"")</f>
        <v/>
      </c>
      <c r="D129" s="15"/>
      <c r="E129" s="15"/>
      <c r="F129" s="22"/>
      <c r="G129" s="24" t="str">
        <f>IFERROR(__xludf.DUMMYFUNCTION("iferror(iferror(iferror(index(IMPORTRANGE(""1NK5L1mviMn0j3D3uo53ASkIZOFRlLnqaCTnwzOG2_Wg"",""Direct Link!B2:B""),MATCH($B129,IMPORTRANGE(""1NK5L1mviMn0j3D3uo53ASkIZOFRlLnqaCTnwzOG2_Wg"",""Direct Link!A2:A""),0)),XLOOKUP($B129,IMPORTRANGE(""1NK5L1mviMn0j3D"&amp;"3uo53ASkIZOFRlLnqaCTnwzOG2_Wg"",""Direct links Without Sizes!A2:A""),IMPORTRANGE(""1NK5L1mviMn0j3D3uo53ASkIZOFRlLnqaCTnwzOG2_Wg"",""Direct links Without Sizes!B2:B""))),XLOOKUP($B129,IMPORTRANGE(""1NK5L1mviMn0j3D3uo53ASkIZOFRlLnqaCTnwzOG2_Wg"",""Direct li"&amp;"nks Without Sizes!D2:D""),IMPORTRANGE(""1NK5L1mviMn0j3D3uo53ASkIZOFRlLnqaCTnwzOG2_Wg"",""Direct links Without Sizes!E2:E""))),"""")"),"")</f>
        <v/>
      </c>
      <c r="H129" s="41"/>
      <c r="I129" s="4"/>
      <c r="J129" s="4"/>
      <c r="K129" s="10" t="str">
        <f t="shared" si="1"/>
        <v/>
      </c>
      <c r="L129" s="10"/>
      <c r="M129" s="10" t="str">
        <f t="shared" si="2"/>
        <v/>
      </c>
    </row>
    <row r="130">
      <c r="A130" s="5"/>
      <c r="B130" s="14"/>
      <c r="C130" s="7" t="str">
        <f>IFERROR(__xludf.DUMMYFUNCTION("iferror(iferror(INDEX(IMPORTRANGE(""12vtnxaE_Q1s4tyr10kZQx7ZF_xG0lBFae4jQEUtgsMU"",""All!B2:B""),MATCH($B130,IMPORTRANGE(""12vtnxaE_Q1s4tyr10kZQx7ZF_xG0lBFae4jQEUtgsMU"",""All!A2:A""),0)),INDEX(IMPORTRANGE(""13KC70HngS4DDi8y9E5khtSpQEPG6owaQ9z4E-tR5mnY"","&amp;"""Non-Food!B2:B""),MATCH($B130,IMPORTRANGE(""13KC70HngS4DDi8y9E5khtSpQEPG6owaQ9z4E-tR5mnY"",""Non-Food!A2:A""),0))),"""")"),"")</f>
        <v/>
      </c>
      <c r="D130" s="15"/>
      <c r="E130" s="15"/>
      <c r="F130" s="22"/>
      <c r="G130" s="24" t="str">
        <f>IFERROR(__xludf.DUMMYFUNCTION("iferror(iferror(iferror(index(IMPORTRANGE(""1NK5L1mviMn0j3D3uo53ASkIZOFRlLnqaCTnwzOG2_Wg"",""Direct Link!B2:B""),MATCH($B130,IMPORTRANGE(""1NK5L1mviMn0j3D3uo53ASkIZOFRlLnqaCTnwzOG2_Wg"",""Direct Link!A2:A""),0)),XLOOKUP($B130,IMPORTRANGE(""1NK5L1mviMn0j3D"&amp;"3uo53ASkIZOFRlLnqaCTnwzOG2_Wg"",""Direct links Without Sizes!A2:A""),IMPORTRANGE(""1NK5L1mviMn0j3D3uo53ASkIZOFRlLnqaCTnwzOG2_Wg"",""Direct links Without Sizes!B2:B""))),XLOOKUP($B130,IMPORTRANGE(""1NK5L1mviMn0j3D3uo53ASkIZOFRlLnqaCTnwzOG2_Wg"",""Direct li"&amp;"nks Without Sizes!D2:D""),IMPORTRANGE(""1NK5L1mviMn0j3D3uo53ASkIZOFRlLnqaCTnwzOG2_Wg"",""Direct links Without Sizes!E2:E""))),"""")"),"")</f>
        <v/>
      </c>
      <c r="H130" s="41"/>
      <c r="I130" s="4"/>
      <c r="J130" s="4"/>
      <c r="K130" s="10" t="str">
        <f t="shared" si="1"/>
        <v/>
      </c>
      <c r="L130" s="10"/>
      <c r="M130" s="10" t="str">
        <f t="shared" si="2"/>
        <v/>
      </c>
    </row>
    <row r="131">
      <c r="A131" s="5"/>
      <c r="B131" s="14"/>
      <c r="C131" s="7" t="str">
        <f>IFERROR(__xludf.DUMMYFUNCTION("iferror(iferror(INDEX(IMPORTRANGE(""12vtnxaE_Q1s4tyr10kZQx7ZF_xG0lBFae4jQEUtgsMU"",""All!B2:B""),MATCH($B131,IMPORTRANGE(""12vtnxaE_Q1s4tyr10kZQx7ZF_xG0lBFae4jQEUtgsMU"",""All!A2:A""),0)),INDEX(IMPORTRANGE(""13KC70HngS4DDi8y9E5khtSpQEPG6owaQ9z4E-tR5mnY"","&amp;"""Non-Food!B2:B""),MATCH($B131,IMPORTRANGE(""13KC70HngS4DDi8y9E5khtSpQEPG6owaQ9z4E-tR5mnY"",""Non-Food!A2:A""),0))),"""")"),"")</f>
        <v/>
      </c>
      <c r="D131" s="15"/>
      <c r="E131" s="15"/>
      <c r="F131" s="22"/>
      <c r="G131" s="24" t="str">
        <f>IFERROR(__xludf.DUMMYFUNCTION("iferror(iferror(iferror(index(IMPORTRANGE(""1NK5L1mviMn0j3D3uo53ASkIZOFRlLnqaCTnwzOG2_Wg"",""Direct Link!B2:B""),MATCH($B131,IMPORTRANGE(""1NK5L1mviMn0j3D3uo53ASkIZOFRlLnqaCTnwzOG2_Wg"",""Direct Link!A2:A""),0)),XLOOKUP($B131,IMPORTRANGE(""1NK5L1mviMn0j3D"&amp;"3uo53ASkIZOFRlLnqaCTnwzOG2_Wg"",""Direct links Without Sizes!A2:A""),IMPORTRANGE(""1NK5L1mviMn0j3D3uo53ASkIZOFRlLnqaCTnwzOG2_Wg"",""Direct links Without Sizes!B2:B""))),XLOOKUP($B131,IMPORTRANGE(""1NK5L1mviMn0j3D3uo53ASkIZOFRlLnqaCTnwzOG2_Wg"",""Direct li"&amp;"nks Without Sizes!D2:D""),IMPORTRANGE(""1NK5L1mviMn0j3D3uo53ASkIZOFRlLnqaCTnwzOG2_Wg"",""Direct links Without Sizes!E2:E""))),"""")"),"")</f>
        <v/>
      </c>
      <c r="H131" s="41"/>
      <c r="I131" s="4"/>
      <c r="J131" s="4"/>
      <c r="K131" s="10" t="str">
        <f t="shared" si="1"/>
        <v/>
      </c>
      <c r="L131" s="10"/>
      <c r="M131" s="10" t="str">
        <f t="shared" si="2"/>
        <v/>
      </c>
    </row>
    <row r="132">
      <c r="A132" s="5"/>
      <c r="B132" s="14"/>
      <c r="C132" s="7" t="str">
        <f>IFERROR(__xludf.DUMMYFUNCTION("iferror(iferror(INDEX(IMPORTRANGE(""12vtnxaE_Q1s4tyr10kZQx7ZF_xG0lBFae4jQEUtgsMU"",""All!B2:B""),MATCH($B132,IMPORTRANGE(""12vtnxaE_Q1s4tyr10kZQx7ZF_xG0lBFae4jQEUtgsMU"",""All!A2:A""),0)),INDEX(IMPORTRANGE(""13KC70HngS4DDi8y9E5khtSpQEPG6owaQ9z4E-tR5mnY"","&amp;"""Non-Food!B2:B""),MATCH($B132,IMPORTRANGE(""13KC70HngS4DDi8y9E5khtSpQEPG6owaQ9z4E-tR5mnY"",""Non-Food!A2:A""),0))),"""")"),"")</f>
        <v/>
      </c>
      <c r="D132" s="15"/>
      <c r="E132" s="15"/>
      <c r="F132" s="22"/>
      <c r="G132" s="24" t="str">
        <f>IFERROR(__xludf.DUMMYFUNCTION("iferror(iferror(iferror(index(IMPORTRANGE(""1NK5L1mviMn0j3D3uo53ASkIZOFRlLnqaCTnwzOG2_Wg"",""Direct Link!B2:B""),MATCH($B132,IMPORTRANGE(""1NK5L1mviMn0j3D3uo53ASkIZOFRlLnqaCTnwzOG2_Wg"",""Direct Link!A2:A""),0)),XLOOKUP($B132,IMPORTRANGE(""1NK5L1mviMn0j3D"&amp;"3uo53ASkIZOFRlLnqaCTnwzOG2_Wg"",""Direct links Without Sizes!A2:A""),IMPORTRANGE(""1NK5L1mviMn0j3D3uo53ASkIZOFRlLnqaCTnwzOG2_Wg"",""Direct links Without Sizes!B2:B""))),XLOOKUP($B132,IMPORTRANGE(""1NK5L1mviMn0j3D3uo53ASkIZOFRlLnqaCTnwzOG2_Wg"",""Direct li"&amp;"nks Without Sizes!D2:D""),IMPORTRANGE(""1NK5L1mviMn0j3D3uo53ASkIZOFRlLnqaCTnwzOG2_Wg"",""Direct links Without Sizes!E2:E""))),"""")"),"")</f>
        <v/>
      </c>
      <c r="H132" s="41"/>
      <c r="I132" s="4"/>
      <c r="J132" s="4"/>
      <c r="K132" s="10" t="str">
        <f t="shared" si="1"/>
        <v/>
      </c>
      <c r="L132" s="10"/>
      <c r="M132" s="10" t="str">
        <f t="shared" si="2"/>
        <v/>
      </c>
    </row>
    <row r="133">
      <c r="A133" s="5"/>
      <c r="B133" s="14"/>
      <c r="C133" s="7" t="str">
        <f>IFERROR(__xludf.DUMMYFUNCTION("iferror(iferror(INDEX(IMPORTRANGE(""12vtnxaE_Q1s4tyr10kZQx7ZF_xG0lBFae4jQEUtgsMU"",""All!B2:B""),MATCH($B133,IMPORTRANGE(""12vtnxaE_Q1s4tyr10kZQx7ZF_xG0lBFae4jQEUtgsMU"",""All!A2:A""),0)),INDEX(IMPORTRANGE(""13KC70HngS4DDi8y9E5khtSpQEPG6owaQ9z4E-tR5mnY"","&amp;"""Non-Food!B2:B""),MATCH($B133,IMPORTRANGE(""13KC70HngS4DDi8y9E5khtSpQEPG6owaQ9z4E-tR5mnY"",""Non-Food!A2:A""),0))),"""")"),"")</f>
        <v/>
      </c>
      <c r="D133" s="15"/>
      <c r="E133" s="15"/>
      <c r="F133" s="22"/>
      <c r="G133" s="24" t="str">
        <f>IFERROR(__xludf.DUMMYFUNCTION("iferror(iferror(iferror(index(IMPORTRANGE(""1NK5L1mviMn0j3D3uo53ASkIZOFRlLnqaCTnwzOG2_Wg"",""Direct Link!B2:B""),MATCH($B133,IMPORTRANGE(""1NK5L1mviMn0j3D3uo53ASkIZOFRlLnqaCTnwzOG2_Wg"",""Direct Link!A2:A""),0)),XLOOKUP($B133,IMPORTRANGE(""1NK5L1mviMn0j3D"&amp;"3uo53ASkIZOFRlLnqaCTnwzOG2_Wg"",""Direct links Without Sizes!A2:A""),IMPORTRANGE(""1NK5L1mviMn0j3D3uo53ASkIZOFRlLnqaCTnwzOG2_Wg"",""Direct links Without Sizes!B2:B""))),XLOOKUP($B133,IMPORTRANGE(""1NK5L1mviMn0j3D3uo53ASkIZOFRlLnqaCTnwzOG2_Wg"",""Direct li"&amp;"nks Without Sizes!D2:D""),IMPORTRANGE(""1NK5L1mviMn0j3D3uo53ASkIZOFRlLnqaCTnwzOG2_Wg"",""Direct links Without Sizes!E2:E""))),"""")"),"")</f>
        <v/>
      </c>
      <c r="H133" s="41"/>
      <c r="I133" s="4"/>
      <c r="J133" s="4"/>
      <c r="K133" s="10" t="str">
        <f t="shared" si="1"/>
        <v/>
      </c>
      <c r="L133" s="10"/>
      <c r="M133" s="10" t="str">
        <f t="shared" si="2"/>
        <v/>
      </c>
    </row>
    <row r="134">
      <c r="A134" s="5"/>
      <c r="B134" s="14"/>
      <c r="C134" s="7" t="str">
        <f>IFERROR(__xludf.DUMMYFUNCTION("iferror(iferror(INDEX(IMPORTRANGE(""12vtnxaE_Q1s4tyr10kZQx7ZF_xG0lBFae4jQEUtgsMU"",""All!B2:B""),MATCH($B134,IMPORTRANGE(""12vtnxaE_Q1s4tyr10kZQx7ZF_xG0lBFae4jQEUtgsMU"",""All!A2:A""),0)),INDEX(IMPORTRANGE(""13KC70HngS4DDi8y9E5khtSpQEPG6owaQ9z4E-tR5mnY"","&amp;"""Non-Food!B2:B""),MATCH($B134,IMPORTRANGE(""13KC70HngS4DDi8y9E5khtSpQEPG6owaQ9z4E-tR5mnY"",""Non-Food!A2:A""),0))),"""")"),"")</f>
        <v/>
      </c>
      <c r="D134" s="15"/>
      <c r="E134" s="15"/>
      <c r="F134" s="22"/>
      <c r="G134" s="24" t="str">
        <f>IFERROR(__xludf.DUMMYFUNCTION("iferror(iferror(iferror(index(IMPORTRANGE(""1NK5L1mviMn0j3D3uo53ASkIZOFRlLnqaCTnwzOG2_Wg"",""Direct Link!B2:B""),MATCH($B134,IMPORTRANGE(""1NK5L1mviMn0j3D3uo53ASkIZOFRlLnqaCTnwzOG2_Wg"",""Direct Link!A2:A""),0)),XLOOKUP($B134,IMPORTRANGE(""1NK5L1mviMn0j3D"&amp;"3uo53ASkIZOFRlLnqaCTnwzOG2_Wg"",""Direct links Without Sizes!A2:A""),IMPORTRANGE(""1NK5L1mviMn0j3D3uo53ASkIZOFRlLnqaCTnwzOG2_Wg"",""Direct links Without Sizes!B2:B""))),XLOOKUP($B134,IMPORTRANGE(""1NK5L1mviMn0j3D3uo53ASkIZOFRlLnqaCTnwzOG2_Wg"",""Direct li"&amp;"nks Without Sizes!D2:D""),IMPORTRANGE(""1NK5L1mviMn0j3D3uo53ASkIZOFRlLnqaCTnwzOG2_Wg"",""Direct links Without Sizes!E2:E""))),"""")"),"")</f>
        <v/>
      </c>
      <c r="H134" s="41"/>
      <c r="I134" s="4"/>
      <c r="J134" s="4"/>
      <c r="K134" s="10" t="str">
        <f t="shared" si="1"/>
        <v/>
      </c>
      <c r="L134" s="10"/>
      <c r="M134" s="10" t="str">
        <f t="shared" si="2"/>
        <v/>
      </c>
    </row>
    <row r="135">
      <c r="A135" s="5"/>
      <c r="B135" s="14"/>
      <c r="C135" s="7" t="str">
        <f>IFERROR(__xludf.DUMMYFUNCTION("iferror(iferror(INDEX(IMPORTRANGE(""12vtnxaE_Q1s4tyr10kZQx7ZF_xG0lBFae4jQEUtgsMU"",""All!B2:B""),MATCH($B135,IMPORTRANGE(""12vtnxaE_Q1s4tyr10kZQx7ZF_xG0lBFae4jQEUtgsMU"",""All!A2:A""),0)),INDEX(IMPORTRANGE(""13KC70HngS4DDi8y9E5khtSpQEPG6owaQ9z4E-tR5mnY"","&amp;"""Non-Food!B2:B""),MATCH($B135,IMPORTRANGE(""13KC70HngS4DDi8y9E5khtSpQEPG6owaQ9z4E-tR5mnY"",""Non-Food!A2:A""),0))),"""")"),"")</f>
        <v/>
      </c>
      <c r="D135" s="15"/>
      <c r="E135" s="15"/>
      <c r="F135" s="22"/>
      <c r="G135" s="24" t="str">
        <f>IFERROR(__xludf.DUMMYFUNCTION("iferror(iferror(iferror(index(IMPORTRANGE(""1NK5L1mviMn0j3D3uo53ASkIZOFRlLnqaCTnwzOG2_Wg"",""Direct Link!B2:B""),MATCH($B135,IMPORTRANGE(""1NK5L1mviMn0j3D3uo53ASkIZOFRlLnqaCTnwzOG2_Wg"",""Direct Link!A2:A""),0)),XLOOKUP($B135,IMPORTRANGE(""1NK5L1mviMn0j3D"&amp;"3uo53ASkIZOFRlLnqaCTnwzOG2_Wg"",""Direct links Without Sizes!A2:A""),IMPORTRANGE(""1NK5L1mviMn0j3D3uo53ASkIZOFRlLnqaCTnwzOG2_Wg"",""Direct links Without Sizes!B2:B""))),XLOOKUP($B135,IMPORTRANGE(""1NK5L1mviMn0j3D3uo53ASkIZOFRlLnqaCTnwzOG2_Wg"",""Direct li"&amp;"nks Without Sizes!D2:D""),IMPORTRANGE(""1NK5L1mviMn0j3D3uo53ASkIZOFRlLnqaCTnwzOG2_Wg"",""Direct links Without Sizes!E2:E""))),"""")"),"")</f>
        <v/>
      </c>
      <c r="H135" s="41"/>
      <c r="I135" s="4"/>
      <c r="J135" s="4"/>
      <c r="K135" s="10" t="str">
        <f t="shared" si="1"/>
        <v/>
      </c>
      <c r="L135" s="10"/>
      <c r="M135" s="10" t="str">
        <f t="shared" si="2"/>
        <v/>
      </c>
    </row>
    <row r="136">
      <c r="A136" s="5"/>
      <c r="B136" s="14"/>
      <c r="C136" s="7" t="str">
        <f>IFERROR(__xludf.DUMMYFUNCTION("iferror(iferror(INDEX(IMPORTRANGE(""12vtnxaE_Q1s4tyr10kZQx7ZF_xG0lBFae4jQEUtgsMU"",""All!B2:B""),MATCH($B136,IMPORTRANGE(""12vtnxaE_Q1s4tyr10kZQx7ZF_xG0lBFae4jQEUtgsMU"",""All!A2:A""),0)),INDEX(IMPORTRANGE(""13KC70HngS4DDi8y9E5khtSpQEPG6owaQ9z4E-tR5mnY"","&amp;"""Non-Food!B2:B""),MATCH($B136,IMPORTRANGE(""13KC70HngS4DDi8y9E5khtSpQEPG6owaQ9z4E-tR5mnY"",""Non-Food!A2:A""),0))),"""")"),"")</f>
        <v/>
      </c>
      <c r="D136" s="15"/>
      <c r="E136" s="15"/>
      <c r="F136" s="22"/>
      <c r="G136" s="24" t="str">
        <f>IFERROR(__xludf.DUMMYFUNCTION("iferror(iferror(iferror(index(IMPORTRANGE(""1NK5L1mviMn0j3D3uo53ASkIZOFRlLnqaCTnwzOG2_Wg"",""Direct Link!B2:B""),MATCH($B136,IMPORTRANGE(""1NK5L1mviMn0j3D3uo53ASkIZOFRlLnqaCTnwzOG2_Wg"",""Direct Link!A2:A""),0)),XLOOKUP($B136,IMPORTRANGE(""1NK5L1mviMn0j3D"&amp;"3uo53ASkIZOFRlLnqaCTnwzOG2_Wg"",""Direct links Without Sizes!A2:A""),IMPORTRANGE(""1NK5L1mviMn0j3D3uo53ASkIZOFRlLnqaCTnwzOG2_Wg"",""Direct links Without Sizes!B2:B""))),XLOOKUP($B136,IMPORTRANGE(""1NK5L1mviMn0j3D3uo53ASkIZOFRlLnqaCTnwzOG2_Wg"",""Direct li"&amp;"nks Without Sizes!D2:D""),IMPORTRANGE(""1NK5L1mviMn0j3D3uo53ASkIZOFRlLnqaCTnwzOG2_Wg"",""Direct links Without Sizes!E2:E""))),"""")"),"")</f>
        <v/>
      </c>
      <c r="H136" s="41"/>
      <c r="I136" s="4"/>
      <c r="J136" s="4"/>
      <c r="K136" s="10" t="str">
        <f t="shared" si="1"/>
        <v/>
      </c>
      <c r="L136" s="10"/>
      <c r="M136" s="10" t="str">
        <f t="shared" si="2"/>
        <v/>
      </c>
    </row>
    <row r="137">
      <c r="A137" s="5"/>
      <c r="B137" s="14"/>
      <c r="C137" s="7" t="str">
        <f>IFERROR(__xludf.DUMMYFUNCTION("iferror(iferror(INDEX(IMPORTRANGE(""12vtnxaE_Q1s4tyr10kZQx7ZF_xG0lBFae4jQEUtgsMU"",""All!B2:B""),MATCH($B137,IMPORTRANGE(""12vtnxaE_Q1s4tyr10kZQx7ZF_xG0lBFae4jQEUtgsMU"",""All!A2:A""),0)),INDEX(IMPORTRANGE(""13KC70HngS4DDi8y9E5khtSpQEPG6owaQ9z4E-tR5mnY"","&amp;"""Non-Food!B2:B""),MATCH($B137,IMPORTRANGE(""13KC70HngS4DDi8y9E5khtSpQEPG6owaQ9z4E-tR5mnY"",""Non-Food!A2:A""),0))),"""")"),"")</f>
        <v/>
      </c>
      <c r="D137" s="15"/>
      <c r="E137" s="15"/>
      <c r="F137" s="22"/>
      <c r="G137" s="24" t="str">
        <f>IFERROR(__xludf.DUMMYFUNCTION("iferror(iferror(iferror(index(IMPORTRANGE(""1NK5L1mviMn0j3D3uo53ASkIZOFRlLnqaCTnwzOG2_Wg"",""Direct Link!B2:B""),MATCH($B137,IMPORTRANGE(""1NK5L1mviMn0j3D3uo53ASkIZOFRlLnqaCTnwzOG2_Wg"",""Direct Link!A2:A""),0)),XLOOKUP($B137,IMPORTRANGE(""1NK5L1mviMn0j3D"&amp;"3uo53ASkIZOFRlLnqaCTnwzOG2_Wg"",""Direct links Without Sizes!A2:A""),IMPORTRANGE(""1NK5L1mviMn0j3D3uo53ASkIZOFRlLnqaCTnwzOG2_Wg"",""Direct links Without Sizes!B2:B""))),XLOOKUP($B137,IMPORTRANGE(""1NK5L1mviMn0j3D3uo53ASkIZOFRlLnqaCTnwzOG2_Wg"",""Direct li"&amp;"nks Without Sizes!D2:D""),IMPORTRANGE(""1NK5L1mviMn0j3D3uo53ASkIZOFRlLnqaCTnwzOG2_Wg"",""Direct links Without Sizes!E2:E""))),"""")"),"")</f>
        <v/>
      </c>
      <c r="H137" s="41"/>
      <c r="I137" s="4"/>
      <c r="J137" s="4"/>
      <c r="K137" s="10" t="str">
        <f t="shared" si="1"/>
        <v/>
      </c>
      <c r="L137" s="10"/>
      <c r="M137" s="10" t="str">
        <f t="shared" si="2"/>
        <v/>
      </c>
    </row>
    <row r="138">
      <c r="A138" s="5"/>
      <c r="B138" s="14"/>
      <c r="C138" s="7" t="str">
        <f>IFERROR(__xludf.DUMMYFUNCTION("iferror(iferror(INDEX(IMPORTRANGE(""12vtnxaE_Q1s4tyr10kZQx7ZF_xG0lBFae4jQEUtgsMU"",""All!B2:B""),MATCH($B138,IMPORTRANGE(""12vtnxaE_Q1s4tyr10kZQx7ZF_xG0lBFae4jQEUtgsMU"",""All!A2:A""),0)),INDEX(IMPORTRANGE(""13KC70HngS4DDi8y9E5khtSpQEPG6owaQ9z4E-tR5mnY"","&amp;"""Non-Food!B2:B""),MATCH($B138,IMPORTRANGE(""13KC70HngS4DDi8y9E5khtSpQEPG6owaQ9z4E-tR5mnY"",""Non-Food!A2:A""),0))),"""")"),"")</f>
        <v/>
      </c>
      <c r="D138" s="15"/>
      <c r="E138" s="15"/>
      <c r="F138" s="22"/>
      <c r="G138" s="24" t="str">
        <f>IFERROR(__xludf.DUMMYFUNCTION("iferror(iferror(iferror(index(IMPORTRANGE(""1NK5L1mviMn0j3D3uo53ASkIZOFRlLnqaCTnwzOG2_Wg"",""Direct Link!B2:B""),MATCH($B138,IMPORTRANGE(""1NK5L1mviMn0j3D3uo53ASkIZOFRlLnqaCTnwzOG2_Wg"",""Direct Link!A2:A""),0)),XLOOKUP($B138,IMPORTRANGE(""1NK5L1mviMn0j3D"&amp;"3uo53ASkIZOFRlLnqaCTnwzOG2_Wg"",""Direct links Without Sizes!A2:A""),IMPORTRANGE(""1NK5L1mviMn0j3D3uo53ASkIZOFRlLnqaCTnwzOG2_Wg"",""Direct links Without Sizes!B2:B""))),XLOOKUP($B138,IMPORTRANGE(""1NK5L1mviMn0j3D3uo53ASkIZOFRlLnqaCTnwzOG2_Wg"",""Direct li"&amp;"nks Without Sizes!D2:D""),IMPORTRANGE(""1NK5L1mviMn0j3D3uo53ASkIZOFRlLnqaCTnwzOG2_Wg"",""Direct links Without Sizes!E2:E""))),"""")"),"")</f>
        <v/>
      </c>
      <c r="H138" s="41"/>
      <c r="I138" s="4"/>
      <c r="J138" s="4"/>
      <c r="K138" s="10" t="str">
        <f t="shared" si="1"/>
        <v/>
      </c>
      <c r="L138" s="10"/>
      <c r="M138" s="10" t="str">
        <f t="shared" si="2"/>
        <v/>
      </c>
    </row>
    <row r="139">
      <c r="A139" s="5"/>
      <c r="B139" s="14"/>
      <c r="C139" s="7" t="str">
        <f>IFERROR(__xludf.DUMMYFUNCTION("iferror(iferror(INDEX(IMPORTRANGE(""12vtnxaE_Q1s4tyr10kZQx7ZF_xG0lBFae4jQEUtgsMU"",""All!B2:B""),MATCH($B139,IMPORTRANGE(""12vtnxaE_Q1s4tyr10kZQx7ZF_xG0lBFae4jQEUtgsMU"",""All!A2:A""),0)),INDEX(IMPORTRANGE(""13KC70HngS4DDi8y9E5khtSpQEPG6owaQ9z4E-tR5mnY"","&amp;"""Non-Food!B2:B""),MATCH($B139,IMPORTRANGE(""13KC70HngS4DDi8y9E5khtSpQEPG6owaQ9z4E-tR5mnY"",""Non-Food!A2:A""),0))),"""")"),"")</f>
        <v/>
      </c>
      <c r="D139" s="15"/>
      <c r="E139" s="15"/>
      <c r="F139" s="22"/>
      <c r="G139" s="24" t="str">
        <f>IFERROR(__xludf.DUMMYFUNCTION("iferror(iferror(iferror(index(IMPORTRANGE(""1NK5L1mviMn0j3D3uo53ASkIZOFRlLnqaCTnwzOG2_Wg"",""Direct Link!B2:B""),MATCH($B139,IMPORTRANGE(""1NK5L1mviMn0j3D3uo53ASkIZOFRlLnqaCTnwzOG2_Wg"",""Direct Link!A2:A""),0)),XLOOKUP($B139,IMPORTRANGE(""1NK5L1mviMn0j3D"&amp;"3uo53ASkIZOFRlLnqaCTnwzOG2_Wg"",""Direct links Without Sizes!A2:A""),IMPORTRANGE(""1NK5L1mviMn0j3D3uo53ASkIZOFRlLnqaCTnwzOG2_Wg"",""Direct links Without Sizes!B2:B""))),XLOOKUP($B139,IMPORTRANGE(""1NK5L1mviMn0j3D3uo53ASkIZOFRlLnqaCTnwzOG2_Wg"",""Direct li"&amp;"nks Without Sizes!D2:D""),IMPORTRANGE(""1NK5L1mviMn0j3D3uo53ASkIZOFRlLnqaCTnwzOG2_Wg"",""Direct links Without Sizes!E2:E""))),"""")"),"")</f>
        <v/>
      </c>
      <c r="H139" s="41"/>
      <c r="I139" s="4"/>
      <c r="J139" s="4"/>
      <c r="K139" s="10" t="str">
        <f t="shared" si="1"/>
        <v/>
      </c>
      <c r="L139" s="10"/>
      <c r="M139" s="10" t="str">
        <f t="shared" si="2"/>
        <v/>
      </c>
    </row>
    <row r="140">
      <c r="A140" s="5"/>
      <c r="B140" s="14"/>
      <c r="C140" s="7" t="str">
        <f>IFERROR(__xludf.DUMMYFUNCTION("iferror(iferror(INDEX(IMPORTRANGE(""12vtnxaE_Q1s4tyr10kZQx7ZF_xG0lBFae4jQEUtgsMU"",""All!B2:B""),MATCH($B140,IMPORTRANGE(""12vtnxaE_Q1s4tyr10kZQx7ZF_xG0lBFae4jQEUtgsMU"",""All!A2:A""),0)),INDEX(IMPORTRANGE(""13KC70HngS4DDi8y9E5khtSpQEPG6owaQ9z4E-tR5mnY"","&amp;"""Non-Food!B2:B""),MATCH($B140,IMPORTRANGE(""13KC70HngS4DDi8y9E5khtSpQEPG6owaQ9z4E-tR5mnY"",""Non-Food!A2:A""),0))),"""")"),"")</f>
        <v/>
      </c>
      <c r="D140" s="15"/>
      <c r="E140" s="15"/>
      <c r="F140" s="22"/>
      <c r="G140" s="24" t="str">
        <f>IFERROR(__xludf.DUMMYFUNCTION("iferror(iferror(iferror(index(IMPORTRANGE(""1NK5L1mviMn0j3D3uo53ASkIZOFRlLnqaCTnwzOG2_Wg"",""Direct Link!B2:B""),MATCH($B140,IMPORTRANGE(""1NK5L1mviMn0j3D3uo53ASkIZOFRlLnqaCTnwzOG2_Wg"",""Direct Link!A2:A""),0)),XLOOKUP($B140,IMPORTRANGE(""1NK5L1mviMn0j3D"&amp;"3uo53ASkIZOFRlLnqaCTnwzOG2_Wg"",""Direct links Without Sizes!A2:A""),IMPORTRANGE(""1NK5L1mviMn0j3D3uo53ASkIZOFRlLnqaCTnwzOG2_Wg"",""Direct links Without Sizes!B2:B""))),XLOOKUP($B140,IMPORTRANGE(""1NK5L1mviMn0j3D3uo53ASkIZOFRlLnqaCTnwzOG2_Wg"",""Direct li"&amp;"nks Without Sizes!D2:D""),IMPORTRANGE(""1NK5L1mviMn0j3D3uo53ASkIZOFRlLnqaCTnwzOG2_Wg"",""Direct links Without Sizes!E2:E""))),"""")"),"")</f>
        <v/>
      </c>
      <c r="H140" s="41"/>
      <c r="I140" s="4"/>
      <c r="J140" s="4"/>
      <c r="K140" s="10" t="str">
        <f t="shared" si="1"/>
        <v/>
      </c>
      <c r="L140" s="10"/>
      <c r="M140" s="10" t="str">
        <f t="shared" si="2"/>
        <v/>
      </c>
    </row>
    <row r="141">
      <c r="A141" s="5"/>
      <c r="B141" s="14"/>
      <c r="C141" s="7" t="str">
        <f>IFERROR(__xludf.DUMMYFUNCTION("iferror(iferror(INDEX(IMPORTRANGE(""12vtnxaE_Q1s4tyr10kZQx7ZF_xG0lBFae4jQEUtgsMU"",""All!B2:B""),MATCH($B141,IMPORTRANGE(""12vtnxaE_Q1s4tyr10kZQx7ZF_xG0lBFae4jQEUtgsMU"",""All!A2:A""),0)),INDEX(IMPORTRANGE(""13KC70HngS4DDi8y9E5khtSpQEPG6owaQ9z4E-tR5mnY"","&amp;"""Non-Food!B2:B""),MATCH($B141,IMPORTRANGE(""13KC70HngS4DDi8y9E5khtSpQEPG6owaQ9z4E-tR5mnY"",""Non-Food!A2:A""),0))),"""")"),"")</f>
        <v/>
      </c>
      <c r="D141" s="15"/>
      <c r="E141" s="15"/>
      <c r="F141" s="22"/>
      <c r="G141" s="24" t="str">
        <f>IFERROR(__xludf.DUMMYFUNCTION("iferror(iferror(iferror(index(IMPORTRANGE(""1NK5L1mviMn0j3D3uo53ASkIZOFRlLnqaCTnwzOG2_Wg"",""Direct Link!B2:B""),MATCH($B141,IMPORTRANGE(""1NK5L1mviMn0j3D3uo53ASkIZOFRlLnqaCTnwzOG2_Wg"",""Direct Link!A2:A""),0)),XLOOKUP($B141,IMPORTRANGE(""1NK5L1mviMn0j3D"&amp;"3uo53ASkIZOFRlLnqaCTnwzOG2_Wg"",""Direct links Without Sizes!A2:A""),IMPORTRANGE(""1NK5L1mviMn0j3D3uo53ASkIZOFRlLnqaCTnwzOG2_Wg"",""Direct links Without Sizes!B2:B""))),XLOOKUP($B141,IMPORTRANGE(""1NK5L1mviMn0j3D3uo53ASkIZOFRlLnqaCTnwzOG2_Wg"",""Direct li"&amp;"nks Without Sizes!D2:D""),IMPORTRANGE(""1NK5L1mviMn0j3D3uo53ASkIZOFRlLnqaCTnwzOG2_Wg"",""Direct links Without Sizes!E2:E""))),"""")"),"")</f>
        <v/>
      </c>
      <c r="H141" s="41"/>
      <c r="I141" s="4"/>
      <c r="J141" s="4"/>
      <c r="K141" s="10" t="str">
        <f t="shared" si="1"/>
        <v/>
      </c>
      <c r="L141" s="10"/>
      <c r="M141" s="10" t="str">
        <f t="shared" si="2"/>
        <v/>
      </c>
    </row>
    <row r="142">
      <c r="A142" s="5"/>
      <c r="B142" s="14"/>
      <c r="C142" s="7" t="str">
        <f>IFERROR(__xludf.DUMMYFUNCTION("iferror(iferror(INDEX(IMPORTRANGE(""12vtnxaE_Q1s4tyr10kZQx7ZF_xG0lBFae4jQEUtgsMU"",""All!B2:B""),MATCH($B142,IMPORTRANGE(""12vtnxaE_Q1s4tyr10kZQx7ZF_xG0lBFae4jQEUtgsMU"",""All!A2:A""),0)),INDEX(IMPORTRANGE(""13KC70HngS4DDi8y9E5khtSpQEPG6owaQ9z4E-tR5mnY"","&amp;"""Non-Food!B2:B""),MATCH($B142,IMPORTRANGE(""13KC70HngS4DDi8y9E5khtSpQEPG6owaQ9z4E-tR5mnY"",""Non-Food!A2:A""),0))),"""")"),"")</f>
        <v/>
      </c>
      <c r="D142" s="15"/>
      <c r="E142" s="15"/>
      <c r="F142" s="22"/>
      <c r="G142" s="24" t="str">
        <f>IFERROR(__xludf.DUMMYFUNCTION("iferror(iferror(iferror(index(IMPORTRANGE(""1NK5L1mviMn0j3D3uo53ASkIZOFRlLnqaCTnwzOG2_Wg"",""Direct Link!B2:B""),MATCH($B142,IMPORTRANGE(""1NK5L1mviMn0j3D3uo53ASkIZOFRlLnqaCTnwzOG2_Wg"",""Direct Link!A2:A""),0)),XLOOKUP($B142,IMPORTRANGE(""1NK5L1mviMn0j3D"&amp;"3uo53ASkIZOFRlLnqaCTnwzOG2_Wg"",""Direct links Without Sizes!A2:A""),IMPORTRANGE(""1NK5L1mviMn0j3D3uo53ASkIZOFRlLnqaCTnwzOG2_Wg"",""Direct links Without Sizes!B2:B""))),XLOOKUP($B142,IMPORTRANGE(""1NK5L1mviMn0j3D3uo53ASkIZOFRlLnqaCTnwzOG2_Wg"",""Direct li"&amp;"nks Without Sizes!D2:D""),IMPORTRANGE(""1NK5L1mviMn0j3D3uo53ASkIZOFRlLnqaCTnwzOG2_Wg"",""Direct links Without Sizes!E2:E""))),"""")"),"")</f>
        <v/>
      </c>
      <c r="H142" s="41"/>
      <c r="I142" s="4"/>
      <c r="J142" s="4"/>
      <c r="K142" s="10" t="str">
        <f t="shared" si="1"/>
        <v/>
      </c>
      <c r="L142" s="10"/>
      <c r="M142" s="10" t="str">
        <f t="shared" si="2"/>
        <v/>
      </c>
    </row>
    <row r="143">
      <c r="A143" s="5"/>
      <c r="B143" s="14"/>
      <c r="C143" s="7" t="str">
        <f>IFERROR(__xludf.DUMMYFUNCTION("iferror(iferror(INDEX(IMPORTRANGE(""12vtnxaE_Q1s4tyr10kZQx7ZF_xG0lBFae4jQEUtgsMU"",""All!B2:B""),MATCH($B143,IMPORTRANGE(""12vtnxaE_Q1s4tyr10kZQx7ZF_xG0lBFae4jQEUtgsMU"",""All!A2:A""),0)),INDEX(IMPORTRANGE(""13KC70HngS4DDi8y9E5khtSpQEPG6owaQ9z4E-tR5mnY"","&amp;"""Non-Food!B2:B""),MATCH($B143,IMPORTRANGE(""13KC70HngS4DDi8y9E5khtSpQEPG6owaQ9z4E-tR5mnY"",""Non-Food!A2:A""),0))),"""")"),"")</f>
        <v/>
      </c>
      <c r="D143" s="15"/>
      <c r="E143" s="15"/>
      <c r="F143" s="22"/>
      <c r="G143" s="24" t="str">
        <f>IFERROR(__xludf.DUMMYFUNCTION("iferror(iferror(iferror(index(IMPORTRANGE(""1NK5L1mviMn0j3D3uo53ASkIZOFRlLnqaCTnwzOG2_Wg"",""Direct Link!B2:B""),MATCH($B143,IMPORTRANGE(""1NK5L1mviMn0j3D3uo53ASkIZOFRlLnqaCTnwzOG2_Wg"",""Direct Link!A2:A""),0)),XLOOKUP($B143,IMPORTRANGE(""1NK5L1mviMn0j3D"&amp;"3uo53ASkIZOFRlLnqaCTnwzOG2_Wg"",""Direct links Without Sizes!A2:A""),IMPORTRANGE(""1NK5L1mviMn0j3D3uo53ASkIZOFRlLnqaCTnwzOG2_Wg"",""Direct links Without Sizes!B2:B""))),XLOOKUP($B143,IMPORTRANGE(""1NK5L1mviMn0j3D3uo53ASkIZOFRlLnqaCTnwzOG2_Wg"",""Direct li"&amp;"nks Without Sizes!D2:D""),IMPORTRANGE(""1NK5L1mviMn0j3D3uo53ASkIZOFRlLnqaCTnwzOG2_Wg"",""Direct links Without Sizes!E2:E""))),"""")"),"")</f>
        <v/>
      </c>
      <c r="H143" s="41"/>
      <c r="I143" s="4"/>
      <c r="J143" s="4"/>
      <c r="K143" s="10" t="str">
        <f t="shared" si="1"/>
        <v/>
      </c>
      <c r="L143" s="10"/>
      <c r="M143" s="10" t="str">
        <f t="shared" si="2"/>
        <v/>
      </c>
    </row>
    <row r="144">
      <c r="A144" s="5"/>
      <c r="B144" s="14"/>
      <c r="C144" s="7" t="str">
        <f>IFERROR(__xludf.DUMMYFUNCTION("iferror(iferror(INDEX(IMPORTRANGE(""12vtnxaE_Q1s4tyr10kZQx7ZF_xG0lBFae4jQEUtgsMU"",""All!B2:B""),MATCH($B144,IMPORTRANGE(""12vtnxaE_Q1s4tyr10kZQx7ZF_xG0lBFae4jQEUtgsMU"",""All!A2:A""),0)),INDEX(IMPORTRANGE(""13KC70HngS4DDi8y9E5khtSpQEPG6owaQ9z4E-tR5mnY"","&amp;"""Non-Food!B2:B""),MATCH($B144,IMPORTRANGE(""13KC70HngS4DDi8y9E5khtSpQEPG6owaQ9z4E-tR5mnY"",""Non-Food!A2:A""),0))),"""")"),"")</f>
        <v/>
      </c>
      <c r="D144" s="15"/>
      <c r="E144" s="15"/>
      <c r="F144" s="22"/>
      <c r="G144" s="24" t="str">
        <f>IFERROR(__xludf.DUMMYFUNCTION("iferror(iferror(iferror(index(IMPORTRANGE(""1NK5L1mviMn0j3D3uo53ASkIZOFRlLnqaCTnwzOG2_Wg"",""Direct Link!B2:B""),MATCH($B144,IMPORTRANGE(""1NK5L1mviMn0j3D3uo53ASkIZOFRlLnqaCTnwzOG2_Wg"",""Direct Link!A2:A""),0)),XLOOKUP($B144,IMPORTRANGE(""1NK5L1mviMn0j3D"&amp;"3uo53ASkIZOFRlLnqaCTnwzOG2_Wg"",""Direct links Without Sizes!A2:A""),IMPORTRANGE(""1NK5L1mviMn0j3D3uo53ASkIZOFRlLnqaCTnwzOG2_Wg"",""Direct links Without Sizes!B2:B""))),XLOOKUP($B144,IMPORTRANGE(""1NK5L1mviMn0j3D3uo53ASkIZOFRlLnqaCTnwzOG2_Wg"",""Direct li"&amp;"nks Without Sizes!D2:D""),IMPORTRANGE(""1NK5L1mviMn0j3D3uo53ASkIZOFRlLnqaCTnwzOG2_Wg"",""Direct links Without Sizes!E2:E""))),"""")"),"")</f>
        <v/>
      </c>
      <c r="H144" s="41"/>
      <c r="I144" s="4"/>
      <c r="J144" s="4"/>
      <c r="K144" s="10" t="str">
        <f t="shared" si="1"/>
        <v/>
      </c>
      <c r="L144" s="10"/>
      <c r="M144" s="10" t="str">
        <f t="shared" si="2"/>
        <v/>
      </c>
    </row>
    <row r="145">
      <c r="A145" s="5"/>
      <c r="B145" s="14"/>
      <c r="C145" s="7" t="str">
        <f>IFERROR(__xludf.DUMMYFUNCTION("iferror(iferror(INDEX(IMPORTRANGE(""12vtnxaE_Q1s4tyr10kZQx7ZF_xG0lBFae4jQEUtgsMU"",""All!B2:B""),MATCH($B145,IMPORTRANGE(""12vtnxaE_Q1s4tyr10kZQx7ZF_xG0lBFae4jQEUtgsMU"",""All!A2:A""),0)),INDEX(IMPORTRANGE(""13KC70HngS4DDi8y9E5khtSpQEPG6owaQ9z4E-tR5mnY"","&amp;"""Non-Food!B2:B""),MATCH($B145,IMPORTRANGE(""13KC70HngS4DDi8y9E5khtSpQEPG6owaQ9z4E-tR5mnY"",""Non-Food!A2:A""),0))),"""")"),"")</f>
        <v/>
      </c>
      <c r="D145" s="15"/>
      <c r="E145" s="15"/>
      <c r="F145" s="22"/>
      <c r="G145" s="24" t="str">
        <f>IFERROR(__xludf.DUMMYFUNCTION("iferror(iferror(iferror(index(IMPORTRANGE(""1NK5L1mviMn0j3D3uo53ASkIZOFRlLnqaCTnwzOG2_Wg"",""Direct Link!B2:B""),MATCH($B145,IMPORTRANGE(""1NK5L1mviMn0j3D3uo53ASkIZOFRlLnqaCTnwzOG2_Wg"",""Direct Link!A2:A""),0)),XLOOKUP($B145,IMPORTRANGE(""1NK5L1mviMn0j3D"&amp;"3uo53ASkIZOFRlLnqaCTnwzOG2_Wg"",""Direct links Without Sizes!A2:A""),IMPORTRANGE(""1NK5L1mviMn0j3D3uo53ASkIZOFRlLnqaCTnwzOG2_Wg"",""Direct links Without Sizes!B2:B""))),XLOOKUP($B145,IMPORTRANGE(""1NK5L1mviMn0j3D3uo53ASkIZOFRlLnqaCTnwzOG2_Wg"",""Direct li"&amp;"nks Without Sizes!D2:D""),IMPORTRANGE(""1NK5L1mviMn0j3D3uo53ASkIZOFRlLnqaCTnwzOG2_Wg"",""Direct links Without Sizes!E2:E""))),"""")"),"")</f>
        <v/>
      </c>
      <c r="H145" s="41"/>
      <c r="I145" s="4"/>
      <c r="J145" s="4"/>
      <c r="K145" s="10" t="str">
        <f t="shared" si="1"/>
        <v/>
      </c>
      <c r="L145" s="10"/>
      <c r="M145" s="10" t="str">
        <f t="shared" si="2"/>
        <v/>
      </c>
    </row>
    <row r="146">
      <c r="A146" s="5"/>
      <c r="B146" s="14"/>
      <c r="C146" s="7" t="str">
        <f>IFERROR(__xludf.DUMMYFUNCTION("iferror(iferror(INDEX(IMPORTRANGE(""12vtnxaE_Q1s4tyr10kZQx7ZF_xG0lBFae4jQEUtgsMU"",""All!B2:B""),MATCH($B146,IMPORTRANGE(""12vtnxaE_Q1s4tyr10kZQx7ZF_xG0lBFae4jQEUtgsMU"",""All!A2:A""),0)),INDEX(IMPORTRANGE(""13KC70HngS4DDi8y9E5khtSpQEPG6owaQ9z4E-tR5mnY"","&amp;"""Non-Food!B2:B""),MATCH($B146,IMPORTRANGE(""13KC70HngS4DDi8y9E5khtSpQEPG6owaQ9z4E-tR5mnY"",""Non-Food!A2:A""),0))),"""")"),"")</f>
        <v/>
      </c>
      <c r="D146" s="15"/>
      <c r="E146" s="15"/>
      <c r="F146" s="22"/>
      <c r="G146" s="24" t="str">
        <f>IFERROR(__xludf.DUMMYFUNCTION("iferror(iferror(iferror(index(IMPORTRANGE(""1NK5L1mviMn0j3D3uo53ASkIZOFRlLnqaCTnwzOG2_Wg"",""Direct Link!B2:B""),MATCH($B146,IMPORTRANGE(""1NK5L1mviMn0j3D3uo53ASkIZOFRlLnqaCTnwzOG2_Wg"",""Direct Link!A2:A""),0)),XLOOKUP($B146,IMPORTRANGE(""1NK5L1mviMn0j3D"&amp;"3uo53ASkIZOFRlLnqaCTnwzOG2_Wg"",""Direct links Without Sizes!A2:A""),IMPORTRANGE(""1NK5L1mviMn0j3D3uo53ASkIZOFRlLnqaCTnwzOG2_Wg"",""Direct links Without Sizes!B2:B""))),XLOOKUP($B146,IMPORTRANGE(""1NK5L1mviMn0j3D3uo53ASkIZOFRlLnqaCTnwzOG2_Wg"",""Direct li"&amp;"nks Without Sizes!D2:D""),IMPORTRANGE(""1NK5L1mviMn0j3D3uo53ASkIZOFRlLnqaCTnwzOG2_Wg"",""Direct links Without Sizes!E2:E""))),"""")"),"")</f>
        <v/>
      </c>
      <c r="H146" s="41"/>
      <c r="I146" s="4"/>
      <c r="J146" s="4"/>
      <c r="K146" s="10" t="str">
        <f t="shared" si="1"/>
        <v/>
      </c>
      <c r="L146" s="10"/>
      <c r="M146" s="10" t="str">
        <f t="shared" si="2"/>
        <v/>
      </c>
    </row>
    <row r="147">
      <c r="A147" s="5"/>
      <c r="B147" s="14"/>
      <c r="C147" s="7" t="str">
        <f>IFERROR(__xludf.DUMMYFUNCTION("iferror(iferror(INDEX(IMPORTRANGE(""12vtnxaE_Q1s4tyr10kZQx7ZF_xG0lBFae4jQEUtgsMU"",""All!B2:B""),MATCH($B147,IMPORTRANGE(""12vtnxaE_Q1s4tyr10kZQx7ZF_xG0lBFae4jQEUtgsMU"",""All!A2:A""),0)),INDEX(IMPORTRANGE(""13KC70HngS4DDi8y9E5khtSpQEPG6owaQ9z4E-tR5mnY"","&amp;"""Non-Food!B2:B""),MATCH($B147,IMPORTRANGE(""13KC70HngS4DDi8y9E5khtSpQEPG6owaQ9z4E-tR5mnY"",""Non-Food!A2:A""),0))),"""")"),"")</f>
        <v/>
      </c>
      <c r="D147" s="15"/>
      <c r="E147" s="15"/>
      <c r="F147" s="22"/>
      <c r="G147" s="24" t="str">
        <f>IFERROR(__xludf.DUMMYFUNCTION("iferror(iferror(iferror(index(IMPORTRANGE(""1NK5L1mviMn0j3D3uo53ASkIZOFRlLnqaCTnwzOG2_Wg"",""Direct Link!B2:B""),MATCH($B147,IMPORTRANGE(""1NK5L1mviMn0j3D3uo53ASkIZOFRlLnqaCTnwzOG2_Wg"",""Direct Link!A2:A""),0)),XLOOKUP($B147,IMPORTRANGE(""1NK5L1mviMn0j3D"&amp;"3uo53ASkIZOFRlLnqaCTnwzOG2_Wg"",""Direct links Without Sizes!A2:A""),IMPORTRANGE(""1NK5L1mviMn0j3D3uo53ASkIZOFRlLnqaCTnwzOG2_Wg"",""Direct links Without Sizes!B2:B""))),XLOOKUP($B147,IMPORTRANGE(""1NK5L1mviMn0j3D3uo53ASkIZOFRlLnqaCTnwzOG2_Wg"",""Direct li"&amp;"nks Without Sizes!D2:D""),IMPORTRANGE(""1NK5L1mviMn0j3D3uo53ASkIZOFRlLnqaCTnwzOG2_Wg"",""Direct links Without Sizes!E2:E""))),"""")"),"")</f>
        <v/>
      </c>
      <c r="H147" s="41"/>
      <c r="I147" s="4"/>
      <c r="J147" s="4"/>
      <c r="K147" s="10" t="str">
        <f t="shared" si="1"/>
        <v/>
      </c>
      <c r="L147" s="10"/>
      <c r="M147" s="10" t="str">
        <f t="shared" si="2"/>
        <v/>
      </c>
    </row>
    <row r="148">
      <c r="A148" s="5"/>
      <c r="B148" s="14"/>
      <c r="C148" s="7" t="str">
        <f>IFERROR(__xludf.DUMMYFUNCTION("iferror(iferror(INDEX(IMPORTRANGE(""12vtnxaE_Q1s4tyr10kZQx7ZF_xG0lBFae4jQEUtgsMU"",""All!B2:B""),MATCH($B148,IMPORTRANGE(""12vtnxaE_Q1s4tyr10kZQx7ZF_xG0lBFae4jQEUtgsMU"",""All!A2:A""),0)),INDEX(IMPORTRANGE(""13KC70HngS4DDi8y9E5khtSpQEPG6owaQ9z4E-tR5mnY"","&amp;"""Non-Food!B2:B""),MATCH($B148,IMPORTRANGE(""13KC70HngS4DDi8y9E5khtSpQEPG6owaQ9z4E-tR5mnY"",""Non-Food!A2:A""),0))),"""")"),"")</f>
        <v/>
      </c>
      <c r="D148" s="15"/>
      <c r="E148" s="15"/>
      <c r="F148" s="22"/>
      <c r="G148" s="24" t="str">
        <f>IFERROR(__xludf.DUMMYFUNCTION("iferror(iferror(iferror(index(IMPORTRANGE(""1NK5L1mviMn0j3D3uo53ASkIZOFRlLnqaCTnwzOG2_Wg"",""Direct Link!B2:B""),MATCH($B148,IMPORTRANGE(""1NK5L1mviMn0j3D3uo53ASkIZOFRlLnqaCTnwzOG2_Wg"",""Direct Link!A2:A""),0)),XLOOKUP($B148,IMPORTRANGE(""1NK5L1mviMn0j3D"&amp;"3uo53ASkIZOFRlLnqaCTnwzOG2_Wg"",""Direct links Without Sizes!A2:A""),IMPORTRANGE(""1NK5L1mviMn0j3D3uo53ASkIZOFRlLnqaCTnwzOG2_Wg"",""Direct links Without Sizes!B2:B""))),XLOOKUP($B148,IMPORTRANGE(""1NK5L1mviMn0j3D3uo53ASkIZOFRlLnqaCTnwzOG2_Wg"",""Direct li"&amp;"nks Without Sizes!D2:D""),IMPORTRANGE(""1NK5L1mviMn0j3D3uo53ASkIZOFRlLnqaCTnwzOG2_Wg"",""Direct links Without Sizes!E2:E""))),"""")"),"")</f>
        <v/>
      </c>
      <c r="H148" s="41"/>
      <c r="I148" s="4"/>
      <c r="J148" s="4"/>
      <c r="K148" s="10" t="str">
        <f t="shared" si="1"/>
        <v/>
      </c>
      <c r="L148" s="10"/>
      <c r="M148" s="10" t="str">
        <f t="shared" si="2"/>
        <v/>
      </c>
    </row>
    <row r="149">
      <c r="A149" s="5"/>
      <c r="B149" s="14"/>
      <c r="C149" s="7" t="str">
        <f>IFERROR(__xludf.DUMMYFUNCTION("iferror(iferror(INDEX(IMPORTRANGE(""12vtnxaE_Q1s4tyr10kZQx7ZF_xG0lBFae4jQEUtgsMU"",""All!B2:B""),MATCH($B149,IMPORTRANGE(""12vtnxaE_Q1s4tyr10kZQx7ZF_xG0lBFae4jQEUtgsMU"",""All!A2:A""),0)),INDEX(IMPORTRANGE(""13KC70HngS4DDi8y9E5khtSpQEPG6owaQ9z4E-tR5mnY"","&amp;"""Non-Food!B2:B""),MATCH($B149,IMPORTRANGE(""13KC70HngS4DDi8y9E5khtSpQEPG6owaQ9z4E-tR5mnY"",""Non-Food!A2:A""),0))),"""")"),"")</f>
        <v/>
      </c>
      <c r="D149" s="15"/>
      <c r="E149" s="15"/>
      <c r="F149" s="22"/>
      <c r="G149" s="24" t="str">
        <f>IFERROR(__xludf.DUMMYFUNCTION("iferror(iferror(iferror(index(IMPORTRANGE(""1NK5L1mviMn0j3D3uo53ASkIZOFRlLnqaCTnwzOG2_Wg"",""Direct Link!B2:B""),MATCH($B149,IMPORTRANGE(""1NK5L1mviMn0j3D3uo53ASkIZOFRlLnqaCTnwzOG2_Wg"",""Direct Link!A2:A""),0)),XLOOKUP($B149,IMPORTRANGE(""1NK5L1mviMn0j3D"&amp;"3uo53ASkIZOFRlLnqaCTnwzOG2_Wg"",""Direct links Without Sizes!A2:A""),IMPORTRANGE(""1NK5L1mviMn0j3D3uo53ASkIZOFRlLnqaCTnwzOG2_Wg"",""Direct links Without Sizes!B2:B""))),XLOOKUP($B149,IMPORTRANGE(""1NK5L1mviMn0j3D3uo53ASkIZOFRlLnqaCTnwzOG2_Wg"",""Direct li"&amp;"nks Without Sizes!D2:D""),IMPORTRANGE(""1NK5L1mviMn0j3D3uo53ASkIZOFRlLnqaCTnwzOG2_Wg"",""Direct links Without Sizes!E2:E""))),"""")"),"")</f>
        <v/>
      </c>
      <c r="H149" s="41"/>
      <c r="I149" s="4"/>
      <c r="J149" s="4"/>
      <c r="K149" s="10" t="str">
        <f t="shared" si="1"/>
        <v/>
      </c>
      <c r="L149" s="10"/>
      <c r="M149" s="10" t="str">
        <f t="shared" si="2"/>
        <v/>
      </c>
    </row>
    <row r="150">
      <c r="A150" s="5"/>
      <c r="B150" s="14"/>
      <c r="C150" s="7" t="str">
        <f>IFERROR(__xludf.DUMMYFUNCTION("iferror(iferror(INDEX(IMPORTRANGE(""12vtnxaE_Q1s4tyr10kZQx7ZF_xG0lBFae4jQEUtgsMU"",""All!B2:B""),MATCH($B150,IMPORTRANGE(""12vtnxaE_Q1s4tyr10kZQx7ZF_xG0lBFae4jQEUtgsMU"",""All!A2:A""),0)),INDEX(IMPORTRANGE(""13KC70HngS4DDi8y9E5khtSpQEPG6owaQ9z4E-tR5mnY"","&amp;"""Non-Food!B2:B""),MATCH($B150,IMPORTRANGE(""13KC70HngS4DDi8y9E5khtSpQEPG6owaQ9z4E-tR5mnY"",""Non-Food!A2:A""),0))),"""")"),"")</f>
        <v/>
      </c>
      <c r="D150" s="15"/>
      <c r="E150" s="15"/>
      <c r="F150" s="22"/>
      <c r="G150" s="24" t="str">
        <f>IFERROR(__xludf.DUMMYFUNCTION("iferror(iferror(iferror(index(IMPORTRANGE(""1NK5L1mviMn0j3D3uo53ASkIZOFRlLnqaCTnwzOG2_Wg"",""Direct Link!B2:B""),MATCH($B150,IMPORTRANGE(""1NK5L1mviMn0j3D3uo53ASkIZOFRlLnqaCTnwzOG2_Wg"",""Direct Link!A2:A""),0)),XLOOKUP($B150,IMPORTRANGE(""1NK5L1mviMn0j3D"&amp;"3uo53ASkIZOFRlLnqaCTnwzOG2_Wg"",""Direct links Without Sizes!A2:A""),IMPORTRANGE(""1NK5L1mviMn0j3D3uo53ASkIZOFRlLnqaCTnwzOG2_Wg"",""Direct links Without Sizes!B2:B""))),XLOOKUP($B150,IMPORTRANGE(""1NK5L1mviMn0j3D3uo53ASkIZOFRlLnqaCTnwzOG2_Wg"",""Direct li"&amp;"nks Without Sizes!D2:D""),IMPORTRANGE(""1NK5L1mviMn0j3D3uo53ASkIZOFRlLnqaCTnwzOG2_Wg"",""Direct links Without Sizes!E2:E""))),"""")"),"")</f>
        <v/>
      </c>
      <c r="H150" s="41"/>
      <c r="I150" s="4"/>
      <c r="J150" s="4"/>
      <c r="K150" s="10" t="str">
        <f t="shared" si="1"/>
        <v/>
      </c>
      <c r="L150" s="10"/>
      <c r="M150" s="10" t="str">
        <f t="shared" si="2"/>
        <v/>
      </c>
    </row>
    <row r="151">
      <c r="A151" s="5"/>
      <c r="B151" s="14"/>
      <c r="C151" s="7" t="str">
        <f>IFERROR(__xludf.DUMMYFUNCTION("iferror(iferror(INDEX(IMPORTRANGE(""12vtnxaE_Q1s4tyr10kZQx7ZF_xG0lBFae4jQEUtgsMU"",""All!B2:B""),MATCH($B151,IMPORTRANGE(""12vtnxaE_Q1s4tyr10kZQx7ZF_xG0lBFae4jQEUtgsMU"",""All!A2:A""),0)),INDEX(IMPORTRANGE(""13KC70HngS4DDi8y9E5khtSpQEPG6owaQ9z4E-tR5mnY"","&amp;"""Non-Food!B2:B""),MATCH($B151,IMPORTRANGE(""13KC70HngS4DDi8y9E5khtSpQEPG6owaQ9z4E-tR5mnY"",""Non-Food!A2:A""),0))),"""")"),"")</f>
        <v/>
      </c>
      <c r="D151" s="15"/>
      <c r="E151" s="15"/>
      <c r="F151" s="22"/>
      <c r="G151" s="24" t="str">
        <f>IFERROR(__xludf.DUMMYFUNCTION("iferror(iferror(iferror(index(IMPORTRANGE(""1NK5L1mviMn0j3D3uo53ASkIZOFRlLnqaCTnwzOG2_Wg"",""Direct Link!B2:B""),MATCH($B151,IMPORTRANGE(""1NK5L1mviMn0j3D3uo53ASkIZOFRlLnqaCTnwzOG2_Wg"",""Direct Link!A2:A""),0)),XLOOKUP($B151,IMPORTRANGE(""1NK5L1mviMn0j3D"&amp;"3uo53ASkIZOFRlLnqaCTnwzOG2_Wg"",""Direct links Without Sizes!A2:A""),IMPORTRANGE(""1NK5L1mviMn0j3D3uo53ASkIZOFRlLnqaCTnwzOG2_Wg"",""Direct links Without Sizes!B2:B""))),XLOOKUP($B151,IMPORTRANGE(""1NK5L1mviMn0j3D3uo53ASkIZOFRlLnqaCTnwzOG2_Wg"",""Direct li"&amp;"nks Without Sizes!D2:D""),IMPORTRANGE(""1NK5L1mviMn0j3D3uo53ASkIZOFRlLnqaCTnwzOG2_Wg"",""Direct links Without Sizes!E2:E""))),"""")"),"")</f>
        <v/>
      </c>
      <c r="H151" s="41"/>
      <c r="I151" s="4"/>
      <c r="J151" s="4"/>
      <c r="K151" s="10" t="str">
        <f t="shared" si="1"/>
        <v/>
      </c>
      <c r="L151" s="10"/>
      <c r="M151" s="10" t="str">
        <f t="shared" si="2"/>
        <v/>
      </c>
    </row>
    <row r="152">
      <c r="A152" s="5"/>
      <c r="B152" s="14"/>
      <c r="C152" s="7" t="str">
        <f>IFERROR(__xludf.DUMMYFUNCTION("iferror(iferror(INDEX(IMPORTRANGE(""12vtnxaE_Q1s4tyr10kZQx7ZF_xG0lBFae4jQEUtgsMU"",""All!B2:B""),MATCH($B152,IMPORTRANGE(""12vtnxaE_Q1s4tyr10kZQx7ZF_xG0lBFae4jQEUtgsMU"",""All!A2:A""),0)),INDEX(IMPORTRANGE(""13KC70HngS4DDi8y9E5khtSpQEPG6owaQ9z4E-tR5mnY"","&amp;"""Non-Food!B2:B""),MATCH($B152,IMPORTRANGE(""13KC70HngS4DDi8y9E5khtSpQEPG6owaQ9z4E-tR5mnY"",""Non-Food!A2:A""),0))),"""")"),"")</f>
        <v/>
      </c>
      <c r="D152" s="15"/>
      <c r="E152" s="15"/>
      <c r="F152" s="22"/>
      <c r="G152" s="24" t="str">
        <f>IFERROR(__xludf.DUMMYFUNCTION("iferror(iferror(iferror(index(IMPORTRANGE(""1NK5L1mviMn0j3D3uo53ASkIZOFRlLnqaCTnwzOG2_Wg"",""Direct Link!B2:B""),MATCH($B152,IMPORTRANGE(""1NK5L1mviMn0j3D3uo53ASkIZOFRlLnqaCTnwzOG2_Wg"",""Direct Link!A2:A""),0)),XLOOKUP($B152,IMPORTRANGE(""1NK5L1mviMn0j3D"&amp;"3uo53ASkIZOFRlLnqaCTnwzOG2_Wg"",""Direct links Without Sizes!A2:A""),IMPORTRANGE(""1NK5L1mviMn0j3D3uo53ASkIZOFRlLnqaCTnwzOG2_Wg"",""Direct links Without Sizes!B2:B""))),XLOOKUP($B152,IMPORTRANGE(""1NK5L1mviMn0j3D3uo53ASkIZOFRlLnqaCTnwzOG2_Wg"",""Direct li"&amp;"nks Without Sizes!D2:D""),IMPORTRANGE(""1NK5L1mviMn0j3D3uo53ASkIZOFRlLnqaCTnwzOG2_Wg"",""Direct links Without Sizes!E2:E""))),"""")"),"")</f>
        <v/>
      </c>
      <c r="H152" s="41"/>
      <c r="I152" s="4"/>
      <c r="J152" s="4"/>
      <c r="K152" s="10" t="str">
        <f t="shared" si="1"/>
        <v/>
      </c>
      <c r="L152" s="10"/>
      <c r="M152" s="10" t="str">
        <f t="shared" si="2"/>
        <v/>
      </c>
    </row>
    <row r="153">
      <c r="A153" s="5"/>
      <c r="B153" s="14"/>
      <c r="C153" s="7" t="str">
        <f>IFERROR(__xludf.DUMMYFUNCTION("iferror(iferror(INDEX(IMPORTRANGE(""12vtnxaE_Q1s4tyr10kZQx7ZF_xG0lBFae4jQEUtgsMU"",""All!B2:B""),MATCH($B153,IMPORTRANGE(""12vtnxaE_Q1s4tyr10kZQx7ZF_xG0lBFae4jQEUtgsMU"",""All!A2:A""),0)),INDEX(IMPORTRANGE(""13KC70HngS4DDi8y9E5khtSpQEPG6owaQ9z4E-tR5mnY"","&amp;"""Non-Food!B2:B""),MATCH($B153,IMPORTRANGE(""13KC70HngS4DDi8y9E5khtSpQEPG6owaQ9z4E-tR5mnY"",""Non-Food!A2:A""),0))),"""")"),"")</f>
        <v/>
      </c>
      <c r="D153" s="15"/>
      <c r="E153" s="15"/>
      <c r="F153" s="22"/>
      <c r="G153" s="24" t="str">
        <f>IFERROR(__xludf.DUMMYFUNCTION("iferror(iferror(iferror(index(IMPORTRANGE(""1NK5L1mviMn0j3D3uo53ASkIZOFRlLnqaCTnwzOG2_Wg"",""Direct Link!B2:B""),MATCH($B153,IMPORTRANGE(""1NK5L1mviMn0j3D3uo53ASkIZOFRlLnqaCTnwzOG2_Wg"",""Direct Link!A2:A""),0)),XLOOKUP($B153,IMPORTRANGE(""1NK5L1mviMn0j3D"&amp;"3uo53ASkIZOFRlLnqaCTnwzOG2_Wg"",""Direct links Without Sizes!A2:A""),IMPORTRANGE(""1NK5L1mviMn0j3D3uo53ASkIZOFRlLnqaCTnwzOG2_Wg"",""Direct links Without Sizes!B2:B""))),XLOOKUP($B153,IMPORTRANGE(""1NK5L1mviMn0j3D3uo53ASkIZOFRlLnqaCTnwzOG2_Wg"",""Direct li"&amp;"nks Without Sizes!D2:D""),IMPORTRANGE(""1NK5L1mviMn0j3D3uo53ASkIZOFRlLnqaCTnwzOG2_Wg"",""Direct links Without Sizes!E2:E""))),"""")"),"")</f>
        <v/>
      </c>
      <c r="H153" s="41"/>
      <c r="I153" s="4"/>
      <c r="J153" s="4"/>
      <c r="K153" s="10" t="str">
        <f t="shared" si="1"/>
        <v/>
      </c>
      <c r="L153" s="10"/>
      <c r="M153" s="10" t="str">
        <f t="shared" si="2"/>
        <v/>
      </c>
    </row>
    <row r="154">
      <c r="A154" s="5"/>
      <c r="B154" s="14"/>
      <c r="C154" s="7" t="str">
        <f>IFERROR(__xludf.DUMMYFUNCTION("iferror(iferror(INDEX(IMPORTRANGE(""12vtnxaE_Q1s4tyr10kZQx7ZF_xG0lBFae4jQEUtgsMU"",""All!B2:B""),MATCH($B154,IMPORTRANGE(""12vtnxaE_Q1s4tyr10kZQx7ZF_xG0lBFae4jQEUtgsMU"",""All!A2:A""),0)),INDEX(IMPORTRANGE(""13KC70HngS4DDi8y9E5khtSpQEPG6owaQ9z4E-tR5mnY"","&amp;"""Non-Food!B2:B""),MATCH($B154,IMPORTRANGE(""13KC70HngS4DDi8y9E5khtSpQEPG6owaQ9z4E-tR5mnY"",""Non-Food!A2:A""),0))),"""")"),"")</f>
        <v/>
      </c>
      <c r="D154" s="15"/>
      <c r="E154" s="15"/>
      <c r="F154" s="22"/>
      <c r="G154" s="24" t="str">
        <f>IFERROR(__xludf.DUMMYFUNCTION("iferror(iferror(iferror(index(IMPORTRANGE(""1NK5L1mviMn0j3D3uo53ASkIZOFRlLnqaCTnwzOG2_Wg"",""Direct Link!B2:B""),MATCH($B154,IMPORTRANGE(""1NK5L1mviMn0j3D3uo53ASkIZOFRlLnqaCTnwzOG2_Wg"",""Direct Link!A2:A""),0)),XLOOKUP($B154,IMPORTRANGE(""1NK5L1mviMn0j3D"&amp;"3uo53ASkIZOFRlLnqaCTnwzOG2_Wg"",""Direct links Without Sizes!A2:A""),IMPORTRANGE(""1NK5L1mviMn0j3D3uo53ASkIZOFRlLnqaCTnwzOG2_Wg"",""Direct links Without Sizes!B2:B""))),XLOOKUP($B154,IMPORTRANGE(""1NK5L1mviMn0j3D3uo53ASkIZOFRlLnqaCTnwzOG2_Wg"",""Direct li"&amp;"nks Without Sizes!D2:D""),IMPORTRANGE(""1NK5L1mviMn0j3D3uo53ASkIZOFRlLnqaCTnwzOG2_Wg"",""Direct links Without Sizes!E2:E""))),"""")"),"")</f>
        <v/>
      </c>
      <c r="H154" s="41"/>
      <c r="I154" s="4"/>
      <c r="J154" s="4"/>
      <c r="K154" s="10" t="str">
        <f t="shared" si="1"/>
        <v/>
      </c>
      <c r="L154" s="10"/>
      <c r="M154" s="10" t="str">
        <f t="shared" si="2"/>
        <v/>
      </c>
    </row>
    <row r="155">
      <c r="A155" s="5"/>
      <c r="B155" s="14"/>
      <c r="C155" s="7" t="str">
        <f>IFERROR(__xludf.DUMMYFUNCTION("iferror(iferror(INDEX(IMPORTRANGE(""12vtnxaE_Q1s4tyr10kZQx7ZF_xG0lBFae4jQEUtgsMU"",""All!B2:B""),MATCH($B155,IMPORTRANGE(""12vtnxaE_Q1s4tyr10kZQx7ZF_xG0lBFae4jQEUtgsMU"",""All!A2:A""),0)),INDEX(IMPORTRANGE(""13KC70HngS4DDi8y9E5khtSpQEPG6owaQ9z4E-tR5mnY"","&amp;"""Non-Food!B2:B""),MATCH($B155,IMPORTRANGE(""13KC70HngS4DDi8y9E5khtSpQEPG6owaQ9z4E-tR5mnY"",""Non-Food!A2:A""),0))),"""")"),"")</f>
        <v/>
      </c>
      <c r="D155" s="15"/>
      <c r="E155" s="15"/>
      <c r="F155" s="22"/>
      <c r="G155" s="24" t="str">
        <f>IFERROR(__xludf.DUMMYFUNCTION("iferror(iferror(iferror(index(IMPORTRANGE(""1NK5L1mviMn0j3D3uo53ASkIZOFRlLnqaCTnwzOG2_Wg"",""Direct Link!B2:B""),MATCH($B155,IMPORTRANGE(""1NK5L1mviMn0j3D3uo53ASkIZOFRlLnqaCTnwzOG2_Wg"",""Direct Link!A2:A""),0)),XLOOKUP($B155,IMPORTRANGE(""1NK5L1mviMn0j3D"&amp;"3uo53ASkIZOFRlLnqaCTnwzOG2_Wg"",""Direct links Without Sizes!A2:A""),IMPORTRANGE(""1NK5L1mviMn0j3D3uo53ASkIZOFRlLnqaCTnwzOG2_Wg"",""Direct links Without Sizes!B2:B""))),XLOOKUP($B155,IMPORTRANGE(""1NK5L1mviMn0j3D3uo53ASkIZOFRlLnqaCTnwzOG2_Wg"",""Direct li"&amp;"nks Without Sizes!D2:D""),IMPORTRANGE(""1NK5L1mviMn0j3D3uo53ASkIZOFRlLnqaCTnwzOG2_Wg"",""Direct links Without Sizes!E2:E""))),"""")"),"")</f>
        <v/>
      </c>
      <c r="H155" s="41"/>
      <c r="I155" s="4"/>
      <c r="J155" s="4"/>
      <c r="K155" s="10" t="str">
        <f t="shared" si="1"/>
        <v/>
      </c>
      <c r="L155" s="10"/>
      <c r="M155" s="10" t="str">
        <f t="shared" si="2"/>
        <v/>
      </c>
    </row>
    <row r="156">
      <c r="A156" s="5"/>
      <c r="B156" s="14"/>
      <c r="C156" s="7" t="str">
        <f>IFERROR(__xludf.DUMMYFUNCTION("iferror(iferror(INDEX(IMPORTRANGE(""12vtnxaE_Q1s4tyr10kZQx7ZF_xG0lBFae4jQEUtgsMU"",""All!B2:B""),MATCH($B156,IMPORTRANGE(""12vtnxaE_Q1s4tyr10kZQx7ZF_xG0lBFae4jQEUtgsMU"",""All!A2:A""),0)),INDEX(IMPORTRANGE(""13KC70HngS4DDi8y9E5khtSpQEPG6owaQ9z4E-tR5mnY"","&amp;"""Non-Food!B2:B""),MATCH($B156,IMPORTRANGE(""13KC70HngS4DDi8y9E5khtSpQEPG6owaQ9z4E-tR5mnY"",""Non-Food!A2:A""),0))),"""")"),"")</f>
        <v/>
      </c>
      <c r="D156" s="15"/>
      <c r="E156" s="15"/>
      <c r="F156" s="22"/>
      <c r="G156" s="24" t="str">
        <f>IFERROR(__xludf.DUMMYFUNCTION("iferror(iferror(iferror(index(IMPORTRANGE(""1NK5L1mviMn0j3D3uo53ASkIZOFRlLnqaCTnwzOG2_Wg"",""Direct Link!B2:B""),MATCH($B156,IMPORTRANGE(""1NK5L1mviMn0j3D3uo53ASkIZOFRlLnqaCTnwzOG2_Wg"",""Direct Link!A2:A""),0)),XLOOKUP($B156,IMPORTRANGE(""1NK5L1mviMn0j3D"&amp;"3uo53ASkIZOFRlLnqaCTnwzOG2_Wg"",""Direct links Without Sizes!A2:A""),IMPORTRANGE(""1NK5L1mviMn0j3D3uo53ASkIZOFRlLnqaCTnwzOG2_Wg"",""Direct links Without Sizes!B2:B""))),XLOOKUP($B156,IMPORTRANGE(""1NK5L1mviMn0j3D3uo53ASkIZOFRlLnqaCTnwzOG2_Wg"",""Direct li"&amp;"nks Without Sizes!D2:D""),IMPORTRANGE(""1NK5L1mviMn0j3D3uo53ASkIZOFRlLnqaCTnwzOG2_Wg"",""Direct links Without Sizes!E2:E""))),"""")"),"")</f>
        <v/>
      </c>
      <c r="H156" s="41"/>
      <c r="I156" s="4"/>
      <c r="J156" s="4"/>
      <c r="K156" s="10" t="str">
        <f t="shared" si="1"/>
        <v/>
      </c>
      <c r="L156" s="10"/>
      <c r="M156" s="10" t="str">
        <f t="shared" si="2"/>
        <v/>
      </c>
    </row>
    <row r="157">
      <c r="A157" s="5"/>
      <c r="B157" s="14"/>
      <c r="C157" s="7" t="str">
        <f>IFERROR(__xludf.DUMMYFUNCTION("iferror(iferror(INDEX(IMPORTRANGE(""12vtnxaE_Q1s4tyr10kZQx7ZF_xG0lBFae4jQEUtgsMU"",""All!B2:B""),MATCH($B157,IMPORTRANGE(""12vtnxaE_Q1s4tyr10kZQx7ZF_xG0lBFae4jQEUtgsMU"",""All!A2:A""),0)),INDEX(IMPORTRANGE(""13KC70HngS4DDi8y9E5khtSpQEPG6owaQ9z4E-tR5mnY"","&amp;"""Non-Food!B2:B""),MATCH($B157,IMPORTRANGE(""13KC70HngS4DDi8y9E5khtSpQEPG6owaQ9z4E-tR5mnY"",""Non-Food!A2:A""),0))),"""")"),"")</f>
        <v/>
      </c>
      <c r="D157" s="15"/>
      <c r="E157" s="15"/>
      <c r="F157" s="22"/>
      <c r="G157" s="24" t="str">
        <f>IFERROR(__xludf.DUMMYFUNCTION("iferror(iferror(iferror(index(IMPORTRANGE(""1NK5L1mviMn0j3D3uo53ASkIZOFRlLnqaCTnwzOG2_Wg"",""Direct Link!B2:B""),MATCH($B157,IMPORTRANGE(""1NK5L1mviMn0j3D3uo53ASkIZOFRlLnqaCTnwzOG2_Wg"",""Direct Link!A2:A""),0)),XLOOKUP($B157,IMPORTRANGE(""1NK5L1mviMn0j3D"&amp;"3uo53ASkIZOFRlLnqaCTnwzOG2_Wg"",""Direct links Without Sizes!A2:A""),IMPORTRANGE(""1NK5L1mviMn0j3D3uo53ASkIZOFRlLnqaCTnwzOG2_Wg"",""Direct links Without Sizes!B2:B""))),XLOOKUP($B157,IMPORTRANGE(""1NK5L1mviMn0j3D3uo53ASkIZOFRlLnqaCTnwzOG2_Wg"",""Direct li"&amp;"nks Without Sizes!D2:D""),IMPORTRANGE(""1NK5L1mviMn0j3D3uo53ASkIZOFRlLnqaCTnwzOG2_Wg"",""Direct links Without Sizes!E2:E""))),"""")"),"")</f>
        <v/>
      </c>
      <c r="H157" s="41"/>
      <c r="I157" s="4"/>
      <c r="J157" s="4"/>
      <c r="K157" s="10" t="str">
        <f t="shared" si="1"/>
        <v/>
      </c>
      <c r="L157" s="10"/>
      <c r="M157" s="10" t="str">
        <f t="shared" si="2"/>
        <v/>
      </c>
    </row>
    <row r="158">
      <c r="A158" s="5"/>
      <c r="B158" s="14"/>
      <c r="C158" s="7" t="str">
        <f>IFERROR(__xludf.DUMMYFUNCTION("iferror(iferror(INDEX(IMPORTRANGE(""12vtnxaE_Q1s4tyr10kZQx7ZF_xG0lBFae4jQEUtgsMU"",""All!B2:B""),MATCH($B158,IMPORTRANGE(""12vtnxaE_Q1s4tyr10kZQx7ZF_xG0lBFae4jQEUtgsMU"",""All!A2:A""),0)),INDEX(IMPORTRANGE(""13KC70HngS4DDi8y9E5khtSpQEPG6owaQ9z4E-tR5mnY"","&amp;"""Non-Food!B2:B""),MATCH($B158,IMPORTRANGE(""13KC70HngS4DDi8y9E5khtSpQEPG6owaQ9z4E-tR5mnY"",""Non-Food!A2:A""),0))),"""")"),"")</f>
        <v/>
      </c>
      <c r="D158" s="15"/>
      <c r="E158" s="15"/>
      <c r="F158" s="22"/>
      <c r="G158" s="24" t="str">
        <f>IFERROR(__xludf.DUMMYFUNCTION("iferror(iferror(iferror(index(IMPORTRANGE(""1NK5L1mviMn0j3D3uo53ASkIZOFRlLnqaCTnwzOG2_Wg"",""Direct Link!B2:B""),MATCH($B158,IMPORTRANGE(""1NK5L1mviMn0j3D3uo53ASkIZOFRlLnqaCTnwzOG2_Wg"",""Direct Link!A2:A""),0)),XLOOKUP($B158,IMPORTRANGE(""1NK5L1mviMn0j3D"&amp;"3uo53ASkIZOFRlLnqaCTnwzOG2_Wg"",""Direct links Without Sizes!A2:A""),IMPORTRANGE(""1NK5L1mviMn0j3D3uo53ASkIZOFRlLnqaCTnwzOG2_Wg"",""Direct links Without Sizes!B2:B""))),XLOOKUP($B158,IMPORTRANGE(""1NK5L1mviMn0j3D3uo53ASkIZOFRlLnqaCTnwzOG2_Wg"",""Direct li"&amp;"nks Without Sizes!D2:D""),IMPORTRANGE(""1NK5L1mviMn0j3D3uo53ASkIZOFRlLnqaCTnwzOG2_Wg"",""Direct links Without Sizes!E2:E""))),"""")"),"")</f>
        <v/>
      </c>
      <c r="H158" s="41"/>
      <c r="I158" s="4"/>
      <c r="J158" s="4"/>
      <c r="K158" s="10" t="str">
        <f t="shared" si="1"/>
        <v/>
      </c>
      <c r="L158" s="10"/>
      <c r="M158" s="10" t="str">
        <f t="shared" si="2"/>
        <v/>
      </c>
    </row>
    <row r="159">
      <c r="A159" s="5"/>
      <c r="B159" s="14"/>
      <c r="C159" s="7" t="str">
        <f>IFERROR(__xludf.DUMMYFUNCTION("iferror(iferror(INDEX(IMPORTRANGE(""12vtnxaE_Q1s4tyr10kZQx7ZF_xG0lBFae4jQEUtgsMU"",""All!B2:B""),MATCH($B159,IMPORTRANGE(""12vtnxaE_Q1s4tyr10kZQx7ZF_xG0lBFae4jQEUtgsMU"",""All!A2:A""),0)),INDEX(IMPORTRANGE(""13KC70HngS4DDi8y9E5khtSpQEPG6owaQ9z4E-tR5mnY"","&amp;"""Non-Food!B2:B""),MATCH($B159,IMPORTRANGE(""13KC70HngS4DDi8y9E5khtSpQEPG6owaQ9z4E-tR5mnY"",""Non-Food!A2:A""),0))),"""")"),"")</f>
        <v/>
      </c>
      <c r="D159" s="15"/>
      <c r="E159" s="15"/>
      <c r="F159" s="22"/>
      <c r="G159" s="24" t="str">
        <f>IFERROR(__xludf.DUMMYFUNCTION("iferror(iferror(iferror(index(IMPORTRANGE(""1NK5L1mviMn0j3D3uo53ASkIZOFRlLnqaCTnwzOG2_Wg"",""Direct Link!B2:B""),MATCH($B159,IMPORTRANGE(""1NK5L1mviMn0j3D3uo53ASkIZOFRlLnqaCTnwzOG2_Wg"",""Direct Link!A2:A""),0)),XLOOKUP($B159,IMPORTRANGE(""1NK5L1mviMn0j3D"&amp;"3uo53ASkIZOFRlLnqaCTnwzOG2_Wg"",""Direct links Without Sizes!A2:A""),IMPORTRANGE(""1NK5L1mviMn0j3D3uo53ASkIZOFRlLnqaCTnwzOG2_Wg"",""Direct links Without Sizes!B2:B""))),XLOOKUP($B159,IMPORTRANGE(""1NK5L1mviMn0j3D3uo53ASkIZOFRlLnqaCTnwzOG2_Wg"",""Direct li"&amp;"nks Without Sizes!D2:D""),IMPORTRANGE(""1NK5L1mviMn0j3D3uo53ASkIZOFRlLnqaCTnwzOG2_Wg"",""Direct links Without Sizes!E2:E""))),"""")"),"")</f>
        <v/>
      </c>
      <c r="H159" s="41"/>
      <c r="I159" s="4"/>
      <c r="J159" s="4"/>
      <c r="K159" s="10" t="str">
        <f t="shared" si="1"/>
        <v/>
      </c>
      <c r="L159" s="10"/>
      <c r="M159" s="10" t="str">
        <f t="shared" si="2"/>
        <v/>
      </c>
    </row>
    <row r="160">
      <c r="A160" s="5"/>
      <c r="B160" s="14"/>
      <c r="C160" s="7" t="str">
        <f>IFERROR(__xludf.DUMMYFUNCTION("iferror(iferror(INDEX(IMPORTRANGE(""12vtnxaE_Q1s4tyr10kZQx7ZF_xG0lBFae4jQEUtgsMU"",""All!B2:B""),MATCH($B160,IMPORTRANGE(""12vtnxaE_Q1s4tyr10kZQx7ZF_xG0lBFae4jQEUtgsMU"",""All!A2:A""),0)),INDEX(IMPORTRANGE(""13KC70HngS4DDi8y9E5khtSpQEPG6owaQ9z4E-tR5mnY"","&amp;"""Non-Food!B2:B""),MATCH($B160,IMPORTRANGE(""13KC70HngS4DDi8y9E5khtSpQEPG6owaQ9z4E-tR5mnY"",""Non-Food!A2:A""),0))),"""")"),"")</f>
        <v/>
      </c>
      <c r="D160" s="15"/>
      <c r="E160" s="15"/>
      <c r="F160" s="22"/>
      <c r="G160" s="24" t="str">
        <f>IFERROR(__xludf.DUMMYFUNCTION("iferror(iferror(iferror(index(IMPORTRANGE(""1NK5L1mviMn0j3D3uo53ASkIZOFRlLnqaCTnwzOG2_Wg"",""Direct Link!B2:B""),MATCH($B160,IMPORTRANGE(""1NK5L1mviMn0j3D3uo53ASkIZOFRlLnqaCTnwzOG2_Wg"",""Direct Link!A2:A""),0)),XLOOKUP($B160,IMPORTRANGE(""1NK5L1mviMn0j3D"&amp;"3uo53ASkIZOFRlLnqaCTnwzOG2_Wg"",""Direct links Without Sizes!A2:A""),IMPORTRANGE(""1NK5L1mviMn0j3D3uo53ASkIZOFRlLnqaCTnwzOG2_Wg"",""Direct links Without Sizes!B2:B""))),XLOOKUP($B160,IMPORTRANGE(""1NK5L1mviMn0j3D3uo53ASkIZOFRlLnqaCTnwzOG2_Wg"",""Direct li"&amp;"nks Without Sizes!D2:D""),IMPORTRANGE(""1NK5L1mviMn0j3D3uo53ASkIZOFRlLnqaCTnwzOG2_Wg"",""Direct links Without Sizes!E2:E""))),"""")"),"")</f>
        <v/>
      </c>
      <c r="H160" s="41"/>
      <c r="I160" s="4"/>
      <c r="J160" s="4"/>
      <c r="K160" s="10" t="str">
        <f t="shared" si="1"/>
        <v/>
      </c>
      <c r="L160" s="10"/>
      <c r="M160" s="10" t="str">
        <f t="shared" si="2"/>
        <v/>
      </c>
    </row>
    <row r="161">
      <c r="A161" s="5"/>
      <c r="B161" s="14"/>
      <c r="C161" s="7" t="str">
        <f>IFERROR(__xludf.DUMMYFUNCTION("iferror(iferror(INDEX(IMPORTRANGE(""12vtnxaE_Q1s4tyr10kZQx7ZF_xG0lBFae4jQEUtgsMU"",""All!B2:B""),MATCH($B161,IMPORTRANGE(""12vtnxaE_Q1s4tyr10kZQx7ZF_xG0lBFae4jQEUtgsMU"",""All!A2:A""),0)),INDEX(IMPORTRANGE(""13KC70HngS4DDi8y9E5khtSpQEPG6owaQ9z4E-tR5mnY"","&amp;"""Non-Food!B2:B""),MATCH($B161,IMPORTRANGE(""13KC70HngS4DDi8y9E5khtSpQEPG6owaQ9z4E-tR5mnY"",""Non-Food!A2:A""),0))),"""")"),"")</f>
        <v/>
      </c>
      <c r="D161" s="15"/>
      <c r="E161" s="15"/>
      <c r="F161" s="22"/>
      <c r="G161" s="24" t="str">
        <f>IFERROR(__xludf.DUMMYFUNCTION("iferror(iferror(iferror(index(IMPORTRANGE(""1NK5L1mviMn0j3D3uo53ASkIZOFRlLnqaCTnwzOG2_Wg"",""Direct Link!B2:B""),MATCH($B161,IMPORTRANGE(""1NK5L1mviMn0j3D3uo53ASkIZOFRlLnqaCTnwzOG2_Wg"",""Direct Link!A2:A""),0)),XLOOKUP($B161,IMPORTRANGE(""1NK5L1mviMn0j3D"&amp;"3uo53ASkIZOFRlLnqaCTnwzOG2_Wg"",""Direct links Without Sizes!A2:A""),IMPORTRANGE(""1NK5L1mviMn0j3D3uo53ASkIZOFRlLnqaCTnwzOG2_Wg"",""Direct links Without Sizes!B2:B""))),XLOOKUP($B161,IMPORTRANGE(""1NK5L1mviMn0j3D3uo53ASkIZOFRlLnqaCTnwzOG2_Wg"",""Direct li"&amp;"nks Without Sizes!D2:D""),IMPORTRANGE(""1NK5L1mviMn0j3D3uo53ASkIZOFRlLnqaCTnwzOG2_Wg"",""Direct links Without Sizes!E2:E""))),"""")"),"")</f>
        <v/>
      </c>
      <c r="H161" s="41"/>
      <c r="I161" s="4"/>
      <c r="J161" s="4"/>
      <c r="K161" s="10" t="str">
        <f t="shared" si="1"/>
        <v/>
      </c>
      <c r="L161" s="10"/>
      <c r="M161" s="10" t="str">
        <f t="shared" si="2"/>
        <v/>
      </c>
    </row>
    <row r="162">
      <c r="A162" s="5"/>
      <c r="B162" s="14"/>
      <c r="C162" s="7" t="str">
        <f>IFERROR(__xludf.DUMMYFUNCTION("iferror(iferror(INDEX(IMPORTRANGE(""12vtnxaE_Q1s4tyr10kZQx7ZF_xG0lBFae4jQEUtgsMU"",""All!B2:B""),MATCH($B162,IMPORTRANGE(""12vtnxaE_Q1s4tyr10kZQx7ZF_xG0lBFae4jQEUtgsMU"",""All!A2:A""),0)),INDEX(IMPORTRANGE(""13KC70HngS4DDi8y9E5khtSpQEPG6owaQ9z4E-tR5mnY"","&amp;"""Non-Food!B2:B""),MATCH($B162,IMPORTRANGE(""13KC70HngS4DDi8y9E5khtSpQEPG6owaQ9z4E-tR5mnY"",""Non-Food!A2:A""),0))),"""")"),"")</f>
        <v/>
      </c>
      <c r="D162" s="15"/>
      <c r="E162" s="15"/>
      <c r="F162" s="22"/>
      <c r="G162" s="24" t="str">
        <f>IFERROR(__xludf.DUMMYFUNCTION("iferror(iferror(iferror(index(IMPORTRANGE(""1NK5L1mviMn0j3D3uo53ASkIZOFRlLnqaCTnwzOG2_Wg"",""Direct Link!B2:B""),MATCH($B162,IMPORTRANGE(""1NK5L1mviMn0j3D3uo53ASkIZOFRlLnqaCTnwzOG2_Wg"",""Direct Link!A2:A""),0)),XLOOKUP($B162,IMPORTRANGE(""1NK5L1mviMn0j3D"&amp;"3uo53ASkIZOFRlLnqaCTnwzOG2_Wg"",""Direct links Without Sizes!A2:A""),IMPORTRANGE(""1NK5L1mviMn0j3D3uo53ASkIZOFRlLnqaCTnwzOG2_Wg"",""Direct links Without Sizes!B2:B""))),XLOOKUP($B162,IMPORTRANGE(""1NK5L1mviMn0j3D3uo53ASkIZOFRlLnqaCTnwzOG2_Wg"",""Direct li"&amp;"nks Without Sizes!D2:D""),IMPORTRANGE(""1NK5L1mviMn0j3D3uo53ASkIZOFRlLnqaCTnwzOG2_Wg"",""Direct links Without Sizes!E2:E""))),"""")"),"")</f>
        <v/>
      </c>
      <c r="H162" s="41"/>
      <c r="I162" s="4"/>
      <c r="J162" s="4"/>
      <c r="K162" s="10" t="str">
        <f t="shared" si="1"/>
        <v/>
      </c>
      <c r="L162" s="10"/>
      <c r="M162" s="10" t="str">
        <f t="shared" si="2"/>
        <v/>
      </c>
    </row>
    <row r="163">
      <c r="A163" s="5"/>
      <c r="B163" s="14"/>
      <c r="C163" s="7" t="str">
        <f>IFERROR(__xludf.DUMMYFUNCTION("iferror(iferror(INDEX(IMPORTRANGE(""12vtnxaE_Q1s4tyr10kZQx7ZF_xG0lBFae4jQEUtgsMU"",""All!B2:B""),MATCH($B163,IMPORTRANGE(""12vtnxaE_Q1s4tyr10kZQx7ZF_xG0lBFae4jQEUtgsMU"",""All!A2:A""),0)),INDEX(IMPORTRANGE(""13KC70HngS4DDi8y9E5khtSpQEPG6owaQ9z4E-tR5mnY"","&amp;"""Non-Food!B2:B""),MATCH($B163,IMPORTRANGE(""13KC70HngS4DDi8y9E5khtSpQEPG6owaQ9z4E-tR5mnY"",""Non-Food!A2:A""),0))),"""")"),"")</f>
        <v/>
      </c>
      <c r="D163" s="15"/>
      <c r="E163" s="15"/>
      <c r="F163" s="22"/>
      <c r="G163" s="24" t="str">
        <f>IFERROR(__xludf.DUMMYFUNCTION("iferror(iferror(iferror(index(IMPORTRANGE(""1NK5L1mviMn0j3D3uo53ASkIZOFRlLnqaCTnwzOG2_Wg"",""Direct Link!B2:B""),MATCH($B163,IMPORTRANGE(""1NK5L1mviMn0j3D3uo53ASkIZOFRlLnqaCTnwzOG2_Wg"",""Direct Link!A2:A""),0)),XLOOKUP($B163,IMPORTRANGE(""1NK5L1mviMn0j3D"&amp;"3uo53ASkIZOFRlLnqaCTnwzOG2_Wg"",""Direct links Without Sizes!A2:A""),IMPORTRANGE(""1NK5L1mviMn0j3D3uo53ASkIZOFRlLnqaCTnwzOG2_Wg"",""Direct links Without Sizes!B2:B""))),XLOOKUP($B163,IMPORTRANGE(""1NK5L1mviMn0j3D3uo53ASkIZOFRlLnqaCTnwzOG2_Wg"",""Direct li"&amp;"nks Without Sizes!D2:D""),IMPORTRANGE(""1NK5L1mviMn0j3D3uo53ASkIZOFRlLnqaCTnwzOG2_Wg"",""Direct links Without Sizes!E2:E""))),"""")"),"")</f>
        <v/>
      </c>
      <c r="H163" s="41"/>
      <c r="I163" s="4"/>
      <c r="J163" s="4"/>
      <c r="K163" s="10" t="str">
        <f t="shared" si="1"/>
        <v/>
      </c>
      <c r="L163" s="10"/>
      <c r="M163" s="10" t="str">
        <f t="shared" si="2"/>
        <v/>
      </c>
    </row>
    <row r="164">
      <c r="A164" s="5"/>
      <c r="B164" s="14"/>
      <c r="C164" s="7" t="str">
        <f>IFERROR(__xludf.DUMMYFUNCTION("iferror(iferror(INDEX(IMPORTRANGE(""12vtnxaE_Q1s4tyr10kZQx7ZF_xG0lBFae4jQEUtgsMU"",""All!B2:B""),MATCH($B164,IMPORTRANGE(""12vtnxaE_Q1s4tyr10kZQx7ZF_xG0lBFae4jQEUtgsMU"",""All!A2:A""),0)),INDEX(IMPORTRANGE(""13KC70HngS4DDi8y9E5khtSpQEPG6owaQ9z4E-tR5mnY"","&amp;"""Non-Food!B2:B""),MATCH($B164,IMPORTRANGE(""13KC70HngS4DDi8y9E5khtSpQEPG6owaQ9z4E-tR5mnY"",""Non-Food!A2:A""),0))),"""")"),"")</f>
        <v/>
      </c>
      <c r="D164" s="15"/>
      <c r="E164" s="15"/>
      <c r="F164" s="22"/>
      <c r="G164" s="24" t="str">
        <f>IFERROR(__xludf.DUMMYFUNCTION("iferror(iferror(iferror(index(IMPORTRANGE(""1NK5L1mviMn0j3D3uo53ASkIZOFRlLnqaCTnwzOG2_Wg"",""Direct Link!B2:B""),MATCH($B164,IMPORTRANGE(""1NK5L1mviMn0j3D3uo53ASkIZOFRlLnqaCTnwzOG2_Wg"",""Direct Link!A2:A""),0)),XLOOKUP($B164,IMPORTRANGE(""1NK5L1mviMn0j3D"&amp;"3uo53ASkIZOFRlLnqaCTnwzOG2_Wg"",""Direct links Without Sizes!A2:A""),IMPORTRANGE(""1NK5L1mviMn0j3D3uo53ASkIZOFRlLnqaCTnwzOG2_Wg"",""Direct links Without Sizes!B2:B""))),XLOOKUP($B164,IMPORTRANGE(""1NK5L1mviMn0j3D3uo53ASkIZOFRlLnqaCTnwzOG2_Wg"",""Direct li"&amp;"nks Without Sizes!D2:D""),IMPORTRANGE(""1NK5L1mviMn0j3D3uo53ASkIZOFRlLnqaCTnwzOG2_Wg"",""Direct links Without Sizes!E2:E""))),"""")"),"")</f>
        <v/>
      </c>
      <c r="H164" s="41"/>
      <c r="I164" s="4"/>
      <c r="J164" s="4"/>
      <c r="K164" s="10" t="str">
        <f t="shared" si="1"/>
        <v/>
      </c>
      <c r="L164" s="10"/>
      <c r="M164" s="10" t="str">
        <f t="shared" si="2"/>
        <v/>
      </c>
    </row>
    <row r="165">
      <c r="A165" s="5"/>
      <c r="B165" s="15"/>
      <c r="C165" s="7" t="str">
        <f>IFERROR(__xludf.DUMMYFUNCTION("iferror(iferror(INDEX(IMPORTRANGE(""12vtnxaE_Q1s4tyr10kZQx7ZF_xG0lBFae4jQEUtgsMU"",""All!B2:B""),MATCH($B165,IMPORTRANGE(""12vtnxaE_Q1s4tyr10kZQx7ZF_xG0lBFae4jQEUtgsMU"",""All!A2:A""),0)),INDEX(IMPORTRANGE(""13KC70HngS4DDi8y9E5khtSpQEPG6owaQ9z4E-tR5mnY"","&amp;"""Non-Food!B2:B""),MATCH($B165,IMPORTRANGE(""13KC70HngS4DDi8y9E5khtSpQEPG6owaQ9z4E-tR5mnY"",""Non-Food!A2:A""),0))),"""")"),"")</f>
        <v/>
      </c>
      <c r="D165" s="15"/>
      <c r="E165" s="15"/>
      <c r="F165" s="36"/>
      <c r="G165" s="24" t="str">
        <f>IFERROR(__xludf.DUMMYFUNCTION("iferror(iferror(iferror(index(IMPORTRANGE(""1NK5L1mviMn0j3D3uo53ASkIZOFRlLnqaCTnwzOG2_Wg"",""Direct Link!B2:B""),MATCH($B165,IMPORTRANGE(""1NK5L1mviMn0j3D3uo53ASkIZOFRlLnqaCTnwzOG2_Wg"",""Direct Link!A2:A""),0)),XLOOKUP($B165,IMPORTRANGE(""1NK5L1mviMn0j3D"&amp;"3uo53ASkIZOFRlLnqaCTnwzOG2_Wg"",""Direct links Without Sizes!A2:A""),IMPORTRANGE(""1NK5L1mviMn0j3D3uo53ASkIZOFRlLnqaCTnwzOG2_Wg"",""Direct links Without Sizes!B2:B""))),XLOOKUP($B165,IMPORTRANGE(""1NK5L1mviMn0j3D3uo53ASkIZOFRlLnqaCTnwzOG2_Wg"",""Direct li"&amp;"nks Without Sizes!D2:D""),IMPORTRANGE(""1NK5L1mviMn0j3D3uo53ASkIZOFRlLnqaCTnwzOG2_Wg"",""Direct links Without Sizes!E2:E""))),"""")"),"")</f>
        <v/>
      </c>
      <c r="H165" s="41"/>
      <c r="I165" s="4"/>
      <c r="J165" s="4"/>
      <c r="K165" s="10" t="str">
        <f t="shared" si="1"/>
        <v/>
      </c>
      <c r="L165" s="10"/>
      <c r="M165" s="10" t="str">
        <f t="shared" si="2"/>
        <v/>
      </c>
    </row>
    <row r="166">
      <c r="A166" s="5"/>
      <c r="B166" s="15"/>
      <c r="C166" s="7" t="str">
        <f>IFERROR(__xludf.DUMMYFUNCTION("iferror(iferror(INDEX(IMPORTRANGE(""12vtnxaE_Q1s4tyr10kZQx7ZF_xG0lBFae4jQEUtgsMU"",""All!B2:B""),MATCH($B166,IMPORTRANGE(""12vtnxaE_Q1s4tyr10kZQx7ZF_xG0lBFae4jQEUtgsMU"",""All!A2:A""),0)),INDEX(IMPORTRANGE(""13KC70HngS4DDi8y9E5khtSpQEPG6owaQ9z4E-tR5mnY"","&amp;"""Non-Food!B2:B""),MATCH($B166,IMPORTRANGE(""13KC70HngS4DDi8y9E5khtSpQEPG6owaQ9z4E-tR5mnY"",""Non-Food!A2:A""),0))),"""")"),"")</f>
        <v/>
      </c>
      <c r="D166" s="15"/>
      <c r="E166" s="15"/>
      <c r="F166" s="36"/>
      <c r="G166" s="24" t="str">
        <f>IFERROR(__xludf.DUMMYFUNCTION("iferror(iferror(iferror(index(IMPORTRANGE(""1NK5L1mviMn0j3D3uo53ASkIZOFRlLnqaCTnwzOG2_Wg"",""Direct Link!B2:B""),MATCH($B166,IMPORTRANGE(""1NK5L1mviMn0j3D3uo53ASkIZOFRlLnqaCTnwzOG2_Wg"",""Direct Link!A2:A""),0)),XLOOKUP($B166,IMPORTRANGE(""1NK5L1mviMn0j3D"&amp;"3uo53ASkIZOFRlLnqaCTnwzOG2_Wg"",""Direct links Without Sizes!A2:A""),IMPORTRANGE(""1NK5L1mviMn0j3D3uo53ASkIZOFRlLnqaCTnwzOG2_Wg"",""Direct links Without Sizes!B2:B""))),XLOOKUP($B166,IMPORTRANGE(""1NK5L1mviMn0j3D3uo53ASkIZOFRlLnqaCTnwzOG2_Wg"",""Direct li"&amp;"nks Without Sizes!D2:D""),IMPORTRANGE(""1NK5L1mviMn0j3D3uo53ASkIZOFRlLnqaCTnwzOG2_Wg"",""Direct links Without Sizes!E2:E""))),"""")"),"")</f>
        <v/>
      </c>
      <c r="H166" s="41"/>
      <c r="I166" s="4"/>
      <c r="J166" s="4"/>
      <c r="K166" s="10" t="str">
        <f t="shared" si="1"/>
        <v/>
      </c>
      <c r="L166" s="10"/>
      <c r="M166" s="10" t="str">
        <f t="shared" si="2"/>
        <v/>
      </c>
    </row>
    <row r="167">
      <c r="A167" s="5"/>
      <c r="B167" s="15"/>
      <c r="C167" s="7" t="str">
        <f>IFERROR(__xludf.DUMMYFUNCTION("iferror(iferror(INDEX(IMPORTRANGE(""12vtnxaE_Q1s4tyr10kZQx7ZF_xG0lBFae4jQEUtgsMU"",""All!B2:B""),MATCH($B167,IMPORTRANGE(""12vtnxaE_Q1s4tyr10kZQx7ZF_xG0lBFae4jQEUtgsMU"",""All!A2:A""),0)),INDEX(IMPORTRANGE(""13KC70HngS4DDi8y9E5khtSpQEPG6owaQ9z4E-tR5mnY"","&amp;"""Non-Food!B2:B""),MATCH($B167,IMPORTRANGE(""13KC70HngS4DDi8y9E5khtSpQEPG6owaQ9z4E-tR5mnY"",""Non-Food!A2:A""),0))),"""")"),"")</f>
        <v/>
      </c>
      <c r="D167" s="15"/>
      <c r="E167" s="15"/>
      <c r="F167" s="36"/>
      <c r="G167" s="24" t="str">
        <f>IFERROR(__xludf.DUMMYFUNCTION("iferror(iferror(iferror(index(IMPORTRANGE(""1NK5L1mviMn0j3D3uo53ASkIZOFRlLnqaCTnwzOG2_Wg"",""Direct Link!B2:B""),MATCH($B167,IMPORTRANGE(""1NK5L1mviMn0j3D3uo53ASkIZOFRlLnqaCTnwzOG2_Wg"",""Direct Link!A2:A""),0)),XLOOKUP($B167,IMPORTRANGE(""1NK5L1mviMn0j3D"&amp;"3uo53ASkIZOFRlLnqaCTnwzOG2_Wg"",""Direct links Without Sizes!A2:A""),IMPORTRANGE(""1NK5L1mviMn0j3D3uo53ASkIZOFRlLnqaCTnwzOG2_Wg"",""Direct links Without Sizes!B2:B""))),XLOOKUP($B167,IMPORTRANGE(""1NK5L1mviMn0j3D3uo53ASkIZOFRlLnqaCTnwzOG2_Wg"",""Direct li"&amp;"nks Without Sizes!D2:D""),IMPORTRANGE(""1NK5L1mviMn0j3D3uo53ASkIZOFRlLnqaCTnwzOG2_Wg"",""Direct links Without Sizes!E2:E""))),"""")"),"")</f>
        <v/>
      </c>
      <c r="H167" s="41"/>
      <c r="I167" s="4"/>
      <c r="J167" s="4"/>
      <c r="K167" s="10" t="str">
        <f t="shared" si="1"/>
        <v/>
      </c>
      <c r="L167" s="10"/>
      <c r="M167" s="10" t="str">
        <f t="shared" si="2"/>
        <v/>
      </c>
    </row>
    <row r="168">
      <c r="A168" s="5"/>
      <c r="B168" s="15"/>
      <c r="C168" s="7" t="str">
        <f>IFERROR(__xludf.DUMMYFUNCTION("iferror(iferror(INDEX(IMPORTRANGE(""12vtnxaE_Q1s4tyr10kZQx7ZF_xG0lBFae4jQEUtgsMU"",""All!B2:B""),MATCH($B168,IMPORTRANGE(""12vtnxaE_Q1s4tyr10kZQx7ZF_xG0lBFae4jQEUtgsMU"",""All!A2:A""),0)),INDEX(IMPORTRANGE(""13KC70HngS4DDi8y9E5khtSpQEPG6owaQ9z4E-tR5mnY"","&amp;"""Non-Food!B2:B""),MATCH($B168,IMPORTRANGE(""13KC70HngS4DDi8y9E5khtSpQEPG6owaQ9z4E-tR5mnY"",""Non-Food!A2:A""),0))),"""")"),"")</f>
        <v/>
      </c>
      <c r="D168" s="15"/>
      <c r="E168" s="15"/>
      <c r="F168" s="36"/>
      <c r="G168" s="24" t="str">
        <f>IFERROR(__xludf.DUMMYFUNCTION("iferror(iferror(iferror(index(IMPORTRANGE(""1NK5L1mviMn0j3D3uo53ASkIZOFRlLnqaCTnwzOG2_Wg"",""Direct Link!B2:B""),MATCH($B168,IMPORTRANGE(""1NK5L1mviMn0j3D3uo53ASkIZOFRlLnqaCTnwzOG2_Wg"",""Direct Link!A2:A""),0)),XLOOKUP($B168,IMPORTRANGE(""1NK5L1mviMn0j3D"&amp;"3uo53ASkIZOFRlLnqaCTnwzOG2_Wg"",""Direct links Without Sizes!A2:A""),IMPORTRANGE(""1NK5L1mviMn0j3D3uo53ASkIZOFRlLnqaCTnwzOG2_Wg"",""Direct links Without Sizes!B2:B""))),XLOOKUP($B168,IMPORTRANGE(""1NK5L1mviMn0j3D3uo53ASkIZOFRlLnqaCTnwzOG2_Wg"",""Direct li"&amp;"nks Without Sizes!D2:D""),IMPORTRANGE(""1NK5L1mviMn0j3D3uo53ASkIZOFRlLnqaCTnwzOG2_Wg"",""Direct links Without Sizes!E2:E""))),"""")"),"")</f>
        <v/>
      </c>
      <c r="H168" s="41"/>
      <c r="I168" s="4"/>
      <c r="J168" s="4"/>
      <c r="K168" s="10" t="str">
        <f t="shared" si="1"/>
        <v/>
      </c>
      <c r="L168" s="10"/>
      <c r="M168" s="10" t="str">
        <f t="shared" si="2"/>
        <v/>
      </c>
    </row>
    <row r="169">
      <c r="A169" s="5"/>
      <c r="B169" s="15"/>
      <c r="C169" s="7" t="str">
        <f>IFERROR(__xludf.DUMMYFUNCTION("iferror(iferror(INDEX(IMPORTRANGE(""12vtnxaE_Q1s4tyr10kZQx7ZF_xG0lBFae4jQEUtgsMU"",""All!B2:B""),MATCH($B169,IMPORTRANGE(""12vtnxaE_Q1s4tyr10kZQx7ZF_xG0lBFae4jQEUtgsMU"",""All!A2:A""),0)),INDEX(IMPORTRANGE(""13KC70HngS4DDi8y9E5khtSpQEPG6owaQ9z4E-tR5mnY"","&amp;"""Non-Food!B2:B""),MATCH($B169,IMPORTRANGE(""13KC70HngS4DDi8y9E5khtSpQEPG6owaQ9z4E-tR5mnY"",""Non-Food!A2:A""),0))),"""")"),"")</f>
        <v/>
      </c>
      <c r="D169" s="15"/>
      <c r="E169" s="15"/>
      <c r="F169" s="36"/>
      <c r="G169" s="24" t="str">
        <f>IFERROR(__xludf.DUMMYFUNCTION("iferror(iferror(iferror(index(IMPORTRANGE(""1NK5L1mviMn0j3D3uo53ASkIZOFRlLnqaCTnwzOG2_Wg"",""Direct Link!B2:B""),MATCH($B169,IMPORTRANGE(""1NK5L1mviMn0j3D3uo53ASkIZOFRlLnqaCTnwzOG2_Wg"",""Direct Link!A2:A""),0)),XLOOKUP($B169,IMPORTRANGE(""1NK5L1mviMn0j3D"&amp;"3uo53ASkIZOFRlLnqaCTnwzOG2_Wg"",""Direct links Without Sizes!A2:A""),IMPORTRANGE(""1NK5L1mviMn0j3D3uo53ASkIZOFRlLnqaCTnwzOG2_Wg"",""Direct links Without Sizes!B2:B""))),XLOOKUP($B169,IMPORTRANGE(""1NK5L1mviMn0j3D3uo53ASkIZOFRlLnqaCTnwzOG2_Wg"",""Direct li"&amp;"nks Without Sizes!D2:D""),IMPORTRANGE(""1NK5L1mviMn0j3D3uo53ASkIZOFRlLnqaCTnwzOG2_Wg"",""Direct links Without Sizes!E2:E""))),"""")"),"")</f>
        <v/>
      </c>
      <c r="H169" s="41"/>
      <c r="I169" s="4"/>
      <c r="J169" s="4"/>
      <c r="K169" s="10" t="str">
        <f t="shared" si="1"/>
        <v/>
      </c>
      <c r="L169" s="10"/>
      <c r="M169" s="10" t="str">
        <f t="shared" si="2"/>
        <v/>
      </c>
    </row>
    <row r="170">
      <c r="A170" s="5"/>
      <c r="B170" s="15"/>
      <c r="C170" s="7" t="str">
        <f>IFERROR(__xludf.DUMMYFUNCTION("iferror(iferror(INDEX(IMPORTRANGE(""12vtnxaE_Q1s4tyr10kZQx7ZF_xG0lBFae4jQEUtgsMU"",""All!B2:B""),MATCH($B170,IMPORTRANGE(""12vtnxaE_Q1s4tyr10kZQx7ZF_xG0lBFae4jQEUtgsMU"",""All!A2:A""),0)),INDEX(IMPORTRANGE(""13KC70HngS4DDi8y9E5khtSpQEPG6owaQ9z4E-tR5mnY"","&amp;"""Non-Food!B2:B""),MATCH($B170,IMPORTRANGE(""13KC70HngS4DDi8y9E5khtSpQEPG6owaQ9z4E-tR5mnY"",""Non-Food!A2:A""),0))),"""")"),"")</f>
        <v/>
      </c>
      <c r="D170" s="15"/>
      <c r="E170" s="15"/>
      <c r="F170" s="36"/>
      <c r="G170" s="24" t="str">
        <f>IFERROR(__xludf.DUMMYFUNCTION("iferror(iferror(iferror(index(IMPORTRANGE(""1NK5L1mviMn0j3D3uo53ASkIZOFRlLnqaCTnwzOG2_Wg"",""Direct Link!B2:B""),MATCH($B170,IMPORTRANGE(""1NK5L1mviMn0j3D3uo53ASkIZOFRlLnqaCTnwzOG2_Wg"",""Direct Link!A2:A""),0)),XLOOKUP($B170,IMPORTRANGE(""1NK5L1mviMn0j3D"&amp;"3uo53ASkIZOFRlLnqaCTnwzOG2_Wg"",""Direct links Without Sizes!A2:A""),IMPORTRANGE(""1NK5L1mviMn0j3D3uo53ASkIZOFRlLnqaCTnwzOG2_Wg"",""Direct links Without Sizes!B2:B""))),XLOOKUP($B170,IMPORTRANGE(""1NK5L1mviMn0j3D3uo53ASkIZOFRlLnqaCTnwzOG2_Wg"",""Direct li"&amp;"nks Without Sizes!D2:D""),IMPORTRANGE(""1NK5L1mviMn0j3D3uo53ASkIZOFRlLnqaCTnwzOG2_Wg"",""Direct links Without Sizes!E2:E""))),"""")"),"")</f>
        <v/>
      </c>
      <c r="H170" s="41"/>
      <c r="I170" s="4"/>
      <c r="J170" s="4"/>
      <c r="K170" s="10" t="str">
        <f t="shared" si="1"/>
        <v/>
      </c>
      <c r="L170" s="10"/>
      <c r="M170" s="10" t="str">
        <f t="shared" si="2"/>
        <v/>
      </c>
    </row>
    <row r="171">
      <c r="A171" s="5"/>
      <c r="B171" s="15"/>
      <c r="C171" s="7" t="str">
        <f>IFERROR(__xludf.DUMMYFUNCTION("iferror(iferror(INDEX(IMPORTRANGE(""12vtnxaE_Q1s4tyr10kZQx7ZF_xG0lBFae4jQEUtgsMU"",""All!B2:B""),MATCH($B171,IMPORTRANGE(""12vtnxaE_Q1s4tyr10kZQx7ZF_xG0lBFae4jQEUtgsMU"",""All!A2:A""),0)),INDEX(IMPORTRANGE(""13KC70HngS4DDi8y9E5khtSpQEPG6owaQ9z4E-tR5mnY"","&amp;"""Non-Food!B2:B""),MATCH($B171,IMPORTRANGE(""13KC70HngS4DDi8y9E5khtSpQEPG6owaQ9z4E-tR5mnY"",""Non-Food!A2:A""),0))),"""")"),"")</f>
        <v/>
      </c>
      <c r="D171" s="15"/>
      <c r="E171" s="15"/>
      <c r="F171" s="36"/>
      <c r="G171" s="24" t="str">
        <f>IFERROR(__xludf.DUMMYFUNCTION("iferror(iferror(iferror(index(IMPORTRANGE(""1NK5L1mviMn0j3D3uo53ASkIZOFRlLnqaCTnwzOG2_Wg"",""Direct Link!B2:B""),MATCH($B171,IMPORTRANGE(""1NK5L1mviMn0j3D3uo53ASkIZOFRlLnqaCTnwzOG2_Wg"",""Direct Link!A2:A""),0)),XLOOKUP($B171,IMPORTRANGE(""1NK5L1mviMn0j3D"&amp;"3uo53ASkIZOFRlLnqaCTnwzOG2_Wg"",""Direct links Without Sizes!A2:A""),IMPORTRANGE(""1NK5L1mviMn0j3D3uo53ASkIZOFRlLnqaCTnwzOG2_Wg"",""Direct links Without Sizes!B2:B""))),XLOOKUP($B171,IMPORTRANGE(""1NK5L1mviMn0j3D3uo53ASkIZOFRlLnqaCTnwzOG2_Wg"",""Direct li"&amp;"nks Without Sizes!D2:D""),IMPORTRANGE(""1NK5L1mviMn0j3D3uo53ASkIZOFRlLnqaCTnwzOG2_Wg"",""Direct links Without Sizes!E2:E""))),"""")"),"")</f>
        <v/>
      </c>
      <c r="H171" s="41"/>
      <c r="I171" s="4"/>
      <c r="J171" s="4"/>
      <c r="K171" s="10" t="str">
        <f t="shared" si="1"/>
        <v/>
      </c>
      <c r="L171" s="10"/>
      <c r="M171" s="10" t="str">
        <f t="shared" si="2"/>
        <v/>
      </c>
    </row>
    <row r="172">
      <c r="A172" s="5"/>
      <c r="B172" s="15"/>
      <c r="C172" s="7" t="str">
        <f>IFERROR(__xludf.DUMMYFUNCTION("iferror(iferror(INDEX(IMPORTRANGE(""12vtnxaE_Q1s4tyr10kZQx7ZF_xG0lBFae4jQEUtgsMU"",""All!B2:B""),MATCH($B172,IMPORTRANGE(""12vtnxaE_Q1s4tyr10kZQx7ZF_xG0lBFae4jQEUtgsMU"",""All!A2:A""),0)),INDEX(IMPORTRANGE(""13KC70HngS4DDi8y9E5khtSpQEPG6owaQ9z4E-tR5mnY"","&amp;"""Non-Food!B2:B""),MATCH($B172,IMPORTRANGE(""13KC70HngS4DDi8y9E5khtSpQEPG6owaQ9z4E-tR5mnY"",""Non-Food!A2:A""),0))),"""")"),"")</f>
        <v/>
      </c>
      <c r="D172" s="15"/>
      <c r="E172" s="15"/>
      <c r="F172" s="36"/>
      <c r="G172" s="24" t="str">
        <f>IFERROR(__xludf.DUMMYFUNCTION("iferror(iferror(iferror(index(IMPORTRANGE(""1NK5L1mviMn0j3D3uo53ASkIZOFRlLnqaCTnwzOG2_Wg"",""Direct Link!B2:B""),MATCH($B172,IMPORTRANGE(""1NK5L1mviMn0j3D3uo53ASkIZOFRlLnqaCTnwzOG2_Wg"",""Direct Link!A2:A""),0)),XLOOKUP($B172,IMPORTRANGE(""1NK5L1mviMn0j3D"&amp;"3uo53ASkIZOFRlLnqaCTnwzOG2_Wg"",""Direct links Without Sizes!A2:A""),IMPORTRANGE(""1NK5L1mviMn0j3D3uo53ASkIZOFRlLnqaCTnwzOG2_Wg"",""Direct links Without Sizes!B2:B""))),XLOOKUP($B172,IMPORTRANGE(""1NK5L1mviMn0j3D3uo53ASkIZOFRlLnqaCTnwzOG2_Wg"",""Direct li"&amp;"nks Without Sizes!D2:D""),IMPORTRANGE(""1NK5L1mviMn0j3D3uo53ASkIZOFRlLnqaCTnwzOG2_Wg"",""Direct links Without Sizes!E2:E""))),"""")"),"")</f>
        <v/>
      </c>
      <c r="H172" s="41"/>
      <c r="I172" s="4"/>
      <c r="J172" s="4"/>
      <c r="K172" s="10" t="str">
        <f t="shared" si="1"/>
        <v/>
      </c>
      <c r="L172" s="10"/>
      <c r="M172" s="10" t="str">
        <f t="shared" si="2"/>
        <v/>
      </c>
    </row>
    <row r="173">
      <c r="A173" s="4"/>
      <c r="B173" s="15"/>
      <c r="C173" s="7" t="str">
        <f>IFERROR(__xludf.DUMMYFUNCTION("iferror(iferror(INDEX(IMPORTRANGE(""12vtnxaE_Q1s4tyr10kZQx7ZF_xG0lBFae4jQEUtgsMU"",""All!B2:B""),MATCH($B173,IMPORTRANGE(""12vtnxaE_Q1s4tyr10kZQx7ZF_xG0lBFae4jQEUtgsMU"",""All!A2:A""),0)),INDEX(IMPORTRANGE(""13KC70HngS4DDi8y9E5khtSpQEPG6owaQ9z4E-tR5mnY"","&amp;"""Non-Food!B2:B""),MATCH($B173,IMPORTRANGE(""13KC70HngS4DDi8y9E5khtSpQEPG6owaQ9z4E-tR5mnY"",""Non-Food!A2:A""),0))),"""")"),"")</f>
        <v/>
      </c>
      <c r="D173" s="15"/>
      <c r="E173" s="15"/>
      <c r="F173" s="36"/>
      <c r="G173" s="24" t="str">
        <f>IFERROR(__xludf.DUMMYFUNCTION("iferror(iferror(iferror(index(IMPORTRANGE(""1NK5L1mviMn0j3D3uo53ASkIZOFRlLnqaCTnwzOG2_Wg"",""Direct Link!B2:B""),MATCH($B173,IMPORTRANGE(""1NK5L1mviMn0j3D3uo53ASkIZOFRlLnqaCTnwzOG2_Wg"",""Direct Link!A2:A""),0)),XLOOKUP($B173,IMPORTRANGE(""1NK5L1mviMn0j3D"&amp;"3uo53ASkIZOFRlLnqaCTnwzOG2_Wg"",""Direct links Without Sizes!A2:A""),IMPORTRANGE(""1NK5L1mviMn0j3D3uo53ASkIZOFRlLnqaCTnwzOG2_Wg"",""Direct links Without Sizes!B2:B""))),XLOOKUP($B173,IMPORTRANGE(""1NK5L1mviMn0j3D3uo53ASkIZOFRlLnqaCTnwzOG2_Wg"",""Direct li"&amp;"nks Without Sizes!D2:D""),IMPORTRANGE(""1NK5L1mviMn0j3D3uo53ASkIZOFRlLnqaCTnwzOG2_Wg"",""Direct links Without Sizes!E2:E""))),"""")"),"")</f>
        <v/>
      </c>
      <c r="H173" s="41"/>
      <c r="I173" s="4"/>
      <c r="J173" s="4"/>
      <c r="K173" s="10" t="str">
        <f t="shared" si="1"/>
        <v/>
      </c>
      <c r="L173" s="10"/>
      <c r="M173" s="10" t="str">
        <f t="shared" si="2"/>
        <v/>
      </c>
    </row>
    <row r="174">
      <c r="A174" s="4"/>
      <c r="B174" s="15"/>
      <c r="C174" s="7" t="str">
        <f>IFERROR(__xludf.DUMMYFUNCTION("iferror(iferror(INDEX(IMPORTRANGE(""12vtnxaE_Q1s4tyr10kZQx7ZF_xG0lBFae4jQEUtgsMU"",""All!B2:B""),MATCH($B174,IMPORTRANGE(""12vtnxaE_Q1s4tyr10kZQx7ZF_xG0lBFae4jQEUtgsMU"",""All!A2:A""),0)),INDEX(IMPORTRANGE(""13KC70HngS4DDi8y9E5khtSpQEPG6owaQ9z4E-tR5mnY"","&amp;"""Non-Food!B2:B""),MATCH($B174,IMPORTRANGE(""13KC70HngS4DDi8y9E5khtSpQEPG6owaQ9z4E-tR5mnY"",""Non-Food!A2:A""),0))),"""")"),"")</f>
        <v/>
      </c>
      <c r="D174" s="15"/>
      <c r="E174" s="15"/>
      <c r="F174" s="36"/>
      <c r="G174" s="24" t="str">
        <f>IFERROR(__xludf.DUMMYFUNCTION("iferror(iferror(iferror(index(IMPORTRANGE(""1NK5L1mviMn0j3D3uo53ASkIZOFRlLnqaCTnwzOG2_Wg"",""Direct Link!B2:B""),MATCH($B174,IMPORTRANGE(""1NK5L1mviMn0j3D3uo53ASkIZOFRlLnqaCTnwzOG2_Wg"",""Direct Link!A2:A""),0)),XLOOKUP($B174,IMPORTRANGE(""1NK5L1mviMn0j3D"&amp;"3uo53ASkIZOFRlLnqaCTnwzOG2_Wg"",""Direct links Without Sizes!A2:A""),IMPORTRANGE(""1NK5L1mviMn0j3D3uo53ASkIZOFRlLnqaCTnwzOG2_Wg"",""Direct links Without Sizes!B2:B""))),XLOOKUP($B174,IMPORTRANGE(""1NK5L1mviMn0j3D3uo53ASkIZOFRlLnqaCTnwzOG2_Wg"",""Direct li"&amp;"nks Without Sizes!D2:D""),IMPORTRANGE(""1NK5L1mviMn0j3D3uo53ASkIZOFRlLnqaCTnwzOG2_Wg"",""Direct links Without Sizes!E2:E""))),"""")"),"")</f>
        <v/>
      </c>
      <c r="H174" s="41"/>
      <c r="I174" s="4"/>
      <c r="J174" s="4"/>
      <c r="K174" s="10" t="str">
        <f t="shared" si="1"/>
        <v/>
      </c>
      <c r="L174" s="10"/>
      <c r="M174" s="10" t="str">
        <f t="shared" si="2"/>
        <v/>
      </c>
    </row>
    <row r="175">
      <c r="A175" s="4"/>
      <c r="B175" s="15"/>
      <c r="C175" s="7" t="str">
        <f>IFERROR(__xludf.DUMMYFUNCTION("iferror(iferror(INDEX(IMPORTRANGE(""12vtnxaE_Q1s4tyr10kZQx7ZF_xG0lBFae4jQEUtgsMU"",""All!B2:B""),MATCH($B175,IMPORTRANGE(""12vtnxaE_Q1s4tyr10kZQx7ZF_xG0lBFae4jQEUtgsMU"",""All!A2:A""),0)),INDEX(IMPORTRANGE(""13KC70HngS4DDi8y9E5khtSpQEPG6owaQ9z4E-tR5mnY"","&amp;"""Non-Food!B2:B""),MATCH($B175,IMPORTRANGE(""13KC70HngS4DDi8y9E5khtSpQEPG6owaQ9z4E-tR5mnY"",""Non-Food!A2:A""),0))),"""")"),"")</f>
        <v/>
      </c>
      <c r="D175" s="15"/>
      <c r="E175" s="15"/>
      <c r="F175" s="36"/>
      <c r="G175" s="24" t="str">
        <f>IFERROR(__xludf.DUMMYFUNCTION("iferror(iferror(iferror(index(IMPORTRANGE(""1NK5L1mviMn0j3D3uo53ASkIZOFRlLnqaCTnwzOG2_Wg"",""Direct Link!B2:B""),MATCH($B175,IMPORTRANGE(""1NK5L1mviMn0j3D3uo53ASkIZOFRlLnqaCTnwzOG2_Wg"",""Direct Link!A2:A""),0)),XLOOKUP($B175,IMPORTRANGE(""1NK5L1mviMn0j3D"&amp;"3uo53ASkIZOFRlLnqaCTnwzOG2_Wg"",""Direct links Without Sizes!A2:A""),IMPORTRANGE(""1NK5L1mviMn0j3D3uo53ASkIZOFRlLnqaCTnwzOG2_Wg"",""Direct links Without Sizes!B2:B""))),XLOOKUP($B175,IMPORTRANGE(""1NK5L1mviMn0j3D3uo53ASkIZOFRlLnqaCTnwzOG2_Wg"",""Direct li"&amp;"nks Without Sizes!D2:D""),IMPORTRANGE(""1NK5L1mviMn0j3D3uo53ASkIZOFRlLnqaCTnwzOG2_Wg"",""Direct links Without Sizes!E2:E""))),"""")"),"")</f>
        <v/>
      </c>
      <c r="H175" s="41"/>
      <c r="I175" s="4"/>
      <c r="J175" s="4"/>
      <c r="K175" s="10" t="str">
        <f t="shared" si="1"/>
        <v/>
      </c>
      <c r="L175" s="10"/>
      <c r="M175" s="10" t="str">
        <f t="shared" si="2"/>
        <v/>
      </c>
    </row>
    <row r="176">
      <c r="A176" s="4"/>
      <c r="B176" s="15"/>
      <c r="C176" s="7" t="str">
        <f>IFERROR(__xludf.DUMMYFUNCTION("iferror(iferror(INDEX(IMPORTRANGE(""12vtnxaE_Q1s4tyr10kZQx7ZF_xG0lBFae4jQEUtgsMU"",""All!B2:B""),MATCH($B176,IMPORTRANGE(""12vtnxaE_Q1s4tyr10kZQx7ZF_xG0lBFae4jQEUtgsMU"",""All!A2:A""),0)),INDEX(IMPORTRANGE(""13KC70HngS4DDi8y9E5khtSpQEPG6owaQ9z4E-tR5mnY"","&amp;"""Non-Food!B2:B""),MATCH($B176,IMPORTRANGE(""13KC70HngS4DDi8y9E5khtSpQEPG6owaQ9z4E-tR5mnY"",""Non-Food!A2:A""),0))),"""")"),"")</f>
        <v/>
      </c>
      <c r="D176" s="15"/>
      <c r="E176" s="15"/>
      <c r="F176" s="36"/>
      <c r="G176" s="24" t="str">
        <f>IFERROR(__xludf.DUMMYFUNCTION("iferror(iferror(iferror(index(IMPORTRANGE(""1NK5L1mviMn0j3D3uo53ASkIZOFRlLnqaCTnwzOG2_Wg"",""Direct Link!B2:B""),MATCH($B176,IMPORTRANGE(""1NK5L1mviMn0j3D3uo53ASkIZOFRlLnqaCTnwzOG2_Wg"",""Direct Link!A2:A""),0)),XLOOKUP($B176,IMPORTRANGE(""1NK5L1mviMn0j3D"&amp;"3uo53ASkIZOFRlLnqaCTnwzOG2_Wg"",""Direct links Without Sizes!A2:A""),IMPORTRANGE(""1NK5L1mviMn0j3D3uo53ASkIZOFRlLnqaCTnwzOG2_Wg"",""Direct links Without Sizes!B2:B""))),XLOOKUP($B176,IMPORTRANGE(""1NK5L1mviMn0j3D3uo53ASkIZOFRlLnqaCTnwzOG2_Wg"",""Direct li"&amp;"nks Without Sizes!D2:D""),IMPORTRANGE(""1NK5L1mviMn0j3D3uo53ASkIZOFRlLnqaCTnwzOG2_Wg"",""Direct links Without Sizes!E2:E""))),"""")"),"")</f>
        <v/>
      </c>
      <c r="H176" s="41"/>
      <c r="I176" s="4"/>
      <c r="J176" s="4"/>
      <c r="K176" s="10" t="str">
        <f t="shared" si="1"/>
        <v/>
      </c>
      <c r="L176" s="10"/>
      <c r="M176" s="10" t="str">
        <f t="shared" si="2"/>
        <v/>
      </c>
    </row>
    <row r="177">
      <c r="A177" s="4"/>
      <c r="B177" s="15"/>
      <c r="C177" s="7" t="str">
        <f>IFERROR(__xludf.DUMMYFUNCTION("iferror(iferror(INDEX(IMPORTRANGE(""12vtnxaE_Q1s4tyr10kZQx7ZF_xG0lBFae4jQEUtgsMU"",""All!B2:B""),MATCH($B177,IMPORTRANGE(""12vtnxaE_Q1s4tyr10kZQx7ZF_xG0lBFae4jQEUtgsMU"",""All!A2:A""),0)),INDEX(IMPORTRANGE(""13KC70HngS4DDi8y9E5khtSpQEPG6owaQ9z4E-tR5mnY"","&amp;"""Non-Food!B2:B""),MATCH($B177,IMPORTRANGE(""13KC70HngS4DDi8y9E5khtSpQEPG6owaQ9z4E-tR5mnY"",""Non-Food!A2:A""),0))),"""")"),"")</f>
        <v/>
      </c>
      <c r="D177" s="15"/>
      <c r="E177" s="15"/>
      <c r="F177" s="36"/>
      <c r="G177" s="24" t="str">
        <f>IFERROR(__xludf.DUMMYFUNCTION("iferror(iferror(iferror(index(IMPORTRANGE(""1NK5L1mviMn0j3D3uo53ASkIZOFRlLnqaCTnwzOG2_Wg"",""Direct Link!B2:B""),MATCH($B177,IMPORTRANGE(""1NK5L1mviMn0j3D3uo53ASkIZOFRlLnqaCTnwzOG2_Wg"",""Direct Link!A2:A""),0)),XLOOKUP($B177,IMPORTRANGE(""1NK5L1mviMn0j3D"&amp;"3uo53ASkIZOFRlLnqaCTnwzOG2_Wg"",""Direct links Without Sizes!A2:A""),IMPORTRANGE(""1NK5L1mviMn0j3D3uo53ASkIZOFRlLnqaCTnwzOG2_Wg"",""Direct links Without Sizes!B2:B""))),XLOOKUP($B177,IMPORTRANGE(""1NK5L1mviMn0j3D3uo53ASkIZOFRlLnqaCTnwzOG2_Wg"",""Direct li"&amp;"nks Without Sizes!D2:D""),IMPORTRANGE(""1NK5L1mviMn0j3D3uo53ASkIZOFRlLnqaCTnwzOG2_Wg"",""Direct links Without Sizes!E2:E""))),"""")"),"")</f>
        <v/>
      </c>
      <c r="H177" s="41"/>
      <c r="I177" s="4"/>
      <c r="J177" s="4"/>
      <c r="K177" s="10" t="str">
        <f t="shared" si="1"/>
        <v/>
      </c>
      <c r="L177" s="10"/>
      <c r="M177" s="10" t="str">
        <f t="shared" si="2"/>
        <v/>
      </c>
    </row>
    <row r="178">
      <c r="A178" s="4"/>
      <c r="B178" s="15"/>
      <c r="C178" s="7" t="str">
        <f>IFERROR(__xludf.DUMMYFUNCTION("iferror(iferror(INDEX(IMPORTRANGE(""12vtnxaE_Q1s4tyr10kZQx7ZF_xG0lBFae4jQEUtgsMU"",""All!B2:B""),MATCH($B178,IMPORTRANGE(""12vtnxaE_Q1s4tyr10kZQx7ZF_xG0lBFae4jQEUtgsMU"",""All!A2:A""),0)),INDEX(IMPORTRANGE(""13KC70HngS4DDi8y9E5khtSpQEPG6owaQ9z4E-tR5mnY"","&amp;"""Non-Food!B2:B""),MATCH($B178,IMPORTRANGE(""13KC70HngS4DDi8y9E5khtSpQEPG6owaQ9z4E-tR5mnY"",""Non-Food!A2:A""),0))),"""")"),"")</f>
        <v/>
      </c>
      <c r="D178" s="15"/>
      <c r="E178" s="15"/>
      <c r="F178" s="36"/>
      <c r="G178" s="24" t="str">
        <f>IFERROR(__xludf.DUMMYFUNCTION("iferror(iferror(iferror(index(IMPORTRANGE(""1NK5L1mviMn0j3D3uo53ASkIZOFRlLnqaCTnwzOG2_Wg"",""Direct Link!B2:B""),MATCH($B178,IMPORTRANGE(""1NK5L1mviMn0j3D3uo53ASkIZOFRlLnqaCTnwzOG2_Wg"",""Direct Link!A2:A""),0)),XLOOKUP($B178,IMPORTRANGE(""1NK5L1mviMn0j3D"&amp;"3uo53ASkIZOFRlLnqaCTnwzOG2_Wg"",""Direct links Without Sizes!A2:A""),IMPORTRANGE(""1NK5L1mviMn0j3D3uo53ASkIZOFRlLnqaCTnwzOG2_Wg"",""Direct links Without Sizes!B2:B""))),XLOOKUP($B178,IMPORTRANGE(""1NK5L1mviMn0j3D3uo53ASkIZOFRlLnqaCTnwzOG2_Wg"",""Direct li"&amp;"nks Without Sizes!D2:D""),IMPORTRANGE(""1NK5L1mviMn0j3D3uo53ASkIZOFRlLnqaCTnwzOG2_Wg"",""Direct links Without Sizes!E2:E""))),"""")"),"")</f>
        <v/>
      </c>
      <c r="H178" s="41"/>
      <c r="I178" s="4"/>
      <c r="J178" s="4"/>
      <c r="K178" s="10" t="str">
        <f t="shared" si="1"/>
        <v/>
      </c>
      <c r="L178" s="10"/>
      <c r="M178" s="10" t="str">
        <f t="shared" si="2"/>
        <v/>
      </c>
    </row>
    <row r="179">
      <c r="A179" s="4"/>
      <c r="B179" s="15"/>
      <c r="C179" s="7" t="str">
        <f>IFERROR(__xludf.DUMMYFUNCTION("iferror(iferror(INDEX(IMPORTRANGE(""12vtnxaE_Q1s4tyr10kZQx7ZF_xG0lBFae4jQEUtgsMU"",""All!B2:B""),MATCH($B179,IMPORTRANGE(""12vtnxaE_Q1s4tyr10kZQx7ZF_xG0lBFae4jQEUtgsMU"",""All!A2:A""),0)),INDEX(IMPORTRANGE(""13KC70HngS4DDi8y9E5khtSpQEPG6owaQ9z4E-tR5mnY"","&amp;"""Non-Food!B2:B""),MATCH($B179,IMPORTRANGE(""13KC70HngS4DDi8y9E5khtSpQEPG6owaQ9z4E-tR5mnY"",""Non-Food!A2:A""),0))),"""")"),"")</f>
        <v/>
      </c>
      <c r="D179" s="15"/>
      <c r="E179" s="15"/>
      <c r="F179" s="36"/>
      <c r="G179" s="24" t="str">
        <f>IFERROR(__xludf.DUMMYFUNCTION("iferror(iferror(iferror(index(IMPORTRANGE(""1NK5L1mviMn0j3D3uo53ASkIZOFRlLnqaCTnwzOG2_Wg"",""Direct Link!B2:B""),MATCH($B179,IMPORTRANGE(""1NK5L1mviMn0j3D3uo53ASkIZOFRlLnqaCTnwzOG2_Wg"",""Direct Link!A2:A""),0)),XLOOKUP($B179,IMPORTRANGE(""1NK5L1mviMn0j3D"&amp;"3uo53ASkIZOFRlLnqaCTnwzOG2_Wg"",""Direct links Without Sizes!A2:A""),IMPORTRANGE(""1NK5L1mviMn0j3D3uo53ASkIZOFRlLnqaCTnwzOG2_Wg"",""Direct links Without Sizes!B2:B""))),XLOOKUP($B179,IMPORTRANGE(""1NK5L1mviMn0j3D3uo53ASkIZOFRlLnqaCTnwzOG2_Wg"",""Direct li"&amp;"nks Without Sizes!D2:D""),IMPORTRANGE(""1NK5L1mviMn0j3D3uo53ASkIZOFRlLnqaCTnwzOG2_Wg"",""Direct links Without Sizes!E2:E""))),"""")"),"")</f>
        <v/>
      </c>
      <c r="H179" s="41"/>
      <c r="I179" s="4"/>
      <c r="J179" s="4"/>
      <c r="K179" s="10" t="str">
        <f t="shared" si="1"/>
        <v/>
      </c>
      <c r="L179" s="10"/>
      <c r="M179" s="10" t="str">
        <f t="shared" si="2"/>
        <v/>
      </c>
    </row>
    <row r="180">
      <c r="A180" s="4"/>
      <c r="B180" s="15"/>
      <c r="C180" s="7" t="str">
        <f>IFERROR(__xludf.DUMMYFUNCTION("iferror(iferror(INDEX(IMPORTRANGE(""12vtnxaE_Q1s4tyr10kZQx7ZF_xG0lBFae4jQEUtgsMU"",""All!B2:B""),MATCH($B180,IMPORTRANGE(""12vtnxaE_Q1s4tyr10kZQx7ZF_xG0lBFae4jQEUtgsMU"",""All!A2:A""),0)),INDEX(IMPORTRANGE(""13KC70HngS4DDi8y9E5khtSpQEPG6owaQ9z4E-tR5mnY"","&amp;"""Non-Food!B2:B""),MATCH($B180,IMPORTRANGE(""13KC70HngS4DDi8y9E5khtSpQEPG6owaQ9z4E-tR5mnY"",""Non-Food!A2:A""),0))),"""")"),"")</f>
        <v/>
      </c>
      <c r="D180" s="15"/>
      <c r="E180" s="15"/>
      <c r="F180" s="36"/>
      <c r="G180" s="24" t="str">
        <f>IFERROR(__xludf.DUMMYFUNCTION("iferror(iferror(iferror(index(IMPORTRANGE(""1NK5L1mviMn0j3D3uo53ASkIZOFRlLnqaCTnwzOG2_Wg"",""Direct Link!B2:B""),MATCH($B180,IMPORTRANGE(""1NK5L1mviMn0j3D3uo53ASkIZOFRlLnqaCTnwzOG2_Wg"",""Direct Link!A2:A""),0)),XLOOKUP($B180,IMPORTRANGE(""1NK5L1mviMn0j3D"&amp;"3uo53ASkIZOFRlLnqaCTnwzOG2_Wg"",""Direct links Without Sizes!A2:A""),IMPORTRANGE(""1NK5L1mviMn0j3D3uo53ASkIZOFRlLnqaCTnwzOG2_Wg"",""Direct links Without Sizes!B2:B""))),XLOOKUP($B180,IMPORTRANGE(""1NK5L1mviMn0j3D3uo53ASkIZOFRlLnqaCTnwzOG2_Wg"",""Direct li"&amp;"nks Without Sizes!D2:D""),IMPORTRANGE(""1NK5L1mviMn0j3D3uo53ASkIZOFRlLnqaCTnwzOG2_Wg"",""Direct links Without Sizes!E2:E""))),"""")"),"")</f>
        <v/>
      </c>
      <c r="H180" s="41"/>
      <c r="I180" s="4"/>
      <c r="J180" s="4"/>
      <c r="K180" s="10" t="str">
        <f t="shared" si="1"/>
        <v/>
      </c>
      <c r="L180" s="10"/>
      <c r="M180" s="10" t="str">
        <f t="shared" si="2"/>
        <v/>
      </c>
    </row>
    <row r="181">
      <c r="A181" s="4"/>
      <c r="B181" s="15"/>
      <c r="C181" s="7" t="str">
        <f>IFERROR(__xludf.DUMMYFUNCTION("iferror(iferror(INDEX(IMPORTRANGE(""12vtnxaE_Q1s4tyr10kZQx7ZF_xG0lBFae4jQEUtgsMU"",""All!B2:B""),MATCH($B181,IMPORTRANGE(""12vtnxaE_Q1s4tyr10kZQx7ZF_xG0lBFae4jQEUtgsMU"",""All!A2:A""),0)),INDEX(IMPORTRANGE(""13KC70HngS4DDi8y9E5khtSpQEPG6owaQ9z4E-tR5mnY"","&amp;"""Non-Food!B2:B""),MATCH($B181,IMPORTRANGE(""13KC70HngS4DDi8y9E5khtSpQEPG6owaQ9z4E-tR5mnY"",""Non-Food!A2:A""),0))),"""")"),"")</f>
        <v/>
      </c>
      <c r="D181" s="15"/>
      <c r="E181" s="15"/>
      <c r="F181" s="36"/>
      <c r="G181" s="24" t="str">
        <f>IFERROR(__xludf.DUMMYFUNCTION("iferror(iferror(iferror(index(IMPORTRANGE(""1NK5L1mviMn0j3D3uo53ASkIZOFRlLnqaCTnwzOG2_Wg"",""Direct Link!B2:B""),MATCH($B181,IMPORTRANGE(""1NK5L1mviMn0j3D3uo53ASkIZOFRlLnqaCTnwzOG2_Wg"",""Direct Link!A2:A""),0)),XLOOKUP($B181,IMPORTRANGE(""1NK5L1mviMn0j3D"&amp;"3uo53ASkIZOFRlLnqaCTnwzOG2_Wg"",""Direct links Without Sizes!A2:A""),IMPORTRANGE(""1NK5L1mviMn0j3D3uo53ASkIZOFRlLnqaCTnwzOG2_Wg"",""Direct links Without Sizes!B2:B""))),XLOOKUP($B181,IMPORTRANGE(""1NK5L1mviMn0j3D3uo53ASkIZOFRlLnqaCTnwzOG2_Wg"",""Direct li"&amp;"nks Without Sizes!D2:D""),IMPORTRANGE(""1NK5L1mviMn0j3D3uo53ASkIZOFRlLnqaCTnwzOG2_Wg"",""Direct links Without Sizes!E2:E""))),"""")"),"")</f>
        <v/>
      </c>
      <c r="H181" s="41"/>
      <c r="I181" s="4"/>
      <c r="J181" s="4"/>
      <c r="K181" s="10" t="str">
        <f t="shared" si="1"/>
        <v/>
      </c>
      <c r="L181" s="10"/>
      <c r="M181" s="10" t="str">
        <f t="shared" si="2"/>
        <v/>
      </c>
    </row>
    <row r="182">
      <c r="A182" s="4"/>
      <c r="B182" s="15"/>
      <c r="C182" s="7" t="str">
        <f>IFERROR(__xludf.DUMMYFUNCTION("iferror(iferror(INDEX(IMPORTRANGE(""12vtnxaE_Q1s4tyr10kZQx7ZF_xG0lBFae4jQEUtgsMU"",""All!B2:B""),MATCH($B182,IMPORTRANGE(""12vtnxaE_Q1s4tyr10kZQx7ZF_xG0lBFae4jQEUtgsMU"",""All!A2:A""),0)),INDEX(IMPORTRANGE(""13KC70HngS4DDi8y9E5khtSpQEPG6owaQ9z4E-tR5mnY"","&amp;"""Non-Food!B2:B""),MATCH($B182,IMPORTRANGE(""13KC70HngS4DDi8y9E5khtSpQEPG6owaQ9z4E-tR5mnY"",""Non-Food!A2:A""),0))),"""")"),"")</f>
        <v/>
      </c>
      <c r="D182" s="15"/>
      <c r="E182" s="15"/>
      <c r="F182" s="36"/>
      <c r="G182" s="24" t="str">
        <f>IFERROR(__xludf.DUMMYFUNCTION("iferror(iferror(iferror(index(IMPORTRANGE(""1NK5L1mviMn0j3D3uo53ASkIZOFRlLnqaCTnwzOG2_Wg"",""Direct Link!B2:B""),MATCH($B182,IMPORTRANGE(""1NK5L1mviMn0j3D3uo53ASkIZOFRlLnqaCTnwzOG2_Wg"",""Direct Link!A2:A""),0)),XLOOKUP($B182,IMPORTRANGE(""1NK5L1mviMn0j3D"&amp;"3uo53ASkIZOFRlLnqaCTnwzOG2_Wg"",""Direct links Without Sizes!A2:A""),IMPORTRANGE(""1NK5L1mviMn0j3D3uo53ASkIZOFRlLnqaCTnwzOG2_Wg"",""Direct links Without Sizes!B2:B""))),XLOOKUP($B182,IMPORTRANGE(""1NK5L1mviMn0j3D3uo53ASkIZOFRlLnqaCTnwzOG2_Wg"",""Direct li"&amp;"nks Without Sizes!D2:D""),IMPORTRANGE(""1NK5L1mviMn0j3D3uo53ASkIZOFRlLnqaCTnwzOG2_Wg"",""Direct links Without Sizes!E2:E""))),"""")"),"")</f>
        <v/>
      </c>
      <c r="H182" s="41"/>
      <c r="I182" s="4"/>
      <c r="J182" s="4"/>
      <c r="K182" s="10" t="str">
        <f t="shared" si="1"/>
        <v/>
      </c>
      <c r="L182" s="10"/>
      <c r="M182" s="10" t="str">
        <f t="shared" si="2"/>
        <v/>
      </c>
    </row>
    <row r="183">
      <c r="A183" s="4"/>
      <c r="B183" s="15"/>
      <c r="C183" s="7" t="str">
        <f>IFERROR(__xludf.DUMMYFUNCTION("iferror(iferror(INDEX(IMPORTRANGE(""12vtnxaE_Q1s4tyr10kZQx7ZF_xG0lBFae4jQEUtgsMU"",""All!B2:B""),MATCH($B183,IMPORTRANGE(""12vtnxaE_Q1s4tyr10kZQx7ZF_xG0lBFae4jQEUtgsMU"",""All!A2:A""),0)),INDEX(IMPORTRANGE(""13KC70HngS4DDi8y9E5khtSpQEPG6owaQ9z4E-tR5mnY"","&amp;"""Non-Food!B2:B""),MATCH($B183,IMPORTRANGE(""13KC70HngS4DDi8y9E5khtSpQEPG6owaQ9z4E-tR5mnY"",""Non-Food!A2:A""),0))),"""")"),"")</f>
        <v/>
      </c>
      <c r="D183" s="15"/>
      <c r="E183" s="15"/>
      <c r="F183" s="36"/>
      <c r="G183" s="24" t="str">
        <f>IFERROR(__xludf.DUMMYFUNCTION("iferror(iferror(iferror(index(IMPORTRANGE(""1NK5L1mviMn0j3D3uo53ASkIZOFRlLnqaCTnwzOG2_Wg"",""Direct Link!B2:B""),MATCH($B183,IMPORTRANGE(""1NK5L1mviMn0j3D3uo53ASkIZOFRlLnqaCTnwzOG2_Wg"",""Direct Link!A2:A""),0)),XLOOKUP($B183,IMPORTRANGE(""1NK5L1mviMn0j3D"&amp;"3uo53ASkIZOFRlLnqaCTnwzOG2_Wg"",""Direct links Without Sizes!A2:A""),IMPORTRANGE(""1NK5L1mviMn0j3D3uo53ASkIZOFRlLnqaCTnwzOG2_Wg"",""Direct links Without Sizes!B2:B""))),XLOOKUP($B183,IMPORTRANGE(""1NK5L1mviMn0j3D3uo53ASkIZOFRlLnqaCTnwzOG2_Wg"",""Direct li"&amp;"nks Without Sizes!D2:D""),IMPORTRANGE(""1NK5L1mviMn0j3D3uo53ASkIZOFRlLnqaCTnwzOG2_Wg"",""Direct links Without Sizes!E2:E""))),"""")"),"")</f>
        <v/>
      </c>
      <c r="H183" s="41"/>
      <c r="I183" s="4"/>
      <c r="J183" s="4"/>
      <c r="K183" s="10" t="str">
        <f t="shared" si="1"/>
        <v/>
      </c>
      <c r="L183" s="10"/>
      <c r="M183" s="10" t="str">
        <f t="shared" si="2"/>
        <v/>
      </c>
    </row>
    <row r="184">
      <c r="A184" s="4"/>
      <c r="B184" s="15"/>
      <c r="C184" s="7" t="str">
        <f>IFERROR(__xludf.DUMMYFUNCTION("iferror(iferror(INDEX(IMPORTRANGE(""12vtnxaE_Q1s4tyr10kZQx7ZF_xG0lBFae4jQEUtgsMU"",""All!B2:B""),MATCH($B184,IMPORTRANGE(""12vtnxaE_Q1s4tyr10kZQx7ZF_xG0lBFae4jQEUtgsMU"",""All!A2:A""),0)),INDEX(IMPORTRANGE(""13KC70HngS4DDi8y9E5khtSpQEPG6owaQ9z4E-tR5mnY"","&amp;"""Non-Food!B2:B""),MATCH($B184,IMPORTRANGE(""13KC70HngS4DDi8y9E5khtSpQEPG6owaQ9z4E-tR5mnY"",""Non-Food!A2:A""),0))),"""")"),"")</f>
        <v/>
      </c>
      <c r="D184" s="15"/>
      <c r="E184" s="15"/>
      <c r="F184" s="36"/>
      <c r="G184" s="24" t="str">
        <f>IFERROR(__xludf.DUMMYFUNCTION("iferror(iferror(iferror(index(IMPORTRANGE(""1NK5L1mviMn0j3D3uo53ASkIZOFRlLnqaCTnwzOG2_Wg"",""Direct Link!B2:B""),MATCH($B184,IMPORTRANGE(""1NK5L1mviMn0j3D3uo53ASkIZOFRlLnqaCTnwzOG2_Wg"",""Direct Link!A2:A""),0)),XLOOKUP($B184,IMPORTRANGE(""1NK5L1mviMn0j3D"&amp;"3uo53ASkIZOFRlLnqaCTnwzOG2_Wg"",""Direct links Without Sizes!A2:A""),IMPORTRANGE(""1NK5L1mviMn0j3D3uo53ASkIZOFRlLnqaCTnwzOG2_Wg"",""Direct links Without Sizes!B2:B""))),XLOOKUP($B184,IMPORTRANGE(""1NK5L1mviMn0j3D3uo53ASkIZOFRlLnqaCTnwzOG2_Wg"",""Direct li"&amp;"nks Without Sizes!D2:D""),IMPORTRANGE(""1NK5L1mviMn0j3D3uo53ASkIZOFRlLnqaCTnwzOG2_Wg"",""Direct links Without Sizes!E2:E""))),"""")"),"")</f>
        <v/>
      </c>
      <c r="H184" s="41"/>
      <c r="I184" s="4"/>
      <c r="J184" s="4"/>
      <c r="K184" s="10" t="str">
        <f t="shared" si="1"/>
        <v/>
      </c>
      <c r="L184" s="10"/>
      <c r="M184" s="10" t="str">
        <f t="shared" si="2"/>
        <v/>
      </c>
    </row>
    <row r="185">
      <c r="A185" s="4"/>
      <c r="B185" s="15"/>
      <c r="C185" s="7" t="str">
        <f>IFERROR(__xludf.DUMMYFUNCTION("iferror(iferror(INDEX(IMPORTRANGE(""12vtnxaE_Q1s4tyr10kZQx7ZF_xG0lBFae4jQEUtgsMU"",""All!B2:B""),MATCH($B185,IMPORTRANGE(""12vtnxaE_Q1s4tyr10kZQx7ZF_xG0lBFae4jQEUtgsMU"",""All!A2:A""),0)),INDEX(IMPORTRANGE(""13KC70HngS4DDi8y9E5khtSpQEPG6owaQ9z4E-tR5mnY"","&amp;"""Non-Food!B2:B""),MATCH($B185,IMPORTRANGE(""13KC70HngS4DDi8y9E5khtSpQEPG6owaQ9z4E-tR5mnY"",""Non-Food!A2:A""),0))),"""")"),"")</f>
        <v/>
      </c>
      <c r="D185" s="15"/>
      <c r="E185" s="15"/>
      <c r="F185" s="36"/>
      <c r="G185" s="24" t="str">
        <f>IFERROR(__xludf.DUMMYFUNCTION("iferror(iferror(iferror(index(IMPORTRANGE(""1NK5L1mviMn0j3D3uo53ASkIZOFRlLnqaCTnwzOG2_Wg"",""Direct Link!B2:B""),MATCH($B185,IMPORTRANGE(""1NK5L1mviMn0j3D3uo53ASkIZOFRlLnqaCTnwzOG2_Wg"",""Direct Link!A2:A""),0)),XLOOKUP($B185,IMPORTRANGE(""1NK5L1mviMn0j3D"&amp;"3uo53ASkIZOFRlLnqaCTnwzOG2_Wg"",""Direct links Without Sizes!A2:A""),IMPORTRANGE(""1NK5L1mviMn0j3D3uo53ASkIZOFRlLnqaCTnwzOG2_Wg"",""Direct links Without Sizes!B2:B""))),XLOOKUP($B185,IMPORTRANGE(""1NK5L1mviMn0j3D3uo53ASkIZOFRlLnqaCTnwzOG2_Wg"",""Direct li"&amp;"nks Without Sizes!D2:D""),IMPORTRANGE(""1NK5L1mviMn0j3D3uo53ASkIZOFRlLnqaCTnwzOG2_Wg"",""Direct links Without Sizes!E2:E""))),"""")"),"")</f>
        <v/>
      </c>
      <c r="H185" s="41"/>
      <c r="I185" s="4"/>
      <c r="J185" s="4"/>
      <c r="K185" s="10" t="str">
        <f t="shared" si="1"/>
        <v/>
      </c>
      <c r="L185" s="10"/>
      <c r="M185" s="10" t="str">
        <f t="shared" si="2"/>
        <v/>
      </c>
    </row>
    <row r="186">
      <c r="A186" s="4"/>
      <c r="B186" s="15"/>
      <c r="C186" s="7" t="str">
        <f>IFERROR(__xludf.DUMMYFUNCTION("iferror(iferror(INDEX(IMPORTRANGE(""12vtnxaE_Q1s4tyr10kZQx7ZF_xG0lBFae4jQEUtgsMU"",""All!B2:B""),MATCH($B186,IMPORTRANGE(""12vtnxaE_Q1s4tyr10kZQx7ZF_xG0lBFae4jQEUtgsMU"",""All!A2:A""),0)),INDEX(IMPORTRANGE(""13KC70HngS4DDi8y9E5khtSpQEPG6owaQ9z4E-tR5mnY"","&amp;"""Non-Food!B2:B""),MATCH($B186,IMPORTRANGE(""13KC70HngS4DDi8y9E5khtSpQEPG6owaQ9z4E-tR5mnY"",""Non-Food!A2:A""),0))),"""")"),"")</f>
        <v/>
      </c>
      <c r="D186" s="15"/>
      <c r="E186" s="15"/>
      <c r="F186" s="36"/>
      <c r="G186" s="24" t="str">
        <f>IFERROR(__xludf.DUMMYFUNCTION("iferror(iferror(iferror(index(IMPORTRANGE(""1NK5L1mviMn0j3D3uo53ASkIZOFRlLnqaCTnwzOG2_Wg"",""Direct Link!B2:B""),MATCH($B186,IMPORTRANGE(""1NK5L1mviMn0j3D3uo53ASkIZOFRlLnqaCTnwzOG2_Wg"",""Direct Link!A2:A""),0)),XLOOKUP($B186,IMPORTRANGE(""1NK5L1mviMn0j3D"&amp;"3uo53ASkIZOFRlLnqaCTnwzOG2_Wg"",""Direct links Without Sizes!A2:A""),IMPORTRANGE(""1NK5L1mviMn0j3D3uo53ASkIZOFRlLnqaCTnwzOG2_Wg"",""Direct links Without Sizes!B2:B""))),XLOOKUP($B186,IMPORTRANGE(""1NK5L1mviMn0j3D3uo53ASkIZOFRlLnqaCTnwzOG2_Wg"",""Direct li"&amp;"nks Without Sizes!D2:D""),IMPORTRANGE(""1NK5L1mviMn0j3D3uo53ASkIZOFRlLnqaCTnwzOG2_Wg"",""Direct links Without Sizes!E2:E""))),"""")"),"")</f>
        <v/>
      </c>
      <c r="H186" s="41"/>
      <c r="I186" s="4"/>
      <c r="J186" s="4"/>
      <c r="K186" s="10" t="str">
        <f t="shared" si="1"/>
        <v/>
      </c>
      <c r="L186" s="10"/>
      <c r="M186" s="10" t="str">
        <f t="shared" si="2"/>
        <v/>
      </c>
    </row>
    <row r="187">
      <c r="A187" s="4"/>
      <c r="B187" s="15"/>
      <c r="C187" s="7" t="str">
        <f>IFERROR(__xludf.DUMMYFUNCTION("iferror(iferror(INDEX(IMPORTRANGE(""12vtnxaE_Q1s4tyr10kZQx7ZF_xG0lBFae4jQEUtgsMU"",""All!B2:B""),MATCH($B187,IMPORTRANGE(""12vtnxaE_Q1s4tyr10kZQx7ZF_xG0lBFae4jQEUtgsMU"",""All!A2:A""),0)),INDEX(IMPORTRANGE(""13KC70HngS4DDi8y9E5khtSpQEPG6owaQ9z4E-tR5mnY"","&amp;"""Non-Food!B2:B""),MATCH($B187,IMPORTRANGE(""13KC70HngS4DDi8y9E5khtSpQEPG6owaQ9z4E-tR5mnY"",""Non-Food!A2:A""),0))),"""")"),"")</f>
        <v/>
      </c>
      <c r="D187" s="15"/>
      <c r="E187" s="15"/>
      <c r="F187" s="36"/>
      <c r="G187" s="24" t="str">
        <f>IFERROR(__xludf.DUMMYFUNCTION("iferror(iferror(iferror(index(IMPORTRANGE(""1NK5L1mviMn0j3D3uo53ASkIZOFRlLnqaCTnwzOG2_Wg"",""Direct Link!B2:B""),MATCH($B187,IMPORTRANGE(""1NK5L1mviMn0j3D3uo53ASkIZOFRlLnqaCTnwzOG2_Wg"",""Direct Link!A2:A""),0)),XLOOKUP($B187,IMPORTRANGE(""1NK5L1mviMn0j3D"&amp;"3uo53ASkIZOFRlLnqaCTnwzOG2_Wg"",""Direct links Without Sizes!A2:A""),IMPORTRANGE(""1NK5L1mviMn0j3D3uo53ASkIZOFRlLnqaCTnwzOG2_Wg"",""Direct links Without Sizes!B2:B""))),XLOOKUP($B187,IMPORTRANGE(""1NK5L1mviMn0j3D3uo53ASkIZOFRlLnqaCTnwzOG2_Wg"",""Direct li"&amp;"nks Without Sizes!D2:D""),IMPORTRANGE(""1NK5L1mviMn0j3D3uo53ASkIZOFRlLnqaCTnwzOG2_Wg"",""Direct links Without Sizes!E2:E""))),"""")"),"")</f>
        <v/>
      </c>
      <c r="H187" s="41"/>
      <c r="I187" s="4"/>
      <c r="J187" s="4"/>
      <c r="K187" s="10" t="str">
        <f t="shared" si="1"/>
        <v/>
      </c>
      <c r="L187" s="10"/>
      <c r="M187" s="10" t="str">
        <f t="shared" si="2"/>
        <v/>
      </c>
    </row>
    <row r="188">
      <c r="A188" s="4"/>
      <c r="B188" s="15"/>
      <c r="C188" s="7" t="str">
        <f>IFERROR(__xludf.DUMMYFUNCTION("iferror(iferror(INDEX(IMPORTRANGE(""12vtnxaE_Q1s4tyr10kZQx7ZF_xG0lBFae4jQEUtgsMU"",""All!B2:B""),MATCH($B188,IMPORTRANGE(""12vtnxaE_Q1s4tyr10kZQx7ZF_xG0lBFae4jQEUtgsMU"",""All!A2:A""),0)),INDEX(IMPORTRANGE(""13KC70HngS4DDi8y9E5khtSpQEPG6owaQ9z4E-tR5mnY"","&amp;"""Non-Food!B2:B""),MATCH($B188,IMPORTRANGE(""13KC70HngS4DDi8y9E5khtSpQEPG6owaQ9z4E-tR5mnY"",""Non-Food!A2:A""),0))),"""")"),"")</f>
        <v/>
      </c>
      <c r="D188" s="15"/>
      <c r="E188" s="15"/>
      <c r="F188" s="36"/>
      <c r="G188" s="24" t="str">
        <f>IFERROR(__xludf.DUMMYFUNCTION("iferror(iferror(iferror(index(IMPORTRANGE(""1NK5L1mviMn0j3D3uo53ASkIZOFRlLnqaCTnwzOG2_Wg"",""Direct Link!B2:B""),MATCH($B188,IMPORTRANGE(""1NK5L1mviMn0j3D3uo53ASkIZOFRlLnqaCTnwzOG2_Wg"",""Direct Link!A2:A""),0)),XLOOKUP($B188,IMPORTRANGE(""1NK5L1mviMn0j3D"&amp;"3uo53ASkIZOFRlLnqaCTnwzOG2_Wg"",""Direct links Without Sizes!A2:A""),IMPORTRANGE(""1NK5L1mviMn0j3D3uo53ASkIZOFRlLnqaCTnwzOG2_Wg"",""Direct links Without Sizes!B2:B""))),XLOOKUP($B188,IMPORTRANGE(""1NK5L1mviMn0j3D3uo53ASkIZOFRlLnqaCTnwzOG2_Wg"",""Direct li"&amp;"nks Without Sizes!D2:D""),IMPORTRANGE(""1NK5L1mviMn0j3D3uo53ASkIZOFRlLnqaCTnwzOG2_Wg"",""Direct links Without Sizes!E2:E""))),"""")"),"")</f>
        <v/>
      </c>
      <c r="H188" s="41"/>
      <c r="I188" s="4"/>
      <c r="J188" s="4"/>
      <c r="K188" s="10" t="str">
        <f t="shared" si="1"/>
        <v/>
      </c>
      <c r="L188" s="10"/>
      <c r="M188" s="10" t="str">
        <f t="shared" si="2"/>
        <v/>
      </c>
    </row>
    <row r="189">
      <c r="A189" s="4"/>
      <c r="B189" s="15"/>
      <c r="C189" s="7" t="str">
        <f>IFERROR(__xludf.DUMMYFUNCTION("iferror(iferror(INDEX(IMPORTRANGE(""12vtnxaE_Q1s4tyr10kZQx7ZF_xG0lBFae4jQEUtgsMU"",""All!B2:B""),MATCH($B189,IMPORTRANGE(""12vtnxaE_Q1s4tyr10kZQx7ZF_xG0lBFae4jQEUtgsMU"",""All!A2:A""),0)),INDEX(IMPORTRANGE(""13KC70HngS4DDi8y9E5khtSpQEPG6owaQ9z4E-tR5mnY"","&amp;"""Non-Food!B2:B""),MATCH($B189,IMPORTRANGE(""13KC70HngS4DDi8y9E5khtSpQEPG6owaQ9z4E-tR5mnY"",""Non-Food!A2:A""),0))),"""")"),"")</f>
        <v/>
      </c>
      <c r="D189" s="15"/>
      <c r="E189" s="15"/>
      <c r="F189" s="36"/>
      <c r="G189" s="24" t="str">
        <f>IFERROR(__xludf.DUMMYFUNCTION("iferror(iferror(iferror(index(IMPORTRANGE(""1NK5L1mviMn0j3D3uo53ASkIZOFRlLnqaCTnwzOG2_Wg"",""Direct Link!B2:B""),MATCH($B189,IMPORTRANGE(""1NK5L1mviMn0j3D3uo53ASkIZOFRlLnqaCTnwzOG2_Wg"",""Direct Link!A2:A""),0)),XLOOKUP($B189,IMPORTRANGE(""1NK5L1mviMn0j3D"&amp;"3uo53ASkIZOFRlLnqaCTnwzOG2_Wg"",""Direct links Without Sizes!A2:A""),IMPORTRANGE(""1NK5L1mviMn0j3D3uo53ASkIZOFRlLnqaCTnwzOG2_Wg"",""Direct links Without Sizes!B2:B""))),XLOOKUP($B189,IMPORTRANGE(""1NK5L1mviMn0j3D3uo53ASkIZOFRlLnqaCTnwzOG2_Wg"",""Direct li"&amp;"nks Without Sizes!D2:D""),IMPORTRANGE(""1NK5L1mviMn0j3D3uo53ASkIZOFRlLnqaCTnwzOG2_Wg"",""Direct links Without Sizes!E2:E""))),"""")"),"")</f>
        <v/>
      </c>
      <c r="H189" s="41"/>
      <c r="I189" s="4"/>
      <c r="J189" s="4"/>
      <c r="K189" s="10" t="str">
        <f t="shared" si="1"/>
        <v/>
      </c>
      <c r="L189" s="10"/>
      <c r="M189" s="10" t="str">
        <f t="shared" si="2"/>
        <v/>
      </c>
    </row>
    <row r="190">
      <c r="A190" s="4"/>
      <c r="B190" s="15"/>
      <c r="C190" s="7" t="str">
        <f>IFERROR(__xludf.DUMMYFUNCTION("iferror(iferror(INDEX(IMPORTRANGE(""12vtnxaE_Q1s4tyr10kZQx7ZF_xG0lBFae4jQEUtgsMU"",""All!B2:B""),MATCH($B190,IMPORTRANGE(""12vtnxaE_Q1s4tyr10kZQx7ZF_xG0lBFae4jQEUtgsMU"",""All!A2:A""),0)),INDEX(IMPORTRANGE(""13KC70HngS4DDi8y9E5khtSpQEPG6owaQ9z4E-tR5mnY"","&amp;"""Non-Food!B2:B""),MATCH($B190,IMPORTRANGE(""13KC70HngS4DDi8y9E5khtSpQEPG6owaQ9z4E-tR5mnY"",""Non-Food!A2:A""),0))),"""")"),"")</f>
        <v/>
      </c>
      <c r="D190" s="15"/>
      <c r="E190" s="15"/>
      <c r="F190" s="36"/>
      <c r="G190" s="24" t="str">
        <f>IFERROR(__xludf.DUMMYFUNCTION("iferror(iferror(iferror(index(IMPORTRANGE(""1NK5L1mviMn0j3D3uo53ASkIZOFRlLnqaCTnwzOG2_Wg"",""Direct Link!B2:B""),MATCH($B190,IMPORTRANGE(""1NK5L1mviMn0j3D3uo53ASkIZOFRlLnqaCTnwzOG2_Wg"",""Direct Link!A2:A""),0)),XLOOKUP($B190,IMPORTRANGE(""1NK5L1mviMn0j3D"&amp;"3uo53ASkIZOFRlLnqaCTnwzOG2_Wg"",""Direct links Without Sizes!A2:A""),IMPORTRANGE(""1NK5L1mviMn0j3D3uo53ASkIZOFRlLnqaCTnwzOG2_Wg"",""Direct links Without Sizes!B2:B""))),XLOOKUP($B190,IMPORTRANGE(""1NK5L1mviMn0j3D3uo53ASkIZOFRlLnqaCTnwzOG2_Wg"",""Direct li"&amp;"nks Without Sizes!D2:D""),IMPORTRANGE(""1NK5L1mviMn0j3D3uo53ASkIZOFRlLnqaCTnwzOG2_Wg"",""Direct links Without Sizes!E2:E""))),"""")"),"")</f>
        <v/>
      </c>
      <c r="H190" s="41"/>
      <c r="I190" s="4"/>
      <c r="J190" s="4"/>
      <c r="K190" s="10" t="str">
        <f t="shared" si="1"/>
        <v/>
      </c>
      <c r="L190" s="10"/>
      <c r="M190" s="10" t="str">
        <f t="shared" si="2"/>
        <v/>
      </c>
    </row>
    <row r="191">
      <c r="A191" s="4"/>
      <c r="B191" s="15"/>
      <c r="C191" s="7" t="str">
        <f>IFERROR(__xludf.DUMMYFUNCTION("iferror(iferror(INDEX(IMPORTRANGE(""12vtnxaE_Q1s4tyr10kZQx7ZF_xG0lBFae4jQEUtgsMU"",""All!B2:B""),MATCH($B191,IMPORTRANGE(""12vtnxaE_Q1s4tyr10kZQx7ZF_xG0lBFae4jQEUtgsMU"",""All!A2:A""),0)),INDEX(IMPORTRANGE(""13KC70HngS4DDi8y9E5khtSpQEPG6owaQ9z4E-tR5mnY"","&amp;"""Non-Food!B2:B""),MATCH($B191,IMPORTRANGE(""13KC70HngS4DDi8y9E5khtSpQEPG6owaQ9z4E-tR5mnY"",""Non-Food!A2:A""),0))),"""")"),"")</f>
        <v/>
      </c>
      <c r="D191" s="15"/>
      <c r="E191" s="15"/>
      <c r="F191" s="36"/>
      <c r="G191" s="24" t="str">
        <f>IFERROR(__xludf.DUMMYFUNCTION("iferror(iferror(iferror(index(IMPORTRANGE(""1NK5L1mviMn0j3D3uo53ASkIZOFRlLnqaCTnwzOG2_Wg"",""Direct Link!B2:B""),MATCH($B191,IMPORTRANGE(""1NK5L1mviMn0j3D3uo53ASkIZOFRlLnqaCTnwzOG2_Wg"",""Direct Link!A2:A""),0)),XLOOKUP($B191,IMPORTRANGE(""1NK5L1mviMn0j3D"&amp;"3uo53ASkIZOFRlLnqaCTnwzOG2_Wg"",""Direct links Without Sizes!A2:A""),IMPORTRANGE(""1NK5L1mviMn0j3D3uo53ASkIZOFRlLnqaCTnwzOG2_Wg"",""Direct links Without Sizes!B2:B""))),XLOOKUP($B191,IMPORTRANGE(""1NK5L1mviMn0j3D3uo53ASkIZOFRlLnqaCTnwzOG2_Wg"",""Direct li"&amp;"nks Without Sizes!D2:D""),IMPORTRANGE(""1NK5L1mviMn0j3D3uo53ASkIZOFRlLnqaCTnwzOG2_Wg"",""Direct links Without Sizes!E2:E""))),"""")"),"")</f>
        <v/>
      </c>
      <c r="H191" s="41"/>
      <c r="I191" s="4"/>
      <c r="J191" s="4"/>
      <c r="K191" s="10" t="str">
        <f t="shared" si="1"/>
        <v/>
      </c>
      <c r="L191" s="10"/>
      <c r="M191" s="10" t="str">
        <f t="shared" si="2"/>
        <v/>
      </c>
    </row>
    <row r="192">
      <c r="A192" s="4"/>
      <c r="B192" s="15"/>
      <c r="C192" s="7" t="str">
        <f>IFERROR(__xludf.DUMMYFUNCTION("iferror(iferror(INDEX(IMPORTRANGE(""12vtnxaE_Q1s4tyr10kZQx7ZF_xG0lBFae4jQEUtgsMU"",""All!B2:B""),MATCH($B192,IMPORTRANGE(""12vtnxaE_Q1s4tyr10kZQx7ZF_xG0lBFae4jQEUtgsMU"",""All!A2:A""),0)),INDEX(IMPORTRANGE(""13KC70HngS4DDi8y9E5khtSpQEPG6owaQ9z4E-tR5mnY"","&amp;"""Non-Food!B2:B""),MATCH($B192,IMPORTRANGE(""13KC70HngS4DDi8y9E5khtSpQEPG6owaQ9z4E-tR5mnY"",""Non-Food!A2:A""),0))),"""")"),"")</f>
        <v/>
      </c>
      <c r="D192" s="15"/>
      <c r="E192" s="15"/>
      <c r="F192" s="36"/>
      <c r="G192" s="24" t="str">
        <f>IFERROR(__xludf.DUMMYFUNCTION("iferror(iferror(iferror(index(IMPORTRANGE(""1NK5L1mviMn0j3D3uo53ASkIZOFRlLnqaCTnwzOG2_Wg"",""Direct Link!B2:B""),MATCH($B192,IMPORTRANGE(""1NK5L1mviMn0j3D3uo53ASkIZOFRlLnqaCTnwzOG2_Wg"",""Direct Link!A2:A""),0)),XLOOKUP($B192,IMPORTRANGE(""1NK5L1mviMn0j3D"&amp;"3uo53ASkIZOFRlLnqaCTnwzOG2_Wg"",""Direct links Without Sizes!A2:A""),IMPORTRANGE(""1NK5L1mviMn0j3D3uo53ASkIZOFRlLnqaCTnwzOG2_Wg"",""Direct links Without Sizes!B2:B""))),XLOOKUP($B192,IMPORTRANGE(""1NK5L1mviMn0j3D3uo53ASkIZOFRlLnqaCTnwzOG2_Wg"",""Direct li"&amp;"nks Without Sizes!D2:D""),IMPORTRANGE(""1NK5L1mviMn0j3D3uo53ASkIZOFRlLnqaCTnwzOG2_Wg"",""Direct links Without Sizes!E2:E""))),"""")"),"")</f>
        <v/>
      </c>
      <c r="H192" s="41"/>
      <c r="I192" s="4"/>
      <c r="J192" s="4"/>
      <c r="K192" s="10" t="str">
        <f t="shared" si="1"/>
        <v/>
      </c>
      <c r="L192" s="10"/>
      <c r="M192" s="10" t="str">
        <f t="shared" si="2"/>
        <v/>
      </c>
    </row>
    <row r="193">
      <c r="A193" s="4"/>
      <c r="B193" s="15"/>
      <c r="C193" s="7" t="str">
        <f>IFERROR(__xludf.DUMMYFUNCTION("iferror(iferror(INDEX(IMPORTRANGE(""12vtnxaE_Q1s4tyr10kZQx7ZF_xG0lBFae4jQEUtgsMU"",""All!B2:B""),MATCH($B193,IMPORTRANGE(""12vtnxaE_Q1s4tyr10kZQx7ZF_xG0lBFae4jQEUtgsMU"",""All!A2:A""),0)),INDEX(IMPORTRANGE(""13KC70HngS4DDi8y9E5khtSpQEPG6owaQ9z4E-tR5mnY"","&amp;"""Non-Food!B2:B""),MATCH($B193,IMPORTRANGE(""13KC70HngS4DDi8y9E5khtSpQEPG6owaQ9z4E-tR5mnY"",""Non-Food!A2:A""),0))),"""")"),"")</f>
        <v/>
      </c>
      <c r="D193" s="15"/>
      <c r="E193" s="15"/>
      <c r="F193" s="36"/>
      <c r="G193" s="24" t="str">
        <f>IFERROR(__xludf.DUMMYFUNCTION("iferror(iferror(iferror(index(IMPORTRANGE(""1NK5L1mviMn0j3D3uo53ASkIZOFRlLnqaCTnwzOG2_Wg"",""Direct Link!B2:B""),MATCH($B193,IMPORTRANGE(""1NK5L1mviMn0j3D3uo53ASkIZOFRlLnqaCTnwzOG2_Wg"",""Direct Link!A2:A""),0)),XLOOKUP($B193,IMPORTRANGE(""1NK5L1mviMn0j3D"&amp;"3uo53ASkIZOFRlLnqaCTnwzOG2_Wg"",""Direct links Without Sizes!A2:A""),IMPORTRANGE(""1NK5L1mviMn0j3D3uo53ASkIZOFRlLnqaCTnwzOG2_Wg"",""Direct links Without Sizes!B2:B""))),XLOOKUP($B193,IMPORTRANGE(""1NK5L1mviMn0j3D3uo53ASkIZOFRlLnqaCTnwzOG2_Wg"",""Direct li"&amp;"nks Without Sizes!D2:D""),IMPORTRANGE(""1NK5L1mviMn0j3D3uo53ASkIZOFRlLnqaCTnwzOG2_Wg"",""Direct links Without Sizes!E2:E""))),"""")"),"")</f>
        <v/>
      </c>
      <c r="H193" s="41"/>
      <c r="I193" s="4"/>
      <c r="J193" s="4"/>
      <c r="K193" s="10" t="str">
        <f t="shared" si="1"/>
        <v/>
      </c>
      <c r="L193" s="10"/>
      <c r="M193" s="10" t="str">
        <f t="shared" si="2"/>
        <v/>
      </c>
    </row>
    <row r="194">
      <c r="A194" s="4"/>
      <c r="B194" s="15"/>
      <c r="C194" s="7" t="str">
        <f>IFERROR(__xludf.DUMMYFUNCTION("iferror(iferror(INDEX(IMPORTRANGE(""12vtnxaE_Q1s4tyr10kZQx7ZF_xG0lBFae4jQEUtgsMU"",""All!B2:B""),MATCH($B194,IMPORTRANGE(""12vtnxaE_Q1s4tyr10kZQx7ZF_xG0lBFae4jQEUtgsMU"",""All!A2:A""),0)),INDEX(IMPORTRANGE(""13KC70HngS4DDi8y9E5khtSpQEPG6owaQ9z4E-tR5mnY"","&amp;"""Non-Food!B2:B""),MATCH($B194,IMPORTRANGE(""13KC70HngS4DDi8y9E5khtSpQEPG6owaQ9z4E-tR5mnY"",""Non-Food!A2:A""),0))),"""")"),"")</f>
        <v/>
      </c>
      <c r="D194" s="15"/>
      <c r="E194" s="15"/>
      <c r="F194" s="36"/>
      <c r="G194" s="24" t="str">
        <f>IFERROR(__xludf.DUMMYFUNCTION("iferror(iferror(iferror(index(IMPORTRANGE(""1NK5L1mviMn0j3D3uo53ASkIZOFRlLnqaCTnwzOG2_Wg"",""Direct Link!B2:B""),MATCH($B194,IMPORTRANGE(""1NK5L1mviMn0j3D3uo53ASkIZOFRlLnqaCTnwzOG2_Wg"",""Direct Link!A2:A""),0)),XLOOKUP($B194,IMPORTRANGE(""1NK5L1mviMn0j3D"&amp;"3uo53ASkIZOFRlLnqaCTnwzOG2_Wg"",""Direct links Without Sizes!A2:A""),IMPORTRANGE(""1NK5L1mviMn0j3D3uo53ASkIZOFRlLnqaCTnwzOG2_Wg"",""Direct links Without Sizes!B2:B""))),XLOOKUP($B194,IMPORTRANGE(""1NK5L1mviMn0j3D3uo53ASkIZOFRlLnqaCTnwzOG2_Wg"",""Direct li"&amp;"nks Without Sizes!D2:D""),IMPORTRANGE(""1NK5L1mviMn0j3D3uo53ASkIZOFRlLnqaCTnwzOG2_Wg"",""Direct links Without Sizes!E2:E""))),"""")"),"")</f>
        <v/>
      </c>
      <c r="H194" s="41"/>
      <c r="I194" s="4"/>
      <c r="J194" s="4"/>
      <c r="K194" s="10" t="str">
        <f t="shared" si="1"/>
        <v/>
      </c>
      <c r="L194" s="10"/>
      <c r="M194" s="10" t="str">
        <f t="shared" si="2"/>
        <v/>
      </c>
    </row>
    <row r="195">
      <c r="A195" s="4"/>
      <c r="B195" s="15"/>
      <c r="C195" s="7" t="str">
        <f>IFERROR(__xludf.DUMMYFUNCTION("iferror(iferror(INDEX(IMPORTRANGE(""12vtnxaE_Q1s4tyr10kZQx7ZF_xG0lBFae4jQEUtgsMU"",""All!B2:B""),MATCH($B195,IMPORTRANGE(""12vtnxaE_Q1s4tyr10kZQx7ZF_xG0lBFae4jQEUtgsMU"",""All!A2:A""),0)),INDEX(IMPORTRANGE(""13KC70HngS4DDi8y9E5khtSpQEPG6owaQ9z4E-tR5mnY"","&amp;"""Non-Food!B2:B""),MATCH($B195,IMPORTRANGE(""13KC70HngS4DDi8y9E5khtSpQEPG6owaQ9z4E-tR5mnY"",""Non-Food!A2:A""),0))),"""")"),"")</f>
        <v/>
      </c>
      <c r="D195" s="15"/>
      <c r="E195" s="15"/>
      <c r="F195" s="36"/>
      <c r="G195" s="24" t="str">
        <f>IFERROR(__xludf.DUMMYFUNCTION("iferror(iferror(iferror(index(IMPORTRANGE(""1NK5L1mviMn0j3D3uo53ASkIZOFRlLnqaCTnwzOG2_Wg"",""Direct Link!B2:B""),MATCH($B195,IMPORTRANGE(""1NK5L1mviMn0j3D3uo53ASkIZOFRlLnqaCTnwzOG2_Wg"",""Direct Link!A2:A""),0)),XLOOKUP($B195,IMPORTRANGE(""1NK5L1mviMn0j3D"&amp;"3uo53ASkIZOFRlLnqaCTnwzOG2_Wg"",""Direct links Without Sizes!A2:A""),IMPORTRANGE(""1NK5L1mviMn0j3D3uo53ASkIZOFRlLnqaCTnwzOG2_Wg"",""Direct links Without Sizes!B2:B""))),XLOOKUP($B195,IMPORTRANGE(""1NK5L1mviMn0j3D3uo53ASkIZOFRlLnqaCTnwzOG2_Wg"",""Direct li"&amp;"nks Without Sizes!D2:D""),IMPORTRANGE(""1NK5L1mviMn0j3D3uo53ASkIZOFRlLnqaCTnwzOG2_Wg"",""Direct links Without Sizes!E2:E""))),"""")"),"")</f>
        <v/>
      </c>
      <c r="H195" s="41"/>
      <c r="I195" s="4"/>
      <c r="J195" s="4"/>
      <c r="K195" s="10" t="str">
        <f t="shared" si="1"/>
        <v/>
      </c>
      <c r="L195" s="10"/>
      <c r="M195" s="10" t="str">
        <f t="shared" si="2"/>
        <v/>
      </c>
    </row>
    <row r="196">
      <c r="A196" s="4"/>
      <c r="B196" s="15"/>
      <c r="C196" s="7" t="str">
        <f>IFERROR(__xludf.DUMMYFUNCTION("iferror(iferror(INDEX(IMPORTRANGE(""12vtnxaE_Q1s4tyr10kZQx7ZF_xG0lBFae4jQEUtgsMU"",""All!B2:B""),MATCH($B196,IMPORTRANGE(""12vtnxaE_Q1s4tyr10kZQx7ZF_xG0lBFae4jQEUtgsMU"",""All!A2:A""),0)),INDEX(IMPORTRANGE(""13KC70HngS4DDi8y9E5khtSpQEPG6owaQ9z4E-tR5mnY"","&amp;"""Non-Food!B2:B""),MATCH($B196,IMPORTRANGE(""13KC70HngS4DDi8y9E5khtSpQEPG6owaQ9z4E-tR5mnY"",""Non-Food!A2:A""),0))),"""")"),"")</f>
        <v/>
      </c>
      <c r="D196" s="15"/>
      <c r="E196" s="15"/>
      <c r="F196" s="36"/>
      <c r="G196" s="24" t="str">
        <f>IFERROR(__xludf.DUMMYFUNCTION("iferror(iferror(iferror(index(IMPORTRANGE(""1NK5L1mviMn0j3D3uo53ASkIZOFRlLnqaCTnwzOG2_Wg"",""Direct Link!B2:B""),MATCH($B196,IMPORTRANGE(""1NK5L1mviMn0j3D3uo53ASkIZOFRlLnqaCTnwzOG2_Wg"",""Direct Link!A2:A""),0)),XLOOKUP($B196,IMPORTRANGE(""1NK5L1mviMn0j3D"&amp;"3uo53ASkIZOFRlLnqaCTnwzOG2_Wg"",""Direct links Without Sizes!A2:A""),IMPORTRANGE(""1NK5L1mviMn0j3D3uo53ASkIZOFRlLnqaCTnwzOG2_Wg"",""Direct links Without Sizes!B2:B""))),XLOOKUP($B196,IMPORTRANGE(""1NK5L1mviMn0j3D3uo53ASkIZOFRlLnqaCTnwzOG2_Wg"",""Direct li"&amp;"nks Without Sizes!D2:D""),IMPORTRANGE(""1NK5L1mviMn0j3D3uo53ASkIZOFRlLnqaCTnwzOG2_Wg"",""Direct links Without Sizes!E2:E""))),"""")"),"")</f>
        <v/>
      </c>
      <c r="H196" s="41"/>
      <c r="I196" s="4"/>
      <c r="J196" s="4"/>
      <c r="K196" s="10" t="str">
        <f t="shared" si="1"/>
        <v/>
      </c>
      <c r="L196" s="10"/>
      <c r="M196" s="10" t="str">
        <f t="shared" si="2"/>
        <v/>
      </c>
    </row>
    <row r="197">
      <c r="A197" s="4"/>
      <c r="B197" s="15"/>
      <c r="C197" s="7" t="str">
        <f>IFERROR(__xludf.DUMMYFUNCTION("iferror(iferror(INDEX(IMPORTRANGE(""12vtnxaE_Q1s4tyr10kZQx7ZF_xG0lBFae4jQEUtgsMU"",""All!B2:B""),MATCH($B197,IMPORTRANGE(""12vtnxaE_Q1s4tyr10kZQx7ZF_xG0lBFae4jQEUtgsMU"",""All!A2:A""),0)),INDEX(IMPORTRANGE(""13KC70HngS4DDi8y9E5khtSpQEPG6owaQ9z4E-tR5mnY"","&amp;"""Non-Food!B2:B""),MATCH($B197,IMPORTRANGE(""13KC70HngS4DDi8y9E5khtSpQEPG6owaQ9z4E-tR5mnY"",""Non-Food!A2:A""),0))),"""")"),"")</f>
        <v/>
      </c>
      <c r="D197" s="15"/>
      <c r="E197" s="15"/>
      <c r="F197" s="36"/>
      <c r="G197" s="24" t="str">
        <f>IFERROR(__xludf.DUMMYFUNCTION("iferror(iferror(iferror(index(IMPORTRANGE(""1NK5L1mviMn0j3D3uo53ASkIZOFRlLnqaCTnwzOG2_Wg"",""Direct Link!B2:B""),MATCH($B197,IMPORTRANGE(""1NK5L1mviMn0j3D3uo53ASkIZOFRlLnqaCTnwzOG2_Wg"",""Direct Link!A2:A""),0)),XLOOKUP($B197,IMPORTRANGE(""1NK5L1mviMn0j3D"&amp;"3uo53ASkIZOFRlLnqaCTnwzOG2_Wg"",""Direct links Without Sizes!A2:A""),IMPORTRANGE(""1NK5L1mviMn0j3D3uo53ASkIZOFRlLnqaCTnwzOG2_Wg"",""Direct links Without Sizes!B2:B""))),XLOOKUP($B197,IMPORTRANGE(""1NK5L1mviMn0j3D3uo53ASkIZOFRlLnqaCTnwzOG2_Wg"",""Direct li"&amp;"nks Without Sizes!D2:D""),IMPORTRANGE(""1NK5L1mviMn0j3D3uo53ASkIZOFRlLnqaCTnwzOG2_Wg"",""Direct links Without Sizes!E2:E""))),"""")"),"")</f>
        <v/>
      </c>
      <c r="H197" s="41"/>
      <c r="I197" s="4"/>
      <c r="J197" s="4"/>
      <c r="K197" s="10" t="str">
        <f t="shared" si="1"/>
        <v/>
      </c>
      <c r="L197" s="10"/>
      <c r="M197" s="10" t="str">
        <f t="shared" si="2"/>
        <v/>
      </c>
    </row>
    <row r="198">
      <c r="A198" s="4"/>
      <c r="B198" s="15"/>
      <c r="C198" s="7" t="str">
        <f>IFERROR(__xludf.DUMMYFUNCTION("iferror(iferror(INDEX(IMPORTRANGE(""12vtnxaE_Q1s4tyr10kZQx7ZF_xG0lBFae4jQEUtgsMU"",""All!B2:B""),MATCH($B198,IMPORTRANGE(""12vtnxaE_Q1s4tyr10kZQx7ZF_xG0lBFae4jQEUtgsMU"",""All!A2:A""),0)),INDEX(IMPORTRANGE(""13KC70HngS4DDi8y9E5khtSpQEPG6owaQ9z4E-tR5mnY"","&amp;"""Non-Food!B2:B""),MATCH($B198,IMPORTRANGE(""13KC70HngS4DDi8y9E5khtSpQEPG6owaQ9z4E-tR5mnY"",""Non-Food!A2:A""),0))),"""")"),"")</f>
        <v/>
      </c>
      <c r="D198" s="15"/>
      <c r="E198" s="15"/>
      <c r="F198" s="36"/>
      <c r="G198" s="24" t="str">
        <f>IFERROR(__xludf.DUMMYFUNCTION("iferror(iferror(iferror(index(IMPORTRANGE(""1NK5L1mviMn0j3D3uo53ASkIZOFRlLnqaCTnwzOG2_Wg"",""Direct Link!B2:B""),MATCH($B198,IMPORTRANGE(""1NK5L1mviMn0j3D3uo53ASkIZOFRlLnqaCTnwzOG2_Wg"",""Direct Link!A2:A""),0)),XLOOKUP($B198,IMPORTRANGE(""1NK5L1mviMn0j3D"&amp;"3uo53ASkIZOFRlLnqaCTnwzOG2_Wg"",""Direct links Without Sizes!A2:A""),IMPORTRANGE(""1NK5L1mviMn0j3D3uo53ASkIZOFRlLnqaCTnwzOG2_Wg"",""Direct links Without Sizes!B2:B""))),XLOOKUP($B198,IMPORTRANGE(""1NK5L1mviMn0j3D3uo53ASkIZOFRlLnqaCTnwzOG2_Wg"",""Direct li"&amp;"nks Without Sizes!D2:D""),IMPORTRANGE(""1NK5L1mviMn0j3D3uo53ASkIZOFRlLnqaCTnwzOG2_Wg"",""Direct links Without Sizes!E2:E""))),"""")"),"")</f>
        <v/>
      </c>
      <c r="H198" s="41"/>
      <c r="I198" s="4"/>
      <c r="J198" s="4"/>
      <c r="K198" s="10" t="str">
        <f t="shared" si="1"/>
        <v/>
      </c>
      <c r="L198" s="10"/>
      <c r="M198" s="10" t="str">
        <f t="shared" si="2"/>
        <v/>
      </c>
    </row>
    <row r="199">
      <c r="A199" s="4"/>
      <c r="B199" s="15"/>
      <c r="C199" s="7" t="str">
        <f>IFERROR(__xludf.DUMMYFUNCTION("iferror(iferror(INDEX(IMPORTRANGE(""12vtnxaE_Q1s4tyr10kZQx7ZF_xG0lBFae4jQEUtgsMU"",""All!B2:B""),MATCH($B199,IMPORTRANGE(""12vtnxaE_Q1s4tyr10kZQx7ZF_xG0lBFae4jQEUtgsMU"",""All!A2:A""),0)),INDEX(IMPORTRANGE(""13KC70HngS4DDi8y9E5khtSpQEPG6owaQ9z4E-tR5mnY"","&amp;"""Non-Food!B2:B""),MATCH($B199,IMPORTRANGE(""13KC70HngS4DDi8y9E5khtSpQEPG6owaQ9z4E-tR5mnY"",""Non-Food!A2:A""),0))),"""")"),"")</f>
        <v/>
      </c>
      <c r="D199" s="15"/>
      <c r="E199" s="15"/>
      <c r="F199" s="36"/>
      <c r="G199" s="24" t="str">
        <f>IFERROR(__xludf.DUMMYFUNCTION("iferror(iferror(iferror(index(IMPORTRANGE(""1NK5L1mviMn0j3D3uo53ASkIZOFRlLnqaCTnwzOG2_Wg"",""Direct Link!B2:B""),MATCH($B199,IMPORTRANGE(""1NK5L1mviMn0j3D3uo53ASkIZOFRlLnqaCTnwzOG2_Wg"",""Direct Link!A2:A""),0)),XLOOKUP($B199,IMPORTRANGE(""1NK5L1mviMn0j3D"&amp;"3uo53ASkIZOFRlLnqaCTnwzOG2_Wg"",""Direct links Without Sizes!A2:A""),IMPORTRANGE(""1NK5L1mviMn0j3D3uo53ASkIZOFRlLnqaCTnwzOG2_Wg"",""Direct links Without Sizes!B2:B""))),XLOOKUP($B199,IMPORTRANGE(""1NK5L1mviMn0j3D3uo53ASkIZOFRlLnqaCTnwzOG2_Wg"",""Direct li"&amp;"nks Without Sizes!D2:D""),IMPORTRANGE(""1NK5L1mviMn0j3D3uo53ASkIZOFRlLnqaCTnwzOG2_Wg"",""Direct links Without Sizes!E2:E""))),"""")"),"")</f>
        <v/>
      </c>
      <c r="H199" s="41"/>
      <c r="I199" s="4"/>
      <c r="J199" s="4"/>
      <c r="K199" s="10" t="str">
        <f t="shared" si="1"/>
        <v/>
      </c>
      <c r="L199" s="10"/>
      <c r="M199" s="10" t="str">
        <f t="shared" si="2"/>
        <v/>
      </c>
    </row>
    <row r="200">
      <c r="A200" s="4"/>
      <c r="B200" s="15"/>
      <c r="C200" s="7" t="str">
        <f>IFERROR(__xludf.DUMMYFUNCTION("iferror(iferror(INDEX(IMPORTRANGE(""12vtnxaE_Q1s4tyr10kZQx7ZF_xG0lBFae4jQEUtgsMU"",""All!B2:B""),MATCH($B200,IMPORTRANGE(""12vtnxaE_Q1s4tyr10kZQx7ZF_xG0lBFae4jQEUtgsMU"",""All!A2:A""),0)),INDEX(IMPORTRANGE(""13KC70HngS4DDi8y9E5khtSpQEPG6owaQ9z4E-tR5mnY"","&amp;"""Non-Food!B2:B""),MATCH($B200,IMPORTRANGE(""13KC70HngS4DDi8y9E5khtSpQEPG6owaQ9z4E-tR5mnY"",""Non-Food!A2:A""),0))),"""")"),"")</f>
        <v/>
      </c>
      <c r="D200" s="15"/>
      <c r="E200" s="15"/>
      <c r="F200" s="36"/>
      <c r="G200" s="24" t="str">
        <f>IFERROR(__xludf.DUMMYFUNCTION("iferror(iferror(iferror(index(IMPORTRANGE(""1NK5L1mviMn0j3D3uo53ASkIZOFRlLnqaCTnwzOG2_Wg"",""Direct Link!B2:B""),MATCH($B200,IMPORTRANGE(""1NK5L1mviMn0j3D3uo53ASkIZOFRlLnqaCTnwzOG2_Wg"",""Direct Link!A2:A""),0)),XLOOKUP($B200,IMPORTRANGE(""1NK5L1mviMn0j3D"&amp;"3uo53ASkIZOFRlLnqaCTnwzOG2_Wg"",""Direct links Without Sizes!A2:A""),IMPORTRANGE(""1NK5L1mviMn0j3D3uo53ASkIZOFRlLnqaCTnwzOG2_Wg"",""Direct links Without Sizes!B2:B""))),XLOOKUP($B200,IMPORTRANGE(""1NK5L1mviMn0j3D3uo53ASkIZOFRlLnqaCTnwzOG2_Wg"",""Direct li"&amp;"nks Without Sizes!D2:D""),IMPORTRANGE(""1NK5L1mviMn0j3D3uo53ASkIZOFRlLnqaCTnwzOG2_Wg"",""Direct links Without Sizes!E2:E""))),"""")"),"")</f>
        <v/>
      </c>
      <c r="H200" s="41"/>
      <c r="I200" s="4"/>
      <c r="J200" s="4"/>
      <c r="K200" s="10" t="str">
        <f t="shared" si="1"/>
        <v/>
      </c>
      <c r="L200" s="10"/>
      <c r="M200" s="10" t="str">
        <f t="shared" si="2"/>
        <v/>
      </c>
    </row>
    <row r="201">
      <c r="A201" s="4"/>
      <c r="B201" s="15"/>
      <c r="C201" s="7" t="str">
        <f>IFERROR(__xludf.DUMMYFUNCTION("iferror(iferror(INDEX(IMPORTRANGE(""12vtnxaE_Q1s4tyr10kZQx7ZF_xG0lBFae4jQEUtgsMU"",""All!B2:B""),MATCH($B201,IMPORTRANGE(""12vtnxaE_Q1s4tyr10kZQx7ZF_xG0lBFae4jQEUtgsMU"",""All!A2:A""),0)),INDEX(IMPORTRANGE(""13KC70HngS4DDi8y9E5khtSpQEPG6owaQ9z4E-tR5mnY"","&amp;"""Non-Food!B2:B""),MATCH($B201,IMPORTRANGE(""13KC70HngS4DDi8y9E5khtSpQEPG6owaQ9z4E-tR5mnY"",""Non-Food!A2:A""),0))),"""")"),"")</f>
        <v/>
      </c>
      <c r="D201" s="15"/>
      <c r="E201" s="15"/>
      <c r="F201" s="36"/>
      <c r="G201" s="24" t="str">
        <f>IFERROR(__xludf.DUMMYFUNCTION("iferror(iferror(iferror(index(IMPORTRANGE(""1NK5L1mviMn0j3D3uo53ASkIZOFRlLnqaCTnwzOG2_Wg"",""Direct Link!B2:B""),MATCH($B201,IMPORTRANGE(""1NK5L1mviMn0j3D3uo53ASkIZOFRlLnqaCTnwzOG2_Wg"",""Direct Link!A2:A""),0)),XLOOKUP($B201,IMPORTRANGE(""1NK5L1mviMn0j3D"&amp;"3uo53ASkIZOFRlLnqaCTnwzOG2_Wg"",""Direct links Without Sizes!A2:A""),IMPORTRANGE(""1NK5L1mviMn0j3D3uo53ASkIZOFRlLnqaCTnwzOG2_Wg"",""Direct links Without Sizes!B2:B""))),XLOOKUP($B201,IMPORTRANGE(""1NK5L1mviMn0j3D3uo53ASkIZOFRlLnqaCTnwzOG2_Wg"",""Direct li"&amp;"nks Without Sizes!D2:D""),IMPORTRANGE(""1NK5L1mviMn0j3D3uo53ASkIZOFRlLnqaCTnwzOG2_Wg"",""Direct links Without Sizes!E2:E""))),"""")"),"")</f>
        <v/>
      </c>
      <c r="H201" s="41"/>
      <c r="I201" s="4"/>
      <c r="J201" s="4"/>
      <c r="K201" s="10" t="str">
        <f t="shared" si="1"/>
        <v/>
      </c>
      <c r="L201" s="10"/>
      <c r="M201" s="10" t="str">
        <f t="shared" si="2"/>
        <v/>
      </c>
    </row>
    <row r="202">
      <c r="A202" s="4"/>
      <c r="B202" s="15"/>
      <c r="C202" s="7" t="str">
        <f>IFERROR(__xludf.DUMMYFUNCTION("iferror(iferror(INDEX(IMPORTRANGE(""12vtnxaE_Q1s4tyr10kZQx7ZF_xG0lBFae4jQEUtgsMU"",""All!B2:B""),MATCH($B202,IMPORTRANGE(""12vtnxaE_Q1s4tyr10kZQx7ZF_xG0lBFae4jQEUtgsMU"",""All!A2:A""),0)),INDEX(IMPORTRANGE(""13KC70HngS4DDi8y9E5khtSpQEPG6owaQ9z4E-tR5mnY"","&amp;"""Non-Food!B2:B""),MATCH($B202,IMPORTRANGE(""13KC70HngS4DDi8y9E5khtSpQEPG6owaQ9z4E-tR5mnY"",""Non-Food!A2:A""),0))),"""")"),"")</f>
        <v/>
      </c>
      <c r="D202" s="15"/>
      <c r="E202" s="15"/>
      <c r="F202" s="36"/>
      <c r="G202" s="24" t="str">
        <f>IFERROR(__xludf.DUMMYFUNCTION("iferror(iferror(iferror(index(IMPORTRANGE(""1NK5L1mviMn0j3D3uo53ASkIZOFRlLnqaCTnwzOG2_Wg"",""Direct Link!B2:B""),MATCH($B202,IMPORTRANGE(""1NK5L1mviMn0j3D3uo53ASkIZOFRlLnqaCTnwzOG2_Wg"",""Direct Link!A2:A""),0)),XLOOKUP($B202,IMPORTRANGE(""1NK5L1mviMn0j3D"&amp;"3uo53ASkIZOFRlLnqaCTnwzOG2_Wg"",""Direct links Without Sizes!A2:A""),IMPORTRANGE(""1NK5L1mviMn0j3D3uo53ASkIZOFRlLnqaCTnwzOG2_Wg"",""Direct links Without Sizes!B2:B""))),XLOOKUP($B202,IMPORTRANGE(""1NK5L1mviMn0j3D3uo53ASkIZOFRlLnqaCTnwzOG2_Wg"",""Direct li"&amp;"nks Without Sizes!D2:D""),IMPORTRANGE(""1NK5L1mviMn0j3D3uo53ASkIZOFRlLnqaCTnwzOG2_Wg"",""Direct links Without Sizes!E2:E""))),"""")"),"")</f>
        <v/>
      </c>
      <c r="H202" s="41"/>
      <c r="I202" s="4"/>
      <c r="J202" s="4"/>
      <c r="K202" s="10" t="str">
        <f t="shared" si="1"/>
        <v/>
      </c>
      <c r="L202" s="10"/>
      <c r="M202" s="10" t="str">
        <f t="shared" si="2"/>
        <v/>
      </c>
    </row>
    <row r="203">
      <c r="A203" s="4"/>
      <c r="B203" s="15"/>
      <c r="C203" s="7" t="str">
        <f>IFERROR(__xludf.DUMMYFUNCTION("iferror(iferror(INDEX(IMPORTRANGE(""12vtnxaE_Q1s4tyr10kZQx7ZF_xG0lBFae4jQEUtgsMU"",""All!B2:B""),MATCH($B203,IMPORTRANGE(""12vtnxaE_Q1s4tyr10kZQx7ZF_xG0lBFae4jQEUtgsMU"",""All!A2:A""),0)),INDEX(IMPORTRANGE(""13KC70HngS4DDi8y9E5khtSpQEPG6owaQ9z4E-tR5mnY"","&amp;"""Non-Food!B2:B""),MATCH($B203,IMPORTRANGE(""13KC70HngS4DDi8y9E5khtSpQEPG6owaQ9z4E-tR5mnY"",""Non-Food!A2:A""),0))),"""")"),"")</f>
        <v/>
      </c>
      <c r="D203" s="15"/>
      <c r="E203" s="15"/>
      <c r="F203" s="36"/>
      <c r="G203" s="24" t="str">
        <f>IFERROR(__xludf.DUMMYFUNCTION("iferror(iferror(iferror(index(IMPORTRANGE(""1NK5L1mviMn0j3D3uo53ASkIZOFRlLnqaCTnwzOG2_Wg"",""Direct Link!B2:B""),MATCH($B203,IMPORTRANGE(""1NK5L1mviMn0j3D3uo53ASkIZOFRlLnqaCTnwzOG2_Wg"",""Direct Link!A2:A""),0)),XLOOKUP($B203,IMPORTRANGE(""1NK5L1mviMn0j3D"&amp;"3uo53ASkIZOFRlLnqaCTnwzOG2_Wg"",""Direct links Without Sizes!A2:A""),IMPORTRANGE(""1NK5L1mviMn0j3D3uo53ASkIZOFRlLnqaCTnwzOG2_Wg"",""Direct links Without Sizes!B2:B""))),XLOOKUP($B203,IMPORTRANGE(""1NK5L1mviMn0j3D3uo53ASkIZOFRlLnqaCTnwzOG2_Wg"",""Direct li"&amp;"nks Without Sizes!D2:D""),IMPORTRANGE(""1NK5L1mviMn0j3D3uo53ASkIZOFRlLnqaCTnwzOG2_Wg"",""Direct links Without Sizes!E2:E""))),"""")"),"")</f>
        <v/>
      </c>
      <c r="H203" s="41"/>
      <c r="I203" s="4"/>
      <c r="J203" s="4"/>
      <c r="K203" s="10" t="str">
        <f t="shared" si="1"/>
        <v/>
      </c>
      <c r="L203" s="10"/>
      <c r="M203" s="10" t="str">
        <f t="shared" si="2"/>
        <v/>
      </c>
    </row>
    <row r="204">
      <c r="A204" s="4"/>
      <c r="B204" s="15"/>
      <c r="C204" s="7" t="str">
        <f>IFERROR(__xludf.DUMMYFUNCTION("iferror(iferror(INDEX(IMPORTRANGE(""12vtnxaE_Q1s4tyr10kZQx7ZF_xG0lBFae4jQEUtgsMU"",""All!B2:B""),MATCH($B204,IMPORTRANGE(""12vtnxaE_Q1s4tyr10kZQx7ZF_xG0lBFae4jQEUtgsMU"",""All!A2:A""),0)),INDEX(IMPORTRANGE(""13KC70HngS4DDi8y9E5khtSpQEPG6owaQ9z4E-tR5mnY"","&amp;"""Non-Food!B2:B""),MATCH($B204,IMPORTRANGE(""13KC70HngS4DDi8y9E5khtSpQEPG6owaQ9z4E-tR5mnY"",""Non-Food!A2:A""),0))),"""")"),"")</f>
        <v/>
      </c>
      <c r="D204" s="15"/>
      <c r="E204" s="15"/>
      <c r="F204" s="36"/>
      <c r="G204" s="24" t="str">
        <f>IFERROR(__xludf.DUMMYFUNCTION("iferror(iferror(iferror(index(IMPORTRANGE(""1NK5L1mviMn0j3D3uo53ASkIZOFRlLnqaCTnwzOG2_Wg"",""Direct Link!B2:B""),MATCH($B204,IMPORTRANGE(""1NK5L1mviMn0j3D3uo53ASkIZOFRlLnqaCTnwzOG2_Wg"",""Direct Link!A2:A""),0)),XLOOKUP($B204,IMPORTRANGE(""1NK5L1mviMn0j3D"&amp;"3uo53ASkIZOFRlLnqaCTnwzOG2_Wg"",""Direct links Without Sizes!A2:A""),IMPORTRANGE(""1NK5L1mviMn0j3D3uo53ASkIZOFRlLnqaCTnwzOG2_Wg"",""Direct links Without Sizes!B2:B""))),XLOOKUP($B204,IMPORTRANGE(""1NK5L1mviMn0j3D3uo53ASkIZOFRlLnqaCTnwzOG2_Wg"",""Direct li"&amp;"nks Without Sizes!D2:D""),IMPORTRANGE(""1NK5L1mviMn0j3D3uo53ASkIZOFRlLnqaCTnwzOG2_Wg"",""Direct links Without Sizes!E2:E""))),"""")"),"")</f>
        <v/>
      </c>
      <c r="H204" s="41"/>
      <c r="I204" s="4"/>
      <c r="J204" s="4"/>
      <c r="K204" s="10" t="str">
        <f t="shared" si="1"/>
        <v/>
      </c>
      <c r="L204" s="10"/>
      <c r="M204" s="10" t="str">
        <f t="shared" si="2"/>
        <v/>
      </c>
    </row>
    <row r="205">
      <c r="A205" s="4"/>
      <c r="B205" s="15"/>
      <c r="C205" s="7" t="str">
        <f>IFERROR(__xludf.DUMMYFUNCTION("iferror(iferror(INDEX(IMPORTRANGE(""12vtnxaE_Q1s4tyr10kZQx7ZF_xG0lBFae4jQEUtgsMU"",""All!B2:B""),MATCH($B205,IMPORTRANGE(""12vtnxaE_Q1s4tyr10kZQx7ZF_xG0lBFae4jQEUtgsMU"",""All!A2:A""),0)),INDEX(IMPORTRANGE(""13KC70HngS4DDi8y9E5khtSpQEPG6owaQ9z4E-tR5mnY"","&amp;"""Non-Food!B2:B""),MATCH($B205,IMPORTRANGE(""13KC70HngS4DDi8y9E5khtSpQEPG6owaQ9z4E-tR5mnY"",""Non-Food!A2:A""),0))),"""")"),"")</f>
        <v/>
      </c>
      <c r="D205" s="15"/>
      <c r="E205" s="15"/>
      <c r="F205" s="36"/>
      <c r="G205" s="24" t="str">
        <f>IFERROR(__xludf.DUMMYFUNCTION("iferror(iferror(iferror(index(IMPORTRANGE(""1NK5L1mviMn0j3D3uo53ASkIZOFRlLnqaCTnwzOG2_Wg"",""Direct Link!B2:B""),MATCH($B205,IMPORTRANGE(""1NK5L1mviMn0j3D3uo53ASkIZOFRlLnqaCTnwzOG2_Wg"",""Direct Link!A2:A""),0)),XLOOKUP($B205,IMPORTRANGE(""1NK5L1mviMn0j3D"&amp;"3uo53ASkIZOFRlLnqaCTnwzOG2_Wg"",""Direct links Without Sizes!A2:A""),IMPORTRANGE(""1NK5L1mviMn0j3D3uo53ASkIZOFRlLnqaCTnwzOG2_Wg"",""Direct links Without Sizes!B2:B""))),XLOOKUP($B205,IMPORTRANGE(""1NK5L1mviMn0j3D3uo53ASkIZOFRlLnqaCTnwzOG2_Wg"",""Direct li"&amp;"nks Without Sizes!D2:D""),IMPORTRANGE(""1NK5L1mviMn0j3D3uo53ASkIZOFRlLnqaCTnwzOG2_Wg"",""Direct links Without Sizes!E2:E""))),"""")"),"")</f>
        <v/>
      </c>
      <c r="H205" s="41"/>
      <c r="I205" s="4"/>
      <c r="J205" s="4"/>
      <c r="K205" s="10" t="str">
        <f t="shared" si="1"/>
        <v/>
      </c>
      <c r="L205" s="10"/>
      <c r="M205" s="10" t="str">
        <f t="shared" si="2"/>
        <v/>
      </c>
    </row>
    <row r="206">
      <c r="A206" s="4"/>
      <c r="B206" s="15"/>
      <c r="C206" s="7" t="str">
        <f>IFERROR(__xludf.DUMMYFUNCTION("iferror(iferror(INDEX(IMPORTRANGE(""12vtnxaE_Q1s4tyr10kZQx7ZF_xG0lBFae4jQEUtgsMU"",""All!B2:B""),MATCH($B206,IMPORTRANGE(""12vtnxaE_Q1s4tyr10kZQx7ZF_xG0lBFae4jQEUtgsMU"",""All!A2:A""),0)),INDEX(IMPORTRANGE(""13KC70HngS4DDi8y9E5khtSpQEPG6owaQ9z4E-tR5mnY"","&amp;"""Non-Food!B2:B""),MATCH($B206,IMPORTRANGE(""13KC70HngS4DDi8y9E5khtSpQEPG6owaQ9z4E-tR5mnY"",""Non-Food!A2:A""),0))),"""")"),"")</f>
        <v/>
      </c>
      <c r="D206" s="15"/>
      <c r="E206" s="15"/>
      <c r="F206" s="36"/>
      <c r="G206" s="24" t="str">
        <f>IFERROR(__xludf.DUMMYFUNCTION("iferror(iferror(iferror(index(IMPORTRANGE(""1NK5L1mviMn0j3D3uo53ASkIZOFRlLnqaCTnwzOG2_Wg"",""Direct Link!B2:B""),MATCH($B206,IMPORTRANGE(""1NK5L1mviMn0j3D3uo53ASkIZOFRlLnqaCTnwzOG2_Wg"",""Direct Link!A2:A""),0)),XLOOKUP($B206,IMPORTRANGE(""1NK5L1mviMn0j3D"&amp;"3uo53ASkIZOFRlLnqaCTnwzOG2_Wg"",""Direct links Without Sizes!A2:A""),IMPORTRANGE(""1NK5L1mviMn0j3D3uo53ASkIZOFRlLnqaCTnwzOG2_Wg"",""Direct links Without Sizes!B2:B""))),XLOOKUP($B206,IMPORTRANGE(""1NK5L1mviMn0j3D3uo53ASkIZOFRlLnqaCTnwzOG2_Wg"",""Direct li"&amp;"nks Without Sizes!D2:D""),IMPORTRANGE(""1NK5L1mviMn0j3D3uo53ASkIZOFRlLnqaCTnwzOG2_Wg"",""Direct links Without Sizes!E2:E""))),"""")"),"")</f>
        <v/>
      </c>
      <c r="H206" s="41"/>
      <c r="I206" s="4"/>
      <c r="J206" s="4"/>
      <c r="K206" s="10" t="str">
        <f t="shared" si="1"/>
        <v/>
      </c>
      <c r="L206" s="10"/>
      <c r="M206" s="10" t="str">
        <f t="shared" si="2"/>
        <v/>
      </c>
    </row>
    <row r="207">
      <c r="A207" s="4"/>
      <c r="B207" s="15"/>
      <c r="C207" s="7" t="str">
        <f>IFERROR(__xludf.DUMMYFUNCTION("iferror(iferror(INDEX(IMPORTRANGE(""12vtnxaE_Q1s4tyr10kZQx7ZF_xG0lBFae4jQEUtgsMU"",""All!B2:B""),MATCH($B207,IMPORTRANGE(""12vtnxaE_Q1s4tyr10kZQx7ZF_xG0lBFae4jQEUtgsMU"",""All!A2:A""),0)),INDEX(IMPORTRANGE(""13KC70HngS4DDi8y9E5khtSpQEPG6owaQ9z4E-tR5mnY"","&amp;"""Non-Food!B2:B""),MATCH($B207,IMPORTRANGE(""13KC70HngS4DDi8y9E5khtSpQEPG6owaQ9z4E-tR5mnY"",""Non-Food!A2:A""),0))),"""")"),"")</f>
        <v/>
      </c>
      <c r="D207" s="15"/>
      <c r="E207" s="15"/>
      <c r="F207" s="36"/>
      <c r="G207" s="24" t="str">
        <f>IFERROR(__xludf.DUMMYFUNCTION("iferror(iferror(iferror(index(IMPORTRANGE(""1NK5L1mviMn0j3D3uo53ASkIZOFRlLnqaCTnwzOG2_Wg"",""Direct Link!B2:B""),MATCH($B207,IMPORTRANGE(""1NK5L1mviMn0j3D3uo53ASkIZOFRlLnqaCTnwzOG2_Wg"",""Direct Link!A2:A""),0)),XLOOKUP($B207,IMPORTRANGE(""1NK5L1mviMn0j3D"&amp;"3uo53ASkIZOFRlLnqaCTnwzOG2_Wg"",""Direct links Without Sizes!A2:A""),IMPORTRANGE(""1NK5L1mviMn0j3D3uo53ASkIZOFRlLnqaCTnwzOG2_Wg"",""Direct links Without Sizes!B2:B""))),XLOOKUP($B207,IMPORTRANGE(""1NK5L1mviMn0j3D3uo53ASkIZOFRlLnqaCTnwzOG2_Wg"",""Direct li"&amp;"nks Without Sizes!D2:D""),IMPORTRANGE(""1NK5L1mviMn0j3D3uo53ASkIZOFRlLnqaCTnwzOG2_Wg"",""Direct links Without Sizes!E2:E""))),"""")"),"")</f>
        <v/>
      </c>
      <c r="H207" s="41"/>
      <c r="I207" s="4"/>
      <c r="J207" s="4"/>
      <c r="K207" s="10" t="str">
        <f t="shared" si="1"/>
        <v/>
      </c>
      <c r="L207" s="10"/>
      <c r="M207" s="10" t="str">
        <f t="shared" si="2"/>
        <v/>
      </c>
    </row>
    <row r="208">
      <c r="A208" s="4"/>
      <c r="B208" s="15"/>
      <c r="C208" s="7" t="str">
        <f>IFERROR(__xludf.DUMMYFUNCTION("iferror(iferror(INDEX(IMPORTRANGE(""12vtnxaE_Q1s4tyr10kZQx7ZF_xG0lBFae4jQEUtgsMU"",""All!B2:B""),MATCH($B208,IMPORTRANGE(""12vtnxaE_Q1s4tyr10kZQx7ZF_xG0lBFae4jQEUtgsMU"",""All!A2:A""),0)),INDEX(IMPORTRANGE(""13KC70HngS4DDi8y9E5khtSpQEPG6owaQ9z4E-tR5mnY"","&amp;"""Non-Food!B2:B""),MATCH($B208,IMPORTRANGE(""13KC70HngS4DDi8y9E5khtSpQEPG6owaQ9z4E-tR5mnY"",""Non-Food!A2:A""),0))),"""")"),"")</f>
        <v/>
      </c>
      <c r="D208" s="15"/>
      <c r="E208" s="15"/>
      <c r="F208" s="36"/>
      <c r="G208" s="24" t="str">
        <f>IFERROR(__xludf.DUMMYFUNCTION("iferror(iferror(iferror(index(IMPORTRANGE(""1NK5L1mviMn0j3D3uo53ASkIZOFRlLnqaCTnwzOG2_Wg"",""Direct Link!B2:B""),MATCH($B208,IMPORTRANGE(""1NK5L1mviMn0j3D3uo53ASkIZOFRlLnqaCTnwzOG2_Wg"",""Direct Link!A2:A""),0)),XLOOKUP($B208,IMPORTRANGE(""1NK5L1mviMn0j3D"&amp;"3uo53ASkIZOFRlLnqaCTnwzOG2_Wg"",""Direct links Without Sizes!A2:A""),IMPORTRANGE(""1NK5L1mviMn0j3D3uo53ASkIZOFRlLnqaCTnwzOG2_Wg"",""Direct links Without Sizes!B2:B""))),XLOOKUP($B208,IMPORTRANGE(""1NK5L1mviMn0j3D3uo53ASkIZOFRlLnqaCTnwzOG2_Wg"",""Direct li"&amp;"nks Without Sizes!D2:D""),IMPORTRANGE(""1NK5L1mviMn0j3D3uo53ASkIZOFRlLnqaCTnwzOG2_Wg"",""Direct links Without Sizes!E2:E""))),"""")"),"")</f>
        <v/>
      </c>
      <c r="H208" s="41"/>
      <c r="I208" s="4"/>
      <c r="J208" s="4"/>
      <c r="K208" s="10" t="str">
        <f t="shared" si="1"/>
        <v/>
      </c>
      <c r="L208" s="10"/>
      <c r="M208" s="10" t="str">
        <f t="shared" si="2"/>
        <v/>
      </c>
    </row>
    <row r="209">
      <c r="A209" s="4"/>
      <c r="B209" s="15"/>
      <c r="C209" s="7" t="str">
        <f>IFERROR(__xludf.DUMMYFUNCTION("iferror(iferror(INDEX(IMPORTRANGE(""12vtnxaE_Q1s4tyr10kZQx7ZF_xG0lBFae4jQEUtgsMU"",""All!B2:B""),MATCH($B209,IMPORTRANGE(""12vtnxaE_Q1s4tyr10kZQx7ZF_xG0lBFae4jQEUtgsMU"",""All!A2:A""),0)),INDEX(IMPORTRANGE(""13KC70HngS4DDi8y9E5khtSpQEPG6owaQ9z4E-tR5mnY"","&amp;"""Non-Food!B2:B""),MATCH($B209,IMPORTRANGE(""13KC70HngS4DDi8y9E5khtSpQEPG6owaQ9z4E-tR5mnY"",""Non-Food!A2:A""),0))),"""")"),"")</f>
        <v/>
      </c>
      <c r="D209" s="15"/>
      <c r="E209" s="15"/>
      <c r="F209" s="36"/>
      <c r="G209" s="24" t="str">
        <f>IFERROR(__xludf.DUMMYFUNCTION("iferror(iferror(iferror(index(IMPORTRANGE(""1NK5L1mviMn0j3D3uo53ASkIZOFRlLnqaCTnwzOG2_Wg"",""Direct Link!B2:B""),MATCH($B209,IMPORTRANGE(""1NK5L1mviMn0j3D3uo53ASkIZOFRlLnqaCTnwzOG2_Wg"",""Direct Link!A2:A""),0)),XLOOKUP($B209,IMPORTRANGE(""1NK5L1mviMn0j3D"&amp;"3uo53ASkIZOFRlLnqaCTnwzOG2_Wg"",""Direct links Without Sizes!A2:A""),IMPORTRANGE(""1NK5L1mviMn0j3D3uo53ASkIZOFRlLnqaCTnwzOG2_Wg"",""Direct links Without Sizes!B2:B""))),XLOOKUP($B209,IMPORTRANGE(""1NK5L1mviMn0j3D3uo53ASkIZOFRlLnqaCTnwzOG2_Wg"",""Direct li"&amp;"nks Without Sizes!D2:D""),IMPORTRANGE(""1NK5L1mviMn0j3D3uo53ASkIZOFRlLnqaCTnwzOG2_Wg"",""Direct links Without Sizes!E2:E""))),"""")"),"")</f>
        <v/>
      </c>
      <c r="H209" s="41"/>
      <c r="I209" s="4"/>
      <c r="J209" s="4"/>
      <c r="K209" s="10" t="str">
        <f t="shared" si="1"/>
        <v/>
      </c>
      <c r="L209" s="10"/>
      <c r="M209" s="10" t="str">
        <f t="shared" si="2"/>
        <v/>
      </c>
    </row>
    <row r="210">
      <c r="A210" s="4"/>
      <c r="B210" s="15"/>
      <c r="C210" s="7" t="str">
        <f>IFERROR(__xludf.DUMMYFUNCTION("iferror(iferror(INDEX(IMPORTRANGE(""12vtnxaE_Q1s4tyr10kZQx7ZF_xG0lBFae4jQEUtgsMU"",""All!B2:B""),MATCH($B210,IMPORTRANGE(""12vtnxaE_Q1s4tyr10kZQx7ZF_xG0lBFae4jQEUtgsMU"",""All!A2:A""),0)),INDEX(IMPORTRANGE(""13KC70HngS4DDi8y9E5khtSpQEPG6owaQ9z4E-tR5mnY"","&amp;"""Non-Food!B2:B""),MATCH($B210,IMPORTRANGE(""13KC70HngS4DDi8y9E5khtSpQEPG6owaQ9z4E-tR5mnY"",""Non-Food!A2:A""),0))),"""")"),"")</f>
        <v/>
      </c>
      <c r="D210" s="15"/>
      <c r="E210" s="15"/>
      <c r="F210" s="36"/>
      <c r="G210" s="24" t="str">
        <f>IFERROR(__xludf.DUMMYFUNCTION("iferror(iferror(iferror(index(IMPORTRANGE(""1NK5L1mviMn0j3D3uo53ASkIZOFRlLnqaCTnwzOG2_Wg"",""Direct Link!B2:B""),MATCH($B210,IMPORTRANGE(""1NK5L1mviMn0j3D3uo53ASkIZOFRlLnqaCTnwzOG2_Wg"",""Direct Link!A2:A""),0)),XLOOKUP($B210,IMPORTRANGE(""1NK5L1mviMn0j3D"&amp;"3uo53ASkIZOFRlLnqaCTnwzOG2_Wg"",""Direct links Without Sizes!A2:A""),IMPORTRANGE(""1NK5L1mviMn0j3D3uo53ASkIZOFRlLnqaCTnwzOG2_Wg"",""Direct links Without Sizes!B2:B""))),XLOOKUP($B210,IMPORTRANGE(""1NK5L1mviMn0j3D3uo53ASkIZOFRlLnqaCTnwzOG2_Wg"",""Direct li"&amp;"nks Without Sizes!D2:D""),IMPORTRANGE(""1NK5L1mviMn0j3D3uo53ASkIZOFRlLnqaCTnwzOG2_Wg"",""Direct links Without Sizes!E2:E""))),"""")"),"")</f>
        <v/>
      </c>
      <c r="H210" s="41"/>
      <c r="I210" s="4"/>
      <c r="J210" s="4"/>
      <c r="K210" s="10" t="str">
        <f t="shared" si="1"/>
        <v/>
      </c>
      <c r="L210" s="10"/>
      <c r="M210" s="10" t="str">
        <f t="shared" si="2"/>
        <v/>
      </c>
    </row>
    <row r="211">
      <c r="A211" s="4"/>
      <c r="B211" s="15"/>
      <c r="C211" s="7" t="str">
        <f>IFERROR(__xludf.DUMMYFUNCTION("iferror(iferror(INDEX(IMPORTRANGE(""12vtnxaE_Q1s4tyr10kZQx7ZF_xG0lBFae4jQEUtgsMU"",""All!B2:B""),MATCH($B211,IMPORTRANGE(""12vtnxaE_Q1s4tyr10kZQx7ZF_xG0lBFae4jQEUtgsMU"",""All!A2:A""),0)),INDEX(IMPORTRANGE(""13KC70HngS4DDi8y9E5khtSpQEPG6owaQ9z4E-tR5mnY"","&amp;"""Non-Food!B2:B""),MATCH($B211,IMPORTRANGE(""13KC70HngS4DDi8y9E5khtSpQEPG6owaQ9z4E-tR5mnY"",""Non-Food!A2:A""),0))),"""")"),"")</f>
        <v/>
      </c>
      <c r="D211" s="15"/>
      <c r="E211" s="15"/>
      <c r="F211" s="36"/>
      <c r="G211" s="24" t="str">
        <f>IFERROR(__xludf.DUMMYFUNCTION("iferror(iferror(iferror(index(IMPORTRANGE(""1NK5L1mviMn0j3D3uo53ASkIZOFRlLnqaCTnwzOG2_Wg"",""Direct Link!B2:B""),MATCH($B211,IMPORTRANGE(""1NK5L1mviMn0j3D3uo53ASkIZOFRlLnqaCTnwzOG2_Wg"",""Direct Link!A2:A""),0)),XLOOKUP($B211,IMPORTRANGE(""1NK5L1mviMn0j3D"&amp;"3uo53ASkIZOFRlLnqaCTnwzOG2_Wg"",""Direct links Without Sizes!A2:A""),IMPORTRANGE(""1NK5L1mviMn0j3D3uo53ASkIZOFRlLnqaCTnwzOG2_Wg"",""Direct links Without Sizes!B2:B""))),XLOOKUP($B211,IMPORTRANGE(""1NK5L1mviMn0j3D3uo53ASkIZOFRlLnqaCTnwzOG2_Wg"",""Direct li"&amp;"nks Without Sizes!D2:D""),IMPORTRANGE(""1NK5L1mviMn0j3D3uo53ASkIZOFRlLnqaCTnwzOG2_Wg"",""Direct links Without Sizes!E2:E""))),"""")"),"")</f>
        <v/>
      </c>
      <c r="H211" s="41"/>
      <c r="I211" s="4"/>
      <c r="J211" s="4"/>
      <c r="K211" s="10" t="str">
        <f t="shared" si="1"/>
        <v/>
      </c>
      <c r="L211" s="10"/>
      <c r="M211" s="10" t="str">
        <f t="shared" si="2"/>
        <v/>
      </c>
    </row>
    <row r="212">
      <c r="A212" s="4"/>
      <c r="B212" s="15"/>
      <c r="C212" s="7" t="str">
        <f>IFERROR(__xludf.DUMMYFUNCTION("iferror(iferror(INDEX(IMPORTRANGE(""12vtnxaE_Q1s4tyr10kZQx7ZF_xG0lBFae4jQEUtgsMU"",""All!B2:B""),MATCH($B212,IMPORTRANGE(""12vtnxaE_Q1s4tyr10kZQx7ZF_xG0lBFae4jQEUtgsMU"",""All!A2:A""),0)),INDEX(IMPORTRANGE(""13KC70HngS4DDi8y9E5khtSpQEPG6owaQ9z4E-tR5mnY"","&amp;"""Non-Food!B2:B""),MATCH($B212,IMPORTRANGE(""13KC70HngS4DDi8y9E5khtSpQEPG6owaQ9z4E-tR5mnY"",""Non-Food!A2:A""),0))),"""")"),"")</f>
        <v/>
      </c>
      <c r="D212" s="15"/>
      <c r="E212" s="15"/>
      <c r="F212" s="36"/>
      <c r="G212" s="24" t="str">
        <f>IFERROR(__xludf.DUMMYFUNCTION("iferror(iferror(iferror(index(IMPORTRANGE(""1NK5L1mviMn0j3D3uo53ASkIZOFRlLnqaCTnwzOG2_Wg"",""Direct Link!B2:B""),MATCH($B212,IMPORTRANGE(""1NK5L1mviMn0j3D3uo53ASkIZOFRlLnqaCTnwzOG2_Wg"",""Direct Link!A2:A""),0)),XLOOKUP($B212,IMPORTRANGE(""1NK5L1mviMn0j3D"&amp;"3uo53ASkIZOFRlLnqaCTnwzOG2_Wg"",""Direct links Without Sizes!A2:A""),IMPORTRANGE(""1NK5L1mviMn0j3D3uo53ASkIZOFRlLnqaCTnwzOG2_Wg"",""Direct links Without Sizes!B2:B""))),XLOOKUP($B212,IMPORTRANGE(""1NK5L1mviMn0j3D3uo53ASkIZOFRlLnqaCTnwzOG2_Wg"",""Direct li"&amp;"nks Without Sizes!D2:D""),IMPORTRANGE(""1NK5L1mviMn0j3D3uo53ASkIZOFRlLnqaCTnwzOG2_Wg"",""Direct links Without Sizes!E2:E""))),"""")"),"")</f>
        <v/>
      </c>
      <c r="H212" s="41"/>
      <c r="I212" s="4"/>
      <c r="J212" s="4"/>
      <c r="K212" s="10" t="str">
        <f t="shared" si="1"/>
        <v/>
      </c>
      <c r="L212" s="10"/>
      <c r="M212" s="10" t="str">
        <f t="shared" si="2"/>
        <v/>
      </c>
    </row>
    <row r="213">
      <c r="A213" s="4"/>
      <c r="B213" s="15"/>
      <c r="C213" s="7" t="str">
        <f>IFERROR(__xludf.DUMMYFUNCTION("iferror(iferror(INDEX(IMPORTRANGE(""12vtnxaE_Q1s4tyr10kZQx7ZF_xG0lBFae4jQEUtgsMU"",""All!B2:B""),MATCH($B213,IMPORTRANGE(""12vtnxaE_Q1s4tyr10kZQx7ZF_xG0lBFae4jQEUtgsMU"",""All!A2:A""),0)),INDEX(IMPORTRANGE(""13KC70HngS4DDi8y9E5khtSpQEPG6owaQ9z4E-tR5mnY"","&amp;"""Non-Food!B2:B""),MATCH($B213,IMPORTRANGE(""13KC70HngS4DDi8y9E5khtSpQEPG6owaQ9z4E-tR5mnY"",""Non-Food!A2:A""),0))),"""")"),"")</f>
        <v/>
      </c>
      <c r="D213" s="15"/>
      <c r="E213" s="15"/>
      <c r="F213" s="36"/>
      <c r="G213" s="24" t="str">
        <f>IFERROR(__xludf.DUMMYFUNCTION("iferror(iferror(iferror(index(IMPORTRANGE(""1NK5L1mviMn0j3D3uo53ASkIZOFRlLnqaCTnwzOG2_Wg"",""Direct Link!B2:B""),MATCH($B213,IMPORTRANGE(""1NK5L1mviMn0j3D3uo53ASkIZOFRlLnqaCTnwzOG2_Wg"",""Direct Link!A2:A""),0)),XLOOKUP($B213,IMPORTRANGE(""1NK5L1mviMn0j3D"&amp;"3uo53ASkIZOFRlLnqaCTnwzOG2_Wg"",""Direct links Without Sizes!A2:A""),IMPORTRANGE(""1NK5L1mviMn0j3D3uo53ASkIZOFRlLnqaCTnwzOG2_Wg"",""Direct links Without Sizes!B2:B""))),XLOOKUP($B213,IMPORTRANGE(""1NK5L1mviMn0j3D3uo53ASkIZOFRlLnqaCTnwzOG2_Wg"",""Direct li"&amp;"nks Without Sizes!D2:D""),IMPORTRANGE(""1NK5L1mviMn0j3D3uo53ASkIZOFRlLnqaCTnwzOG2_Wg"",""Direct links Without Sizes!E2:E""))),"""")"),"")</f>
        <v/>
      </c>
      <c r="H213" s="41"/>
      <c r="I213" s="4"/>
      <c r="J213" s="4"/>
      <c r="K213" s="10" t="str">
        <f t="shared" si="1"/>
        <v/>
      </c>
      <c r="L213" s="10"/>
      <c r="M213" s="10" t="str">
        <f t="shared" si="2"/>
        <v/>
      </c>
    </row>
    <row r="214">
      <c r="A214" s="4"/>
      <c r="B214" s="15"/>
      <c r="C214" s="7" t="str">
        <f>IFERROR(__xludf.DUMMYFUNCTION("iferror(iferror(INDEX(IMPORTRANGE(""12vtnxaE_Q1s4tyr10kZQx7ZF_xG0lBFae4jQEUtgsMU"",""All!B2:B""),MATCH($B214,IMPORTRANGE(""12vtnxaE_Q1s4tyr10kZQx7ZF_xG0lBFae4jQEUtgsMU"",""All!A2:A""),0)),INDEX(IMPORTRANGE(""13KC70HngS4DDi8y9E5khtSpQEPG6owaQ9z4E-tR5mnY"","&amp;"""Non-Food!B2:B""),MATCH($B214,IMPORTRANGE(""13KC70HngS4DDi8y9E5khtSpQEPG6owaQ9z4E-tR5mnY"",""Non-Food!A2:A""),0))),"""")"),"")</f>
        <v/>
      </c>
      <c r="D214" s="15"/>
      <c r="E214" s="15"/>
      <c r="F214" s="36"/>
      <c r="G214" s="24" t="str">
        <f>IFERROR(__xludf.DUMMYFUNCTION("iferror(iferror(iferror(index(IMPORTRANGE(""1NK5L1mviMn0j3D3uo53ASkIZOFRlLnqaCTnwzOG2_Wg"",""Direct Link!B2:B""),MATCH($B214,IMPORTRANGE(""1NK5L1mviMn0j3D3uo53ASkIZOFRlLnqaCTnwzOG2_Wg"",""Direct Link!A2:A""),0)),XLOOKUP($B214,IMPORTRANGE(""1NK5L1mviMn0j3D"&amp;"3uo53ASkIZOFRlLnqaCTnwzOG2_Wg"",""Direct links Without Sizes!A2:A""),IMPORTRANGE(""1NK5L1mviMn0j3D3uo53ASkIZOFRlLnqaCTnwzOG2_Wg"",""Direct links Without Sizes!B2:B""))),XLOOKUP($B214,IMPORTRANGE(""1NK5L1mviMn0j3D3uo53ASkIZOFRlLnqaCTnwzOG2_Wg"",""Direct li"&amp;"nks Without Sizes!D2:D""),IMPORTRANGE(""1NK5L1mviMn0j3D3uo53ASkIZOFRlLnqaCTnwzOG2_Wg"",""Direct links Without Sizes!E2:E""))),"""")"),"")</f>
        <v/>
      </c>
      <c r="H214" s="41"/>
      <c r="I214" s="4"/>
      <c r="J214" s="4"/>
      <c r="K214" s="10" t="str">
        <f t="shared" si="1"/>
        <v/>
      </c>
      <c r="L214" s="10"/>
      <c r="M214" s="10" t="str">
        <f t="shared" si="2"/>
        <v/>
      </c>
    </row>
    <row r="215">
      <c r="A215" s="4"/>
      <c r="B215" s="15"/>
      <c r="C215" s="7" t="str">
        <f>IFERROR(__xludf.DUMMYFUNCTION("iferror(iferror(INDEX(IMPORTRANGE(""12vtnxaE_Q1s4tyr10kZQx7ZF_xG0lBFae4jQEUtgsMU"",""All!B2:B""),MATCH($B215,IMPORTRANGE(""12vtnxaE_Q1s4tyr10kZQx7ZF_xG0lBFae4jQEUtgsMU"",""All!A2:A""),0)),INDEX(IMPORTRANGE(""13KC70HngS4DDi8y9E5khtSpQEPG6owaQ9z4E-tR5mnY"","&amp;"""Non-Food!B2:B""),MATCH($B215,IMPORTRANGE(""13KC70HngS4DDi8y9E5khtSpQEPG6owaQ9z4E-tR5mnY"",""Non-Food!A2:A""),0))),"""")"),"")</f>
        <v/>
      </c>
      <c r="D215" s="15"/>
      <c r="E215" s="15"/>
      <c r="F215" s="36"/>
      <c r="G215" s="24" t="str">
        <f>IFERROR(__xludf.DUMMYFUNCTION("iferror(iferror(iferror(index(IMPORTRANGE(""1NK5L1mviMn0j3D3uo53ASkIZOFRlLnqaCTnwzOG2_Wg"",""Direct Link!B2:B""),MATCH($B215,IMPORTRANGE(""1NK5L1mviMn0j3D3uo53ASkIZOFRlLnqaCTnwzOG2_Wg"",""Direct Link!A2:A""),0)),XLOOKUP($B215,IMPORTRANGE(""1NK5L1mviMn0j3D"&amp;"3uo53ASkIZOFRlLnqaCTnwzOG2_Wg"",""Direct links Without Sizes!A2:A""),IMPORTRANGE(""1NK5L1mviMn0j3D3uo53ASkIZOFRlLnqaCTnwzOG2_Wg"",""Direct links Without Sizes!B2:B""))),XLOOKUP($B215,IMPORTRANGE(""1NK5L1mviMn0j3D3uo53ASkIZOFRlLnqaCTnwzOG2_Wg"",""Direct li"&amp;"nks Without Sizes!D2:D""),IMPORTRANGE(""1NK5L1mviMn0j3D3uo53ASkIZOFRlLnqaCTnwzOG2_Wg"",""Direct links Without Sizes!E2:E""))),"""")"),"")</f>
        <v/>
      </c>
      <c r="H215" s="41"/>
      <c r="I215" s="4"/>
      <c r="J215" s="4"/>
      <c r="K215" s="10" t="str">
        <f t="shared" si="1"/>
        <v/>
      </c>
      <c r="L215" s="10"/>
      <c r="M215" s="10" t="str">
        <f t="shared" si="2"/>
        <v/>
      </c>
    </row>
    <row r="216">
      <c r="A216" s="4"/>
      <c r="B216" s="15"/>
      <c r="C216" s="7" t="str">
        <f>IFERROR(__xludf.DUMMYFUNCTION("iferror(iferror(INDEX(IMPORTRANGE(""12vtnxaE_Q1s4tyr10kZQx7ZF_xG0lBFae4jQEUtgsMU"",""All!B2:B""),MATCH($B216,IMPORTRANGE(""12vtnxaE_Q1s4tyr10kZQx7ZF_xG0lBFae4jQEUtgsMU"",""All!A2:A""),0)),INDEX(IMPORTRANGE(""13KC70HngS4DDi8y9E5khtSpQEPG6owaQ9z4E-tR5mnY"","&amp;"""Non-Food!B2:B""),MATCH($B216,IMPORTRANGE(""13KC70HngS4DDi8y9E5khtSpQEPG6owaQ9z4E-tR5mnY"",""Non-Food!A2:A""),0))),"""")"),"")</f>
        <v/>
      </c>
      <c r="D216" s="15"/>
      <c r="E216" s="15"/>
      <c r="F216" s="36"/>
      <c r="G216" s="24" t="str">
        <f>IFERROR(__xludf.DUMMYFUNCTION("iferror(iferror(iferror(index(IMPORTRANGE(""1NK5L1mviMn0j3D3uo53ASkIZOFRlLnqaCTnwzOG2_Wg"",""Direct Link!B2:B""),MATCH($B216,IMPORTRANGE(""1NK5L1mviMn0j3D3uo53ASkIZOFRlLnqaCTnwzOG2_Wg"",""Direct Link!A2:A""),0)),XLOOKUP($B216,IMPORTRANGE(""1NK5L1mviMn0j3D"&amp;"3uo53ASkIZOFRlLnqaCTnwzOG2_Wg"",""Direct links Without Sizes!A2:A""),IMPORTRANGE(""1NK5L1mviMn0j3D3uo53ASkIZOFRlLnqaCTnwzOG2_Wg"",""Direct links Without Sizes!B2:B""))),XLOOKUP($B216,IMPORTRANGE(""1NK5L1mviMn0j3D3uo53ASkIZOFRlLnqaCTnwzOG2_Wg"",""Direct li"&amp;"nks Without Sizes!D2:D""),IMPORTRANGE(""1NK5L1mviMn0j3D3uo53ASkIZOFRlLnqaCTnwzOG2_Wg"",""Direct links Without Sizes!E2:E""))),"""")"),"")</f>
        <v/>
      </c>
      <c r="H216" s="41"/>
      <c r="I216" s="4"/>
      <c r="J216" s="4"/>
      <c r="K216" s="10" t="str">
        <f t="shared" si="1"/>
        <v/>
      </c>
      <c r="L216" s="10"/>
      <c r="M216" s="10" t="str">
        <f t="shared" si="2"/>
        <v/>
      </c>
    </row>
    <row r="217">
      <c r="A217" s="4"/>
      <c r="B217" s="15"/>
      <c r="C217" s="7" t="str">
        <f>IFERROR(__xludf.DUMMYFUNCTION("iferror(iferror(INDEX(IMPORTRANGE(""12vtnxaE_Q1s4tyr10kZQx7ZF_xG0lBFae4jQEUtgsMU"",""All!B2:B""),MATCH($B217,IMPORTRANGE(""12vtnxaE_Q1s4tyr10kZQx7ZF_xG0lBFae4jQEUtgsMU"",""All!A2:A""),0)),INDEX(IMPORTRANGE(""13KC70HngS4DDi8y9E5khtSpQEPG6owaQ9z4E-tR5mnY"","&amp;"""Non-Food!B2:B""),MATCH($B217,IMPORTRANGE(""13KC70HngS4DDi8y9E5khtSpQEPG6owaQ9z4E-tR5mnY"",""Non-Food!A2:A""),0))),"""")"),"")</f>
        <v/>
      </c>
      <c r="D217" s="15"/>
      <c r="E217" s="15"/>
      <c r="F217" s="36"/>
      <c r="G217" s="24" t="str">
        <f>IFERROR(__xludf.DUMMYFUNCTION("iferror(iferror(iferror(index(IMPORTRANGE(""1NK5L1mviMn0j3D3uo53ASkIZOFRlLnqaCTnwzOG2_Wg"",""Direct Link!B2:B""),MATCH($B217,IMPORTRANGE(""1NK5L1mviMn0j3D3uo53ASkIZOFRlLnqaCTnwzOG2_Wg"",""Direct Link!A2:A""),0)),XLOOKUP($B217,IMPORTRANGE(""1NK5L1mviMn0j3D"&amp;"3uo53ASkIZOFRlLnqaCTnwzOG2_Wg"",""Direct links Without Sizes!A2:A""),IMPORTRANGE(""1NK5L1mviMn0j3D3uo53ASkIZOFRlLnqaCTnwzOG2_Wg"",""Direct links Without Sizes!B2:B""))),XLOOKUP($B217,IMPORTRANGE(""1NK5L1mviMn0j3D3uo53ASkIZOFRlLnqaCTnwzOG2_Wg"",""Direct li"&amp;"nks Without Sizes!D2:D""),IMPORTRANGE(""1NK5L1mviMn0j3D3uo53ASkIZOFRlLnqaCTnwzOG2_Wg"",""Direct links Without Sizes!E2:E""))),"""")"),"")</f>
        <v/>
      </c>
      <c r="H217" s="41"/>
      <c r="I217" s="4"/>
      <c r="J217" s="4"/>
      <c r="K217" s="10" t="str">
        <f t="shared" si="1"/>
        <v/>
      </c>
      <c r="L217" s="10"/>
      <c r="M217" s="10" t="str">
        <f t="shared" si="2"/>
        <v/>
      </c>
    </row>
    <row r="218">
      <c r="A218" s="4"/>
      <c r="B218" s="15"/>
      <c r="C218" s="7" t="str">
        <f>IFERROR(__xludf.DUMMYFUNCTION("iferror(iferror(INDEX(IMPORTRANGE(""12vtnxaE_Q1s4tyr10kZQx7ZF_xG0lBFae4jQEUtgsMU"",""All!B2:B""),MATCH($B218,IMPORTRANGE(""12vtnxaE_Q1s4tyr10kZQx7ZF_xG0lBFae4jQEUtgsMU"",""All!A2:A""),0)),INDEX(IMPORTRANGE(""13KC70HngS4DDi8y9E5khtSpQEPG6owaQ9z4E-tR5mnY"","&amp;"""Non-Food!B2:B""),MATCH($B218,IMPORTRANGE(""13KC70HngS4DDi8y9E5khtSpQEPG6owaQ9z4E-tR5mnY"",""Non-Food!A2:A""),0))),"""")"),"")</f>
        <v/>
      </c>
      <c r="D218" s="15"/>
      <c r="E218" s="15"/>
      <c r="F218" s="36"/>
      <c r="G218" s="24" t="str">
        <f>IFERROR(__xludf.DUMMYFUNCTION("iferror(iferror(iferror(index(IMPORTRANGE(""1NK5L1mviMn0j3D3uo53ASkIZOFRlLnqaCTnwzOG2_Wg"",""Direct Link!B2:B""),MATCH($B218,IMPORTRANGE(""1NK5L1mviMn0j3D3uo53ASkIZOFRlLnqaCTnwzOG2_Wg"",""Direct Link!A2:A""),0)),XLOOKUP($B218,IMPORTRANGE(""1NK5L1mviMn0j3D"&amp;"3uo53ASkIZOFRlLnqaCTnwzOG2_Wg"",""Direct links Without Sizes!A2:A""),IMPORTRANGE(""1NK5L1mviMn0j3D3uo53ASkIZOFRlLnqaCTnwzOG2_Wg"",""Direct links Without Sizes!B2:B""))),XLOOKUP($B218,IMPORTRANGE(""1NK5L1mviMn0j3D3uo53ASkIZOFRlLnqaCTnwzOG2_Wg"",""Direct li"&amp;"nks Without Sizes!D2:D""),IMPORTRANGE(""1NK5L1mviMn0j3D3uo53ASkIZOFRlLnqaCTnwzOG2_Wg"",""Direct links Without Sizes!E2:E""))),"""")"),"")</f>
        <v/>
      </c>
      <c r="H218" s="41"/>
      <c r="I218" s="4"/>
      <c r="J218" s="4"/>
      <c r="K218" s="10" t="str">
        <f t="shared" si="1"/>
        <v/>
      </c>
      <c r="L218" s="10"/>
      <c r="M218" s="10" t="str">
        <f t="shared" si="2"/>
        <v/>
      </c>
    </row>
    <row r="219">
      <c r="A219" s="4"/>
      <c r="B219" s="15"/>
      <c r="C219" s="7" t="str">
        <f>IFERROR(__xludf.DUMMYFUNCTION("iferror(iferror(INDEX(IMPORTRANGE(""12vtnxaE_Q1s4tyr10kZQx7ZF_xG0lBFae4jQEUtgsMU"",""All!B2:B""),MATCH($B219,IMPORTRANGE(""12vtnxaE_Q1s4tyr10kZQx7ZF_xG0lBFae4jQEUtgsMU"",""All!A2:A""),0)),INDEX(IMPORTRANGE(""13KC70HngS4DDi8y9E5khtSpQEPG6owaQ9z4E-tR5mnY"","&amp;"""Non-Food!B2:B""),MATCH($B219,IMPORTRANGE(""13KC70HngS4DDi8y9E5khtSpQEPG6owaQ9z4E-tR5mnY"",""Non-Food!A2:A""),0))),"""")"),"")</f>
        <v/>
      </c>
      <c r="D219" s="15"/>
      <c r="E219" s="15"/>
      <c r="F219" s="36"/>
      <c r="G219" s="24" t="str">
        <f>IFERROR(__xludf.DUMMYFUNCTION("iferror(iferror(iferror(index(IMPORTRANGE(""1NK5L1mviMn0j3D3uo53ASkIZOFRlLnqaCTnwzOG2_Wg"",""Direct Link!B2:B""),MATCH($B219,IMPORTRANGE(""1NK5L1mviMn0j3D3uo53ASkIZOFRlLnqaCTnwzOG2_Wg"",""Direct Link!A2:A""),0)),XLOOKUP($B219,IMPORTRANGE(""1NK5L1mviMn0j3D"&amp;"3uo53ASkIZOFRlLnqaCTnwzOG2_Wg"",""Direct links Without Sizes!A2:A""),IMPORTRANGE(""1NK5L1mviMn0j3D3uo53ASkIZOFRlLnqaCTnwzOG2_Wg"",""Direct links Without Sizes!B2:B""))),XLOOKUP($B219,IMPORTRANGE(""1NK5L1mviMn0j3D3uo53ASkIZOFRlLnqaCTnwzOG2_Wg"",""Direct li"&amp;"nks Without Sizes!D2:D""),IMPORTRANGE(""1NK5L1mviMn0j3D3uo53ASkIZOFRlLnqaCTnwzOG2_Wg"",""Direct links Without Sizes!E2:E""))),"""")"),"")</f>
        <v/>
      </c>
      <c r="H219" s="41"/>
      <c r="I219" s="4"/>
      <c r="J219" s="4"/>
      <c r="K219" s="10" t="str">
        <f t="shared" si="1"/>
        <v/>
      </c>
      <c r="L219" s="10"/>
      <c r="M219" s="10" t="str">
        <f t="shared" si="2"/>
        <v/>
      </c>
    </row>
    <row r="220">
      <c r="A220" s="4"/>
      <c r="B220" s="15"/>
      <c r="C220" s="7" t="str">
        <f>IFERROR(__xludf.DUMMYFUNCTION("iferror(iferror(INDEX(IMPORTRANGE(""12vtnxaE_Q1s4tyr10kZQx7ZF_xG0lBFae4jQEUtgsMU"",""All!B2:B""),MATCH($B220,IMPORTRANGE(""12vtnxaE_Q1s4tyr10kZQx7ZF_xG0lBFae4jQEUtgsMU"",""All!A2:A""),0)),INDEX(IMPORTRANGE(""13KC70HngS4DDi8y9E5khtSpQEPG6owaQ9z4E-tR5mnY"","&amp;"""Non-Food!B2:B""),MATCH($B220,IMPORTRANGE(""13KC70HngS4DDi8y9E5khtSpQEPG6owaQ9z4E-tR5mnY"",""Non-Food!A2:A""),0))),"""")"),"")</f>
        <v/>
      </c>
      <c r="D220" s="15"/>
      <c r="E220" s="15"/>
      <c r="F220" s="36"/>
      <c r="G220" s="24" t="str">
        <f>IFERROR(__xludf.DUMMYFUNCTION("iferror(iferror(iferror(index(IMPORTRANGE(""1NK5L1mviMn0j3D3uo53ASkIZOFRlLnqaCTnwzOG2_Wg"",""Direct Link!B2:B""),MATCH($B220,IMPORTRANGE(""1NK5L1mviMn0j3D3uo53ASkIZOFRlLnqaCTnwzOG2_Wg"",""Direct Link!A2:A""),0)),XLOOKUP($B220,IMPORTRANGE(""1NK5L1mviMn0j3D"&amp;"3uo53ASkIZOFRlLnqaCTnwzOG2_Wg"",""Direct links Without Sizes!A2:A""),IMPORTRANGE(""1NK5L1mviMn0j3D3uo53ASkIZOFRlLnqaCTnwzOG2_Wg"",""Direct links Without Sizes!B2:B""))),XLOOKUP($B220,IMPORTRANGE(""1NK5L1mviMn0j3D3uo53ASkIZOFRlLnqaCTnwzOG2_Wg"",""Direct li"&amp;"nks Without Sizes!D2:D""),IMPORTRANGE(""1NK5L1mviMn0j3D3uo53ASkIZOFRlLnqaCTnwzOG2_Wg"",""Direct links Without Sizes!E2:E""))),"""")"),"")</f>
        <v/>
      </c>
      <c r="H220" s="41"/>
      <c r="I220" s="4"/>
      <c r="J220" s="4"/>
      <c r="K220" s="10" t="str">
        <f t="shared" si="1"/>
        <v/>
      </c>
      <c r="L220" s="10"/>
      <c r="M220" s="10" t="str">
        <f t="shared" si="2"/>
        <v/>
      </c>
    </row>
    <row r="221">
      <c r="A221" s="4"/>
      <c r="B221" s="15"/>
      <c r="C221" s="7" t="str">
        <f>IFERROR(__xludf.DUMMYFUNCTION("iferror(iferror(INDEX(IMPORTRANGE(""12vtnxaE_Q1s4tyr10kZQx7ZF_xG0lBFae4jQEUtgsMU"",""All!B2:B""),MATCH($B221,IMPORTRANGE(""12vtnxaE_Q1s4tyr10kZQx7ZF_xG0lBFae4jQEUtgsMU"",""All!A2:A""),0)),INDEX(IMPORTRANGE(""13KC70HngS4DDi8y9E5khtSpQEPG6owaQ9z4E-tR5mnY"","&amp;"""Non-Food!B2:B""),MATCH($B221,IMPORTRANGE(""13KC70HngS4DDi8y9E5khtSpQEPG6owaQ9z4E-tR5mnY"",""Non-Food!A2:A""),0))),"""")"),"")</f>
        <v/>
      </c>
      <c r="D221" s="15"/>
      <c r="E221" s="15"/>
      <c r="F221" s="36"/>
      <c r="G221" s="24" t="str">
        <f>IFERROR(__xludf.DUMMYFUNCTION("iferror(iferror(iferror(index(IMPORTRANGE(""1NK5L1mviMn0j3D3uo53ASkIZOFRlLnqaCTnwzOG2_Wg"",""Direct Link!B2:B""),MATCH($B221,IMPORTRANGE(""1NK5L1mviMn0j3D3uo53ASkIZOFRlLnqaCTnwzOG2_Wg"",""Direct Link!A2:A""),0)),XLOOKUP($B221,IMPORTRANGE(""1NK5L1mviMn0j3D"&amp;"3uo53ASkIZOFRlLnqaCTnwzOG2_Wg"",""Direct links Without Sizes!A2:A""),IMPORTRANGE(""1NK5L1mviMn0j3D3uo53ASkIZOFRlLnqaCTnwzOG2_Wg"",""Direct links Without Sizes!B2:B""))),XLOOKUP($B221,IMPORTRANGE(""1NK5L1mviMn0j3D3uo53ASkIZOFRlLnqaCTnwzOG2_Wg"",""Direct li"&amp;"nks Without Sizes!D2:D""),IMPORTRANGE(""1NK5L1mviMn0j3D3uo53ASkIZOFRlLnqaCTnwzOG2_Wg"",""Direct links Without Sizes!E2:E""))),"""")"),"")</f>
        <v/>
      </c>
      <c r="H221" s="41"/>
      <c r="I221" s="4"/>
      <c r="J221" s="4"/>
      <c r="K221" s="10" t="str">
        <f t="shared" si="1"/>
        <v/>
      </c>
      <c r="L221" s="10"/>
      <c r="M221" s="10" t="str">
        <f t="shared" si="2"/>
        <v/>
      </c>
    </row>
    <row r="222">
      <c r="A222" s="4"/>
      <c r="B222" s="15"/>
      <c r="C222" s="7" t="str">
        <f>IFERROR(__xludf.DUMMYFUNCTION("iferror(iferror(INDEX(IMPORTRANGE(""12vtnxaE_Q1s4tyr10kZQx7ZF_xG0lBFae4jQEUtgsMU"",""All!B2:B""),MATCH($B222,IMPORTRANGE(""12vtnxaE_Q1s4tyr10kZQx7ZF_xG0lBFae4jQEUtgsMU"",""All!A2:A""),0)),INDEX(IMPORTRANGE(""13KC70HngS4DDi8y9E5khtSpQEPG6owaQ9z4E-tR5mnY"","&amp;"""Non-Food!B2:B""),MATCH($B222,IMPORTRANGE(""13KC70HngS4DDi8y9E5khtSpQEPG6owaQ9z4E-tR5mnY"",""Non-Food!A2:A""),0))),"""")"),"")</f>
        <v/>
      </c>
      <c r="D222" s="15"/>
      <c r="E222" s="15"/>
      <c r="F222" s="36"/>
      <c r="G222" s="24" t="str">
        <f>IFERROR(__xludf.DUMMYFUNCTION("iferror(iferror(iferror(index(IMPORTRANGE(""1NK5L1mviMn0j3D3uo53ASkIZOFRlLnqaCTnwzOG2_Wg"",""Direct Link!B2:B""),MATCH($B222,IMPORTRANGE(""1NK5L1mviMn0j3D3uo53ASkIZOFRlLnqaCTnwzOG2_Wg"",""Direct Link!A2:A""),0)),XLOOKUP($B222,IMPORTRANGE(""1NK5L1mviMn0j3D"&amp;"3uo53ASkIZOFRlLnqaCTnwzOG2_Wg"",""Direct links Without Sizes!A2:A""),IMPORTRANGE(""1NK5L1mviMn0j3D3uo53ASkIZOFRlLnqaCTnwzOG2_Wg"",""Direct links Without Sizes!B2:B""))),XLOOKUP($B222,IMPORTRANGE(""1NK5L1mviMn0j3D3uo53ASkIZOFRlLnqaCTnwzOG2_Wg"",""Direct li"&amp;"nks Without Sizes!D2:D""),IMPORTRANGE(""1NK5L1mviMn0j3D3uo53ASkIZOFRlLnqaCTnwzOG2_Wg"",""Direct links Without Sizes!E2:E""))),"""")"),"")</f>
        <v/>
      </c>
      <c r="H222" s="41"/>
      <c r="I222" s="4"/>
      <c r="J222" s="4"/>
      <c r="K222" s="10" t="str">
        <f t="shared" si="1"/>
        <v/>
      </c>
      <c r="L222" s="10"/>
      <c r="M222" s="10" t="str">
        <f t="shared" si="2"/>
        <v/>
      </c>
    </row>
    <row r="223">
      <c r="A223" s="4"/>
      <c r="B223" s="15"/>
      <c r="C223" s="7" t="str">
        <f>IFERROR(__xludf.DUMMYFUNCTION("iferror(iferror(INDEX(IMPORTRANGE(""12vtnxaE_Q1s4tyr10kZQx7ZF_xG0lBFae4jQEUtgsMU"",""All!B2:B""),MATCH($B223,IMPORTRANGE(""12vtnxaE_Q1s4tyr10kZQx7ZF_xG0lBFae4jQEUtgsMU"",""All!A2:A""),0)),INDEX(IMPORTRANGE(""13KC70HngS4DDi8y9E5khtSpQEPG6owaQ9z4E-tR5mnY"","&amp;"""Non-Food!B2:B""),MATCH($B223,IMPORTRANGE(""13KC70HngS4DDi8y9E5khtSpQEPG6owaQ9z4E-tR5mnY"",""Non-Food!A2:A""),0))),"""")"),"")</f>
        <v/>
      </c>
      <c r="D223" s="15"/>
      <c r="E223" s="15"/>
      <c r="F223" s="36"/>
      <c r="G223" s="24" t="str">
        <f>IFERROR(__xludf.DUMMYFUNCTION("iferror(iferror(iferror(index(IMPORTRANGE(""1NK5L1mviMn0j3D3uo53ASkIZOFRlLnqaCTnwzOG2_Wg"",""Direct Link!B2:B""),MATCH($B223,IMPORTRANGE(""1NK5L1mviMn0j3D3uo53ASkIZOFRlLnqaCTnwzOG2_Wg"",""Direct Link!A2:A""),0)),XLOOKUP($B223,IMPORTRANGE(""1NK5L1mviMn0j3D"&amp;"3uo53ASkIZOFRlLnqaCTnwzOG2_Wg"",""Direct links Without Sizes!A2:A""),IMPORTRANGE(""1NK5L1mviMn0j3D3uo53ASkIZOFRlLnqaCTnwzOG2_Wg"",""Direct links Without Sizes!B2:B""))),XLOOKUP($B223,IMPORTRANGE(""1NK5L1mviMn0j3D3uo53ASkIZOFRlLnqaCTnwzOG2_Wg"",""Direct li"&amp;"nks Without Sizes!D2:D""),IMPORTRANGE(""1NK5L1mviMn0j3D3uo53ASkIZOFRlLnqaCTnwzOG2_Wg"",""Direct links Without Sizes!E2:E""))),"""")"),"")</f>
        <v/>
      </c>
      <c r="H223" s="41"/>
      <c r="I223" s="4"/>
      <c r="J223" s="4"/>
      <c r="K223" s="10" t="str">
        <f t="shared" si="1"/>
        <v/>
      </c>
      <c r="L223" s="10"/>
      <c r="M223" s="10" t="str">
        <f t="shared" si="2"/>
        <v/>
      </c>
    </row>
    <row r="224">
      <c r="A224" s="4"/>
      <c r="B224" s="15"/>
      <c r="C224" s="7" t="str">
        <f>IFERROR(__xludf.DUMMYFUNCTION("iferror(iferror(INDEX(IMPORTRANGE(""12vtnxaE_Q1s4tyr10kZQx7ZF_xG0lBFae4jQEUtgsMU"",""All!B2:B""),MATCH($B224,IMPORTRANGE(""12vtnxaE_Q1s4tyr10kZQx7ZF_xG0lBFae4jQEUtgsMU"",""All!A2:A""),0)),INDEX(IMPORTRANGE(""13KC70HngS4DDi8y9E5khtSpQEPG6owaQ9z4E-tR5mnY"","&amp;"""Non-Food!B2:B""),MATCH($B224,IMPORTRANGE(""13KC70HngS4DDi8y9E5khtSpQEPG6owaQ9z4E-tR5mnY"",""Non-Food!A2:A""),0))),"""")"),"")</f>
        <v/>
      </c>
      <c r="D224" s="15"/>
      <c r="E224" s="15"/>
      <c r="F224" s="36"/>
      <c r="G224" s="24" t="str">
        <f>IFERROR(__xludf.DUMMYFUNCTION("iferror(iferror(iferror(index(IMPORTRANGE(""1NK5L1mviMn0j3D3uo53ASkIZOFRlLnqaCTnwzOG2_Wg"",""Direct Link!B2:B""),MATCH($B224,IMPORTRANGE(""1NK5L1mviMn0j3D3uo53ASkIZOFRlLnqaCTnwzOG2_Wg"",""Direct Link!A2:A""),0)),XLOOKUP($B224,IMPORTRANGE(""1NK5L1mviMn0j3D"&amp;"3uo53ASkIZOFRlLnqaCTnwzOG2_Wg"",""Direct links Without Sizes!A2:A""),IMPORTRANGE(""1NK5L1mviMn0j3D3uo53ASkIZOFRlLnqaCTnwzOG2_Wg"",""Direct links Without Sizes!B2:B""))),XLOOKUP($B224,IMPORTRANGE(""1NK5L1mviMn0j3D3uo53ASkIZOFRlLnqaCTnwzOG2_Wg"",""Direct li"&amp;"nks Without Sizes!D2:D""),IMPORTRANGE(""1NK5L1mviMn0j3D3uo53ASkIZOFRlLnqaCTnwzOG2_Wg"",""Direct links Without Sizes!E2:E""))),"""")"),"")</f>
        <v/>
      </c>
      <c r="H224" s="41"/>
      <c r="I224" s="4"/>
      <c r="J224" s="4"/>
      <c r="K224" s="10" t="str">
        <f t="shared" si="1"/>
        <v/>
      </c>
      <c r="L224" s="10"/>
      <c r="M224" s="10" t="str">
        <f t="shared" si="2"/>
        <v/>
      </c>
    </row>
    <row r="225">
      <c r="A225" s="4"/>
      <c r="B225" s="15"/>
      <c r="C225" s="7" t="str">
        <f>IFERROR(__xludf.DUMMYFUNCTION("iferror(iferror(INDEX(IMPORTRANGE(""12vtnxaE_Q1s4tyr10kZQx7ZF_xG0lBFae4jQEUtgsMU"",""All!B2:B""),MATCH($B225,IMPORTRANGE(""12vtnxaE_Q1s4tyr10kZQx7ZF_xG0lBFae4jQEUtgsMU"",""All!A2:A""),0)),INDEX(IMPORTRANGE(""13KC70HngS4DDi8y9E5khtSpQEPG6owaQ9z4E-tR5mnY"","&amp;"""Non-Food!B2:B""),MATCH($B225,IMPORTRANGE(""13KC70HngS4DDi8y9E5khtSpQEPG6owaQ9z4E-tR5mnY"",""Non-Food!A2:A""),0))),"""")"),"")</f>
        <v/>
      </c>
      <c r="D225" s="15"/>
      <c r="E225" s="15"/>
      <c r="F225" s="36"/>
      <c r="G225" s="24" t="str">
        <f>IFERROR(__xludf.DUMMYFUNCTION("iferror(iferror(iferror(index(IMPORTRANGE(""1NK5L1mviMn0j3D3uo53ASkIZOFRlLnqaCTnwzOG2_Wg"",""Direct Link!B2:B""),MATCH($B225,IMPORTRANGE(""1NK5L1mviMn0j3D3uo53ASkIZOFRlLnqaCTnwzOG2_Wg"",""Direct Link!A2:A""),0)),XLOOKUP($B225,IMPORTRANGE(""1NK5L1mviMn0j3D"&amp;"3uo53ASkIZOFRlLnqaCTnwzOG2_Wg"",""Direct links Without Sizes!A2:A""),IMPORTRANGE(""1NK5L1mviMn0j3D3uo53ASkIZOFRlLnqaCTnwzOG2_Wg"",""Direct links Without Sizes!B2:B""))),XLOOKUP($B225,IMPORTRANGE(""1NK5L1mviMn0j3D3uo53ASkIZOFRlLnqaCTnwzOG2_Wg"",""Direct li"&amp;"nks Without Sizes!D2:D""),IMPORTRANGE(""1NK5L1mviMn0j3D3uo53ASkIZOFRlLnqaCTnwzOG2_Wg"",""Direct links Without Sizes!E2:E""))),"""")"),"")</f>
        <v/>
      </c>
      <c r="H225" s="41"/>
      <c r="I225" s="4"/>
      <c r="J225" s="4"/>
      <c r="K225" s="10" t="str">
        <f t="shared" si="1"/>
        <v/>
      </c>
      <c r="L225" s="10"/>
      <c r="M225" s="10" t="str">
        <f t="shared" si="2"/>
        <v/>
      </c>
    </row>
    <row r="226">
      <c r="A226" s="4"/>
      <c r="B226" s="15"/>
      <c r="C226" s="7" t="str">
        <f>IFERROR(__xludf.DUMMYFUNCTION("iferror(iferror(INDEX(IMPORTRANGE(""12vtnxaE_Q1s4tyr10kZQx7ZF_xG0lBFae4jQEUtgsMU"",""All!B2:B""),MATCH($B226,IMPORTRANGE(""12vtnxaE_Q1s4tyr10kZQx7ZF_xG0lBFae4jQEUtgsMU"",""All!A2:A""),0)),INDEX(IMPORTRANGE(""13KC70HngS4DDi8y9E5khtSpQEPG6owaQ9z4E-tR5mnY"","&amp;"""Non-Food!B2:B""),MATCH($B226,IMPORTRANGE(""13KC70HngS4DDi8y9E5khtSpQEPG6owaQ9z4E-tR5mnY"",""Non-Food!A2:A""),0))),"""")"),"")</f>
        <v/>
      </c>
      <c r="D226" s="15"/>
      <c r="E226" s="15"/>
      <c r="F226" s="36"/>
      <c r="G226" s="24" t="str">
        <f>IFERROR(__xludf.DUMMYFUNCTION("iferror(iferror(iferror(index(IMPORTRANGE(""1NK5L1mviMn0j3D3uo53ASkIZOFRlLnqaCTnwzOG2_Wg"",""Direct Link!B2:B""),MATCH($B226,IMPORTRANGE(""1NK5L1mviMn0j3D3uo53ASkIZOFRlLnqaCTnwzOG2_Wg"",""Direct Link!A2:A""),0)),XLOOKUP($B226,IMPORTRANGE(""1NK5L1mviMn0j3D"&amp;"3uo53ASkIZOFRlLnqaCTnwzOG2_Wg"",""Direct links Without Sizes!A2:A""),IMPORTRANGE(""1NK5L1mviMn0j3D3uo53ASkIZOFRlLnqaCTnwzOG2_Wg"",""Direct links Without Sizes!B2:B""))),XLOOKUP($B226,IMPORTRANGE(""1NK5L1mviMn0j3D3uo53ASkIZOFRlLnqaCTnwzOG2_Wg"",""Direct li"&amp;"nks Without Sizes!D2:D""),IMPORTRANGE(""1NK5L1mviMn0j3D3uo53ASkIZOFRlLnqaCTnwzOG2_Wg"",""Direct links Without Sizes!E2:E""))),"""")"),"")</f>
        <v/>
      </c>
      <c r="H226" s="41"/>
      <c r="I226" s="4"/>
      <c r="J226" s="4"/>
      <c r="K226" s="10" t="str">
        <f t="shared" si="1"/>
        <v/>
      </c>
      <c r="L226" s="10"/>
      <c r="M226" s="10" t="str">
        <f t="shared" si="2"/>
        <v/>
      </c>
    </row>
    <row r="227">
      <c r="A227" s="4"/>
      <c r="B227" s="15"/>
      <c r="C227" s="7" t="str">
        <f>IFERROR(__xludf.DUMMYFUNCTION("iferror(iferror(INDEX(IMPORTRANGE(""12vtnxaE_Q1s4tyr10kZQx7ZF_xG0lBFae4jQEUtgsMU"",""All!B2:B""),MATCH($B227,IMPORTRANGE(""12vtnxaE_Q1s4tyr10kZQx7ZF_xG0lBFae4jQEUtgsMU"",""All!A2:A""),0)),INDEX(IMPORTRANGE(""13KC70HngS4DDi8y9E5khtSpQEPG6owaQ9z4E-tR5mnY"","&amp;"""Non-Food!B2:B""),MATCH($B227,IMPORTRANGE(""13KC70HngS4DDi8y9E5khtSpQEPG6owaQ9z4E-tR5mnY"",""Non-Food!A2:A""),0))),"""")"),"")</f>
        <v/>
      </c>
      <c r="D227" s="15"/>
      <c r="E227" s="15"/>
      <c r="F227" s="36"/>
      <c r="G227" s="24" t="str">
        <f>IFERROR(__xludf.DUMMYFUNCTION("iferror(iferror(iferror(index(IMPORTRANGE(""1NK5L1mviMn0j3D3uo53ASkIZOFRlLnqaCTnwzOG2_Wg"",""Direct Link!B2:B""),MATCH($B227,IMPORTRANGE(""1NK5L1mviMn0j3D3uo53ASkIZOFRlLnqaCTnwzOG2_Wg"",""Direct Link!A2:A""),0)),XLOOKUP($B227,IMPORTRANGE(""1NK5L1mviMn0j3D"&amp;"3uo53ASkIZOFRlLnqaCTnwzOG2_Wg"",""Direct links Without Sizes!A2:A""),IMPORTRANGE(""1NK5L1mviMn0j3D3uo53ASkIZOFRlLnqaCTnwzOG2_Wg"",""Direct links Without Sizes!B2:B""))),XLOOKUP($B227,IMPORTRANGE(""1NK5L1mviMn0j3D3uo53ASkIZOFRlLnqaCTnwzOG2_Wg"",""Direct li"&amp;"nks Without Sizes!D2:D""),IMPORTRANGE(""1NK5L1mviMn0j3D3uo53ASkIZOFRlLnqaCTnwzOG2_Wg"",""Direct links Without Sizes!E2:E""))),"""")"),"")</f>
        <v/>
      </c>
      <c r="H227" s="41"/>
      <c r="I227" s="4"/>
      <c r="J227" s="4"/>
      <c r="K227" s="10" t="str">
        <f t="shared" si="1"/>
        <v/>
      </c>
      <c r="L227" s="10"/>
      <c r="M227" s="10" t="str">
        <f t="shared" si="2"/>
        <v/>
      </c>
    </row>
    <row r="228">
      <c r="A228" s="4"/>
      <c r="B228" s="15"/>
      <c r="C228" s="7" t="str">
        <f>IFERROR(__xludf.DUMMYFUNCTION("iferror(iferror(INDEX(IMPORTRANGE(""12vtnxaE_Q1s4tyr10kZQx7ZF_xG0lBFae4jQEUtgsMU"",""All!B2:B""),MATCH($B228,IMPORTRANGE(""12vtnxaE_Q1s4tyr10kZQx7ZF_xG0lBFae4jQEUtgsMU"",""All!A2:A""),0)),INDEX(IMPORTRANGE(""13KC70HngS4DDi8y9E5khtSpQEPG6owaQ9z4E-tR5mnY"","&amp;"""Non-Food!B2:B""),MATCH($B228,IMPORTRANGE(""13KC70HngS4DDi8y9E5khtSpQEPG6owaQ9z4E-tR5mnY"",""Non-Food!A2:A""),0))),"""")"),"")</f>
        <v/>
      </c>
      <c r="D228" s="15"/>
      <c r="E228" s="15"/>
      <c r="F228" s="36"/>
      <c r="G228" s="24" t="str">
        <f>IFERROR(__xludf.DUMMYFUNCTION("iferror(iferror(iferror(index(IMPORTRANGE(""1NK5L1mviMn0j3D3uo53ASkIZOFRlLnqaCTnwzOG2_Wg"",""Direct Link!B2:B""),MATCH($B228,IMPORTRANGE(""1NK5L1mviMn0j3D3uo53ASkIZOFRlLnqaCTnwzOG2_Wg"",""Direct Link!A2:A""),0)),XLOOKUP($B228,IMPORTRANGE(""1NK5L1mviMn0j3D"&amp;"3uo53ASkIZOFRlLnqaCTnwzOG2_Wg"",""Direct links Without Sizes!A2:A""),IMPORTRANGE(""1NK5L1mviMn0j3D3uo53ASkIZOFRlLnqaCTnwzOG2_Wg"",""Direct links Without Sizes!B2:B""))),XLOOKUP($B228,IMPORTRANGE(""1NK5L1mviMn0j3D3uo53ASkIZOFRlLnqaCTnwzOG2_Wg"",""Direct li"&amp;"nks Without Sizes!D2:D""),IMPORTRANGE(""1NK5L1mviMn0j3D3uo53ASkIZOFRlLnqaCTnwzOG2_Wg"",""Direct links Without Sizes!E2:E""))),"""")"),"")</f>
        <v/>
      </c>
      <c r="H228" s="41"/>
      <c r="I228" s="4"/>
      <c r="J228" s="4"/>
      <c r="K228" s="10" t="str">
        <f t="shared" si="1"/>
        <v/>
      </c>
      <c r="L228" s="10"/>
      <c r="M228" s="10" t="str">
        <f t="shared" si="2"/>
        <v/>
      </c>
    </row>
    <row r="229">
      <c r="A229" s="4"/>
      <c r="B229" s="15"/>
      <c r="C229" s="7" t="str">
        <f>IFERROR(__xludf.DUMMYFUNCTION("iferror(iferror(INDEX(IMPORTRANGE(""12vtnxaE_Q1s4tyr10kZQx7ZF_xG0lBFae4jQEUtgsMU"",""All!B2:B""),MATCH($B229,IMPORTRANGE(""12vtnxaE_Q1s4tyr10kZQx7ZF_xG0lBFae4jQEUtgsMU"",""All!A2:A""),0)),INDEX(IMPORTRANGE(""13KC70HngS4DDi8y9E5khtSpQEPG6owaQ9z4E-tR5mnY"","&amp;"""Non-Food!B2:B""),MATCH($B229,IMPORTRANGE(""13KC70HngS4DDi8y9E5khtSpQEPG6owaQ9z4E-tR5mnY"",""Non-Food!A2:A""),0))),"""")"),"")</f>
        <v/>
      </c>
      <c r="D229" s="15"/>
      <c r="E229" s="15"/>
      <c r="F229" s="36"/>
      <c r="G229" s="24" t="str">
        <f>IFERROR(__xludf.DUMMYFUNCTION("iferror(iferror(iferror(index(IMPORTRANGE(""1NK5L1mviMn0j3D3uo53ASkIZOFRlLnqaCTnwzOG2_Wg"",""Direct Link!B2:B""),MATCH($B229,IMPORTRANGE(""1NK5L1mviMn0j3D3uo53ASkIZOFRlLnqaCTnwzOG2_Wg"",""Direct Link!A2:A""),0)),XLOOKUP($B229,IMPORTRANGE(""1NK5L1mviMn0j3D"&amp;"3uo53ASkIZOFRlLnqaCTnwzOG2_Wg"",""Direct links Without Sizes!A2:A""),IMPORTRANGE(""1NK5L1mviMn0j3D3uo53ASkIZOFRlLnqaCTnwzOG2_Wg"",""Direct links Without Sizes!B2:B""))),XLOOKUP($B229,IMPORTRANGE(""1NK5L1mviMn0j3D3uo53ASkIZOFRlLnqaCTnwzOG2_Wg"",""Direct li"&amp;"nks Without Sizes!D2:D""),IMPORTRANGE(""1NK5L1mviMn0j3D3uo53ASkIZOFRlLnqaCTnwzOG2_Wg"",""Direct links Without Sizes!E2:E""))),"""")"),"")</f>
        <v/>
      </c>
      <c r="H229" s="41"/>
      <c r="I229" s="4"/>
      <c r="J229" s="4"/>
      <c r="K229" s="10" t="str">
        <f t="shared" si="1"/>
        <v/>
      </c>
      <c r="L229" s="10"/>
      <c r="M229" s="10" t="str">
        <f t="shared" si="2"/>
        <v/>
      </c>
    </row>
    <row r="230">
      <c r="A230" s="4"/>
      <c r="B230" s="15"/>
      <c r="C230" s="7" t="str">
        <f>IFERROR(__xludf.DUMMYFUNCTION("iferror(iferror(INDEX(IMPORTRANGE(""12vtnxaE_Q1s4tyr10kZQx7ZF_xG0lBFae4jQEUtgsMU"",""All!B2:B""),MATCH($B230,IMPORTRANGE(""12vtnxaE_Q1s4tyr10kZQx7ZF_xG0lBFae4jQEUtgsMU"",""All!A2:A""),0)),INDEX(IMPORTRANGE(""13KC70HngS4DDi8y9E5khtSpQEPG6owaQ9z4E-tR5mnY"","&amp;"""Non-Food!B2:B""),MATCH($B230,IMPORTRANGE(""13KC70HngS4DDi8y9E5khtSpQEPG6owaQ9z4E-tR5mnY"",""Non-Food!A2:A""),0))),"""")"),"")</f>
        <v/>
      </c>
      <c r="D230" s="15"/>
      <c r="E230" s="15"/>
      <c r="F230" s="36"/>
      <c r="G230" s="24" t="str">
        <f>IFERROR(__xludf.DUMMYFUNCTION("iferror(iferror(iferror(index(IMPORTRANGE(""1NK5L1mviMn0j3D3uo53ASkIZOFRlLnqaCTnwzOG2_Wg"",""Direct Link!B2:B""),MATCH($B230,IMPORTRANGE(""1NK5L1mviMn0j3D3uo53ASkIZOFRlLnqaCTnwzOG2_Wg"",""Direct Link!A2:A""),0)),XLOOKUP($B230,IMPORTRANGE(""1NK5L1mviMn0j3D"&amp;"3uo53ASkIZOFRlLnqaCTnwzOG2_Wg"",""Direct links Without Sizes!A2:A""),IMPORTRANGE(""1NK5L1mviMn0j3D3uo53ASkIZOFRlLnqaCTnwzOG2_Wg"",""Direct links Without Sizes!B2:B""))),XLOOKUP($B230,IMPORTRANGE(""1NK5L1mviMn0j3D3uo53ASkIZOFRlLnqaCTnwzOG2_Wg"",""Direct li"&amp;"nks Without Sizes!D2:D""),IMPORTRANGE(""1NK5L1mviMn0j3D3uo53ASkIZOFRlLnqaCTnwzOG2_Wg"",""Direct links Without Sizes!E2:E""))),"""")"),"")</f>
        <v/>
      </c>
      <c r="H230" s="41"/>
      <c r="I230" s="4"/>
      <c r="J230" s="4"/>
      <c r="K230" s="10" t="str">
        <f t="shared" si="1"/>
        <v/>
      </c>
      <c r="L230" s="10"/>
      <c r="M230" s="10" t="str">
        <f t="shared" si="2"/>
        <v/>
      </c>
    </row>
    <row r="231">
      <c r="A231" s="4"/>
      <c r="B231" s="15"/>
      <c r="C231" s="7" t="str">
        <f>IFERROR(__xludf.DUMMYFUNCTION("iferror(iferror(INDEX(IMPORTRANGE(""12vtnxaE_Q1s4tyr10kZQx7ZF_xG0lBFae4jQEUtgsMU"",""All!B2:B""),MATCH($B231,IMPORTRANGE(""12vtnxaE_Q1s4tyr10kZQx7ZF_xG0lBFae4jQEUtgsMU"",""All!A2:A""),0)),INDEX(IMPORTRANGE(""13KC70HngS4DDi8y9E5khtSpQEPG6owaQ9z4E-tR5mnY"","&amp;"""Non-Food!B2:B""),MATCH($B231,IMPORTRANGE(""13KC70HngS4DDi8y9E5khtSpQEPG6owaQ9z4E-tR5mnY"",""Non-Food!A2:A""),0))),"""")"),"")</f>
        <v/>
      </c>
      <c r="D231" s="15"/>
      <c r="E231" s="15"/>
      <c r="F231" s="36"/>
      <c r="G231" s="24" t="str">
        <f>IFERROR(__xludf.DUMMYFUNCTION("iferror(iferror(iferror(index(IMPORTRANGE(""1NK5L1mviMn0j3D3uo53ASkIZOFRlLnqaCTnwzOG2_Wg"",""Direct Link!B2:B""),MATCH($B231,IMPORTRANGE(""1NK5L1mviMn0j3D3uo53ASkIZOFRlLnqaCTnwzOG2_Wg"",""Direct Link!A2:A""),0)),XLOOKUP($B231,IMPORTRANGE(""1NK5L1mviMn0j3D"&amp;"3uo53ASkIZOFRlLnqaCTnwzOG2_Wg"",""Direct links Without Sizes!A2:A""),IMPORTRANGE(""1NK5L1mviMn0j3D3uo53ASkIZOFRlLnqaCTnwzOG2_Wg"",""Direct links Without Sizes!B2:B""))),XLOOKUP($B231,IMPORTRANGE(""1NK5L1mviMn0j3D3uo53ASkIZOFRlLnqaCTnwzOG2_Wg"",""Direct li"&amp;"nks Without Sizes!D2:D""),IMPORTRANGE(""1NK5L1mviMn0j3D3uo53ASkIZOFRlLnqaCTnwzOG2_Wg"",""Direct links Without Sizes!E2:E""))),"""")"),"")</f>
        <v/>
      </c>
      <c r="H231" s="41"/>
      <c r="I231" s="4"/>
      <c r="J231" s="4"/>
      <c r="K231" s="10" t="str">
        <f t="shared" si="1"/>
        <v/>
      </c>
      <c r="L231" s="10"/>
      <c r="M231" s="10" t="str">
        <f t="shared" si="2"/>
        <v/>
      </c>
    </row>
    <row r="232">
      <c r="A232" s="4"/>
      <c r="B232" s="15"/>
      <c r="C232" s="7" t="str">
        <f>IFERROR(__xludf.DUMMYFUNCTION("iferror(iferror(INDEX(IMPORTRANGE(""12vtnxaE_Q1s4tyr10kZQx7ZF_xG0lBFae4jQEUtgsMU"",""All!B2:B""),MATCH($B232,IMPORTRANGE(""12vtnxaE_Q1s4tyr10kZQx7ZF_xG0lBFae4jQEUtgsMU"",""All!A2:A""),0)),INDEX(IMPORTRANGE(""13KC70HngS4DDi8y9E5khtSpQEPG6owaQ9z4E-tR5mnY"","&amp;"""Non-Food!B2:B""),MATCH($B232,IMPORTRANGE(""13KC70HngS4DDi8y9E5khtSpQEPG6owaQ9z4E-tR5mnY"",""Non-Food!A2:A""),0))),"""")"),"")</f>
        <v/>
      </c>
      <c r="D232" s="15"/>
      <c r="E232" s="15"/>
      <c r="F232" s="36"/>
      <c r="G232" s="24" t="str">
        <f>IFERROR(__xludf.DUMMYFUNCTION("iferror(iferror(iferror(index(IMPORTRANGE(""1NK5L1mviMn0j3D3uo53ASkIZOFRlLnqaCTnwzOG2_Wg"",""Direct Link!B2:B""),MATCH($B232,IMPORTRANGE(""1NK5L1mviMn0j3D3uo53ASkIZOFRlLnqaCTnwzOG2_Wg"",""Direct Link!A2:A""),0)),XLOOKUP($B232,IMPORTRANGE(""1NK5L1mviMn0j3D"&amp;"3uo53ASkIZOFRlLnqaCTnwzOG2_Wg"",""Direct links Without Sizes!A2:A""),IMPORTRANGE(""1NK5L1mviMn0j3D3uo53ASkIZOFRlLnqaCTnwzOG2_Wg"",""Direct links Without Sizes!B2:B""))),XLOOKUP($B232,IMPORTRANGE(""1NK5L1mviMn0j3D3uo53ASkIZOFRlLnqaCTnwzOG2_Wg"",""Direct li"&amp;"nks Without Sizes!D2:D""),IMPORTRANGE(""1NK5L1mviMn0j3D3uo53ASkIZOFRlLnqaCTnwzOG2_Wg"",""Direct links Without Sizes!E2:E""))),"""")"),"")</f>
        <v/>
      </c>
      <c r="H232" s="41"/>
      <c r="I232" s="4"/>
      <c r="J232" s="4"/>
      <c r="K232" s="10" t="str">
        <f t="shared" si="1"/>
        <v/>
      </c>
      <c r="L232" s="10"/>
      <c r="M232" s="10" t="str">
        <f t="shared" si="2"/>
        <v/>
      </c>
    </row>
    <row r="233">
      <c r="A233" s="4"/>
      <c r="B233" s="15"/>
      <c r="C233" s="7" t="str">
        <f>IFERROR(__xludf.DUMMYFUNCTION("iferror(iferror(INDEX(IMPORTRANGE(""12vtnxaE_Q1s4tyr10kZQx7ZF_xG0lBFae4jQEUtgsMU"",""All!B2:B""),MATCH($B233,IMPORTRANGE(""12vtnxaE_Q1s4tyr10kZQx7ZF_xG0lBFae4jQEUtgsMU"",""All!A2:A""),0)),INDEX(IMPORTRANGE(""13KC70HngS4DDi8y9E5khtSpQEPG6owaQ9z4E-tR5mnY"","&amp;"""Non-Food!B2:B""),MATCH($B233,IMPORTRANGE(""13KC70HngS4DDi8y9E5khtSpQEPG6owaQ9z4E-tR5mnY"",""Non-Food!A2:A""),0))),"""")"),"")</f>
        <v/>
      </c>
      <c r="D233" s="15"/>
      <c r="E233" s="15"/>
      <c r="F233" s="36"/>
      <c r="G233" s="24" t="str">
        <f>IFERROR(__xludf.DUMMYFUNCTION("iferror(iferror(iferror(index(IMPORTRANGE(""1NK5L1mviMn0j3D3uo53ASkIZOFRlLnqaCTnwzOG2_Wg"",""Direct Link!B2:B""),MATCH($B233,IMPORTRANGE(""1NK5L1mviMn0j3D3uo53ASkIZOFRlLnqaCTnwzOG2_Wg"",""Direct Link!A2:A""),0)),XLOOKUP($B233,IMPORTRANGE(""1NK5L1mviMn0j3D"&amp;"3uo53ASkIZOFRlLnqaCTnwzOG2_Wg"",""Direct links Without Sizes!A2:A""),IMPORTRANGE(""1NK5L1mviMn0j3D3uo53ASkIZOFRlLnqaCTnwzOG2_Wg"",""Direct links Without Sizes!B2:B""))),XLOOKUP($B233,IMPORTRANGE(""1NK5L1mviMn0j3D3uo53ASkIZOFRlLnqaCTnwzOG2_Wg"",""Direct li"&amp;"nks Without Sizes!D2:D""),IMPORTRANGE(""1NK5L1mviMn0j3D3uo53ASkIZOFRlLnqaCTnwzOG2_Wg"",""Direct links Without Sizes!E2:E""))),"""")"),"")</f>
        <v/>
      </c>
      <c r="H233" s="41"/>
      <c r="I233" s="4"/>
      <c r="J233" s="4"/>
      <c r="K233" s="10" t="str">
        <f t="shared" si="1"/>
        <v/>
      </c>
      <c r="L233" s="10"/>
      <c r="M233" s="10" t="str">
        <f t="shared" si="2"/>
        <v/>
      </c>
    </row>
    <row r="234">
      <c r="A234" s="4"/>
      <c r="B234" s="15"/>
      <c r="C234" s="7" t="str">
        <f>IFERROR(__xludf.DUMMYFUNCTION("iferror(iferror(INDEX(IMPORTRANGE(""12vtnxaE_Q1s4tyr10kZQx7ZF_xG0lBFae4jQEUtgsMU"",""All!B2:B""),MATCH($B234,IMPORTRANGE(""12vtnxaE_Q1s4tyr10kZQx7ZF_xG0lBFae4jQEUtgsMU"",""All!A2:A""),0)),INDEX(IMPORTRANGE(""13KC70HngS4DDi8y9E5khtSpQEPG6owaQ9z4E-tR5mnY"","&amp;"""Non-Food!B2:B""),MATCH($B234,IMPORTRANGE(""13KC70HngS4DDi8y9E5khtSpQEPG6owaQ9z4E-tR5mnY"",""Non-Food!A2:A""),0))),"""")"),"")</f>
        <v/>
      </c>
      <c r="D234" s="15"/>
      <c r="E234" s="15"/>
      <c r="F234" s="36"/>
      <c r="G234" s="24" t="str">
        <f>IFERROR(__xludf.DUMMYFUNCTION("iferror(iferror(iferror(index(IMPORTRANGE(""1NK5L1mviMn0j3D3uo53ASkIZOFRlLnqaCTnwzOG2_Wg"",""Direct Link!B2:B""),MATCH($B234,IMPORTRANGE(""1NK5L1mviMn0j3D3uo53ASkIZOFRlLnqaCTnwzOG2_Wg"",""Direct Link!A2:A""),0)),XLOOKUP($B234,IMPORTRANGE(""1NK5L1mviMn0j3D"&amp;"3uo53ASkIZOFRlLnqaCTnwzOG2_Wg"",""Direct links Without Sizes!A2:A""),IMPORTRANGE(""1NK5L1mviMn0j3D3uo53ASkIZOFRlLnqaCTnwzOG2_Wg"",""Direct links Without Sizes!B2:B""))),XLOOKUP($B234,IMPORTRANGE(""1NK5L1mviMn0j3D3uo53ASkIZOFRlLnqaCTnwzOG2_Wg"",""Direct li"&amp;"nks Without Sizes!D2:D""),IMPORTRANGE(""1NK5L1mviMn0j3D3uo53ASkIZOFRlLnqaCTnwzOG2_Wg"",""Direct links Without Sizes!E2:E""))),"""")"),"")</f>
        <v/>
      </c>
      <c r="H234" s="41"/>
      <c r="I234" s="4"/>
      <c r="J234" s="4"/>
      <c r="K234" s="10" t="str">
        <f t="shared" si="1"/>
        <v/>
      </c>
      <c r="L234" s="10"/>
      <c r="M234" s="10" t="str">
        <f t="shared" si="2"/>
        <v/>
      </c>
    </row>
    <row r="235">
      <c r="A235" s="4"/>
      <c r="B235" s="15"/>
      <c r="C235" s="7" t="str">
        <f>IFERROR(__xludf.DUMMYFUNCTION("iferror(iferror(INDEX(IMPORTRANGE(""12vtnxaE_Q1s4tyr10kZQx7ZF_xG0lBFae4jQEUtgsMU"",""All!B2:B""),MATCH($B235,IMPORTRANGE(""12vtnxaE_Q1s4tyr10kZQx7ZF_xG0lBFae4jQEUtgsMU"",""All!A2:A""),0)),INDEX(IMPORTRANGE(""13KC70HngS4DDi8y9E5khtSpQEPG6owaQ9z4E-tR5mnY"","&amp;"""Non-Food!B2:B""),MATCH($B235,IMPORTRANGE(""13KC70HngS4DDi8y9E5khtSpQEPG6owaQ9z4E-tR5mnY"",""Non-Food!A2:A""),0))),"""")"),"")</f>
        <v/>
      </c>
      <c r="D235" s="15"/>
      <c r="E235" s="15"/>
      <c r="F235" s="36"/>
      <c r="G235" s="24" t="str">
        <f>IFERROR(__xludf.DUMMYFUNCTION("iferror(iferror(iferror(index(IMPORTRANGE(""1NK5L1mviMn0j3D3uo53ASkIZOFRlLnqaCTnwzOG2_Wg"",""Direct Link!B2:B""),MATCH($B235,IMPORTRANGE(""1NK5L1mviMn0j3D3uo53ASkIZOFRlLnqaCTnwzOG2_Wg"",""Direct Link!A2:A""),0)),XLOOKUP($B235,IMPORTRANGE(""1NK5L1mviMn0j3D"&amp;"3uo53ASkIZOFRlLnqaCTnwzOG2_Wg"",""Direct links Without Sizes!A2:A""),IMPORTRANGE(""1NK5L1mviMn0j3D3uo53ASkIZOFRlLnqaCTnwzOG2_Wg"",""Direct links Without Sizes!B2:B""))),XLOOKUP($B235,IMPORTRANGE(""1NK5L1mviMn0j3D3uo53ASkIZOFRlLnqaCTnwzOG2_Wg"",""Direct li"&amp;"nks Without Sizes!D2:D""),IMPORTRANGE(""1NK5L1mviMn0j3D3uo53ASkIZOFRlLnqaCTnwzOG2_Wg"",""Direct links Without Sizes!E2:E""))),"""")"),"")</f>
        <v/>
      </c>
      <c r="H235" s="41"/>
      <c r="I235" s="4"/>
      <c r="J235" s="4"/>
      <c r="K235" s="10" t="str">
        <f t="shared" si="1"/>
        <v/>
      </c>
      <c r="L235" s="10"/>
      <c r="M235" s="10" t="str">
        <f t="shared" si="2"/>
        <v/>
      </c>
    </row>
    <row r="236">
      <c r="A236" s="4"/>
      <c r="B236" s="15"/>
      <c r="C236" s="7" t="str">
        <f>IFERROR(__xludf.DUMMYFUNCTION("iferror(iferror(INDEX(IMPORTRANGE(""12vtnxaE_Q1s4tyr10kZQx7ZF_xG0lBFae4jQEUtgsMU"",""All!B2:B""),MATCH($B236,IMPORTRANGE(""12vtnxaE_Q1s4tyr10kZQx7ZF_xG0lBFae4jQEUtgsMU"",""All!A2:A""),0)),INDEX(IMPORTRANGE(""13KC70HngS4DDi8y9E5khtSpQEPG6owaQ9z4E-tR5mnY"","&amp;"""Non-Food!B2:B""),MATCH($B236,IMPORTRANGE(""13KC70HngS4DDi8y9E5khtSpQEPG6owaQ9z4E-tR5mnY"",""Non-Food!A2:A""),0))),"""")"),"")</f>
        <v/>
      </c>
      <c r="D236" s="15"/>
      <c r="E236" s="15"/>
      <c r="F236" s="36"/>
      <c r="G236" s="24" t="str">
        <f>IFERROR(__xludf.DUMMYFUNCTION("iferror(iferror(iferror(index(IMPORTRANGE(""1NK5L1mviMn0j3D3uo53ASkIZOFRlLnqaCTnwzOG2_Wg"",""Direct Link!B2:B""),MATCH($B236,IMPORTRANGE(""1NK5L1mviMn0j3D3uo53ASkIZOFRlLnqaCTnwzOG2_Wg"",""Direct Link!A2:A""),0)),XLOOKUP($B236,IMPORTRANGE(""1NK5L1mviMn0j3D"&amp;"3uo53ASkIZOFRlLnqaCTnwzOG2_Wg"",""Direct links Without Sizes!A2:A""),IMPORTRANGE(""1NK5L1mviMn0j3D3uo53ASkIZOFRlLnqaCTnwzOG2_Wg"",""Direct links Without Sizes!B2:B""))),XLOOKUP($B236,IMPORTRANGE(""1NK5L1mviMn0j3D3uo53ASkIZOFRlLnqaCTnwzOG2_Wg"",""Direct li"&amp;"nks Without Sizes!D2:D""),IMPORTRANGE(""1NK5L1mviMn0j3D3uo53ASkIZOFRlLnqaCTnwzOG2_Wg"",""Direct links Without Sizes!E2:E""))),"""")"),"")</f>
        <v/>
      </c>
      <c r="H236" s="41"/>
      <c r="I236" s="4"/>
      <c r="J236" s="4"/>
      <c r="K236" s="10" t="str">
        <f t="shared" si="1"/>
        <v/>
      </c>
      <c r="L236" s="10"/>
      <c r="M236" s="10" t="str">
        <f t="shared" si="2"/>
        <v/>
      </c>
    </row>
    <row r="237">
      <c r="A237" s="4"/>
      <c r="B237" s="15"/>
      <c r="C237" s="7" t="str">
        <f>IFERROR(__xludf.DUMMYFUNCTION("iferror(iferror(INDEX(IMPORTRANGE(""12vtnxaE_Q1s4tyr10kZQx7ZF_xG0lBFae4jQEUtgsMU"",""All!B2:B""),MATCH($B237,IMPORTRANGE(""12vtnxaE_Q1s4tyr10kZQx7ZF_xG0lBFae4jQEUtgsMU"",""All!A2:A""),0)),INDEX(IMPORTRANGE(""13KC70HngS4DDi8y9E5khtSpQEPG6owaQ9z4E-tR5mnY"","&amp;"""Non-Food!B2:B""),MATCH($B237,IMPORTRANGE(""13KC70HngS4DDi8y9E5khtSpQEPG6owaQ9z4E-tR5mnY"",""Non-Food!A2:A""),0))),"""")"),"")</f>
        <v/>
      </c>
      <c r="D237" s="15"/>
      <c r="E237" s="15"/>
      <c r="F237" s="36"/>
      <c r="G237" s="24" t="str">
        <f>IFERROR(__xludf.DUMMYFUNCTION("iferror(iferror(iferror(index(IMPORTRANGE(""1NK5L1mviMn0j3D3uo53ASkIZOFRlLnqaCTnwzOG2_Wg"",""Direct Link!B2:B""),MATCH($B237,IMPORTRANGE(""1NK5L1mviMn0j3D3uo53ASkIZOFRlLnqaCTnwzOG2_Wg"",""Direct Link!A2:A""),0)),XLOOKUP($B237,IMPORTRANGE(""1NK5L1mviMn0j3D"&amp;"3uo53ASkIZOFRlLnqaCTnwzOG2_Wg"",""Direct links Without Sizes!A2:A""),IMPORTRANGE(""1NK5L1mviMn0j3D3uo53ASkIZOFRlLnqaCTnwzOG2_Wg"",""Direct links Without Sizes!B2:B""))),XLOOKUP($B237,IMPORTRANGE(""1NK5L1mviMn0j3D3uo53ASkIZOFRlLnqaCTnwzOG2_Wg"",""Direct li"&amp;"nks Without Sizes!D2:D""),IMPORTRANGE(""1NK5L1mviMn0j3D3uo53ASkIZOFRlLnqaCTnwzOG2_Wg"",""Direct links Without Sizes!E2:E""))),"""")"),"")</f>
        <v/>
      </c>
      <c r="H237" s="41"/>
      <c r="I237" s="4"/>
      <c r="J237" s="4"/>
      <c r="K237" s="10" t="str">
        <f t="shared" si="1"/>
        <v/>
      </c>
      <c r="L237" s="10"/>
      <c r="M237" s="10" t="str">
        <f t="shared" si="2"/>
        <v/>
      </c>
    </row>
    <row r="238">
      <c r="A238" s="4"/>
      <c r="B238" s="15"/>
      <c r="C238" s="7" t="str">
        <f>IFERROR(__xludf.DUMMYFUNCTION("iferror(iferror(INDEX(IMPORTRANGE(""12vtnxaE_Q1s4tyr10kZQx7ZF_xG0lBFae4jQEUtgsMU"",""All!B2:B""),MATCH($B238,IMPORTRANGE(""12vtnxaE_Q1s4tyr10kZQx7ZF_xG0lBFae4jQEUtgsMU"",""All!A2:A""),0)),INDEX(IMPORTRANGE(""13KC70HngS4DDi8y9E5khtSpQEPG6owaQ9z4E-tR5mnY"","&amp;"""Non-Food!B2:B""),MATCH($B238,IMPORTRANGE(""13KC70HngS4DDi8y9E5khtSpQEPG6owaQ9z4E-tR5mnY"",""Non-Food!A2:A""),0))),"""")"),"")</f>
        <v/>
      </c>
      <c r="D238" s="15"/>
      <c r="E238" s="15"/>
      <c r="F238" s="36"/>
      <c r="G238" s="24" t="str">
        <f>IFERROR(__xludf.DUMMYFUNCTION("iferror(iferror(iferror(index(IMPORTRANGE(""1NK5L1mviMn0j3D3uo53ASkIZOFRlLnqaCTnwzOG2_Wg"",""Direct Link!B2:B""),MATCH($B238,IMPORTRANGE(""1NK5L1mviMn0j3D3uo53ASkIZOFRlLnqaCTnwzOG2_Wg"",""Direct Link!A2:A""),0)),XLOOKUP($B238,IMPORTRANGE(""1NK5L1mviMn0j3D"&amp;"3uo53ASkIZOFRlLnqaCTnwzOG2_Wg"",""Direct links Without Sizes!A2:A""),IMPORTRANGE(""1NK5L1mviMn0j3D3uo53ASkIZOFRlLnqaCTnwzOG2_Wg"",""Direct links Without Sizes!B2:B""))),XLOOKUP($B238,IMPORTRANGE(""1NK5L1mviMn0j3D3uo53ASkIZOFRlLnqaCTnwzOG2_Wg"",""Direct li"&amp;"nks Without Sizes!D2:D""),IMPORTRANGE(""1NK5L1mviMn0j3D3uo53ASkIZOFRlLnqaCTnwzOG2_Wg"",""Direct links Without Sizes!E2:E""))),"""")"),"")</f>
        <v/>
      </c>
      <c r="H238" s="41"/>
      <c r="I238" s="4"/>
      <c r="J238" s="4"/>
      <c r="K238" s="10" t="str">
        <f t="shared" si="1"/>
        <v/>
      </c>
      <c r="L238" s="10"/>
      <c r="M238" s="10" t="str">
        <f t="shared" si="2"/>
        <v/>
      </c>
    </row>
    <row r="239">
      <c r="A239" s="4"/>
      <c r="B239" s="15"/>
      <c r="C239" s="7" t="str">
        <f>IFERROR(__xludf.DUMMYFUNCTION("iferror(iferror(INDEX(IMPORTRANGE(""12vtnxaE_Q1s4tyr10kZQx7ZF_xG0lBFae4jQEUtgsMU"",""All!B2:B""),MATCH($B239,IMPORTRANGE(""12vtnxaE_Q1s4tyr10kZQx7ZF_xG0lBFae4jQEUtgsMU"",""All!A2:A""),0)),INDEX(IMPORTRANGE(""13KC70HngS4DDi8y9E5khtSpQEPG6owaQ9z4E-tR5mnY"","&amp;"""Non-Food!B2:B""),MATCH($B239,IMPORTRANGE(""13KC70HngS4DDi8y9E5khtSpQEPG6owaQ9z4E-tR5mnY"",""Non-Food!A2:A""),0))),"""")"),"")</f>
        <v/>
      </c>
      <c r="D239" s="15"/>
      <c r="E239" s="15"/>
      <c r="F239" s="36"/>
      <c r="G239" s="24" t="str">
        <f>IFERROR(__xludf.DUMMYFUNCTION("iferror(iferror(iferror(index(IMPORTRANGE(""1NK5L1mviMn0j3D3uo53ASkIZOFRlLnqaCTnwzOG2_Wg"",""Direct Link!B2:B""),MATCH($B239,IMPORTRANGE(""1NK5L1mviMn0j3D3uo53ASkIZOFRlLnqaCTnwzOG2_Wg"",""Direct Link!A2:A""),0)),XLOOKUP($B239,IMPORTRANGE(""1NK5L1mviMn0j3D"&amp;"3uo53ASkIZOFRlLnqaCTnwzOG2_Wg"",""Direct links Without Sizes!A2:A""),IMPORTRANGE(""1NK5L1mviMn0j3D3uo53ASkIZOFRlLnqaCTnwzOG2_Wg"",""Direct links Without Sizes!B2:B""))),XLOOKUP($B239,IMPORTRANGE(""1NK5L1mviMn0j3D3uo53ASkIZOFRlLnqaCTnwzOG2_Wg"",""Direct li"&amp;"nks Without Sizes!D2:D""),IMPORTRANGE(""1NK5L1mviMn0j3D3uo53ASkIZOFRlLnqaCTnwzOG2_Wg"",""Direct links Without Sizes!E2:E""))),"""")"),"")</f>
        <v/>
      </c>
      <c r="H239" s="41"/>
      <c r="I239" s="4"/>
      <c r="J239" s="4"/>
      <c r="K239" s="10" t="str">
        <f t="shared" si="1"/>
        <v/>
      </c>
      <c r="L239" s="10"/>
      <c r="M239" s="10" t="str">
        <f t="shared" si="2"/>
        <v/>
      </c>
    </row>
    <row r="240">
      <c r="A240" s="4"/>
      <c r="B240" s="15"/>
      <c r="C240" s="7" t="str">
        <f>IFERROR(__xludf.DUMMYFUNCTION("iferror(iferror(INDEX(IMPORTRANGE(""12vtnxaE_Q1s4tyr10kZQx7ZF_xG0lBFae4jQEUtgsMU"",""All!B2:B""),MATCH($B240,IMPORTRANGE(""12vtnxaE_Q1s4tyr10kZQx7ZF_xG0lBFae4jQEUtgsMU"",""All!A2:A""),0)),INDEX(IMPORTRANGE(""13KC70HngS4DDi8y9E5khtSpQEPG6owaQ9z4E-tR5mnY"","&amp;"""Non-Food!B2:B""),MATCH($B240,IMPORTRANGE(""13KC70HngS4DDi8y9E5khtSpQEPG6owaQ9z4E-tR5mnY"",""Non-Food!A2:A""),0))),"""")"),"")</f>
        <v/>
      </c>
      <c r="D240" s="15"/>
      <c r="E240" s="15"/>
      <c r="F240" s="36"/>
      <c r="G240" s="24" t="str">
        <f>IFERROR(__xludf.DUMMYFUNCTION("iferror(iferror(iferror(index(IMPORTRANGE(""1NK5L1mviMn0j3D3uo53ASkIZOFRlLnqaCTnwzOG2_Wg"",""Direct Link!B2:B""),MATCH($B240,IMPORTRANGE(""1NK5L1mviMn0j3D3uo53ASkIZOFRlLnqaCTnwzOG2_Wg"",""Direct Link!A2:A""),0)),XLOOKUP($B240,IMPORTRANGE(""1NK5L1mviMn0j3D"&amp;"3uo53ASkIZOFRlLnqaCTnwzOG2_Wg"",""Direct links Without Sizes!A2:A""),IMPORTRANGE(""1NK5L1mviMn0j3D3uo53ASkIZOFRlLnqaCTnwzOG2_Wg"",""Direct links Without Sizes!B2:B""))),XLOOKUP($B240,IMPORTRANGE(""1NK5L1mviMn0j3D3uo53ASkIZOFRlLnqaCTnwzOG2_Wg"",""Direct li"&amp;"nks Without Sizes!D2:D""),IMPORTRANGE(""1NK5L1mviMn0j3D3uo53ASkIZOFRlLnqaCTnwzOG2_Wg"",""Direct links Without Sizes!E2:E""))),"""")"),"")</f>
        <v/>
      </c>
      <c r="H240" s="41"/>
      <c r="I240" s="4"/>
      <c r="J240" s="4"/>
      <c r="K240" s="10" t="str">
        <f t="shared" si="1"/>
        <v/>
      </c>
      <c r="L240" s="10"/>
      <c r="M240" s="10" t="str">
        <f t="shared" si="2"/>
        <v/>
      </c>
    </row>
    <row r="241">
      <c r="A241" s="4"/>
      <c r="B241" s="15"/>
      <c r="C241" s="7" t="str">
        <f>IFERROR(__xludf.DUMMYFUNCTION("iferror(iferror(INDEX(IMPORTRANGE(""12vtnxaE_Q1s4tyr10kZQx7ZF_xG0lBFae4jQEUtgsMU"",""All!B2:B""),MATCH($B241,IMPORTRANGE(""12vtnxaE_Q1s4tyr10kZQx7ZF_xG0lBFae4jQEUtgsMU"",""All!A2:A""),0)),INDEX(IMPORTRANGE(""13KC70HngS4DDi8y9E5khtSpQEPG6owaQ9z4E-tR5mnY"","&amp;"""Non-Food!B2:B""),MATCH($B241,IMPORTRANGE(""13KC70HngS4DDi8y9E5khtSpQEPG6owaQ9z4E-tR5mnY"",""Non-Food!A2:A""),0))),"""")"),"")</f>
        <v/>
      </c>
      <c r="D241" s="15"/>
      <c r="E241" s="15"/>
      <c r="F241" s="36"/>
      <c r="G241" s="24" t="str">
        <f>IFERROR(__xludf.DUMMYFUNCTION("iferror(iferror(iferror(index(IMPORTRANGE(""1NK5L1mviMn0j3D3uo53ASkIZOFRlLnqaCTnwzOG2_Wg"",""Direct Link!B2:B""),MATCH($B241,IMPORTRANGE(""1NK5L1mviMn0j3D3uo53ASkIZOFRlLnqaCTnwzOG2_Wg"",""Direct Link!A2:A""),0)),XLOOKUP($B241,IMPORTRANGE(""1NK5L1mviMn0j3D"&amp;"3uo53ASkIZOFRlLnqaCTnwzOG2_Wg"",""Direct links Without Sizes!A2:A""),IMPORTRANGE(""1NK5L1mviMn0j3D3uo53ASkIZOFRlLnqaCTnwzOG2_Wg"",""Direct links Without Sizes!B2:B""))),XLOOKUP($B241,IMPORTRANGE(""1NK5L1mviMn0j3D3uo53ASkIZOFRlLnqaCTnwzOG2_Wg"",""Direct li"&amp;"nks Without Sizes!D2:D""),IMPORTRANGE(""1NK5L1mviMn0j3D3uo53ASkIZOFRlLnqaCTnwzOG2_Wg"",""Direct links Without Sizes!E2:E""))),"""")"),"")</f>
        <v/>
      </c>
      <c r="H241" s="41"/>
      <c r="I241" s="4"/>
      <c r="J241" s="4"/>
      <c r="K241" s="10" t="str">
        <f t="shared" si="1"/>
        <v/>
      </c>
      <c r="L241" s="10"/>
      <c r="M241" s="10" t="str">
        <f t="shared" si="2"/>
        <v/>
      </c>
    </row>
    <row r="242">
      <c r="A242" s="4"/>
      <c r="B242" s="15"/>
      <c r="C242" s="7" t="str">
        <f>IFERROR(__xludf.DUMMYFUNCTION("iferror(iferror(INDEX(IMPORTRANGE(""12vtnxaE_Q1s4tyr10kZQx7ZF_xG0lBFae4jQEUtgsMU"",""All!B2:B""),MATCH($B242,IMPORTRANGE(""12vtnxaE_Q1s4tyr10kZQx7ZF_xG0lBFae4jQEUtgsMU"",""All!A2:A""),0)),INDEX(IMPORTRANGE(""13KC70HngS4DDi8y9E5khtSpQEPG6owaQ9z4E-tR5mnY"","&amp;"""Non-Food!B2:B""),MATCH($B242,IMPORTRANGE(""13KC70HngS4DDi8y9E5khtSpQEPG6owaQ9z4E-tR5mnY"",""Non-Food!A2:A""),0))),"""")"),"")</f>
        <v/>
      </c>
      <c r="D242" s="15"/>
      <c r="E242" s="15"/>
      <c r="F242" s="36"/>
      <c r="G242" s="24" t="str">
        <f>IFERROR(__xludf.DUMMYFUNCTION("iferror(iferror(iferror(index(IMPORTRANGE(""1NK5L1mviMn0j3D3uo53ASkIZOFRlLnqaCTnwzOG2_Wg"",""Direct Link!B2:B""),MATCH($B242,IMPORTRANGE(""1NK5L1mviMn0j3D3uo53ASkIZOFRlLnqaCTnwzOG2_Wg"",""Direct Link!A2:A""),0)),XLOOKUP($B242,IMPORTRANGE(""1NK5L1mviMn0j3D"&amp;"3uo53ASkIZOFRlLnqaCTnwzOG2_Wg"",""Direct links Without Sizes!A2:A""),IMPORTRANGE(""1NK5L1mviMn0j3D3uo53ASkIZOFRlLnqaCTnwzOG2_Wg"",""Direct links Without Sizes!B2:B""))),XLOOKUP($B242,IMPORTRANGE(""1NK5L1mviMn0j3D3uo53ASkIZOFRlLnqaCTnwzOG2_Wg"",""Direct li"&amp;"nks Without Sizes!D2:D""),IMPORTRANGE(""1NK5L1mviMn0j3D3uo53ASkIZOFRlLnqaCTnwzOG2_Wg"",""Direct links Without Sizes!E2:E""))),"""")"),"")</f>
        <v/>
      </c>
      <c r="H242" s="41"/>
      <c r="I242" s="4"/>
      <c r="J242" s="4"/>
      <c r="K242" s="10" t="str">
        <f t="shared" si="1"/>
        <v/>
      </c>
      <c r="L242" s="10"/>
      <c r="M242" s="10" t="str">
        <f t="shared" si="2"/>
        <v/>
      </c>
    </row>
    <row r="243">
      <c r="A243" s="4"/>
      <c r="B243" s="15"/>
      <c r="C243" s="7" t="str">
        <f>IFERROR(__xludf.DUMMYFUNCTION("iferror(iferror(INDEX(IMPORTRANGE(""12vtnxaE_Q1s4tyr10kZQx7ZF_xG0lBFae4jQEUtgsMU"",""All!B2:B""),MATCH($B243,IMPORTRANGE(""12vtnxaE_Q1s4tyr10kZQx7ZF_xG0lBFae4jQEUtgsMU"",""All!A2:A""),0)),INDEX(IMPORTRANGE(""13KC70HngS4DDi8y9E5khtSpQEPG6owaQ9z4E-tR5mnY"","&amp;"""Non-Food!B2:B""),MATCH($B243,IMPORTRANGE(""13KC70HngS4DDi8y9E5khtSpQEPG6owaQ9z4E-tR5mnY"",""Non-Food!A2:A""),0))),"""")"),"")</f>
        <v/>
      </c>
      <c r="D243" s="15"/>
      <c r="E243" s="15"/>
      <c r="F243" s="36"/>
      <c r="G243" s="24" t="str">
        <f>IFERROR(__xludf.DUMMYFUNCTION("iferror(iferror(iferror(index(IMPORTRANGE(""1NK5L1mviMn0j3D3uo53ASkIZOFRlLnqaCTnwzOG2_Wg"",""Direct Link!B2:B""),MATCH($B243,IMPORTRANGE(""1NK5L1mviMn0j3D3uo53ASkIZOFRlLnqaCTnwzOG2_Wg"",""Direct Link!A2:A""),0)),XLOOKUP($B243,IMPORTRANGE(""1NK5L1mviMn0j3D"&amp;"3uo53ASkIZOFRlLnqaCTnwzOG2_Wg"",""Direct links Without Sizes!A2:A""),IMPORTRANGE(""1NK5L1mviMn0j3D3uo53ASkIZOFRlLnqaCTnwzOG2_Wg"",""Direct links Without Sizes!B2:B""))),XLOOKUP($B243,IMPORTRANGE(""1NK5L1mviMn0j3D3uo53ASkIZOFRlLnqaCTnwzOG2_Wg"",""Direct li"&amp;"nks Without Sizes!D2:D""),IMPORTRANGE(""1NK5L1mviMn0j3D3uo53ASkIZOFRlLnqaCTnwzOG2_Wg"",""Direct links Without Sizes!E2:E""))),"""")"),"")</f>
        <v/>
      </c>
      <c r="H243" s="41"/>
      <c r="I243" s="4"/>
      <c r="J243" s="4"/>
      <c r="K243" s="10" t="str">
        <f t="shared" si="1"/>
        <v/>
      </c>
      <c r="L243" s="10"/>
      <c r="M243" s="10" t="str">
        <f t="shared" si="2"/>
        <v/>
      </c>
    </row>
    <row r="244">
      <c r="A244" s="4"/>
      <c r="B244" s="15"/>
      <c r="C244" s="7" t="str">
        <f>IFERROR(__xludf.DUMMYFUNCTION("iferror(iferror(INDEX(IMPORTRANGE(""12vtnxaE_Q1s4tyr10kZQx7ZF_xG0lBFae4jQEUtgsMU"",""All!B2:B""),MATCH($B244,IMPORTRANGE(""12vtnxaE_Q1s4tyr10kZQx7ZF_xG0lBFae4jQEUtgsMU"",""All!A2:A""),0)),INDEX(IMPORTRANGE(""13KC70HngS4DDi8y9E5khtSpQEPG6owaQ9z4E-tR5mnY"","&amp;"""Non-Food!B2:B""),MATCH($B244,IMPORTRANGE(""13KC70HngS4DDi8y9E5khtSpQEPG6owaQ9z4E-tR5mnY"",""Non-Food!A2:A""),0))),"""")"),"")</f>
        <v/>
      </c>
      <c r="D244" s="15"/>
      <c r="E244" s="15"/>
      <c r="F244" s="36"/>
      <c r="G244" s="24" t="str">
        <f>IFERROR(__xludf.DUMMYFUNCTION("iferror(iferror(iferror(index(IMPORTRANGE(""1NK5L1mviMn0j3D3uo53ASkIZOFRlLnqaCTnwzOG2_Wg"",""Direct Link!B2:B""),MATCH($B244,IMPORTRANGE(""1NK5L1mviMn0j3D3uo53ASkIZOFRlLnqaCTnwzOG2_Wg"",""Direct Link!A2:A""),0)),XLOOKUP($B244,IMPORTRANGE(""1NK5L1mviMn0j3D"&amp;"3uo53ASkIZOFRlLnqaCTnwzOG2_Wg"",""Direct links Without Sizes!A2:A""),IMPORTRANGE(""1NK5L1mviMn0j3D3uo53ASkIZOFRlLnqaCTnwzOG2_Wg"",""Direct links Without Sizes!B2:B""))),XLOOKUP($B244,IMPORTRANGE(""1NK5L1mviMn0j3D3uo53ASkIZOFRlLnqaCTnwzOG2_Wg"",""Direct li"&amp;"nks Without Sizes!D2:D""),IMPORTRANGE(""1NK5L1mviMn0j3D3uo53ASkIZOFRlLnqaCTnwzOG2_Wg"",""Direct links Without Sizes!E2:E""))),"""")"),"")</f>
        <v/>
      </c>
      <c r="H244" s="41"/>
      <c r="I244" s="4"/>
      <c r="J244" s="4"/>
      <c r="K244" s="10" t="str">
        <f t="shared" si="1"/>
        <v/>
      </c>
      <c r="L244" s="10"/>
      <c r="M244" s="10" t="str">
        <f t="shared" si="2"/>
        <v/>
      </c>
    </row>
    <row r="245">
      <c r="A245" s="4"/>
      <c r="B245" s="15"/>
      <c r="C245" s="7" t="str">
        <f>IFERROR(__xludf.DUMMYFUNCTION("iferror(iferror(INDEX(IMPORTRANGE(""12vtnxaE_Q1s4tyr10kZQx7ZF_xG0lBFae4jQEUtgsMU"",""All!B2:B""),MATCH($B245,IMPORTRANGE(""12vtnxaE_Q1s4tyr10kZQx7ZF_xG0lBFae4jQEUtgsMU"",""All!A2:A""),0)),INDEX(IMPORTRANGE(""13KC70HngS4DDi8y9E5khtSpQEPG6owaQ9z4E-tR5mnY"","&amp;"""Non-Food!B2:B""),MATCH($B245,IMPORTRANGE(""13KC70HngS4DDi8y9E5khtSpQEPG6owaQ9z4E-tR5mnY"",""Non-Food!A2:A""),0))),"""")"),"")</f>
        <v/>
      </c>
      <c r="D245" s="15"/>
      <c r="E245" s="15"/>
      <c r="F245" s="36"/>
      <c r="G245" s="24" t="str">
        <f>IFERROR(__xludf.DUMMYFUNCTION("iferror(iferror(iferror(index(IMPORTRANGE(""1NK5L1mviMn0j3D3uo53ASkIZOFRlLnqaCTnwzOG2_Wg"",""Direct Link!B2:B""),MATCH($B245,IMPORTRANGE(""1NK5L1mviMn0j3D3uo53ASkIZOFRlLnqaCTnwzOG2_Wg"",""Direct Link!A2:A""),0)),XLOOKUP($B245,IMPORTRANGE(""1NK5L1mviMn0j3D"&amp;"3uo53ASkIZOFRlLnqaCTnwzOG2_Wg"",""Direct links Without Sizes!A2:A""),IMPORTRANGE(""1NK5L1mviMn0j3D3uo53ASkIZOFRlLnqaCTnwzOG2_Wg"",""Direct links Without Sizes!B2:B""))),XLOOKUP($B245,IMPORTRANGE(""1NK5L1mviMn0j3D3uo53ASkIZOFRlLnqaCTnwzOG2_Wg"",""Direct li"&amp;"nks Without Sizes!D2:D""),IMPORTRANGE(""1NK5L1mviMn0j3D3uo53ASkIZOFRlLnqaCTnwzOG2_Wg"",""Direct links Without Sizes!E2:E""))),"""")"),"")</f>
        <v/>
      </c>
      <c r="H245" s="41"/>
      <c r="I245" s="4"/>
      <c r="J245" s="4"/>
      <c r="K245" s="10" t="str">
        <f t="shared" si="1"/>
        <v/>
      </c>
      <c r="L245" s="10"/>
      <c r="M245" s="10" t="str">
        <f t="shared" si="2"/>
        <v/>
      </c>
    </row>
    <row r="246">
      <c r="A246" s="4"/>
      <c r="B246" s="15"/>
      <c r="C246" s="7" t="str">
        <f>IFERROR(__xludf.DUMMYFUNCTION("iferror(iferror(INDEX(IMPORTRANGE(""12vtnxaE_Q1s4tyr10kZQx7ZF_xG0lBFae4jQEUtgsMU"",""All!B2:B""),MATCH($B246,IMPORTRANGE(""12vtnxaE_Q1s4tyr10kZQx7ZF_xG0lBFae4jQEUtgsMU"",""All!A2:A""),0)),INDEX(IMPORTRANGE(""13KC70HngS4DDi8y9E5khtSpQEPG6owaQ9z4E-tR5mnY"","&amp;"""Non-Food!B2:B""),MATCH($B246,IMPORTRANGE(""13KC70HngS4DDi8y9E5khtSpQEPG6owaQ9z4E-tR5mnY"",""Non-Food!A2:A""),0))),"""")"),"")</f>
        <v/>
      </c>
      <c r="D246" s="15"/>
      <c r="E246" s="15"/>
      <c r="F246" s="36"/>
      <c r="G246" s="24" t="str">
        <f>IFERROR(__xludf.DUMMYFUNCTION("iferror(iferror(iferror(index(IMPORTRANGE(""1NK5L1mviMn0j3D3uo53ASkIZOFRlLnqaCTnwzOG2_Wg"",""Direct Link!B2:B""),MATCH($B246,IMPORTRANGE(""1NK5L1mviMn0j3D3uo53ASkIZOFRlLnqaCTnwzOG2_Wg"",""Direct Link!A2:A""),0)),XLOOKUP($B246,IMPORTRANGE(""1NK5L1mviMn0j3D"&amp;"3uo53ASkIZOFRlLnqaCTnwzOG2_Wg"",""Direct links Without Sizes!A2:A""),IMPORTRANGE(""1NK5L1mviMn0j3D3uo53ASkIZOFRlLnqaCTnwzOG2_Wg"",""Direct links Without Sizes!B2:B""))),XLOOKUP($B246,IMPORTRANGE(""1NK5L1mviMn0j3D3uo53ASkIZOFRlLnqaCTnwzOG2_Wg"",""Direct li"&amp;"nks Without Sizes!D2:D""),IMPORTRANGE(""1NK5L1mviMn0j3D3uo53ASkIZOFRlLnqaCTnwzOG2_Wg"",""Direct links Without Sizes!E2:E""))),"""")"),"")</f>
        <v/>
      </c>
      <c r="H246" s="41"/>
      <c r="I246" s="4"/>
      <c r="J246" s="4"/>
      <c r="K246" s="10" t="str">
        <f t="shared" si="1"/>
        <v/>
      </c>
      <c r="L246" s="10"/>
      <c r="M246" s="10" t="str">
        <f t="shared" si="2"/>
        <v/>
      </c>
    </row>
    <row r="247">
      <c r="A247" s="4"/>
      <c r="B247" s="15"/>
      <c r="C247" s="7" t="str">
        <f>IFERROR(__xludf.DUMMYFUNCTION("iferror(iferror(INDEX(IMPORTRANGE(""12vtnxaE_Q1s4tyr10kZQx7ZF_xG0lBFae4jQEUtgsMU"",""All!B2:B""),MATCH($B247,IMPORTRANGE(""12vtnxaE_Q1s4tyr10kZQx7ZF_xG0lBFae4jQEUtgsMU"",""All!A2:A""),0)),INDEX(IMPORTRANGE(""13KC70HngS4DDi8y9E5khtSpQEPG6owaQ9z4E-tR5mnY"","&amp;"""Non-Food!B2:B""),MATCH($B247,IMPORTRANGE(""13KC70HngS4DDi8y9E5khtSpQEPG6owaQ9z4E-tR5mnY"",""Non-Food!A2:A""),0))),"""")"),"")</f>
        <v/>
      </c>
      <c r="D247" s="15"/>
      <c r="E247" s="15"/>
      <c r="F247" s="36"/>
      <c r="G247" s="24" t="str">
        <f>IFERROR(__xludf.DUMMYFUNCTION("iferror(iferror(iferror(index(IMPORTRANGE(""1NK5L1mviMn0j3D3uo53ASkIZOFRlLnqaCTnwzOG2_Wg"",""Direct Link!B2:B""),MATCH($B247,IMPORTRANGE(""1NK5L1mviMn0j3D3uo53ASkIZOFRlLnqaCTnwzOG2_Wg"",""Direct Link!A2:A""),0)),XLOOKUP($B247,IMPORTRANGE(""1NK5L1mviMn0j3D"&amp;"3uo53ASkIZOFRlLnqaCTnwzOG2_Wg"",""Direct links Without Sizes!A2:A""),IMPORTRANGE(""1NK5L1mviMn0j3D3uo53ASkIZOFRlLnqaCTnwzOG2_Wg"",""Direct links Without Sizes!B2:B""))),XLOOKUP($B247,IMPORTRANGE(""1NK5L1mviMn0j3D3uo53ASkIZOFRlLnqaCTnwzOG2_Wg"",""Direct li"&amp;"nks Without Sizes!D2:D""),IMPORTRANGE(""1NK5L1mviMn0j3D3uo53ASkIZOFRlLnqaCTnwzOG2_Wg"",""Direct links Without Sizes!E2:E""))),"""")"),"")</f>
        <v/>
      </c>
      <c r="H247" s="41"/>
      <c r="I247" s="4"/>
      <c r="J247" s="4"/>
      <c r="K247" s="10" t="str">
        <f t="shared" si="1"/>
        <v/>
      </c>
      <c r="L247" s="10"/>
      <c r="M247" s="10" t="str">
        <f t="shared" si="2"/>
        <v/>
      </c>
    </row>
    <row r="248">
      <c r="A248" s="4"/>
      <c r="B248" s="15"/>
      <c r="C248" s="7" t="str">
        <f>IFERROR(__xludf.DUMMYFUNCTION("iferror(iferror(INDEX(IMPORTRANGE(""12vtnxaE_Q1s4tyr10kZQx7ZF_xG0lBFae4jQEUtgsMU"",""All!B2:B""),MATCH($B248,IMPORTRANGE(""12vtnxaE_Q1s4tyr10kZQx7ZF_xG0lBFae4jQEUtgsMU"",""All!A2:A""),0)),INDEX(IMPORTRANGE(""13KC70HngS4DDi8y9E5khtSpQEPG6owaQ9z4E-tR5mnY"","&amp;"""Non-Food!B2:B""),MATCH($B248,IMPORTRANGE(""13KC70HngS4DDi8y9E5khtSpQEPG6owaQ9z4E-tR5mnY"",""Non-Food!A2:A""),0))),"""")"),"")</f>
        <v/>
      </c>
      <c r="D248" s="15"/>
      <c r="E248" s="15"/>
      <c r="F248" s="36"/>
      <c r="G248" s="24" t="str">
        <f>IFERROR(__xludf.DUMMYFUNCTION("iferror(iferror(iferror(index(IMPORTRANGE(""1NK5L1mviMn0j3D3uo53ASkIZOFRlLnqaCTnwzOG2_Wg"",""Direct Link!B2:B""),MATCH($B248,IMPORTRANGE(""1NK5L1mviMn0j3D3uo53ASkIZOFRlLnqaCTnwzOG2_Wg"",""Direct Link!A2:A""),0)),XLOOKUP($B248,IMPORTRANGE(""1NK5L1mviMn0j3D"&amp;"3uo53ASkIZOFRlLnqaCTnwzOG2_Wg"",""Direct links Without Sizes!A2:A""),IMPORTRANGE(""1NK5L1mviMn0j3D3uo53ASkIZOFRlLnqaCTnwzOG2_Wg"",""Direct links Without Sizes!B2:B""))),XLOOKUP($B248,IMPORTRANGE(""1NK5L1mviMn0j3D3uo53ASkIZOFRlLnqaCTnwzOG2_Wg"",""Direct li"&amp;"nks Without Sizes!D2:D""),IMPORTRANGE(""1NK5L1mviMn0j3D3uo53ASkIZOFRlLnqaCTnwzOG2_Wg"",""Direct links Without Sizes!E2:E""))),"""")"),"")</f>
        <v/>
      </c>
      <c r="H248" s="41"/>
      <c r="I248" s="4"/>
      <c r="J248" s="4"/>
      <c r="K248" s="10" t="str">
        <f t="shared" si="1"/>
        <v/>
      </c>
      <c r="L248" s="10"/>
      <c r="M248" s="10" t="str">
        <f t="shared" si="2"/>
        <v/>
      </c>
    </row>
    <row r="249">
      <c r="A249" s="4"/>
      <c r="B249" s="15"/>
      <c r="C249" s="7" t="str">
        <f>IFERROR(__xludf.DUMMYFUNCTION("iferror(iferror(INDEX(IMPORTRANGE(""12vtnxaE_Q1s4tyr10kZQx7ZF_xG0lBFae4jQEUtgsMU"",""All!B2:B""),MATCH($B249,IMPORTRANGE(""12vtnxaE_Q1s4tyr10kZQx7ZF_xG0lBFae4jQEUtgsMU"",""All!A2:A""),0)),INDEX(IMPORTRANGE(""13KC70HngS4DDi8y9E5khtSpQEPG6owaQ9z4E-tR5mnY"","&amp;"""Non-Food!B2:B""),MATCH($B249,IMPORTRANGE(""13KC70HngS4DDi8y9E5khtSpQEPG6owaQ9z4E-tR5mnY"",""Non-Food!A2:A""),0))),"""")"),"")</f>
        <v/>
      </c>
      <c r="D249" s="15"/>
      <c r="E249" s="15"/>
      <c r="F249" s="36"/>
      <c r="G249" s="24" t="str">
        <f>IFERROR(__xludf.DUMMYFUNCTION("iferror(iferror(iferror(index(IMPORTRANGE(""1NK5L1mviMn0j3D3uo53ASkIZOFRlLnqaCTnwzOG2_Wg"",""Direct Link!B2:B""),MATCH($B249,IMPORTRANGE(""1NK5L1mviMn0j3D3uo53ASkIZOFRlLnqaCTnwzOG2_Wg"",""Direct Link!A2:A""),0)),XLOOKUP($B249,IMPORTRANGE(""1NK5L1mviMn0j3D"&amp;"3uo53ASkIZOFRlLnqaCTnwzOG2_Wg"",""Direct links Without Sizes!A2:A""),IMPORTRANGE(""1NK5L1mviMn0j3D3uo53ASkIZOFRlLnqaCTnwzOG2_Wg"",""Direct links Without Sizes!B2:B""))),XLOOKUP($B249,IMPORTRANGE(""1NK5L1mviMn0j3D3uo53ASkIZOFRlLnqaCTnwzOG2_Wg"",""Direct li"&amp;"nks Without Sizes!D2:D""),IMPORTRANGE(""1NK5L1mviMn0j3D3uo53ASkIZOFRlLnqaCTnwzOG2_Wg"",""Direct links Without Sizes!E2:E""))),"""")"),"")</f>
        <v/>
      </c>
      <c r="H249" s="41"/>
      <c r="I249" s="4"/>
      <c r="J249" s="4"/>
      <c r="K249" s="10" t="str">
        <f t="shared" si="1"/>
        <v/>
      </c>
      <c r="L249" s="10"/>
      <c r="M249" s="10" t="str">
        <f t="shared" si="2"/>
        <v/>
      </c>
    </row>
    <row r="250">
      <c r="A250" s="4"/>
      <c r="B250" s="15"/>
      <c r="C250" s="7" t="str">
        <f>IFERROR(__xludf.DUMMYFUNCTION("iferror(iferror(INDEX(IMPORTRANGE(""12vtnxaE_Q1s4tyr10kZQx7ZF_xG0lBFae4jQEUtgsMU"",""All!B2:B""),MATCH($B250,IMPORTRANGE(""12vtnxaE_Q1s4tyr10kZQx7ZF_xG0lBFae4jQEUtgsMU"",""All!A2:A""),0)),INDEX(IMPORTRANGE(""13KC70HngS4DDi8y9E5khtSpQEPG6owaQ9z4E-tR5mnY"","&amp;"""Non-Food!B2:B""),MATCH($B250,IMPORTRANGE(""13KC70HngS4DDi8y9E5khtSpQEPG6owaQ9z4E-tR5mnY"",""Non-Food!A2:A""),0))),"""")"),"")</f>
        <v/>
      </c>
      <c r="D250" s="15"/>
      <c r="E250" s="15"/>
      <c r="F250" s="36"/>
      <c r="G250" s="24" t="str">
        <f>IFERROR(__xludf.DUMMYFUNCTION("iferror(iferror(iferror(index(IMPORTRANGE(""1NK5L1mviMn0j3D3uo53ASkIZOFRlLnqaCTnwzOG2_Wg"",""Direct Link!B2:B""),MATCH($B250,IMPORTRANGE(""1NK5L1mviMn0j3D3uo53ASkIZOFRlLnqaCTnwzOG2_Wg"",""Direct Link!A2:A""),0)),XLOOKUP($B250,IMPORTRANGE(""1NK5L1mviMn0j3D"&amp;"3uo53ASkIZOFRlLnqaCTnwzOG2_Wg"",""Direct links Without Sizes!A2:A""),IMPORTRANGE(""1NK5L1mviMn0j3D3uo53ASkIZOFRlLnqaCTnwzOG2_Wg"",""Direct links Without Sizes!B2:B""))),XLOOKUP($B250,IMPORTRANGE(""1NK5L1mviMn0j3D3uo53ASkIZOFRlLnqaCTnwzOG2_Wg"",""Direct li"&amp;"nks Without Sizes!D2:D""),IMPORTRANGE(""1NK5L1mviMn0j3D3uo53ASkIZOFRlLnqaCTnwzOG2_Wg"",""Direct links Without Sizes!E2:E""))),"""")"),"")</f>
        <v/>
      </c>
      <c r="H250" s="41"/>
      <c r="I250" s="4"/>
      <c r="J250" s="4"/>
      <c r="K250" s="10" t="str">
        <f t="shared" si="1"/>
        <v/>
      </c>
      <c r="L250" s="10"/>
      <c r="M250" s="10" t="str">
        <f t="shared" si="2"/>
        <v/>
      </c>
    </row>
    <row r="251">
      <c r="A251" s="4"/>
      <c r="B251" s="15"/>
      <c r="C251" s="7" t="str">
        <f>IFERROR(__xludf.DUMMYFUNCTION("iferror(iferror(INDEX(IMPORTRANGE(""12vtnxaE_Q1s4tyr10kZQx7ZF_xG0lBFae4jQEUtgsMU"",""All!B2:B""),MATCH($B251,IMPORTRANGE(""12vtnxaE_Q1s4tyr10kZQx7ZF_xG0lBFae4jQEUtgsMU"",""All!A2:A""),0)),INDEX(IMPORTRANGE(""13KC70HngS4DDi8y9E5khtSpQEPG6owaQ9z4E-tR5mnY"","&amp;"""Non-Food!B2:B""),MATCH($B251,IMPORTRANGE(""13KC70HngS4DDi8y9E5khtSpQEPG6owaQ9z4E-tR5mnY"",""Non-Food!A2:A""),0))),"""")"),"")</f>
        <v/>
      </c>
      <c r="D251" s="15"/>
      <c r="E251" s="15"/>
      <c r="F251" s="36"/>
      <c r="G251" s="24" t="str">
        <f>IFERROR(__xludf.DUMMYFUNCTION("iferror(iferror(iferror(index(IMPORTRANGE(""1NK5L1mviMn0j3D3uo53ASkIZOFRlLnqaCTnwzOG2_Wg"",""Direct Link!B2:B""),MATCH($B251,IMPORTRANGE(""1NK5L1mviMn0j3D3uo53ASkIZOFRlLnqaCTnwzOG2_Wg"",""Direct Link!A2:A""),0)),XLOOKUP($B251,IMPORTRANGE(""1NK5L1mviMn0j3D"&amp;"3uo53ASkIZOFRlLnqaCTnwzOG2_Wg"",""Direct links Without Sizes!A2:A""),IMPORTRANGE(""1NK5L1mviMn0j3D3uo53ASkIZOFRlLnqaCTnwzOG2_Wg"",""Direct links Without Sizes!B2:B""))),XLOOKUP($B251,IMPORTRANGE(""1NK5L1mviMn0j3D3uo53ASkIZOFRlLnqaCTnwzOG2_Wg"",""Direct li"&amp;"nks Without Sizes!D2:D""),IMPORTRANGE(""1NK5L1mviMn0j3D3uo53ASkIZOFRlLnqaCTnwzOG2_Wg"",""Direct links Without Sizes!E2:E""))),"""")"),"")</f>
        <v/>
      </c>
      <c r="H251" s="41"/>
      <c r="I251" s="4"/>
      <c r="J251" s="4"/>
      <c r="K251" s="10" t="str">
        <f t="shared" si="1"/>
        <v/>
      </c>
      <c r="L251" s="10"/>
      <c r="M251" s="10" t="str">
        <f t="shared" si="2"/>
        <v/>
      </c>
    </row>
    <row r="252">
      <c r="A252" s="4"/>
      <c r="B252" s="15"/>
      <c r="C252" s="7" t="str">
        <f>IFERROR(__xludf.DUMMYFUNCTION("iferror(iferror(INDEX(IMPORTRANGE(""12vtnxaE_Q1s4tyr10kZQx7ZF_xG0lBFae4jQEUtgsMU"",""All!B2:B""),MATCH($B252,IMPORTRANGE(""12vtnxaE_Q1s4tyr10kZQx7ZF_xG0lBFae4jQEUtgsMU"",""All!A2:A""),0)),INDEX(IMPORTRANGE(""13KC70HngS4DDi8y9E5khtSpQEPG6owaQ9z4E-tR5mnY"","&amp;"""Non-Food!B2:B""),MATCH($B252,IMPORTRANGE(""13KC70HngS4DDi8y9E5khtSpQEPG6owaQ9z4E-tR5mnY"",""Non-Food!A2:A""),0))),"""")"),"")</f>
        <v/>
      </c>
      <c r="D252" s="15"/>
      <c r="E252" s="15"/>
      <c r="F252" s="36"/>
      <c r="G252" s="24" t="str">
        <f>IFERROR(__xludf.DUMMYFUNCTION("iferror(iferror(iferror(index(IMPORTRANGE(""1NK5L1mviMn0j3D3uo53ASkIZOFRlLnqaCTnwzOG2_Wg"",""Direct Link!B2:B""),MATCH($B252,IMPORTRANGE(""1NK5L1mviMn0j3D3uo53ASkIZOFRlLnqaCTnwzOG2_Wg"",""Direct Link!A2:A""),0)),XLOOKUP($B252,IMPORTRANGE(""1NK5L1mviMn0j3D"&amp;"3uo53ASkIZOFRlLnqaCTnwzOG2_Wg"",""Direct links Without Sizes!A2:A""),IMPORTRANGE(""1NK5L1mviMn0j3D3uo53ASkIZOFRlLnqaCTnwzOG2_Wg"",""Direct links Without Sizes!B2:B""))),XLOOKUP($B252,IMPORTRANGE(""1NK5L1mviMn0j3D3uo53ASkIZOFRlLnqaCTnwzOG2_Wg"",""Direct li"&amp;"nks Without Sizes!D2:D""),IMPORTRANGE(""1NK5L1mviMn0j3D3uo53ASkIZOFRlLnqaCTnwzOG2_Wg"",""Direct links Without Sizes!E2:E""))),"""")"),"")</f>
        <v/>
      </c>
      <c r="H252" s="41"/>
      <c r="I252" s="4"/>
      <c r="J252" s="4"/>
      <c r="K252" s="10" t="str">
        <f t="shared" si="1"/>
        <v/>
      </c>
      <c r="L252" s="10"/>
      <c r="M252" s="10" t="str">
        <f t="shared" si="2"/>
        <v/>
      </c>
    </row>
    <row r="253">
      <c r="A253" s="4"/>
      <c r="B253" s="15"/>
      <c r="C253" s="7" t="str">
        <f>IFERROR(__xludf.DUMMYFUNCTION("iferror(iferror(INDEX(IMPORTRANGE(""12vtnxaE_Q1s4tyr10kZQx7ZF_xG0lBFae4jQEUtgsMU"",""All!B2:B""),MATCH($B253,IMPORTRANGE(""12vtnxaE_Q1s4tyr10kZQx7ZF_xG0lBFae4jQEUtgsMU"",""All!A2:A""),0)),INDEX(IMPORTRANGE(""13KC70HngS4DDi8y9E5khtSpQEPG6owaQ9z4E-tR5mnY"","&amp;"""Non-Food!B2:B""),MATCH($B253,IMPORTRANGE(""13KC70HngS4DDi8y9E5khtSpQEPG6owaQ9z4E-tR5mnY"",""Non-Food!A2:A""),0))),"""")"),"")</f>
        <v/>
      </c>
      <c r="D253" s="15"/>
      <c r="E253" s="15"/>
      <c r="F253" s="36"/>
      <c r="G253" s="24" t="str">
        <f>IFERROR(__xludf.DUMMYFUNCTION("iferror(iferror(iferror(index(IMPORTRANGE(""1NK5L1mviMn0j3D3uo53ASkIZOFRlLnqaCTnwzOG2_Wg"",""Direct Link!B2:B""),MATCH($B253,IMPORTRANGE(""1NK5L1mviMn0j3D3uo53ASkIZOFRlLnqaCTnwzOG2_Wg"",""Direct Link!A2:A""),0)),XLOOKUP($B253,IMPORTRANGE(""1NK5L1mviMn0j3D"&amp;"3uo53ASkIZOFRlLnqaCTnwzOG2_Wg"",""Direct links Without Sizes!A2:A""),IMPORTRANGE(""1NK5L1mviMn0j3D3uo53ASkIZOFRlLnqaCTnwzOG2_Wg"",""Direct links Without Sizes!B2:B""))),XLOOKUP($B253,IMPORTRANGE(""1NK5L1mviMn0j3D3uo53ASkIZOFRlLnqaCTnwzOG2_Wg"",""Direct li"&amp;"nks Without Sizes!D2:D""),IMPORTRANGE(""1NK5L1mviMn0j3D3uo53ASkIZOFRlLnqaCTnwzOG2_Wg"",""Direct links Without Sizes!E2:E""))),"""")"),"")</f>
        <v/>
      </c>
      <c r="H253" s="41"/>
      <c r="I253" s="4"/>
      <c r="J253" s="4"/>
      <c r="K253" s="10" t="str">
        <f t="shared" si="1"/>
        <v/>
      </c>
      <c r="L253" s="10"/>
      <c r="M253" s="10" t="str">
        <f t="shared" si="2"/>
        <v/>
      </c>
    </row>
    <row r="254">
      <c r="A254" s="4"/>
      <c r="B254" s="15"/>
      <c r="C254" s="7" t="str">
        <f>IFERROR(__xludf.DUMMYFUNCTION("iferror(iferror(INDEX(IMPORTRANGE(""12vtnxaE_Q1s4tyr10kZQx7ZF_xG0lBFae4jQEUtgsMU"",""All!B2:B""),MATCH($B254,IMPORTRANGE(""12vtnxaE_Q1s4tyr10kZQx7ZF_xG0lBFae4jQEUtgsMU"",""All!A2:A""),0)),INDEX(IMPORTRANGE(""13KC70HngS4DDi8y9E5khtSpQEPG6owaQ9z4E-tR5mnY"","&amp;"""Non-Food!B2:B""),MATCH($B254,IMPORTRANGE(""13KC70HngS4DDi8y9E5khtSpQEPG6owaQ9z4E-tR5mnY"",""Non-Food!A2:A""),0))),"""")"),"")</f>
        <v/>
      </c>
      <c r="D254" s="15"/>
      <c r="E254" s="15"/>
      <c r="F254" s="36"/>
      <c r="G254" s="24" t="str">
        <f>IFERROR(__xludf.DUMMYFUNCTION("iferror(iferror(iferror(index(IMPORTRANGE(""1NK5L1mviMn0j3D3uo53ASkIZOFRlLnqaCTnwzOG2_Wg"",""Direct Link!B2:B""),MATCH($B254,IMPORTRANGE(""1NK5L1mviMn0j3D3uo53ASkIZOFRlLnqaCTnwzOG2_Wg"",""Direct Link!A2:A""),0)),XLOOKUP($B254,IMPORTRANGE(""1NK5L1mviMn0j3D"&amp;"3uo53ASkIZOFRlLnqaCTnwzOG2_Wg"",""Direct links Without Sizes!A2:A""),IMPORTRANGE(""1NK5L1mviMn0j3D3uo53ASkIZOFRlLnqaCTnwzOG2_Wg"",""Direct links Without Sizes!B2:B""))),XLOOKUP($B254,IMPORTRANGE(""1NK5L1mviMn0j3D3uo53ASkIZOFRlLnqaCTnwzOG2_Wg"",""Direct li"&amp;"nks Without Sizes!D2:D""),IMPORTRANGE(""1NK5L1mviMn0j3D3uo53ASkIZOFRlLnqaCTnwzOG2_Wg"",""Direct links Without Sizes!E2:E""))),"""")"),"")</f>
        <v/>
      </c>
      <c r="H254" s="41"/>
      <c r="I254" s="4"/>
      <c r="J254" s="4"/>
      <c r="K254" s="10" t="str">
        <f t="shared" si="1"/>
        <v/>
      </c>
      <c r="L254" s="10"/>
      <c r="M254" s="10" t="str">
        <f t="shared" si="2"/>
        <v/>
      </c>
    </row>
    <row r="255">
      <c r="A255" s="4"/>
      <c r="B255" s="15"/>
      <c r="C255" s="7" t="str">
        <f>IFERROR(__xludf.DUMMYFUNCTION("iferror(iferror(INDEX(IMPORTRANGE(""12vtnxaE_Q1s4tyr10kZQx7ZF_xG0lBFae4jQEUtgsMU"",""All!B2:B""),MATCH($B255,IMPORTRANGE(""12vtnxaE_Q1s4tyr10kZQx7ZF_xG0lBFae4jQEUtgsMU"",""All!A2:A""),0)),INDEX(IMPORTRANGE(""13KC70HngS4DDi8y9E5khtSpQEPG6owaQ9z4E-tR5mnY"","&amp;"""Non-Food!B2:B""),MATCH($B255,IMPORTRANGE(""13KC70HngS4DDi8y9E5khtSpQEPG6owaQ9z4E-tR5mnY"",""Non-Food!A2:A""),0))),"""")"),"")</f>
        <v/>
      </c>
      <c r="D255" s="15"/>
      <c r="E255" s="15"/>
      <c r="F255" s="36"/>
      <c r="G255" s="24" t="str">
        <f>IFERROR(__xludf.DUMMYFUNCTION("iferror(iferror(iferror(index(IMPORTRANGE(""1NK5L1mviMn0j3D3uo53ASkIZOFRlLnqaCTnwzOG2_Wg"",""Direct Link!B2:B""),MATCH($B255,IMPORTRANGE(""1NK5L1mviMn0j3D3uo53ASkIZOFRlLnqaCTnwzOG2_Wg"",""Direct Link!A2:A""),0)),XLOOKUP($B255,IMPORTRANGE(""1NK5L1mviMn0j3D"&amp;"3uo53ASkIZOFRlLnqaCTnwzOG2_Wg"",""Direct links Without Sizes!A2:A""),IMPORTRANGE(""1NK5L1mviMn0j3D3uo53ASkIZOFRlLnqaCTnwzOG2_Wg"",""Direct links Without Sizes!B2:B""))),XLOOKUP($B255,IMPORTRANGE(""1NK5L1mviMn0j3D3uo53ASkIZOFRlLnqaCTnwzOG2_Wg"",""Direct li"&amp;"nks Without Sizes!D2:D""),IMPORTRANGE(""1NK5L1mviMn0j3D3uo53ASkIZOFRlLnqaCTnwzOG2_Wg"",""Direct links Without Sizes!E2:E""))),"""")"),"")</f>
        <v/>
      </c>
      <c r="H255" s="41"/>
      <c r="I255" s="4"/>
      <c r="J255" s="4"/>
      <c r="K255" s="10" t="str">
        <f t="shared" si="1"/>
        <v/>
      </c>
      <c r="L255" s="10"/>
      <c r="M255" s="10" t="str">
        <f t="shared" si="2"/>
        <v/>
      </c>
    </row>
    <row r="256">
      <c r="A256" s="4"/>
      <c r="B256" s="15"/>
      <c r="C256" s="7" t="str">
        <f>IFERROR(__xludf.DUMMYFUNCTION("iferror(iferror(INDEX(IMPORTRANGE(""12vtnxaE_Q1s4tyr10kZQx7ZF_xG0lBFae4jQEUtgsMU"",""All!B2:B""),MATCH($B256,IMPORTRANGE(""12vtnxaE_Q1s4tyr10kZQx7ZF_xG0lBFae4jQEUtgsMU"",""All!A2:A""),0)),INDEX(IMPORTRANGE(""13KC70HngS4DDi8y9E5khtSpQEPG6owaQ9z4E-tR5mnY"","&amp;"""Non-Food!B2:B""),MATCH($B256,IMPORTRANGE(""13KC70HngS4DDi8y9E5khtSpQEPG6owaQ9z4E-tR5mnY"",""Non-Food!A2:A""),0))),"""")"),"")</f>
        <v/>
      </c>
      <c r="D256" s="15"/>
      <c r="E256" s="15"/>
      <c r="F256" s="36"/>
      <c r="G256" s="24" t="str">
        <f>IFERROR(__xludf.DUMMYFUNCTION("iferror(iferror(iferror(index(IMPORTRANGE(""1NK5L1mviMn0j3D3uo53ASkIZOFRlLnqaCTnwzOG2_Wg"",""Direct Link!B2:B""),MATCH($B256,IMPORTRANGE(""1NK5L1mviMn0j3D3uo53ASkIZOFRlLnqaCTnwzOG2_Wg"",""Direct Link!A2:A""),0)),XLOOKUP($B256,IMPORTRANGE(""1NK5L1mviMn0j3D"&amp;"3uo53ASkIZOFRlLnqaCTnwzOG2_Wg"",""Direct links Without Sizes!A2:A""),IMPORTRANGE(""1NK5L1mviMn0j3D3uo53ASkIZOFRlLnqaCTnwzOG2_Wg"",""Direct links Without Sizes!B2:B""))),XLOOKUP($B256,IMPORTRANGE(""1NK5L1mviMn0j3D3uo53ASkIZOFRlLnqaCTnwzOG2_Wg"",""Direct li"&amp;"nks Without Sizes!D2:D""),IMPORTRANGE(""1NK5L1mviMn0j3D3uo53ASkIZOFRlLnqaCTnwzOG2_Wg"",""Direct links Without Sizes!E2:E""))),"""")"),"")</f>
        <v/>
      </c>
      <c r="H256" s="41"/>
      <c r="I256" s="4"/>
      <c r="J256" s="4"/>
      <c r="K256" s="10" t="str">
        <f t="shared" si="1"/>
        <v/>
      </c>
      <c r="L256" s="10"/>
      <c r="M256" s="10" t="str">
        <f t="shared" si="2"/>
        <v/>
      </c>
    </row>
    <row r="257">
      <c r="A257" s="4"/>
      <c r="B257" s="15"/>
      <c r="C257" s="7" t="str">
        <f>IFERROR(__xludf.DUMMYFUNCTION("iferror(iferror(INDEX(IMPORTRANGE(""12vtnxaE_Q1s4tyr10kZQx7ZF_xG0lBFae4jQEUtgsMU"",""All!B2:B""),MATCH($B257,IMPORTRANGE(""12vtnxaE_Q1s4tyr10kZQx7ZF_xG0lBFae4jQEUtgsMU"",""All!A2:A""),0)),INDEX(IMPORTRANGE(""13KC70HngS4DDi8y9E5khtSpQEPG6owaQ9z4E-tR5mnY"","&amp;"""Non-Food!B2:B""),MATCH($B257,IMPORTRANGE(""13KC70HngS4DDi8y9E5khtSpQEPG6owaQ9z4E-tR5mnY"",""Non-Food!A2:A""),0))),"""")"),"")</f>
        <v/>
      </c>
      <c r="D257" s="15"/>
      <c r="E257" s="15"/>
      <c r="F257" s="36"/>
      <c r="G257" s="24" t="str">
        <f>IFERROR(__xludf.DUMMYFUNCTION("iferror(iferror(iferror(index(IMPORTRANGE(""1NK5L1mviMn0j3D3uo53ASkIZOFRlLnqaCTnwzOG2_Wg"",""Direct Link!B2:B""),MATCH($B257,IMPORTRANGE(""1NK5L1mviMn0j3D3uo53ASkIZOFRlLnqaCTnwzOG2_Wg"",""Direct Link!A2:A""),0)),XLOOKUP($B257,IMPORTRANGE(""1NK5L1mviMn0j3D"&amp;"3uo53ASkIZOFRlLnqaCTnwzOG2_Wg"",""Direct links Without Sizes!A2:A""),IMPORTRANGE(""1NK5L1mviMn0j3D3uo53ASkIZOFRlLnqaCTnwzOG2_Wg"",""Direct links Without Sizes!B2:B""))),XLOOKUP($B257,IMPORTRANGE(""1NK5L1mviMn0j3D3uo53ASkIZOFRlLnqaCTnwzOG2_Wg"",""Direct li"&amp;"nks Without Sizes!D2:D""),IMPORTRANGE(""1NK5L1mviMn0j3D3uo53ASkIZOFRlLnqaCTnwzOG2_Wg"",""Direct links Without Sizes!E2:E""))),"""")"),"")</f>
        <v/>
      </c>
      <c r="H257" s="41"/>
      <c r="I257" s="4"/>
      <c r="J257" s="4"/>
      <c r="K257" s="10" t="str">
        <f t="shared" si="1"/>
        <v/>
      </c>
      <c r="L257" s="10"/>
      <c r="M257" s="10" t="str">
        <f t="shared" si="2"/>
        <v/>
      </c>
    </row>
    <row r="258">
      <c r="A258" s="4"/>
      <c r="B258" s="15"/>
      <c r="C258" s="7" t="str">
        <f>IFERROR(__xludf.DUMMYFUNCTION("iferror(iferror(INDEX(IMPORTRANGE(""12vtnxaE_Q1s4tyr10kZQx7ZF_xG0lBFae4jQEUtgsMU"",""All!B2:B""),MATCH($B258,IMPORTRANGE(""12vtnxaE_Q1s4tyr10kZQx7ZF_xG0lBFae4jQEUtgsMU"",""All!A2:A""),0)),INDEX(IMPORTRANGE(""13KC70HngS4DDi8y9E5khtSpQEPG6owaQ9z4E-tR5mnY"","&amp;"""Non-Food!B2:B""),MATCH($B258,IMPORTRANGE(""13KC70HngS4DDi8y9E5khtSpQEPG6owaQ9z4E-tR5mnY"",""Non-Food!A2:A""),0))),"""")"),"")</f>
        <v/>
      </c>
      <c r="D258" s="15"/>
      <c r="E258" s="15"/>
      <c r="F258" s="36"/>
      <c r="G258" s="24" t="str">
        <f>IFERROR(__xludf.DUMMYFUNCTION("iferror(iferror(iferror(index(IMPORTRANGE(""1NK5L1mviMn0j3D3uo53ASkIZOFRlLnqaCTnwzOG2_Wg"",""Direct Link!B2:B""),MATCH($B258,IMPORTRANGE(""1NK5L1mviMn0j3D3uo53ASkIZOFRlLnqaCTnwzOG2_Wg"",""Direct Link!A2:A""),0)),XLOOKUP($B258,IMPORTRANGE(""1NK5L1mviMn0j3D"&amp;"3uo53ASkIZOFRlLnqaCTnwzOG2_Wg"",""Direct links Without Sizes!A2:A""),IMPORTRANGE(""1NK5L1mviMn0j3D3uo53ASkIZOFRlLnqaCTnwzOG2_Wg"",""Direct links Without Sizes!B2:B""))),XLOOKUP($B258,IMPORTRANGE(""1NK5L1mviMn0j3D3uo53ASkIZOFRlLnqaCTnwzOG2_Wg"",""Direct li"&amp;"nks Without Sizes!D2:D""),IMPORTRANGE(""1NK5L1mviMn0j3D3uo53ASkIZOFRlLnqaCTnwzOG2_Wg"",""Direct links Without Sizes!E2:E""))),"""")"),"")</f>
        <v/>
      </c>
      <c r="H258" s="41"/>
      <c r="I258" s="4"/>
      <c r="J258" s="4"/>
      <c r="K258" s="10" t="str">
        <f t="shared" si="1"/>
        <v/>
      </c>
      <c r="L258" s="10"/>
      <c r="M258" s="10" t="str">
        <f t="shared" si="2"/>
        <v/>
      </c>
    </row>
    <row r="259">
      <c r="A259" s="4"/>
      <c r="B259" s="15"/>
      <c r="C259" s="7" t="str">
        <f>IFERROR(__xludf.DUMMYFUNCTION("iferror(iferror(INDEX(IMPORTRANGE(""12vtnxaE_Q1s4tyr10kZQx7ZF_xG0lBFae4jQEUtgsMU"",""All!B2:B""),MATCH($B259,IMPORTRANGE(""12vtnxaE_Q1s4tyr10kZQx7ZF_xG0lBFae4jQEUtgsMU"",""All!A2:A""),0)),INDEX(IMPORTRANGE(""13KC70HngS4DDi8y9E5khtSpQEPG6owaQ9z4E-tR5mnY"","&amp;"""Non-Food!B2:B""),MATCH($B259,IMPORTRANGE(""13KC70HngS4DDi8y9E5khtSpQEPG6owaQ9z4E-tR5mnY"",""Non-Food!A2:A""),0))),"""")"),"")</f>
        <v/>
      </c>
      <c r="D259" s="15"/>
      <c r="E259" s="15"/>
      <c r="F259" s="36"/>
      <c r="G259" s="24" t="str">
        <f>IFERROR(__xludf.DUMMYFUNCTION("iferror(iferror(iferror(index(IMPORTRANGE(""1NK5L1mviMn0j3D3uo53ASkIZOFRlLnqaCTnwzOG2_Wg"",""Direct Link!B2:B""),MATCH($B259,IMPORTRANGE(""1NK5L1mviMn0j3D3uo53ASkIZOFRlLnqaCTnwzOG2_Wg"",""Direct Link!A2:A""),0)),XLOOKUP($B259,IMPORTRANGE(""1NK5L1mviMn0j3D"&amp;"3uo53ASkIZOFRlLnqaCTnwzOG2_Wg"",""Direct links Without Sizes!A2:A""),IMPORTRANGE(""1NK5L1mviMn0j3D3uo53ASkIZOFRlLnqaCTnwzOG2_Wg"",""Direct links Without Sizes!B2:B""))),XLOOKUP($B259,IMPORTRANGE(""1NK5L1mviMn0j3D3uo53ASkIZOFRlLnqaCTnwzOG2_Wg"",""Direct li"&amp;"nks Without Sizes!D2:D""),IMPORTRANGE(""1NK5L1mviMn0j3D3uo53ASkIZOFRlLnqaCTnwzOG2_Wg"",""Direct links Without Sizes!E2:E""))),"""")"),"")</f>
        <v/>
      </c>
      <c r="H259" s="41"/>
      <c r="I259" s="4"/>
      <c r="J259" s="4"/>
      <c r="K259" s="10" t="str">
        <f t="shared" si="1"/>
        <v/>
      </c>
      <c r="L259" s="10"/>
      <c r="M259" s="10" t="str">
        <f t="shared" si="2"/>
        <v/>
      </c>
    </row>
    <row r="260">
      <c r="A260" s="4"/>
      <c r="B260" s="15"/>
      <c r="C260" s="7" t="str">
        <f>IFERROR(__xludf.DUMMYFUNCTION("iferror(iferror(INDEX(IMPORTRANGE(""12vtnxaE_Q1s4tyr10kZQx7ZF_xG0lBFae4jQEUtgsMU"",""All!B2:B""),MATCH($B260,IMPORTRANGE(""12vtnxaE_Q1s4tyr10kZQx7ZF_xG0lBFae4jQEUtgsMU"",""All!A2:A""),0)),INDEX(IMPORTRANGE(""13KC70HngS4DDi8y9E5khtSpQEPG6owaQ9z4E-tR5mnY"","&amp;"""Non-Food!B2:B""),MATCH($B260,IMPORTRANGE(""13KC70HngS4DDi8y9E5khtSpQEPG6owaQ9z4E-tR5mnY"",""Non-Food!A2:A""),0))),"""")"),"")</f>
        <v/>
      </c>
      <c r="D260" s="15"/>
      <c r="E260" s="15"/>
      <c r="F260" s="36"/>
      <c r="G260" s="24" t="str">
        <f>IFERROR(__xludf.DUMMYFUNCTION("iferror(iferror(iferror(index(IMPORTRANGE(""1NK5L1mviMn0j3D3uo53ASkIZOFRlLnqaCTnwzOG2_Wg"",""Direct Link!B2:B""),MATCH($B260,IMPORTRANGE(""1NK5L1mviMn0j3D3uo53ASkIZOFRlLnqaCTnwzOG2_Wg"",""Direct Link!A2:A""),0)),XLOOKUP($B260,IMPORTRANGE(""1NK5L1mviMn0j3D"&amp;"3uo53ASkIZOFRlLnqaCTnwzOG2_Wg"",""Direct links Without Sizes!A2:A""),IMPORTRANGE(""1NK5L1mviMn0j3D3uo53ASkIZOFRlLnqaCTnwzOG2_Wg"",""Direct links Without Sizes!B2:B""))),XLOOKUP($B260,IMPORTRANGE(""1NK5L1mviMn0j3D3uo53ASkIZOFRlLnqaCTnwzOG2_Wg"",""Direct li"&amp;"nks Without Sizes!D2:D""),IMPORTRANGE(""1NK5L1mviMn0j3D3uo53ASkIZOFRlLnqaCTnwzOG2_Wg"",""Direct links Without Sizes!E2:E""))),"""")"),"")</f>
        <v/>
      </c>
      <c r="H260" s="41"/>
      <c r="I260" s="4"/>
      <c r="J260" s="4"/>
      <c r="K260" s="10" t="str">
        <f t="shared" si="1"/>
        <v/>
      </c>
      <c r="L260" s="10"/>
      <c r="M260" s="10" t="str">
        <f t="shared" si="2"/>
        <v/>
      </c>
    </row>
    <row r="261">
      <c r="A261" s="4"/>
      <c r="B261" s="15"/>
      <c r="C261" s="7" t="str">
        <f>IFERROR(__xludf.DUMMYFUNCTION("iferror(iferror(INDEX(IMPORTRANGE(""12vtnxaE_Q1s4tyr10kZQx7ZF_xG0lBFae4jQEUtgsMU"",""All!B2:B""),MATCH($B261,IMPORTRANGE(""12vtnxaE_Q1s4tyr10kZQx7ZF_xG0lBFae4jQEUtgsMU"",""All!A2:A""),0)),INDEX(IMPORTRANGE(""13KC70HngS4DDi8y9E5khtSpQEPG6owaQ9z4E-tR5mnY"","&amp;"""Non-Food!B2:B""),MATCH($B261,IMPORTRANGE(""13KC70HngS4DDi8y9E5khtSpQEPG6owaQ9z4E-tR5mnY"",""Non-Food!A2:A""),0))),"""")"),"")</f>
        <v/>
      </c>
      <c r="D261" s="15"/>
      <c r="E261" s="15"/>
      <c r="F261" s="36"/>
      <c r="G261" s="24" t="str">
        <f>IFERROR(__xludf.DUMMYFUNCTION("iferror(iferror(iferror(index(IMPORTRANGE(""1NK5L1mviMn0j3D3uo53ASkIZOFRlLnqaCTnwzOG2_Wg"",""Direct Link!B2:B""),MATCH($B261,IMPORTRANGE(""1NK5L1mviMn0j3D3uo53ASkIZOFRlLnqaCTnwzOG2_Wg"",""Direct Link!A2:A""),0)),XLOOKUP($B261,IMPORTRANGE(""1NK5L1mviMn0j3D"&amp;"3uo53ASkIZOFRlLnqaCTnwzOG2_Wg"",""Direct links Without Sizes!A2:A""),IMPORTRANGE(""1NK5L1mviMn0j3D3uo53ASkIZOFRlLnqaCTnwzOG2_Wg"",""Direct links Without Sizes!B2:B""))),XLOOKUP($B261,IMPORTRANGE(""1NK5L1mviMn0j3D3uo53ASkIZOFRlLnqaCTnwzOG2_Wg"",""Direct li"&amp;"nks Without Sizes!D2:D""),IMPORTRANGE(""1NK5L1mviMn0j3D3uo53ASkIZOFRlLnqaCTnwzOG2_Wg"",""Direct links Without Sizes!E2:E""))),"""")"),"")</f>
        <v/>
      </c>
      <c r="H261" s="41"/>
      <c r="I261" s="4"/>
      <c r="J261" s="4"/>
      <c r="K261" s="10" t="str">
        <f t="shared" si="1"/>
        <v/>
      </c>
      <c r="L261" s="10"/>
      <c r="M261" s="10" t="str">
        <f t="shared" si="2"/>
        <v/>
      </c>
    </row>
    <row r="262">
      <c r="A262" s="4"/>
      <c r="B262" s="15"/>
      <c r="C262" s="7" t="str">
        <f>IFERROR(__xludf.DUMMYFUNCTION("iferror(iferror(INDEX(IMPORTRANGE(""12vtnxaE_Q1s4tyr10kZQx7ZF_xG0lBFae4jQEUtgsMU"",""All!B2:B""),MATCH($B262,IMPORTRANGE(""12vtnxaE_Q1s4tyr10kZQx7ZF_xG0lBFae4jQEUtgsMU"",""All!A2:A""),0)),INDEX(IMPORTRANGE(""13KC70HngS4DDi8y9E5khtSpQEPG6owaQ9z4E-tR5mnY"","&amp;"""Non-Food!B2:B""),MATCH($B262,IMPORTRANGE(""13KC70HngS4DDi8y9E5khtSpQEPG6owaQ9z4E-tR5mnY"",""Non-Food!A2:A""),0))),"""")"),"")</f>
        <v/>
      </c>
      <c r="D262" s="15"/>
      <c r="E262" s="15"/>
      <c r="F262" s="36"/>
      <c r="G262" s="24" t="str">
        <f>IFERROR(__xludf.DUMMYFUNCTION("iferror(iferror(iferror(index(IMPORTRANGE(""1NK5L1mviMn0j3D3uo53ASkIZOFRlLnqaCTnwzOG2_Wg"",""Direct Link!B2:B""),MATCH($B262,IMPORTRANGE(""1NK5L1mviMn0j3D3uo53ASkIZOFRlLnqaCTnwzOG2_Wg"",""Direct Link!A2:A""),0)),XLOOKUP($B262,IMPORTRANGE(""1NK5L1mviMn0j3D"&amp;"3uo53ASkIZOFRlLnqaCTnwzOG2_Wg"",""Direct links Without Sizes!A2:A""),IMPORTRANGE(""1NK5L1mviMn0j3D3uo53ASkIZOFRlLnqaCTnwzOG2_Wg"",""Direct links Without Sizes!B2:B""))),XLOOKUP($B262,IMPORTRANGE(""1NK5L1mviMn0j3D3uo53ASkIZOFRlLnqaCTnwzOG2_Wg"",""Direct li"&amp;"nks Without Sizes!D2:D""),IMPORTRANGE(""1NK5L1mviMn0j3D3uo53ASkIZOFRlLnqaCTnwzOG2_Wg"",""Direct links Without Sizes!E2:E""))),"""")"),"")</f>
        <v/>
      </c>
      <c r="H262" s="41"/>
      <c r="I262" s="4"/>
      <c r="J262" s="4"/>
      <c r="K262" s="10" t="str">
        <f t="shared" si="1"/>
        <v/>
      </c>
      <c r="L262" s="10"/>
      <c r="M262" s="10" t="str">
        <f t="shared" si="2"/>
        <v/>
      </c>
    </row>
    <row r="263">
      <c r="A263" s="4"/>
      <c r="B263" s="15"/>
      <c r="C263" s="7" t="str">
        <f>IFERROR(__xludf.DUMMYFUNCTION("iferror(iferror(INDEX(IMPORTRANGE(""12vtnxaE_Q1s4tyr10kZQx7ZF_xG0lBFae4jQEUtgsMU"",""All!B2:B""),MATCH($B263,IMPORTRANGE(""12vtnxaE_Q1s4tyr10kZQx7ZF_xG0lBFae4jQEUtgsMU"",""All!A2:A""),0)),INDEX(IMPORTRANGE(""13KC70HngS4DDi8y9E5khtSpQEPG6owaQ9z4E-tR5mnY"","&amp;"""Non-Food!B2:B""),MATCH($B263,IMPORTRANGE(""13KC70HngS4DDi8y9E5khtSpQEPG6owaQ9z4E-tR5mnY"",""Non-Food!A2:A""),0))),"""")"),"")</f>
        <v/>
      </c>
      <c r="D263" s="15"/>
      <c r="E263" s="15"/>
      <c r="F263" s="36"/>
      <c r="G263" s="24" t="str">
        <f>IFERROR(__xludf.DUMMYFUNCTION("iferror(iferror(iferror(index(IMPORTRANGE(""1NK5L1mviMn0j3D3uo53ASkIZOFRlLnqaCTnwzOG2_Wg"",""Direct Link!B2:B""),MATCH($B263,IMPORTRANGE(""1NK5L1mviMn0j3D3uo53ASkIZOFRlLnqaCTnwzOG2_Wg"",""Direct Link!A2:A""),0)),XLOOKUP($B263,IMPORTRANGE(""1NK5L1mviMn0j3D"&amp;"3uo53ASkIZOFRlLnqaCTnwzOG2_Wg"",""Direct links Without Sizes!A2:A""),IMPORTRANGE(""1NK5L1mviMn0j3D3uo53ASkIZOFRlLnqaCTnwzOG2_Wg"",""Direct links Without Sizes!B2:B""))),XLOOKUP($B263,IMPORTRANGE(""1NK5L1mviMn0j3D3uo53ASkIZOFRlLnqaCTnwzOG2_Wg"",""Direct li"&amp;"nks Without Sizes!D2:D""),IMPORTRANGE(""1NK5L1mviMn0j3D3uo53ASkIZOFRlLnqaCTnwzOG2_Wg"",""Direct links Without Sizes!E2:E""))),"""")"),"")</f>
        <v/>
      </c>
      <c r="H263" s="41"/>
      <c r="I263" s="4"/>
      <c r="J263" s="4"/>
      <c r="K263" s="10" t="str">
        <f t="shared" si="1"/>
        <v/>
      </c>
      <c r="L263" s="10"/>
      <c r="M263" s="10" t="str">
        <f t="shared" si="2"/>
        <v/>
      </c>
    </row>
    <row r="264">
      <c r="A264" s="4"/>
      <c r="B264" s="15"/>
      <c r="C264" s="7" t="str">
        <f>IFERROR(__xludf.DUMMYFUNCTION("iferror(iferror(INDEX(IMPORTRANGE(""12vtnxaE_Q1s4tyr10kZQx7ZF_xG0lBFae4jQEUtgsMU"",""All!B2:B""),MATCH($B264,IMPORTRANGE(""12vtnxaE_Q1s4tyr10kZQx7ZF_xG0lBFae4jQEUtgsMU"",""All!A2:A""),0)),INDEX(IMPORTRANGE(""13KC70HngS4DDi8y9E5khtSpQEPG6owaQ9z4E-tR5mnY"","&amp;"""Non-Food!B2:B""),MATCH($B264,IMPORTRANGE(""13KC70HngS4DDi8y9E5khtSpQEPG6owaQ9z4E-tR5mnY"",""Non-Food!A2:A""),0))),"""")"),"")</f>
        <v/>
      </c>
      <c r="D264" s="15"/>
      <c r="E264" s="15"/>
      <c r="F264" s="36"/>
      <c r="G264" s="24" t="str">
        <f>IFERROR(__xludf.DUMMYFUNCTION("iferror(iferror(iferror(index(IMPORTRANGE(""1NK5L1mviMn0j3D3uo53ASkIZOFRlLnqaCTnwzOG2_Wg"",""Direct Link!B2:B""),MATCH($B264,IMPORTRANGE(""1NK5L1mviMn0j3D3uo53ASkIZOFRlLnqaCTnwzOG2_Wg"",""Direct Link!A2:A""),0)),XLOOKUP($B264,IMPORTRANGE(""1NK5L1mviMn0j3D"&amp;"3uo53ASkIZOFRlLnqaCTnwzOG2_Wg"",""Direct links Without Sizes!A2:A""),IMPORTRANGE(""1NK5L1mviMn0j3D3uo53ASkIZOFRlLnqaCTnwzOG2_Wg"",""Direct links Without Sizes!B2:B""))),XLOOKUP($B264,IMPORTRANGE(""1NK5L1mviMn0j3D3uo53ASkIZOFRlLnqaCTnwzOG2_Wg"",""Direct li"&amp;"nks Without Sizes!D2:D""),IMPORTRANGE(""1NK5L1mviMn0j3D3uo53ASkIZOFRlLnqaCTnwzOG2_Wg"",""Direct links Without Sizes!E2:E""))),"""")"),"")</f>
        <v/>
      </c>
      <c r="H264" s="41"/>
      <c r="I264" s="4"/>
      <c r="J264" s="4"/>
      <c r="K264" s="10" t="str">
        <f t="shared" si="1"/>
        <v/>
      </c>
      <c r="L264" s="10"/>
      <c r="M264" s="10" t="str">
        <f t="shared" si="2"/>
        <v/>
      </c>
    </row>
    <row r="265">
      <c r="A265" s="4"/>
      <c r="B265" s="15"/>
      <c r="C265" s="7" t="str">
        <f>IFERROR(__xludf.DUMMYFUNCTION("iferror(iferror(INDEX(IMPORTRANGE(""12vtnxaE_Q1s4tyr10kZQx7ZF_xG0lBFae4jQEUtgsMU"",""All!B2:B""),MATCH($B265,IMPORTRANGE(""12vtnxaE_Q1s4tyr10kZQx7ZF_xG0lBFae4jQEUtgsMU"",""All!A2:A""),0)),INDEX(IMPORTRANGE(""13KC70HngS4DDi8y9E5khtSpQEPG6owaQ9z4E-tR5mnY"","&amp;"""Non-Food!B2:B""),MATCH($B265,IMPORTRANGE(""13KC70HngS4DDi8y9E5khtSpQEPG6owaQ9z4E-tR5mnY"",""Non-Food!A2:A""),0))),"""")"),"")</f>
        <v/>
      </c>
      <c r="D265" s="15"/>
      <c r="E265" s="15"/>
      <c r="F265" s="36"/>
      <c r="G265" s="24" t="str">
        <f>IFERROR(__xludf.DUMMYFUNCTION("iferror(iferror(iferror(index(IMPORTRANGE(""1NK5L1mviMn0j3D3uo53ASkIZOFRlLnqaCTnwzOG2_Wg"",""Direct Link!B2:B""),MATCH($B265,IMPORTRANGE(""1NK5L1mviMn0j3D3uo53ASkIZOFRlLnqaCTnwzOG2_Wg"",""Direct Link!A2:A""),0)),XLOOKUP($B265,IMPORTRANGE(""1NK5L1mviMn0j3D"&amp;"3uo53ASkIZOFRlLnqaCTnwzOG2_Wg"",""Direct links Without Sizes!A2:A""),IMPORTRANGE(""1NK5L1mviMn0j3D3uo53ASkIZOFRlLnqaCTnwzOG2_Wg"",""Direct links Without Sizes!B2:B""))),XLOOKUP($B265,IMPORTRANGE(""1NK5L1mviMn0j3D3uo53ASkIZOFRlLnqaCTnwzOG2_Wg"",""Direct li"&amp;"nks Without Sizes!D2:D""),IMPORTRANGE(""1NK5L1mviMn0j3D3uo53ASkIZOFRlLnqaCTnwzOG2_Wg"",""Direct links Without Sizes!E2:E""))),"""")"),"")</f>
        <v/>
      </c>
      <c r="H265" s="41"/>
      <c r="I265" s="4"/>
      <c r="J265" s="4"/>
      <c r="K265" s="10" t="str">
        <f t="shared" si="1"/>
        <v/>
      </c>
      <c r="L265" s="10"/>
      <c r="M265" s="10" t="str">
        <f t="shared" si="2"/>
        <v/>
      </c>
    </row>
    <row r="266">
      <c r="A266" s="4"/>
      <c r="B266" s="15"/>
      <c r="C266" s="7" t="str">
        <f>IFERROR(__xludf.DUMMYFUNCTION("iferror(iferror(INDEX(IMPORTRANGE(""12vtnxaE_Q1s4tyr10kZQx7ZF_xG0lBFae4jQEUtgsMU"",""All!B2:B""),MATCH($B266,IMPORTRANGE(""12vtnxaE_Q1s4tyr10kZQx7ZF_xG0lBFae4jQEUtgsMU"",""All!A2:A""),0)),INDEX(IMPORTRANGE(""13KC70HngS4DDi8y9E5khtSpQEPG6owaQ9z4E-tR5mnY"","&amp;"""Non-Food!B2:B""),MATCH($B266,IMPORTRANGE(""13KC70HngS4DDi8y9E5khtSpQEPG6owaQ9z4E-tR5mnY"",""Non-Food!A2:A""),0))),"""")"),"")</f>
        <v/>
      </c>
      <c r="D266" s="15"/>
      <c r="E266" s="15"/>
      <c r="F266" s="36"/>
      <c r="G266" s="24" t="str">
        <f>IFERROR(__xludf.DUMMYFUNCTION("iferror(iferror(iferror(index(IMPORTRANGE(""1NK5L1mviMn0j3D3uo53ASkIZOFRlLnqaCTnwzOG2_Wg"",""Direct Link!B2:B""),MATCH($B266,IMPORTRANGE(""1NK5L1mviMn0j3D3uo53ASkIZOFRlLnqaCTnwzOG2_Wg"",""Direct Link!A2:A""),0)),XLOOKUP($B266,IMPORTRANGE(""1NK5L1mviMn0j3D"&amp;"3uo53ASkIZOFRlLnqaCTnwzOG2_Wg"",""Direct links Without Sizes!A2:A""),IMPORTRANGE(""1NK5L1mviMn0j3D3uo53ASkIZOFRlLnqaCTnwzOG2_Wg"",""Direct links Without Sizes!B2:B""))),XLOOKUP($B266,IMPORTRANGE(""1NK5L1mviMn0j3D3uo53ASkIZOFRlLnqaCTnwzOG2_Wg"",""Direct li"&amp;"nks Without Sizes!D2:D""),IMPORTRANGE(""1NK5L1mviMn0j3D3uo53ASkIZOFRlLnqaCTnwzOG2_Wg"",""Direct links Without Sizes!E2:E""))),"""")"),"")</f>
        <v/>
      </c>
      <c r="H266" s="41"/>
      <c r="I266" s="4"/>
      <c r="J266" s="4"/>
      <c r="K266" s="10" t="str">
        <f t="shared" si="1"/>
        <v/>
      </c>
      <c r="L266" s="10"/>
      <c r="M266" s="10" t="str">
        <f t="shared" si="2"/>
        <v/>
      </c>
    </row>
    <row r="267">
      <c r="A267" s="4"/>
      <c r="B267" s="15"/>
      <c r="C267" s="7" t="str">
        <f>IFERROR(__xludf.DUMMYFUNCTION("iferror(iferror(INDEX(IMPORTRANGE(""12vtnxaE_Q1s4tyr10kZQx7ZF_xG0lBFae4jQEUtgsMU"",""All!B2:B""),MATCH($B267,IMPORTRANGE(""12vtnxaE_Q1s4tyr10kZQx7ZF_xG0lBFae4jQEUtgsMU"",""All!A2:A""),0)),INDEX(IMPORTRANGE(""13KC70HngS4DDi8y9E5khtSpQEPG6owaQ9z4E-tR5mnY"","&amp;"""Non-Food!B2:B""),MATCH($B267,IMPORTRANGE(""13KC70HngS4DDi8y9E5khtSpQEPG6owaQ9z4E-tR5mnY"",""Non-Food!A2:A""),0))),"""")"),"")</f>
        <v/>
      </c>
      <c r="D267" s="15"/>
      <c r="E267" s="15"/>
      <c r="F267" s="36"/>
      <c r="G267" s="24" t="str">
        <f>IFERROR(__xludf.DUMMYFUNCTION("iferror(iferror(iferror(index(IMPORTRANGE(""1NK5L1mviMn0j3D3uo53ASkIZOFRlLnqaCTnwzOG2_Wg"",""Direct Link!B2:B""),MATCH($B267,IMPORTRANGE(""1NK5L1mviMn0j3D3uo53ASkIZOFRlLnqaCTnwzOG2_Wg"",""Direct Link!A2:A""),0)),XLOOKUP($B267,IMPORTRANGE(""1NK5L1mviMn0j3D"&amp;"3uo53ASkIZOFRlLnqaCTnwzOG2_Wg"",""Direct links Without Sizes!A2:A""),IMPORTRANGE(""1NK5L1mviMn0j3D3uo53ASkIZOFRlLnqaCTnwzOG2_Wg"",""Direct links Without Sizes!B2:B""))),XLOOKUP($B267,IMPORTRANGE(""1NK5L1mviMn0j3D3uo53ASkIZOFRlLnqaCTnwzOG2_Wg"",""Direct li"&amp;"nks Without Sizes!D2:D""),IMPORTRANGE(""1NK5L1mviMn0j3D3uo53ASkIZOFRlLnqaCTnwzOG2_Wg"",""Direct links Without Sizes!E2:E""))),"""")"),"")</f>
        <v/>
      </c>
      <c r="H267" s="41"/>
      <c r="I267" s="4"/>
      <c r="J267" s="4"/>
      <c r="K267" s="10" t="str">
        <f t="shared" si="1"/>
        <v/>
      </c>
      <c r="L267" s="10"/>
      <c r="M267" s="10" t="str">
        <f t="shared" si="2"/>
        <v/>
      </c>
    </row>
    <row r="268">
      <c r="A268" s="4"/>
      <c r="B268" s="15"/>
      <c r="C268" s="7" t="str">
        <f>IFERROR(__xludf.DUMMYFUNCTION("iferror(iferror(INDEX(IMPORTRANGE(""12vtnxaE_Q1s4tyr10kZQx7ZF_xG0lBFae4jQEUtgsMU"",""All!B2:B""),MATCH($B268,IMPORTRANGE(""12vtnxaE_Q1s4tyr10kZQx7ZF_xG0lBFae4jQEUtgsMU"",""All!A2:A""),0)),INDEX(IMPORTRANGE(""13KC70HngS4DDi8y9E5khtSpQEPG6owaQ9z4E-tR5mnY"","&amp;"""Non-Food!B2:B""),MATCH($B268,IMPORTRANGE(""13KC70HngS4DDi8y9E5khtSpQEPG6owaQ9z4E-tR5mnY"",""Non-Food!A2:A""),0))),"""")"),"")</f>
        <v/>
      </c>
      <c r="D268" s="15"/>
      <c r="E268" s="15"/>
      <c r="F268" s="36"/>
      <c r="G268" s="24" t="str">
        <f>IFERROR(__xludf.DUMMYFUNCTION("iferror(iferror(iferror(index(IMPORTRANGE(""1NK5L1mviMn0j3D3uo53ASkIZOFRlLnqaCTnwzOG2_Wg"",""Direct Link!B2:B""),MATCH($B268,IMPORTRANGE(""1NK5L1mviMn0j3D3uo53ASkIZOFRlLnqaCTnwzOG2_Wg"",""Direct Link!A2:A""),0)),XLOOKUP($B268,IMPORTRANGE(""1NK5L1mviMn0j3D"&amp;"3uo53ASkIZOFRlLnqaCTnwzOG2_Wg"",""Direct links Without Sizes!A2:A""),IMPORTRANGE(""1NK5L1mviMn0j3D3uo53ASkIZOFRlLnqaCTnwzOG2_Wg"",""Direct links Without Sizes!B2:B""))),XLOOKUP($B268,IMPORTRANGE(""1NK5L1mviMn0j3D3uo53ASkIZOFRlLnqaCTnwzOG2_Wg"",""Direct li"&amp;"nks Without Sizes!D2:D""),IMPORTRANGE(""1NK5L1mviMn0j3D3uo53ASkIZOFRlLnqaCTnwzOG2_Wg"",""Direct links Without Sizes!E2:E""))),"""")"),"")</f>
        <v/>
      </c>
      <c r="H268" s="41"/>
      <c r="I268" s="4"/>
      <c r="J268" s="4"/>
      <c r="K268" s="10" t="str">
        <f t="shared" si="1"/>
        <v/>
      </c>
      <c r="L268" s="10"/>
      <c r="M268" s="10" t="str">
        <f t="shared" si="2"/>
        <v/>
      </c>
    </row>
    <row r="269">
      <c r="A269" s="4"/>
      <c r="B269" s="15"/>
      <c r="C269" s="7" t="str">
        <f>IFERROR(__xludf.DUMMYFUNCTION("iferror(iferror(INDEX(IMPORTRANGE(""12vtnxaE_Q1s4tyr10kZQx7ZF_xG0lBFae4jQEUtgsMU"",""All!B2:B""),MATCH($B269,IMPORTRANGE(""12vtnxaE_Q1s4tyr10kZQx7ZF_xG0lBFae4jQEUtgsMU"",""All!A2:A""),0)),INDEX(IMPORTRANGE(""13KC70HngS4DDi8y9E5khtSpQEPG6owaQ9z4E-tR5mnY"","&amp;"""Non-Food!B2:B""),MATCH($B269,IMPORTRANGE(""13KC70HngS4DDi8y9E5khtSpQEPG6owaQ9z4E-tR5mnY"",""Non-Food!A2:A""),0))),"""")"),"")</f>
        <v/>
      </c>
      <c r="D269" s="15"/>
      <c r="E269" s="15"/>
      <c r="F269" s="36"/>
      <c r="G269" s="24" t="str">
        <f>IFERROR(__xludf.DUMMYFUNCTION("iferror(iferror(iferror(index(IMPORTRANGE(""1NK5L1mviMn0j3D3uo53ASkIZOFRlLnqaCTnwzOG2_Wg"",""Direct Link!B2:B""),MATCH($B269,IMPORTRANGE(""1NK5L1mviMn0j3D3uo53ASkIZOFRlLnqaCTnwzOG2_Wg"",""Direct Link!A2:A""),0)),XLOOKUP($B269,IMPORTRANGE(""1NK5L1mviMn0j3D"&amp;"3uo53ASkIZOFRlLnqaCTnwzOG2_Wg"",""Direct links Without Sizes!A2:A""),IMPORTRANGE(""1NK5L1mviMn0j3D3uo53ASkIZOFRlLnqaCTnwzOG2_Wg"",""Direct links Without Sizes!B2:B""))),XLOOKUP($B269,IMPORTRANGE(""1NK5L1mviMn0j3D3uo53ASkIZOFRlLnqaCTnwzOG2_Wg"",""Direct li"&amp;"nks Without Sizes!D2:D""),IMPORTRANGE(""1NK5L1mviMn0j3D3uo53ASkIZOFRlLnqaCTnwzOG2_Wg"",""Direct links Without Sizes!E2:E""))),"""")"),"")</f>
        <v/>
      </c>
      <c r="H269" s="41"/>
      <c r="I269" s="4"/>
      <c r="J269" s="4"/>
      <c r="K269" s="10" t="str">
        <f t="shared" si="1"/>
        <v/>
      </c>
      <c r="L269" s="10"/>
      <c r="M269" s="10" t="str">
        <f t="shared" si="2"/>
        <v/>
      </c>
    </row>
    <row r="270">
      <c r="A270" s="4"/>
      <c r="B270" s="15"/>
      <c r="C270" s="7" t="str">
        <f>IFERROR(__xludf.DUMMYFUNCTION("iferror(iferror(INDEX(IMPORTRANGE(""12vtnxaE_Q1s4tyr10kZQx7ZF_xG0lBFae4jQEUtgsMU"",""All!B2:B""),MATCH($B270,IMPORTRANGE(""12vtnxaE_Q1s4tyr10kZQx7ZF_xG0lBFae4jQEUtgsMU"",""All!A2:A""),0)),INDEX(IMPORTRANGE(""13KC70HngS4DDi8y9E5khtSpQEPG6owaQ9z4E-tR5mnY"","&amp;"""Non-Food!B2:B""),MATCH($B270,IMPORTRANGE(""13KC70HngS4DDi8y9E5khtSpQEPG6owaQ9z4E-tR5mnY"",""Non-Food!A2:A""),0))),"""")"),"")</f>
        <v/>
      </c>
      <c r="D270" s="15"/>
      <c r="E270" s="15"/>
      <c r="F270" s="36"/>
      <c r="G270" s="24" t="str">
        <f>IFERROR(__xludf.DUMMYFUNCTION("iferror(iferror(iferror(index(IMPORTRANGE(""1NK5L1mviMn0j3D3uo53ASkIZOFRlLnqaCTnwzOG2_Wg"",""Direct Link!B2:B""),MATCH($B270,IMPORTRANGE(""1NK5L1mviMn0j3D3uo53ASkIZOFRlLnqaCTnwzOG2_Wg"",""Direct Link!A2:A""),0)),XLOOKUP($B270,IMPORTRANGE(""1NK5L1mviMn0j3D"&amp;"3uo53ASkIZOFRlLnqaCTnwzOG2_Wg"",""Direct links Without Sizes!A2:A""),IMPORTRANGE(""1NK5L1mviMn0j3D3uo53ASkIZOFRlLnqaCTnwzOG2_Wg"",""Direct links Without Sizes!B2:B""))),XLOOKUP($B270,IMPORTRANGE(""1NK5L1mviMn0j3D3uo53ASkIZOFRlLnqaCTnwzOG2_Wg"",""Direct li"&amp;"nks Without Sizes!D2:D""),IMPORTRANGE(""1NK5L1mviMn0j3D3uo53ASkIZOFRlLnqaCTnwzOG2_Wg"",""Direct links Without Sizes!E2:E""))),"""")"),"")</f>
        <v/>
      </c>
      <c r="H270" s="41"/>
      <c r="I270" s="4"/>
      <c r="J270" s="4"/>
      <c r="K270" s="10" t="str">
        <f t="shared" si="1"/>
        <v/>
      </c>
      <c r="L270" s="10"/>
      <c r="M270" s="10" t="str">
        <f t="shared" si="2"/>
        <v/>
      </c>
    </row>
    <row r="271">
      <c r="A271" s="4"/>
      <c r="B271" s="15"/>
      <c r="C271" s="7" t="str">
        <f>IFERROR(__xludf.DUMMYFUNCTION("iferror(iferror(INDEX(IMPORTRANGE(""12vtnxaE_Q1s4tyr10kZQx7ZF_xG0lBFae4jQEUtgsMU"",""All!B2:B""),MATCH($B271,IMPORTRANGE(""12vtnxaE_Q1s4tyr10kZQx7ZF_xG0lBFae4jQEUtgsMU"",""All!A2:A""),0)),INDEX(IMPORTRANGE(""13KC70HngS4DDi8y9E5khtSpQEPG6owaQ9z4E-tR5mnY"","&amp;"""Non-Food!B2:B""),MATCH($B271,IMPORTRANGE(""13KC70HngS4DDi8y9E5khtSpQEPG6owaQ9z4E-tR5mnY"",""Non-Food!A2:A""),0))),"""")"),"")</f>
        <v/>
      </c>
      <c r="D271" s="15"/>
      <c r="E271" s="15"/>
      <c r="F271" s="36"/>
      <c r="G271" s="24" t="str">
        <f>IFERROR(__xludf.DUMMYFUNCTION("iferror(iferror(iferror(index(IMPORTRANGE(""1NK5L1mviMn0j3D3uo53ASkIZOFRlLnqaCTnwzOG2_Wg"",""Direct Link!B2:B""),MATCH($B271,IMPORTRANGE(""1NK5L1mviMn0j3D3uo53ASkIZOFRlLnqaCTnwzOG2_Wg"",""Direct Link!A2:A""),0)),XLOOKUP($B271,IMPORTRANGE(""1NK5L1mviMn0j3D"&amp;"3uo53ASkIZOFRlLnqaCTnwzOG2_Wg"",""Direct links Without Sizes!A2:A""),IMPORTRANGE(""1NK5L1mviMn0j3D3uo53ASkIZOFRlLnqaCTnwzOG2_Wg"",""Direct links Without Sizes!B2:B""))),XLOOKUP($B271,IMPORTRANGE(""1NK5L1mviMn0j3D3uo53ASkIZOFRlLnqaCTnwzOG2_Wg"",""Direct li"&amp;"nks Without Sizes!D2:D""),IMPORTRANGE(""1NK5L1mviMn0j3D3uo53ASkIZOFRlLnqaCTnwzOG2_Wg"",""Direct links Without Sizes!E2:E""))),"""")"),"")</f>
        <v/>
      </c>
      <c r="H271" s="41"/>
      <c r="I271" s="4"/>
      <c r="J271" s="4"/>
      <c r="K271" s="10" t="str">
        <f t="shared" si="1"/>
        <v/>
      </c>
      <c r="L271" s="10"/>
      <c r="M271" s="10" t="str">
        <f t="shared" si="2"/>
        <v/>
      </c>
    </row>
    <row r="272">
      <c r="A272" s="4"/>
      <c r="B272" s="15"/>
      <c r="C272" s="7" t="str">
        <f>IFERROR(__xludf.DUMMYFUNCTION("iferror(iferror(INDEX(IMPORTRANGE(""12vtnxaE_Q1s4tyr10kZQx7ZF_xG0lBFae4jQEUtgsMU"",""All!B2:B""),MATCH($B272,IMPORTRANGE(""12vtnxaE_Q1s4tyr10kZQx7ZF_xG0lBFae4jQEUtgsMU"",""All!A2:A""),0)),INDEX(IMPORTRANGE(""13KC70HngS4DDi8y9E5khtSpQEPG6owaQ9z4E-tR5mnY"","&amp;"""Non-Food!B2:B""),MATCH($B272,IMPORTRANGE(""13KC70HngS4DDi8y9E5khtSpQEPG6owaQ9z4E-tR5mnY"",""Non-Food!A2:A""),0))),"""")"),"")</f>
        <v/>
      </c>
      <c r="D272" s="15"/>
      <c r="E272" s="15"/>
      <c r="F272" s="36"/>
      <c r="G272" s="24" t="str">
        <f>IFERROR(__xludf.DUMMYFUNCTION("iferror(iferror(iferror(index(IMPORTRANGE(""1NK5L1mviMn0j3D3uo53ASkIZOFRlLnqaCTnwzOG2_Wg"",""Direct Link!B2:B""),MATCH($B272,IMPORTRANGE(""1NK5L1mviMn0j3D3uo53ASkIZOFRlLnqaCTnwzOG2_Wg"",""Direct Link!A2:A""),0)),XLOOKUP($B272,IMPORTRANGE(""1NK5L1mviMn0j3D"&amp;"3uo53ASkIZOFRlLnqaCTnwzOG2_Wg"",""Direct links Without Sizes!A2:A""),IMPORTRANGE(""1NK5L1mviMn0j3D3uo53ASkIZOFRlLnqaCTnwzOG2_Wg"",""Direct links Without Sizes!B2:B""))),XLOOKUP($B272,IMPORTRANGE(""1NK5L1mviMn0j3D3uo53ASkIZOFRlLnqaCTnwzOG2_Wg"",""Direct li"&amp;"nks Without Sizes!D2:D""),IMPORTRANGE(""1NK5L1mviMn0j3D3uo53ASkIZOFRlLnqaCTnwzOG2_Wg"",""Direct links Without Sizes!E2:E""))),"""")"),"")</f>
        <v/>
      </c>
      <c r="H272" s="41"/>
      <c r="I272" s="4"/>
      <c r="J272" s="4"/>
      <c r="K272" s="10" t="str">
        <f t="shared" si="1"/>
        <v/>
      </c>
      <c r="L272" s="10"/>
      <c r="M272" s="10" t="str">
        <f t="shared" si="2"/>
        <v/>
      </c>
    </row>
    <row r="273">
      <c r="A273" s="4"/>
      <c r="B273" s="15"/>
      <c r="C273" s="7" t="str">
        <f>IFERROR(__xludf.DUMMYFUNCTION("iferror(iferror(INDEX(IMPORTRANGE(""12vtnxaE_Q1s4tyr10kZQx7ZF_xG0lBFae4jQEUtgsMU"",""All!B2:B""),MATCH($B273,IMPORTRANGE(""12vtnxaE_Q1s4tyr10kZQx7ZF_xG0lBFae4jQEUtgsMU"",""All!A2:A""),0)),INDEX(IMPORTRANGE(""13KC70HngS4DDi8y9E5khtSpQEPG6owaQ9z4E-tR5mnY"","&amp;"""Non-Food!B2:B""),MATCH($B273,IMPORTRANGE(""13KC70HngS4DDi8y9E5khtSpQEPG6owaQ9z4E-tR5mnY"",""Non-Food!A2:A""),0))),"""")"),"")</f>
        <v/>
      </c>
      <c r="D273" s="15"/>
      <c r="E273" s="15"/>
      <c r="F273" s="36"/>
      <c r="G273" s="24" t="str">
        <f>IFERROR(__xludf.DUMMYFUNCTION("iferror(iferror(iferror(index(IMPORTRANGE(""1NK5L1mviMn0j3D3uo53ASkIZOFRlLnqaCTnwzOG2_Wg"",""Direct Link!B2:B""),MATCH($B273,IMPORTRANGE(""1NK5L1mviMn0j3D3uo53ASkIZOFRlLnqaCTnwzOG2_Wg"",""Direct Link!A2:A""),0)),XLOOKUP($B273,IMPORTRANGE(""1NK5L1mviMn0j3D"&amp;"3uo53ASkIZOFRlLnqaCTnwzOG2_Wg"",""Direct links Without Sizes!A2:A""),IMPORTRANGE(""1NK5L1mviMn0j3D3uo53ASkIZOFRlLnqaCTnwzOG2_Wg"",""Direct links Without Sizes!B2:B""))),XLOOKUP($B273,IMPORTRANGE(""1NK5L1mviMn0j3D3uo53ASkIZOFRlLnqaCTnwzOG2_Wg"",""Direct li"&amp;"nks Without Sizes!D2:D""),IMPORTRANGE(""1NK5L1mviMn0j3D3uo53ASkIZOFRlLnqaCTnwzOG2_Wg"",""Direct links Without Sizes!E2:E""))),"""")"),"")</f>
        <v/>
      </c>
      <c r="H273" s="41"/>
      <c r="I273" s="4"/>
      <c r="J273" s="4"/>
      <c r="K273" s="10" t="str">
        <f t="shared" si="1"/>
        <v/>
      </c>
      <c r="L273" s="10"/>
      <c r="M273" s="10" t="str">
        <f t="shared" si="2"/>
        <v/>
      </c>
    </row>
    <row r="274">
      <c r="A274" s="4"/>
      <c r="B274" s="15"/>
      <c r="C274" s="7" t="str">
        <f>IFERROR(__xludf.DUMMYFUNCTION("iferror(iferror(INDEX(IMPORTRANGE(""12vtnxaE_Q1s4tyr10kZQx7ZF_xG0lBFae4jQEUtgsMU"",""All!B2:B""),MATCH($B274,IMPORTRANGE(""12vtnxaE_Q1s4tyr10kZQx7ZF_xG0lBFae4jQEUtgsMU"",""All!A2:A""),0)),INDEX(IMPORTRANGE(""13KC70HngS4DDi8y9E5khtSpQEPG6owaQ9z4E-tR5mnY"","&amp;"""Non-Food!B2:B""),MATCH($B274,IMPORTRANGE(""13KC70HngS4DDi8y9E5khtSpQEPG6owaQ9z4E-tR5mnY"",""Non-Food!A2:A""),0))),"""")"),"")</f>
        <v/>
      </c>
      <c r="D274" s="15"/>
      <c r="E274" s="15"/>
      <c r="F274" s="36"/>
      <c r="G274" s="24" t="str">
        <f>IFERROR(__xludf.DUMMYFUNCTION("iferror(iferror(iferror(index(IMPORTRANGE(""1NK5L1mviMn0j3D3uo53ASkIZOFRlLnqaCTnwzOG2_Wg"",""Direct Link!B2:B""),MATCH($B274,IMPORTRANGE(""1NK5L1mviMn0j3D3uo53ASkIZOFRlLnqaCTnwzOG2_Wg"",""Direct Link!A2:A""),0)),XLOOKUP($B274,IMPORTRANGE(""1NK5L1mviMn0j3D"&amp;"3uo53ASkIZOFRlLnqaCTnwzOG2_Wg"",""Direct links Without Sizes!A2:A""),IMPORTRANGE(""1NK5L1mviMn0j3D3uo53ASkIZOFRlLnqaCTnwzOG2_Wg"",""Direct links Without Sizes!B2:B""))),XLOOKUP($B274,IMPORTRANGE(""1NK5L1mviMn0j3D3uo53ASkIZOFRlLnqaCTnwzOG2_Wg"",""Direct li"&amp;"nks Without Sizes!D2:D""),IMPORTRANGE(""1NK5L1mviMn0j3D3uo53ASkIZOFRlLnqaCTnwzOG2_Wg"",""Direct links Without Sizes!E2:E""))),"""")"),"")</f>
        <v/>
      </c>
      <c r="H274" s="41"/>
      <c r="I274" s="4"/>
      <c r="J274" s="4"/>
      <c r="K274" s="10" t="str">
        <f t="shared" si="1"/>
        <v/>
      </c>
      <c r="L274" s="10"/>
      <c r="M274" s="10" t="str">
        <f t="shared" si="2"/>
        <v/>
      </c>
    </row>
    <row r="275">
      <c r="A275" s="4"/>
      <c r="B275" s="15"/>
      <c r="C275" s="7" t="str">
        <f>IFERROR(__xludf.DUMMYFUNCTION("iferror(iferror(INDEX(IMPORTRANGE(""12vtnxaE_Q1s4tyr10kZQx7ZF_xG0lBFae4jQEUtgsMU"",""All!B2:B""),MATCH($B275,IMPORTRANGE(""12vtnxaE_Q1s4tyr10kZQx7ZF_xG0lBFae4jQEUtgsMU"",""All!A2:A""),0)),INDEX(IMPORTRANGE(""13KC70HngS4DDi8y9E5khtSpQEPG6owaQ9z4E-tR5mnY"","&amp;"""Non-Food!B2:B""),MATCH($B275,IMPORTRANGE(""13KC70HngS4DDi8y9E5khtSpQEPG6owaQ9z4E-tR5mnY"",""Non-Food!A2:A""),0))),"""")"),"")</f>
        <v/>
      </c>
      <c r="D275" s="15"/>
      <c r="E275" s="15"/>
      <c r="F275" s="36"/>
      <c r="G275" s="24" t="str">
        <f>IFERROR(__xludf.DUMMYFUNCTION("iferror(iferror(iferror(index(IMPORTRANGE(""1NK5L1mviMn0j3D3uo53ASkIZOFRlLnqaCTnwzOG2_Wg"",""Direct Link!B2:B""),MATCH($B275,IMPORTRANGE(""1NK5L1mviMn0j3D3uo53ASkIZOFRlLnqaCTnwzOG2_Wg"",""Direct Link!A2:A""),0)),XLOOKUP($B275,IMPORTRANGE(""1NK5L1mviMn0j3D"&amp;"3uo53ASkIZOFRlLnqaCTnwzOG2_Wg"",""Direct links Without Sizes!A2:A""),IMPORTRANGE(""1NK5L1mviMn0j3D3uo53ASkIZOFRlLnqaCTnwzOG2_Wg"",""Direct links Without Sizes!B2:B""))),XLOOKUP($B275,IMPORTRANGE(""1NK5L1mviMn0j3D3uo53ASkIZOFRlLnqaCTnwzOG2_Wg"",""Direct li"&amp;"nks Without Sizes!D2:D""),IMPORTRANGE(""1NK5L1mviMn0j3D3uo53ASkIZOFRlLnqaCTnwzOG2_Wg"",""Direct links Without Sizes!E2:E""))),"""")"),"")</f>
        <v/>
      </c>
      <c r="H275" s="41"/>
      <c r="I275" s="4"/>
      <c r="J275" s="4"/>
      <c r="K275" s="10" t="str">
        <f t="shared" si="1"/>
        <v/>
      </c>
      <c r="L275" s="10"/>
      <c r="M275" s="10" t="str">
        <f t="shared" si="2"/>
        <v/>
      </c>
    </row>
    <row r="276">
      <c r="A276" s="4"/>
      <c r="B276" s="15"/>
      <c r="C276" s="7" t="str">
        <f>IFERROR(__xludf.DUMMYFUNCTION("iferror(iferror(INDEX(IMPORTRANGE(""12vtnxaE_Q1s4tyr10kZQx7ZF_xG0lBFae4jQEUtgsMU"",""All!B2:B""),MATCH($B276,IMPORTRANGE(""12vtnxaE_Q1s4tyr10kZQx7ZF_xG0lBFae4jQEUtgsMU"",""All!A2:A""),0)),INDEX(IMPORTRANGE(""13KC70HngS4DDi8y9E5khtSpQEPG6owaQ9z4E-tR5mnY"","&amp;"""Non-Food!B2:B""),MATCH($B276,IMPORTRANGE(""13KC70HngS4DDi8y9E5khtSpQEPG6owaQ9z4E-tR5mnY"",""Non-Food!A2:A""),0))),"""")"),"")</f>
        <v/>
      </c>
      <c r="D276" s="15"/>
      <c r="E276" s="15"/>
      <c r="F276" s="36"/>
      <c r="G276" s="24" t="str">
        <f>IFERROR(__xludf.DUMMYFUNCTION("iferror(iferror(iferror(index(IMPORTRANGE(""1NK5L1mviMn0j3D3uo53ASkIZOFRlLnqaCTnwzOG2_Wg"",""Direct Link!B2:B""),MATCH($B276,IMPORTRANGE(""1NK5L1mviMn0j3D3uo53ASkIZOFRlLnqaCTnwzOG2_Wg"",""Direct Link!A2:A""),0)),XLOOKUP($B276,IMPORTRANGE(""1NK5L1mviMn0j3D"&amp;"3uo53ASkIZOFRlLnqaCTnwzOG2_Wg"",""Direct links Without Sizes!A2:A""),IMPORTRANGE(""1NK5L1mviMn0j3D3uo53ASkIZOFRlLnqaCTnwzOG2_Wg"",""Direct links Without Sizes!B2:B""))),XLOOKUP($B276,IMPORTRANGE(""1NK5L1mviMn0j3D3uo53ASkIZOFRlLnqaCTnwzOG2_Wg"",""Direct li"&amp;"nks Without Sizes!D2:D""),IMPORTRANGE(""1NK5L1mviMn0j3D3uo53ASkIZOFRlLnqaCTnwzOG2_Wg"",""Direct links Without Sizes!E2:E""))),"""")"),"")</f>
        <v/>
      </c>
      <c r="H276" s="41"/>
      <c r="I276" s="4"/>
      <c r="J276" s="4"/>
      <c r="K276" s="10" t="str">
        <f t="shared" si="1"/>
        <v/>
      </c>
      <c r="L276" s="10"/>
      <c r="M276" s="10" t="str">
        <f t="shared" si="2"/>
        <v/>
      </c>
    </row>
    <row r="277">
      <c r="A277" s="4"/>
      <c r="B277" s="15"/>
      <c r="C277" s="7" t="str">
        <f>IFERROR(__xludf.DUMMYFUNCTION("iferror(iferror(INDEX(IMPORTRANGE(""12vtnxaE_Q1s4tyr10kZQx7ZF_xG0lBFae4jQEUtgsMU"",""All!B2:B""),MATCH($B277,IMPORTRANGE(""12vtnxaE_Q1s4tyr10kZQx7ZF_xG0lBFae4jQEUtgsMU"",""All!A2:A""),0)),INDEX(IMPORTRANGE(""13KC70HngS4DDi8y9E5khtSpQEPG6owaQ9z4E-tR5mnY"","&amp;"""Non-Food!B2:B""),MATCH($B277,IMPORTRANGE(""13KC70HngS4DDi8y9E5khtSpQEPG6owaQ9z4E-tR5mnY"",""Non-Food!A2:A""),0))),"""")"),"")</f>
        <v/>
      </c>
      <c r="D277" s="15"/>
      <c r="E277" s="15"/>
      <c r="F277" s="36"/>
      <c r="G277" s="24" t="str">
        <f>IFERROR(__xludf.DUMMYFUNCTION("iferror(iferror(iferror(index(IMPORTRANGE(""1NK5L1mviMn0j3D3uo53ASkIZOFRlLnqaCTnwzOG2_Wg"",""Direct Link!B2:B""),MATCH($B277,IMPORTRANGE(""1NK5L1mviMn0j3D3uo53ASkIZOFRlLnqaCTnwzOG2_Wg"",""Direct Link!A2:A""),0)),XLOOKUP($B277,IMPORTRANGE(""1NK5L1mviMn0j3D"&amp;"3uo53ASkIZOFRlLnqaCTnwzOG2_Wg"",""Direct links Without Sizes!A2:A""),IMPORTRANGE(""1NK5L1mviMn0j3D3uo53ASkIZOFRlLnqaCTnwzOG2_Wg"",""Direct links Without Sizes!B2:B""))),XLOOKUP($B277,IMPORTRANGE(""1NK5L1mviMn0j3D3uo53ASkIZOFRlLnqaCTnwzOG2_Wg"",""Direct li"&amp;"nks Without Sizes!D2:D""),IMPORTRANGE(""1NK5L1mviMn0j3D3uo53ASkIZOFRlLnqaCTnwzOG2_Wg"",""Direct links Without Sizes!E2:E""))),"""")"),"")</f>
        <v/>
      </c>
      <c r="H277" s="41"/>
      <c r="I277" s="4"/>
      <c r="J277" s="4"/>
      <c r="K277" s="10" t="str">
        <f t="shared" si="1"/>
        <v/>
      </c>
      <c r="L277" s="10"/>
      <c r="M277" s="10" t="str">
        <f t="shared" si="2"/>
        <v/>
      </c>
    </row>
    <row r="278">
      <c r="A278" s="4"/>
      <c r="B278" s="15"/>
      <c r="C278" s="7" t="str">
        <f>IFERROR(__xludf.DUMMYFUNCTION("iferror(iferror(INDEX(IMPORTRANGE(""12vtnxaE_Q1s4tyr10kZQx7ZF_xG0lBFae4jQEUtgsMU"",""All!B2:B""),MATCH($B278,IMPORTRANGE(""12vtnxaE_Q1s4tyr10kZQx7ZF_xG0lBFae4jQEUtgsMU"",""All!A2:A""),0)),INDEX(IMPORTRANGE(""13KC70HngS4DDi8y9E5khtSpQEPG6owaQ9z4E-tR5mnY"","&amp;"""Non-Food!B2:B""),MATCH($B278,IMPORTRANGE(""13KC70HngS4DDi8y9E5khtSpQEPG6owaQ9z4E-tR5mnY"",""Non-Food!A2:A""),0))),"""")"),"")</f>
        <v/>
      </c>
      <c r="D278" s="15"/>
      <c r="E278" s="15"/>
      <c r="F278" s="36"/>
      <c r="G278" s="24" t="str">
        <f>IFERROR(__xludf.DUMMYFUNCTION("iferror(iferror(iferror(index(IMPORTRANGE(""1NK5L1mviMn0j3D3uo53ASkIZOFRlLnqaCTnwzOG2_Wg"",""Direct Link!B2:B""),MATCH($B278,IMPORTRANGE(""1NK5L1mviMn0j3D3uo53ASkIZOFRlLnqaCTnwzOG2_Wg"",""Direct Link!A2:A""),0)),XLOOKUP($B278,IMPORTRANGE(""1NK5L1mviMn0j3D"&amp;"3uo53ASkIZOFRlLnqaCTnwzOG2_Wg"",""Direct links Without Sizes!A2:A""),IMPORTRANGE(""1NK5L1mviMn0j3D3uo53ASkIZOFRlLnqaCTnwzOG2_Wg"",""Direct links Without Sizes!B2:B""))),XLOOKUP($B278,IMPORTRANGE(""1NK5L1mviMn0j3D3uo53ASkIZOFRlLnqaCTnwzOG2_Wg"",""Direct li"&amp;"nks Without Sizes!D2:D""),IMPORTRANGE(""1NK5L1mviMn0j3D3uo53ASkIZOFRlLnqaCTnwzOG2_Wg"",""Direct links Without Sizes!E2:E""))),"""")"),"")</f>
        <v/>
      </c>
      <c r="H278" s="41"/>
      <c r="I278" s="4"/>
      <c r="J278" s="4"/>
      <c r="K278" s="10" t="str">
        <f t="shared" si="1"/>
        <v/>
      </c>
      <c r="L278" s="10"/>
      <c r="M278" s="10" t="str">
        <f t="shared" si="2"/>
        <v/>
      </c>
    </row>
    <row r="279">
      <c r="A279" s="4"/>
      <c r="B279" s="15"/>
      <c r="C279" s="7" t="str">
        <f>IFERROR(__xludf.DUMMYFUNCTION("iferror(iferror(INDEX(IMPORTRANGE(""12vtnxaE_Q1s4tyr10kZQx7ZF_xG0lBFae4jQEUtgsMU"",""All!B2:B""),MATCH($B279,IMPORTRANGE(""12vtnxaE_Q1s4tyr10kZQx7ZF_xG0lBFae4jQEUtgsMU"",""All!A2:A""),0)),INDEX(IMPORTRANGE(""13KC70HngS4DDi8y9E5khtSpQEPG6owaQ9z4E-tR5mnY"","&amp;"""Non-Food!B2:B""),MATCH($B279,IMPORTRANGE(""13KC70HngS4DDi8y9E5khtSpQEPG6owaQ9z4E-tR5mnY"",""Non-Food!A2:A""),0))),"""")"),"")</f>
        <v/>
      </c>
      <c r="D279" s="15"/>
      <c r="E279" s="15"/>
      <c r="F279" s="36"/>
      <c r="G279" s="24" t="str">
        <f>IFERROR(__xludf.DUMMYFUNCTION("iferror(iferror(iferror(index(IMPORTRANGE(""1NK5L1mviMn0j3D3uo53ASkIZOFRlLnqaCTnwzOG2_Wg"",""Direct Link!B2:B""),MATCH($B279,IMPORTRANGE(""1NK5L1mviMn0j3D3uo53ASkIZOFRlLnqaCTnwzOG2_Wg"",""Direct Link!A2:A""),0)),XLOOKUP($B279,IMPORTRANGE(""1NK5L1mviMn0j3D"&amp;"3uo53ASkIZOFRlLnqaCTnwzOG2_Wg"",""Direct links Without Sizes!A2:A""),IMPORTRANGE(""1NK5L1mviMn0j3D3uo53ASkIZOFRlLnqaCTnwzOG2_Wg"",""Direct links Without Sizes!B2:B""))),XLOOKUP($B279,IMPORTRANGE(""1NK5L1mviMn0j3D3uo53ASkIZOFRlLnqaCTnwzOG2_Wg"",""Direct li"&amp;"nks Without Sizes!D2:D""),IMPORTRANGE(""1NK5L1mviMn0j3D3uo53ASkIZOFRlLnqaCTnwzOG2_Wg"",""Direct links Without Sizes!E2:E""))),"""")"),"")</f>
        <v/>
      </c>
      <c r="H279" s="41"/>
      <c r="I279" s="4"/>
      <c r="J279" s="4"/>
      <c r="K279" s="10" t="str">
        <f t="shared" si="1"/>
        <v/>
      </c>
      <c r="L279" s="10"/>
      <c r="M279" s="10" t="str">
        <f t="shared" si="2"/>
        <v/>
      </c>
    </row>
    <row r="280">
      <c r="A280" s="4"/>
      <c r="B280" s="15"/>
      <c r="C280" s="7" t="str">
        <f>IFERROR(__xludf.DUMMYFUNCTION("iferror(iferror(INDEX(IMPORTRANGE(""12vtnxaE_Q1s4tyr10kZQx7ZF_xG0lBFae4jQEUtgsMU"",""All!B2:B""),MATCH($B280,IMPORTRANGE(""12vtnxaE_Q1s4tyr10kZQx7ZF_xG0lBFae4jQEUtgsMU"",""All!A2:A""),0)),INDEX(IMPORTRANGE(""13KC70HngS4DDi8y9E5khtSpQEPG6owaQ9z4E-tR5mnY"","&amp;"""Non-Food!B2:B""),MATCH($B280,IMPORTRANGE(""13KC70HngS4DDi8y9E5khtSpQEPG6owaQ9z4E-tR5mnY"",""Non-Food!A2:A""),0))),"""")"),"")</f>
        <v/>
      </c>
      <c r="D280" s="15"/>
      <c r="E280" s="15"/>
      <c r="F280" s="36"/>
      <c r="G280" s="24" t="str">
        <f>IFERROR(__xludf.DUMMYFUNCTION("iferror(iferror(iferror(index(IMPORTRANGE(""1NK5L1mviMn0j3D3uo53ASkIZOFRlLnqaCTnwzOG2_Wg"",""Direct Link!B2:B""),MATCH($B280,IMPORTRANGE(""1NK5L1mviMn0j3D3uo53ASkIZOFRlLnqaCTnwzOG2_Wg"",""Direct Link!A2:A""),0)),XLOOKUP($B280,IMPORTRANGE(""1NK5L1mviMn0j3D"&amp;"3uo53ASkIZOFRlLnqaCTnwzOG2_Wg"",""Direct links Without Sizes!A2:A""),IMPORTRANGE(""1NK5L1mviMn0j3D3uo53ASkIZOFRlLnqaCTnwzOG2_Wg"",""Direct links Without Sizes!B2:B""))),XLOOKUP($B280,IMPORTRANGE(""1NK5L1mviMn0j3D3uo53ASkIZOFRlLnqaCTnwzOG2_Wg"",""Direct li"&amp;"nks Without Sizes!D2:D""),IMPORTRANGE(""1NK5L1mviMn0j3D3uo53ASkIZOFRlLnqaCTnwzOG2_Wg"",""Direct links Without Sizes!E2:E""))),"""")"),"")</f>
        <v/>
      </c>
      <c r="H280" s="41"/>
      <c r="I280" s="4"/>
      <c r="J280" s="4"/>
      <c r="K280" s="10" t="str">
        <f t="shared" si="1"/>
        <v/>
      </c>
      <c r="L280" s="10"/>
      <c r="M280" s="10" t="str">
        <f t="shared" si="2"/>
        <v/>
      </c>
    </row>
    <row r="281">
      <c r="A281" s="4"/>
      <c r="B281" s="15"/>
      <c r="C281" s="7" t="str">
        <f>IFERROR(__xludf.DUMMYFUNCTION("iferror(iferror(INDEX(IMPORTRANGE(""12vtnxaE_Q1s4tyr10kZQx7ZF_xG0lBFae4jQEUtgsMU"",""All!B2:B""),MATCH($B281,IMPORTRANGE(""12vtnxaE_Q1s4tyr10kZQx7ZF_xG0lBFae4jQEUtgsMU"",""All!A2:A""),0)),INDEX(IMPORTRANGE(""13KC70HngS4DDi8y9E5khtSpQEPG6owaQ9z4E-tR5mnY"","&amp;"""Non-Food!B2:B""),MATCH($B281,IMPORTRANGE(""13KC70HngS4DDi8y9E5khtSpQEPG6owaQ9z4E-tR5mnY"",""Non-Food!A2:A""),0))),"""")"),"")</f>
        <v/>
      </c>
      <c r="D281" s="15"/>
      <c r="E281" s="15"/>
      <c r="F281" s="36"/>
      <c r="G281" s="24" t="str">
        <f>IFERROR(__xludf.DUMMYFUNCTION("iferror(iferror(iferror(index(IMPORTRANGE(""1NK5L1mviMn0j3D3uo53ASkIZOFRlLnqaCTnwzOG2_Wg"",""Direct Link!B2:B""),MATCH($B281,IMPORTRANGE(""1NK5L1mviMn0j3D3uo53ASkIZOFRlLnqaCTnwzOG2_Wg"",""Direct Link!A2:A""),0)),XLOOKUP($B281,IMPORTRANGE(""1NK5L1mviMn0j3D"&amp;"3uo53ASkIZOFRlLnqaCTnwzOG2_Wg"",""Direct links Without Sizes!A2:A""),IMPORTRANGE(""1NK5L1mviMn0j3D3uo53ASkIZOFRlLnqaCTnwzOG2_Wg"",""Direct links Without Sizes!B2:B""))),XLOOKUP($B281,IMPORTRANGE(""1NK5L1mviMn0j3D3uo53ASkIZOFRlLnqaCTnwzOG2_Wg"",""Direct li"&amp;"nks Without Sizes!D2:D""),IMPORTRANGE(""1NK5L1mviMn0j3D3uo53ASkIZOFRlLnqaCTnwzOG2_Wg"",""Direct links Without Sizes!E2:E""))),"""")"),"")</f>
        <v/>
      </c>
      <c r="H281" s="41"/>
      <c r="I281" s="4"/>
      <c r="J281" s="4"/>
      <c r="K281" s="10" t="str">
        <f t="shared" si="1"/>
        <v/>
      </c>
      <c r="L281" s="10"/>
      <c r="M281" s="10" t="str">
        <f t="shared" si="2"/>
        <v/>
      </c>
    </row>
    <row r="282">
      <c r="A282" s="4"/>
      <c r="B282" s="15"/>
      <c r="C282" s="7" t="str">
        <f>IFERROR(__xludf.DUMMYFUNCTION("iferror(iferror(INDEX(IMPORTRANGE(""12vtnxaE_Q1s4tyr10kZQx7ZF_xG0lBFae4jQEUtgsMU"",""All!B2:B""),MATCH($B282,IMPORTRANGE(""12vtnxaE_Q1s4tyr10kZQx7ZF_xG0lBFae4jQEUtgsMU"",""All!A2:A""),0)),INDEX(IMPORTRANGE(""13KC70HngS4DDi8y9E5khtSpQEPG6owaQ9z4E-tR5mnY"","&amp;"""Non-Food!B2:B""),MATCH($B282,IMPORTRANGE(""13KC70HngS4DDi8y9E5khtSpQEPG6owaQ9z4E-tR5mnY"",""Non-Food!A2:A""),0))),"""")"),"")</f>
        <v/>
      </c>
      <c r="D282" s="15"/>
      <c r="E282" s="15"/>
      <c r="F282" s="36"/>
      <c r="G282" s="24" t="str">
        <f>IFERROR(__xludf.DUMMYFUNCTION("iferror(iferror(iferror(index(IMPORTRANGE(""1NK5L1mviMn0j3D3uo53ASkIZOFRlLnqaCTnwzOG2_Wg"",""Direct Link!B2:B""),MATCH($B282,IMPORTRANGE(""1NK5L1mviMn0j3D3uo53ASkIZOFRlLnqaCTnwzOG2_Wg"",""Direct Link!A2:A""),0)),XLOOKUP($B282,IMPORTRANGE(""1NK5L1mviMn0j3D"&amp;"3uo53ASkIZOFRlLnqaCTnwzOG2_Wg"",""Direct links Without Sizes!A2:A""),IMPORTRANGE(""1NK5L1mviMn0j3D3uo53ASkIZOFRlLnqaCTnwzOG2_Wg"",""Direct links Without Sizes!B2:B""))),XLOOKUP($B282,IMPORTRANGE(""1NK5L1mviMn0j3D3uo53ASkIZOFRlLnqaCTnwzOG2_Wg"",""Direct li"&amp;"nks Without Sizes!D2:D""),IMPORTRANGE(""1NK5L1mviMn0j3D3uo53ASkIZOFRlLnqaCTnwzOG2_Wg"",""Direct links Without Sizes!E2:E""))),"""")"),"")</f>
        <v/>
      </c>
      <c r="H282" s="41"/>
      <c r="I282" s="4"/>
      <c r="J282" s="4"/>
      <c r="K282" s="10" t="str">
        <f t="shared" si="1"/>
        <v/>
      </c>
      <c r="L282" s="10"/>
      <c r="M282" s="10" t="str">
        <f t="shared" si="2"/>
        <v/>
      </c>
    </row>
    <row r="283">
      <c r="A283" s="4"/>
      <c r="B283" s="15"/>
      <c r="C283" s="7" t="str">
        <f>IFERROR(__xludf.DUMMYFUNCTION("iferror(iferror(INDEX(IMPORTRANGE(""12vtnxaE_Q1s4tyr10kZQx7ZF_xG0lBFae4jQEUtgsMU"",""All!B2:B""),MATCH($B283,IMPORTRANGE(""12vtnxaE_Q1s4tyr10kZQx7ZF_xG0lBFae4jQEUtgsMU"",""All!A2:A""),0)),INDEX(IMPORTRANGE(""13KC70HngS4DDi8y9E5khtSpQEPG6owaQ9z4E-tR5mnY"","&amp;"""Non-Food!B2:B""),MATCH($B283,IMPORTRANGE(""13KC70HngS4DDi8y9E5khtSpQEPG6owaQ9z4E-tR5mnY"",""Non-Food!A2:A""),0))),"""")"),"")</f>
        <v/>
      </c>
      <c r="D283" s="15"/>
      <c r="E283" s="15"/>
      <c r="F283" s="36"/>
      <c r="G283" s="24" t="str">
        <f>IFERROR(__xludf.DUMMYFUNCTION("iferror(iferror(iferror(index(IMPORTRANGE(""1NK5L1mviMn0j3D3uo53ASkIZOFRlLnqaCTnwzOG2_Wg"",""Direct Link!B2:B""),MATCH($B283,IMPORTRANGE(""1NK5L1mviMn0j3D3uo53ASkIZOFRlLnqaCTnwzOG2_Wg"",""Direct Link!A2:A""),0)),XLOOKUP($B283,IMPORTRANGE(""1NK5L1mviMn0j3D"&amp;"3uo53ASkIZOFRlLnqaCTnwzOG2_Wg"",""Direct links Without Sizes!A2:A""),IMPORTRANGE(""1NK5L1mviMn0j3D3uo53ASkIZOFRlLnqaCTnwzOG2_Wg"",""Direct links Without Sizes!B2:B""))),XLOOKUP($B283,IMPORTRANGE(""1NK5L1mviMn0j3D3uo53ASkIZOFRlLnqaCTnwzOG2_Wg"",""Direct li"&amp;"nks Without Sizes!D2:D""),IMPORTRANGE(""1NK5L1mviMn0j3D3uo53ASkIZOFRlLnqaCTnwzOG2_Wg"",""Direct links Without Sizes!E2:E""))),"""")"),"")</f>
        <v/>
      </c>
      <c r="H283" s="41"/>
      <c r="I283" s="4"/>
      <c r="J283" s="4"/>
      <c r="K283" s="10" t="str">
        <f t="shared" si="1"/>
        <v/>
      </c>
      <c r="L283" s="10"/>
      <c r="M283" s="10" t="str">
        <f t="shared" si="2"/>
        <v/>
      </c>
    </row>
    <row r="284">
      <c r="A284" s="4"/>
      <c r="B284" s="15"/>
      <c r="C284" s="7" t="str">
        <f>IFERROR(__xludf.DUMMYFUNCTION("iferror(iferror(INDEX(IMPORTRANGE(""12vtnxaE_Q1s4tyr10kZQx7ZF_xG0lBFae4jQEUtgsMU"",""All!B2:B""),MATCH($B284,IMPORTRANGE(""12vtnxaE_Q1s4tyr10kZQx7ZF_xG0lBFae4jQEUtgsMU"",""All!A2:A""),0)),INDEX(IMPORTRANGE(""13KC70HngS4DDi8y9E5khtSpQEPG6owaQ9z4E-tR5mnY"","&amp;"""Non-Food!B2:B""),MATCH($B284,IMPORTRANGE(""13KC70HngS4DDi8y9E5khtSpQEPG6owaQ9z4E-tR5mnY"",""Non-Food!A2:A""),0))),"""")"),"")</f>
        <v/>
      </c>
      <c r="D284" s="15"/>
      <c r="E284" s="15"/>
      <c r="F284" s="36"/>
      <c r="G284" s="24" t="str">
        <f>IFERROR(__xludf.DUMMYFUNCTION("iferror(iferror(iferror(index(IMPORTRANGE(""1NK5L1mviMn0j3D3uo53ASkIZOFRlLnqaCTnwzOG2_Wg"",""Direct Link!B2:B""),MATCH($B284,IMPORTRANGE(""1NK5L1mviMn0j3D3uo53ASkIZOFRlLnqaCTnwzOG2_Wg"",""Direct Link!A2:A""),0)),XLOOKUP($B284,IMPORTRANGE(""1NK5L1mviMn0j3D"&amp;"3uo53ASkIZOFRlLnqaCTnwzOG2_Wg"",""Direct links Without Sizes!A2:A""),IMPORTRANGE(""1NK5L1mviMn0j3D3uo53ASkIZOFRlLnqaCTnwzOG2_Wg"",""Direct links Without Sizes!B2:B""))),XLOOKUP($B284,IMPORTRANGE(""1NK5L1mviMn0j3D3uo53ASkIZOFRlLnqaCTnwzOG2_Wg"",""Direct li"&amp;"nks Without Sizes!D2:D""),IMPORTRANGE(""1NK5L1mviMn0j3D3uo53ASkIZOFRlLnqaCTnwzOG2_Wg"",""Direct links Without Sizes!E2:E""))),"""")"),"")</f>
        <v/>
      </c>
      <c r="H284" s="41"/>
      <c r="I284" s="4"/>
      <c r="J284" s="4"/>
      <c r="K284" s="10" t="str">
        <f t="shared" si="1"/>
        <v/>
      </c>
      <c r="L284" s="10"/>
      <c r="M284" s="10" t="str">
        <f t="shared" si="2"/>
        <v/>
      </c>
    </row>
    <row r="285">
      <c r="A285" s="4"/>
      <c r="B285" s="15"/>
      <c r="C285" s="7" t="str">
        <f>IFERROR(__xludf.DUMMYFUNCTION("iferror(iferror(INDEX(IMPORTRANGE(""12vtnxaE_Q1s4tyr10kZQx7ZF_xG0lBFae4jQEUtgsMU"",""All!B2:B""),MATCH($B285,IMPORTRANGE(""12vtnxaE_Q1s4tyr10kZQx7ZF_xG0lBFae4jQEUtgsMU"",""All!A2:A""),0)),INDEX(IMPORTRANGE(""13KC70HngS4DDi8y9E5khtSpQEPG6owaQ9z4E-tR5mnY"","&amp;"""Non-Food!B2:B""),MATCH($B285,IMPORTRANGE(""13KC70HngS4DDi8y9E5khtSpQEPG6owaQ9z4E-tR5mnY"",""Non-Food!A2:A""),0))),"""")"),"")</f>
        <v/>
      </c>
      <c r="D285" s="15"/>
      <c r="E285" s="15"/>
      <c r="F285" s="36"/>
      <c r="G285" s="24" t="str">
        <f>IFERROR(__xludf.DUMMYFUNCTION("iferror(iferror(iferror(index(IMPORTRANGE(""1NK5L1mviMn0j3D3uo53ASkIZOFRlLnqaCTnwzOG2_Wg"",""Direct Link!B2:B""),MATCH($B285,IMPORTRANGE(""1NK5L1mviMn0j3D3uo53ASkIZOFRlLnqaCTnwzOG2_Wg"",""Direct Link!A2:A""),0)),XLOOKUP($B285,IMPORTRANGE(""1NK5L1mviMn0j3D"&amp;"3uo53ASkIZOFRlLnqaCTnwzOG2_Wg"",""Direct links Without Sizes!A2:A""),IMPORTRANGE(""1NK5L1mviMn0j3D3uo53ASkIZOFRlLnqaCTnwzOG2_Wg"",""Direct links Without Sizes!B2:B""))),XLOOKUP($B285,IMPORTRANGE(""1NK5L1mviMn0j3D3uo53ASkIZOFRlLnqaCTnwzOG2_Wg"",""Direct li"&amp;"nks Without Sizes!D2:D""),IMPORTRANGE(""1NK5L1mviMn0j3D3uo53ASkIZOFRlLnqaCTnwzOG2_Wg"",""Direct links Without Sizes!E2:E""))),"""")"),"")</f>
        <v/>
      </c>
      <c r="H285" s="41"/>
      <c r="I285" s="4"/>
      <c r="J285" s="4"/>
      <c r="K285" s="10" t="str">
        <f t="shared" si="1"/>
        <v/>
      </c>
      <c r="L285" s="10"/>
      <c r="M285" s="10" t="str">
        <f t="shared" si="2"/>
        <v/>
      </c>
    </row>
    <row r="286">
      <c r="A286" s="4"/>
      <c r="B286" s="15"/>
      <c r="C286" s="7" t="str">
        <f>IFERROR(__xludf.DUMMYFUNCTION("iferror(iferror(INDEX(IMPORTRANGE(""12vtnxaE_Q1s4tyr10kZQx7ZF_xG0lBFae4jQEUtgsMU"",""All!B2:B""),MATCH($B286,IMPORTRANGE(""12vtnxaE_Q1s4tyr10kZQx7ZF_xG0lBFae4jQEUtgsMU"",""All!A2:A""),0)),INDEX(IMPORTRANGE(""13KC70HngS4DDi8y9E5khtSpQEPG6owaQ9z4E-tR5mnY"","&amp;"""Non-Food!B2:B""),MATCH($B286,IMPORTRANGE(""13KC70HngS4DDi8y9E5khtSpQEPG6owaQ9z4E-tR5mnY"",""Non-Food!A2:A""),0))),"""")"),"")</f>
        <v/>
      </c>
      <c r="D286" s="15"/>
      <c r="E286" s="15"/>
      <c r="F286" s="36"/>
      <c r="G286" s="24" t="str">
        <f>IFERROR(__xludf.DUMMYFUNCTION("iferror(iferror(iferror(index(IMPORTRANGE(""1NK5L1mviMn0j3D3uo53ASkIZOFRlLnqaCTnwzOG2_Wg"",""Direct Link!B2:B""),MATCH($B286,IMPORTRANGE(""1NK5L1mviMn0j3D3uo53ASkIZOFRlLnqaCTnwzOG2_Wg"",""Direct Link!A2:A""),0)),XLOOKUP($B286,IMPORTRANGE(""1NK5L1mviMn0j3D"&amp;"3uo53ASkIZOFRlLnqaCTnwzOG2_Wg"",""Direct links Without Sizes!A2:A""),IMPORTRANGE(""1NK5L1mviMn0j3D3uo53ASkIZOFRlLnqaCTnwzOG2_Wg"",""Direct links Without Sizes!B2:B""))),XLOOKUP($B286,IMPORTRANGE(""1NK5L1mviMn0j3D3uo53ASkIZOFRlLnqaCTnwzOG2_Wg"",""Direct li"&amp;"nks Without Sizes!D2:D""),IMPORTRANGE(""1NK5L1mviMn0j3D3uo53ASkIZOFRlLnqaCTnwzOG2_Wg"",""Direct links Without Sizes!E2:E""))),"""")"),"")</f>
        <v/>
      </c>
      <c r="H286" s="41"/>
      <c r="I286" s="4"/>
      <c r="J286" s="4"/>
      <c r="K286" s="10" t="str">
        <f t="shared" si="1"/>
        <v/>
      </c>
      <c r="L286" s="10"/>
      <c r="M286" s="10" t="str">
        <f t="shared" si="2"/>
        <v/>
      </c>
    </row>
    <row r="287">
      <c r="A287" s="4"/>
      <c r="B287" s="15"/>
      <c r="C287" s="7" t="str">
        <f>IFERROR(__xludf.DUMMYFUNCTION("iferror(iferror(INDEX(IMPORTRANGE(""12vtnxaE_Q1s4tyr10kZQx7ZF_xG0lBFae4jQEUtgsMU"",""All!B2:B""),MATCH($B287,IMPORTRANGE(""12vtnxaE_Q1s4tyr10kZQx7ZF_xG0lBFae4jQEUtgsMU"",""All!A2:A""),0)),INDEX(IMPORTRANGE(""13KC70HngS4DDi8y9E5khtSpQEPG6owaQ9z4E-tR5mnY"","&amp;"""Non-Food!B2:B""),MATCH($B287,IMPORTRANGE(""13KC70HngS4DDi8y9E5khtSpQEPG6owaQ9z4E-tR5mnY"",""Non-Food!A2:A""),0))),"""")"),"")</f>
        <v/>
      </c>
      <c r="D287" s="15"/>
      <c r="E287" s="15"/>
      <c r="F287" s="36"/>
      <c r="G287" s="24" t="str">
        <f>IFERROR(__xludf.DUMMYFUNCTION("iferror(iferror(iferror(index(IMPORTRANGE(""1NK5L1mviMn0j3D3uo53ASkIZOFRlLnqaCTnwzOG2_Wg"",""Direct Link!B2:B""),MATCH($B287,IMPORTRANGE(""1NK5L1mviMn0j3D3uo53ASkIZOFRlLnqaCTnwzOG2_Wg"",""Direct Link!A2:A""),0)),XLOOKUP($B287,IMPORTRANGE(""1NK5L1mviMn0j3D"&amp;"3uo53ASkIZOFRlLnqaCTnwzOG2_Wg"",""Direct links Without Sizes!A2:A""),IMPORTRANGE(""1NK5L1mviMn0j3D3uo53ASkIZOFRlLnqaCTnwzOG2_Wg"",""Direct links Without Sizes!B2:B""))),XLOOKUP($B287,IMPORTRANGE(""1NK5L1mviMn0j3D3uo53ASkIZOFRlLnqaCTnwzOG2_Wg"",""Direct li"&amp;"nks Without Sizes!D2:D""),IMPORTRANGE(""1NK5L1mviMn0j3D3uo53ASkIZOFRlLnqaCTnwzOG2_Wg"",""Direct links Without Sizes!E2:E""))),"""")"),"")</f>
        <v/>
      </c>
      <c r="H287" s="41"/>
      <c r="I287" s="4"/>
      <c r="J287" s="4"/>
      <c r="K287" s="10" t="str">
        <f t="shared" si="1"/>
        <v/>
      </c>
      <c r="L287" s="10"/>
      <c r="M287" s="10" t="str">
        <f t="shared" si="2"/>
        <v/>
      </c>
    </row>
    <row r="288">
      <c r="A288" s="4"/>
      <c r="B288" s="15"/>
      <c r="C288" s="7" t="str">
        <f>IFERROR(__xludf.DUMMYFUNCTION("iferror(iferror(INDEX(IMPORTRANGE(""12vtnxaE_Q1s4tyr10kZQx7ZF_xG0lBFae4jQEUtgsMU"",""All!B2:B""),MATCH($B288,IMPORTRANGE(""12vtnxaE_Q1s4tyr10kZQx7ZF_xG0lBFae4jQEUtgsMU"",""All!A2:A""),0)),INDEX(IMPORTRANGE(""13KC70HngS4DDi8y9E5khtSpQEPG6owaQ9z4E-tR5mnY"","&amp;"""Non-Food!B2:B""),MATCH($B288,IMPORTRANGE(""13KC70HngS4DDi8y9E5khtSpQEPG6owaQ9z4E-tR5mnY"",""Non-Food!A2:A""),0))),"""")"),"")</f>
        <v/>
      </c>
      <c r="D288" s="15"/>
      <c r="E288" s="15"/>
      <c r="F288" s="36"/>
      <c r="G288" s="24" t="str">
        <f>IFERROR(__xludf.DUMMYFUNCTION("iferror(iferror(iferror(index(IMPORTRANGE(""1NK5L1mviMn0j3D3uo53ASkIZOFRlLnqaCTnwzOG2_Wg"",""Direct Link!B2:B""),MATCH($B288,IMPORTRANGE(""1NK5L1mviMn0j3D3uo53ASkIZOFRlLnqaCTnwzOG2_Wg"",""Direct Link!A2:A""),0)),XLOOKUP($B288,IMPORTRANGE(""1NK5L1mviMn0j3D"&amp;"3uo53ASkIZOFRlLnqaCTnwzOG2_Wg"",""Direct links Without Sizes!A2:A""),IMPORTRANGE(""1NK5L1mviMn0j3D3uo53ASkIZOFRlLnqaCTnwzOG2_Wg"",""Direct links Without Sizes!B2:B""))),XLOOKUP($B288,IMPORTRANGE(""1NK5L1mviMn0j3D3uo53ASkIZOFRlLnqaCTnwzOG2_Wg"",""Direct li"&amp;"nks Without Sizes!D2:D""),IMPORTRANGE(""1NK5L1mviMn0j3D3uo53ASkIZOFRlLnqaCTnwzOG2_Wg"",""Direct links Without Sizes!E2:E""))),"""")"),"")</f>
        <v/>
      </c>
      <c r="H288" s="41"/>
      <c r="I288" s="4"/>
      <c r="J288" s="4"/>
      <c r="K288" s="10" t="str">
        <f t="shared" si="1"/>
        <v/>
      </c>
      <c r="L288" s="10"/>
      <c r="M288" s="10" t="str">
        <f t="shared" si="2"/>
        <v/>
      </c>
    </row>
    <row r="289">
      <c r="A289" s="4"/>
      <c r="B289" s="15"/>
      <c r="C289" s="7" t="str">
        <f>IFERROR(__xludf.DUMMYFUNCTION("iferror(iferror(INDEX(IMPORTRANGE(""12vtnxaE_Q1s4tyr10kZQx7ZF_xG0lBFae4jQEUtgsMU"",""All!B2:B""),MATCH($B289,IMPORTRANGE(""12vtnxaE_Q1s4tyr10kZQx7ZF_xG0lBFae4jQEUtgsMU"",""All!A2:A""),0)),INDEX(IMPORTRANGE(""13KC70HngS4DDi8y9E5khtSpQEPG6owaQ9z4E-tR5mnY"","&amp;"""Non-Food!B2:B""),MATCH($B289,IMPORTRANGE(""13KC70HngS4DDi8y9E5khtSpQEPG6owaQ9z4E-tR5mnY"",""Non-Food!A2:A""),0))),"""")"),"")</f>
        <v/>
      </c>
      <c r="D289" s="15"/>
      <c r="E289" s="15"/>
      <c r="F289" s="36"/>
      <c r="G289" s="24" t="str">
        <f>IFERROR(__xludf.DUMMYFUNCTION("iferror(iferror(iferror(index(IMPORTRANGE(""1NK5L1mviMn0j3D3uo53ASkIZOFRlLnqaCTnwzOG2_Wg"",""Direct Link!B2:B""),MATCH($B289,IMPORTRANGE(""1NK5L1mviMn0j3D3uo53ASkIZOFRlLnqaCTnwzOG2_Wg"",""Direct Link!A2:A""),0)),XLOOKUP($B289,IMPORTRANGE(""1NK5L1mviMn0j3D"&amp;"3uo53ASkIZOFRlLnqaCTnwzOG2_Wg"",""Direct links Without Sizes!A2:A""),IMPORTRANGE(""1NK5L1mviMn0j3D3uo53ASkIZOFRlLnqaCTnwzOG2_Wg"",""Direct links Without Sizes!B2:B""))),XLOOKUP($B289,IMPORTRANGE(""1NK5L1mviMn0j3D3uo53ASkIZOFRlLnqaCTnwzOG2_Wg"",""Direct li"&amp;"nks Without Sizes!D2:D""),IMPORTRANGE(""1NK5L1mviMn0j3D3uo53ASkIZOFRlLnqaCTnwzOG2_Wg"",""Direct links Without Sizes!E2:E""))),"""")"),"")</f>
        <v/>
      </c>
      <c r="H289" s="41"/>
      <c r="I289" s="4"/>
      <c r="J289" s="4"/>
      <c r="K289" s="10" t="str">
        <f t="shared" si="1"/>
        <v/>
      </c>
      <c r="L289" s="10"/>
      <c r="M289" s="10" t="str">
        <f t="shared" si="2"/>
        <v/>
      </c>
    </row>
    <row r="290">
      <c r="A290" s="4"/>
      <c r="B290" s="15"/>
      <c r="C290" s="7" t="str">
        <f>IFERROR(__xludf.DUMMYFUNCTION("iferror(iferror(INDEX(IMPORTRANGE(""12vtnxaE_Q1s4tyr10kZQx7ZF_xG0lBFae4jQEUtgsMU"",""All!B2:B""),MATCH($B290,IMPORTRANGE(""12vtnxaE_Q1s4tyr10kZQx7ZF_xG0lBFae4jQEUtgsMU"",""All!A2:A""),0)),INDEX(IMPORTRANGE(""13KC70HngS4DDi8y9E5khtSpQEPG6owaQ9z4E-tR5mnY"","&amp;"""Non-Food!B2:B""),MATCH($B290,IMPORTRANGE(""13KC70HngS4DDi8y9E5khtSpQEPG6owaQ9z4E-tR5mnY"",""Non-Food!A2:A""),0))),"""")"),"")</f>
        <v/>
      </c>
      <c r="D290" s="15"/>
      <c r="E290" s="15"/>
      <c r="F290" s="36"/>
      <c r="G290" s="24" t="str">
        <f>IFERROR(__xludf.DUMMYFUNCTION("iferror(iferror(iferror(index(IMPORTRANGE(""1NK5L1mviMn0j3D3uo53ASkIZOFRlLnqaCTnwzOG2_Wg"",""Direct Link!B2:B""),MATCH($B290,IMPORTRANGE(""1NK5L1mviMn0j3D3uo53ASkIZOFRlLnqaCTnwzOG2_Wg"",""Direct Link!A2:A""),0)),XLOOKUP($B290,IMPORTRANGE(""1NK5L1mviMn0j3D"&amp;"3uo53ASkIZOFRlLnqaCTnwzOG2_Wg"",""Direct links Without Sizes!A2:A""),IMPORTRANGE(""1NK5L1mviMn0j3D3uo53ASkIZOFRlLnqaCTnwzOG2_Wg"",""Direct links Without Sizes!B2:B""))),XLOOKUP($B290,IMPORTRANGE(""1NK5L1mviMn0j3D3uo53ASkIZOFRlLnqaCTnwzOG2_Wg"",""Direct li"&amp;"nks Without Sizes!D2:D""),IMPORTRANGE(""1NK5L1mviMn0j3D3uo53ASkIZOFRlLnqaCTnwzOG2_Wg"",""Direct links Without Sizes!E2:E""))),"""")"),"")</f>
        <v/>
      </c>
      <c r="H290" s="41"/>
      <c r="I290" s="4"/>
      <c r="J290" s="4"/>
      <c r="K290" s="10" t="str">
        <f t="shared" si="1"/>
        <v/>
      </c>
      <c r="L290" s="10"/>
      <c r="M290" s="10" t="str">
        <f t="shared" si="2"/>
        <v/>
      </c>
    </row>
    <row r="291">
      <c r="A291" s="4"/>
      <c r="B291" s="15"/>
      <c r="C291" s="7" t="str">
        <f>IFERROR(__xludf.DUMMYFUNCTION("iferror(iferror(INDEX(IMPORTRANGE(""12vtnxaE_Q1s4tyr10kZQx7ZF_xG0lBFae4jQEUtgsMU"",""All!B2:B""),MATCH($B291,IMPORTRANGE(""12vtnxaE_Q1s4tyr10kZQx7ZF_xG0lBFae4jQEUtgsMU"",""All!A2:A""),0)),INDEX(IMPORTRANGE(""13KC70HngS4DDi8y9E5khtSpQEPG6owaQ9z4E-tR5mnY"","&amp;"""Non-Food!B2:B""),MATCH($B291,IMPORTRANGE(""13KC70HngS4DDi8y9E5khtSpQEPG6owaQ9z4E-tR5mnY"",""Non-Food!A2:A""),0))),"""")"),"")</f>
        <v/>
      </c>
      <c r="D291" s="15"/>
      <c r="E291" s="15"/>
      <c r="F291" s="36"/>
      <c r="G291" s="24" t="str">
        <f>IFERROR(__xludf.DUMMYFUNCTION("iferror(iferror(iferror(index(IMPORTRANGE(""1NK5L1mviMn0j3D3uo53ASkIZOFRlLnqaCTnwzOG2_Wg"",""Direct Link!B2:B""),MATCH($B291,IMPORTRANGE(""1NK5L1mviMn0j3D3uo53ASkIZOFRlLnqaCTnwzOG2_Wg"",""Direct Link!A2:A""),0)),XLOOKUP($B291,IMPORTRANGE(""1NK5L1mviMn0j3D"&amp;"3uo53ASkIZOFRlLnqaCTnwzOG2_Wg"",""Direct links Without Sizes!A2:A""),IMPORTRANGE(""1NK5L1mviMn0j3D3uo53ASkIZOFRlLnqaCTnwzOG2_Wg"",""Direct links Without Sizes!B2:B""))),XLOOKUP($B291,IMPORTRANGE(""1NK5L1mviMn0j3D3uo53ASkIZOFRlLnqaCTnwzOG2_Wg"",""Direct li"&amp;"nks Without Sizes!D2:D""),IMPORTRANGE(""1NK5L1mviMn0j3D3uo53ASkIZOFRlLnqaCTnwzOG2_Wg"",""Direct links Without Sizes!E2:E""))),"""")"),"")</f>
        <v/>
      </c>
      <c r="H291" s="41"/>
      <c r="I291" s="4"/>
      <c r="J291" s="4"/>
      <c r="K291" s="10" t="str">
        <f t="shared" si="1"/>
        <v/>
      </c>
      <c r="L291" s="10"/>
      <c r="M291" s="10" t="str">
        <f t="shared" si="2"/>
        <v/>
      </c>
    </row>
    <row r="292">
      <c r="A292" s="4"/>
      <c r="B292" s="15"/>
      <c r="C292" s="7" t="str">
        <f>IFERROR(__xludf.DUMMYFUNCTION("iferror(iferror(INDEX(IMPORTRANGE(""12vtnxaE_Q1s4tyr10kZQx7ZF_xG0lBFae4jQEUtgsMU"",""All!B2:B""),MATCH($B292,IMPORTRANGE(""12vtnxaE_Q1s4tyr10kZQx7ZF_xG0lBFae4jQEUtgsMU"",""All!A2:A""),0)),INDEX(IMPORTRANGE(""13KC70HngS4DDi8y9E5khtSpQEPG6owaQ9z4E-tR5mnY"","&amp;"""Non-Food!B2:B""),MATCH($B292,IMPORTRANGE(""13KC70HngS4DDi8y9E5khtSpQEPG6owaQ9z4E-tR5mnY"",""Non-Food!A2:A""),0))),"""")"),"")</f>
        <v/>
      </c>
      <c r="D292" s="15"/>
      <c r="E292" s="15"/>
      <c r="F292" s="36"/>
      <c r="G292" s="24" t="str">
        <f>IFERROR(__xludf.DUMMYFUNCTION("iferror(iferror(iferror(index(IMPORTRANGE(""1NK5L1mviMn0j3D3uo53ASkIZOFRlLnqaCTnwzOG2_Wg"",""Direct Link!B2:B""),MATCH($B292,IMPORTRANGE(""1NK5L1mviMn0j3D3uo53ASkIZOFRlLnqaCTnwzOG2_Wg"",""Direct Link!A2:A""),0)),XLOOKUP($B292,IMPORTRANGE(""1NK5L1mviMn0j3D"&amp;"3uo53ASkIZOFRlLnqaCTnwzOG2_Wg"",""Direct links Without Sizes!A2:A""),IMPORTRANGE(""1NK5L1mviMn0j3D3uo53ASkIZOFRlLnqaCTnwzOG2_Wg"",""Direct links Without Sizes!B2:B""))),XLOOKUP($B292,IMPORTRANGE(""1NK5L1mviMn0j3D3uo53ASkIZOFRlLnqaCTnwzOG2_Wg"",""Direct li"&amp;"nks Without Sizes!D2:D""),IMPORTRANGE(""1NK5L1mviMn0j3D3uo53ASkIZOFRlLnqaCTnwzOG2_Wg"",""Direct links Without Sizes!E2:E""))),"""")"),"")</f>
        <v/>
      </c>
      <c r="H292" s="41"/>
      <c r="I292" s="4"/>
      <c r="J292" s="4"/>
      <c r="K292" s="10" t="str">
        <f t="shared" si="1"/>
        <v/>
      </c>
      <c r="L292" s="10"/>
      <c r="M292" s="10" t="str">
        <f t="shared" si="2"/>
        <v/>
      </c>
    </row>
    <row r="293">
      <c r="A293" s="4"/>
      <c r="B293" s="15"/>
      <c r="C293" s="7" t="str">
        <f>IFERROR(__xludf.DUMMYFUNCTION("iferror(iferror(INDEX(IMPORTRANGE(""12vtnxaE_Q1s4tyr10kZQx7ZF_xG0lBFae4jQEUtgsMU"",""All!B2:B""),MATCH($B293,IMPORTRANGE(""12vtnxaE_Q1s4tyr10kZQx7ZF_xG0lBFae4jQEUtgsMU"",""All!A2:A""),0)),INDEX(IMPORTRANGE(""13KC70HngS4DDi8y9E5khtSpQEPG6owaQ9z4E-tR5mnY"","&amp;"""Non-Food!B2:B""),MATCH($B293,IMPORTRANGE(""13KC70HngS4DDi8y9E5khtSpQEPG6owaQ9z4E-tR5mnY"",""Non-Food!A2:A""),0))),"""")"),"")</f>
        <v/>
      </c>
      <c r="D293" s="15"/>
      <c r="E293" s="15"/>
      <c r="F293" s="36"/>
      <c r="G293" s="24" t="str">
        <f>IFERROR(__xludf.DUMMYFUNCTION("iferror(iferror(iferror(index(IMPORTRANGE(""1NK5L1mviMn0j3D3uo53ASkIZOFRlLnqaCTnwzOG2_Wg"",""Direct Link!B2:B""),MATCH($B293,IMPORTRANGE(""1NK5L1mviMn0j3D3uo53ASkIZOFRlLnqaCTnwzOG2_Wg"",""Direct Link!A2:A""),0)),XLOOKUP($B293,IMPORTRANGE(""1NK5L1mviMn0j3D"&amp;"3uo53ASkIZOFRlLnqaCTnwzOG2_Wg"",""Direct links Without Sizes!A2:A""),IMPORTRANGE(""1NK5L1mviMn0j3D3uo53ASkIZOFRlLnqaCTnwzOG2_Wg"",""Direct links Without Sizes!B2:B""))),XLOOKUP($B293,IMPORTRANGE(""1NK5L1mviMn0j3D3uo53ASkIZOFRlLnqaCTnwzOG2_Wg"",""Direct li"&amp;"nks Without Sizes!D2:D""),IMPORTRANGE(""1NK5L1mviMn0j3D3uo53ASkIZOFRlLnqaCTnwzOG2_Wg"",""Direct links Without Sizes!E2:E""))),"""")"),"")</f>
        <v/>
      </c>
      <c r="H293" s="41"/>
      <c r="I293" s="4"/>
      <c r="J293" s="4"/>
      <c r="K293" s="10" t="str">
        <f t="shared" si="1"/>
        <v/>
      </c>
      <c r="L293" s="10"/>
      <c r="M293" s="10" t="str">
        <f t="shared" si="2"/>
        <v/>
      </c>
    </row>
    <row r="294">
      <c r="A294" s="4"/>
      <c r="B294" s="15"/>
      <c r="C294" s="7" t="str">
        <f>IFERROR(__xludf.DUMMYFUNCTION("iferror(iferror(INDEX(IMPORTRANGE(""12vtnxaE_Q1s4tyr10kZQx7ZF_xG0lBFae4jQEUtgsMU"",""All!B2:B""),MATCH($B294,IMPORTRANGE(""12vtnxaE_Q1s4tyr10kZQx7ZF_xG0lBFae4jQEUtgsMU"",""All!A2:A""),0)),INDEX(IMPORTRANGE(""13KC70HngS4DDi8y9E5khtSpQEPG6owaQ9z4E-tR5mnY"","&amp;"""Non-Food!B2:B""),MATCH($B294,IMPORTRANGE(""13KC70HngS4DDi8y9E5khtSpQEPG6owaQ9z4E-tR5mnY"",""Non-Food!A2:A""),0))),"""")"),"")</f>
        <v/>
      </c>
      <c r="D294" s="15"/>
      <c r="E294" s="15"/>
      <c r="F294" s="36"/>
      <c r="G294" s="24" t="str">
        <f>IFERROR(__xludf.DUMMYFUNCTION("iferror(iferror(iferror(index(IMPORTRANGE(""1NK5L1mviMn0j3D3uo53ASkIZOFRlLnqaCTnwzOG2_Wg"",""Direct Link!B2:B""),MATCH($B294,IMPORTRANGE(""1NK5L1mviMn0j3D3uo53ASkIZOFRlLnqaCTnwzOG2_Wg"",""Direct Link!A2:A""),0)),XLOOKUP($B294,IMPORTRANGE(""1NK5L1mviMn0j3D"&amp;"3uo53ASkIZOFRlLnqaCTnwzOG2_Wg"",""Direct links Without Sizes!A2:A""),IMPORTRANGE(""1NK5L1mviMn0j3D3uo53ASkIZOFRlLnqaCTnwzOG2_Wg"",""Direct links Without Sizes!B2:B""))),XLOOKUP($B294,IMPORTRANGE(""1NK5L1mviMn0j3D3uo53ASkIZOFRlLnqaCTnwzOG2_Wg"",""Direct li"&amp;"nks Without Sizes!D2:D""),IMPORTRANGE(""1NK5L1mviMn0j3D3uo53ASkIZOFRlLnqaCTnwzOG2_Wg"",""Direct links Without Sizes!E2:E""))),"""")"),"")</f>
        <v/>
      </c>
      <c r="H294" s="41"/>
      <c r="I294" s="4"/>
      <c r="J294" s="4"/>
      <c r="K294" s="10" t="str">
        <f t="shared" si="1"/>
        <v/>
      </c>
      <c r="L294" s="10"/>
      <c r="M294" s="10" t="str">
        <f t="shared" si="2"/>
        <v/>
      </c>
    </row>
    <row r="295">
      <c r="A295" s="4"/>
      <c r="B295" s="15"/>
      <c r="C295" s="7" t="str">
        <f>IFERROR(__xludf.DUMMYFUNCTION("iferror(iferror(INDEX(IMPORTRANGE(""12vtnxaE_Q1s4tyr10kZQx7ZF_xG0lBFae4jQEUtgsMU"",""All!B2:B""),MATCH($B295,IMPORTRANGE(""12vtnxaE_Q1s4tyr10kZQx7ZF_xG0lBFae4jQEUtgsMU"",""All!A2:A""),0)),INDEX(IMPORTRANGE(""13KC70HngS4DDi8y9E5khtSpQEPG6owaQ9z4E-tR5mnY"","&amp;"""Non-Food!B2:B""),MATCH($B295,IMPORTRANGE(""13KC70HngS4DDi8y9E5khtSpQEPG6owaQ9z4E-tR5mnY"",""Non-Food!A2:A""),0))),"""")"),"")</f>
        <v/>
      </c>
      <c r="D295" s="15"/>
      <c r="E295" s="15"/>
      <c r="F295" s="36"/>
      <c r="G295" s="24" t="str">
        <f>IFERROR(__xludf.DUMMYFUNCTION("iferror(iferror(iferror(index(IMPORTRANGE(""1NK5L1mviMn0j3D3uo53ASkIZOFRlLnqaCTnwzOG2_Wg"",""Direct Link!B2:B""),MATCH($B295,IMPORTRANGE(""1NK5L1mviMn0j3D3uo53ASkIZOFRlLnqaCTnwzOG2_Wg"",""Direct Link!A2:A""),0)),XLOOKUP($B295,IMPORTRANGE(""1NK5L1mviMn0j3D"&amp;"3uo53ASkIZOFRlLnqaCTnwzOG2_Wg"",""Direct links Without Sizes!A2:A""),IMPORTRANGE(""1NK5L1mviMn0j3D3uo53ASkIZOFRlLnqaCTnwzOG2_Wg"",""Direct links Without Sizes!B2:B""))),XLOOKUP($B295,IMPORTRANGE(""1NK5L1mviMn0j3D3uo53ASkIZOFRlLnqaCTnwzOG2_Wg"",""Direct li"&amp;"nks Without Sizes!D2:D""),IMPORTRANGE(""1NK5L1mviMn0j3D3uo53ASkIZOFRlLnqaCTnwzOG2_Wg"",""Direct links Without Sizes!E2:E""))),"""")"),"")</f>
        <v/>
      </c>
      <c r="H295" s="41"/>
      <c r="I295" s="4"/>
      <c r="J295" s="4"/>
      <c r="K295" s="10" t="str">
        <f t="shared" si="1"/>
        <v/>
      </c>
      <c r="L295" s="10"/>
      <c r="M295" s="10" t="str">
        <f t="shared" si="2"/>
        <v/>
      </c>
    </row>
    <row r="296">
      <c r="A296" s="4"/>
      <c r="B296" s="15"/>
      <c r="C296" s="7" t="str">
        <f>IFERROR(__xludf.DUMMYFUNCTION("iferror(iferror(INDEX(IMPORTRANGE(""12vtnxaE_Q1s4tyr10kZQx7ZF_xG0lBFae4jQEUtgsMU"",""All!B2:B""),MATCH($B296,IMPORTRANGE(""12vtnxaE_Q1s4tyr10kZQx7ZF_xG0lBFae4jQEUtgsMU"",""All!A2:A""),0)),INDEX(IMPORTRANGE(""13KC70HngS4DDi8y9E5khtSpQEPG6owaQ9z4E-tR5mnY"","&amp;"""Non-Food!B2:B""),MATCH($B296,IMPORTRANGE(""13KC70HngS4DDi8y9E5khtSpQEPG6owaQ9z4E-tR5mnY"",""Non-Food!A2:A""),0))),"""")"),"")</f>
        <v/>
      </c>
      <c r="D296" s="15"/>
      <c r="E296" s="15"/>
      <c r="F296" s="36"/>
      <c r="G296" s="24" t="str">
        <f>IFERROR(__xludf.DUMMYFUNCTION("iferror(iferror(iferror(index(IMPORTRANGE(""1NK5L1mviMn0j3D3uo53ASkIZOFRlLnqaCTnwzOG2_Wg"",""Direct Link!B2:B""),MATCH($B296,IMPORTRANGE(""1NK5L1mviMn0j3D3uo53ASkIZOFRlLnqaCTnwzOG2_Wg"",""Direct Link!A2:A""),0)),XLOOKUP($B296,IMPORTRANGE(""1NK5L1mviMn0j3D"&amp;"3uo53ASkIZOFRlLnqaCTnwzOG2_Wg"",""Direct links Without Sizes!A2:A""),IMPORTRANGE(""1NK5L1mviMn0j3D3uo53ASkIZOFRlLnqaCTnwzOG2_Wg"",""Direct links Without Sizes!B2:B""))),XLOOKUP($B296,IMPORTRANGE(""1NK5L1mviMn0j3D3uo53ASkIZOFRlLnqaCTnwzOG2_Wg"",""Direct li"&amp;"nks Without Sizes!D2:D""),IMPORTRANGE(""1NK5L1mviMn0j3D3uo53ASkIZOFRlLnqaCTnwzOG2_Wg"",""Direct links Without Sizes!E2:E""))),"""")"),"")</f>
        <v/>
      </c>
      <c r="H296" s="41"/>
      <c r="I296" s="4"/>
      <c r="J296" s="4"/>
      <c r="K296" s="10" t="str">
        <f t="shared" si="1"/>
        <v/>
      </c>
      <c r="L296" s="10"/>
      <c r="M296" s="10" t="str">
        <f t="shared" si="2"/>
        <v/>
      </c>
    </row>
    <row r="297">
      <c r="A297" s="4"/>
      <c r="B297" s="15"/>
      <c r="C297" s="7" t="str">
        <f>IFERROR(__xludf.DUMMYFUNCTION("iferror(iferror(INDEX(IMPORTRANGE(""12vtnxaE_Q1s4tyr10kZQx7ZF_xG0lBFae4jQEUtgsMU"",""All!B2:B""),MATCH($B297,IMPORTRANGE(""12vtnxaE_Q1s4tyr10kZQx7ZF_xG0lBFae4jQEUtgsMU"",""All!A2:A""),0)),INDEX(IMPORTRANGE(""13KC70HngS4DDi8y9E5khtSpQEPG6owaQ9z4E-tR5mnY"","&amp;"""Non-Food!B2:B""),MATCH($B297,IMPORTRANGE(""13KC70HngS4DDi8y9E5khtSpQEPG6owaQ9z4E-tR5mnY"",""Non-Food!A2:A""),0))),"""")"),"")</f>
        <v/>
      </c>
      <c r="D297" s="15"/>
      <c r="E297" s="15"/>
      <c r="F297" s="36"/>
      <c r="G297" s="24" t="str">
        <f>IFERROR(__xludf.DUMMYFUNCTION("iferror(iferror(iferror(index(IMPORTRANGE(""1NK5L1mviMn0j3D3uo53ASkIZOFRlLnqaCTnwzOG2_Wg"",""Direct Link!B2:B""),MATCH($B297,IMPORTRANGE(""1NK5L1mviMn0j3D3uo53ASkIZOFRlLnqaCTnwzOG2_Wg"",""Direct Link!A2:A""),0)),XLOOKUP($B297,IMPORTRANGE(""1NK5L1mviMn0j3D"&amp;"3uo53ASkIZOFRlLnqaCTnwzOG2_Wg"",""Direct links Without Sizes!A2:A""),IMPORTRANGE(""1NK5L1mviMn0j3D3uo53ASkIZOFRlLnqaCTnwzOG2_Wg"",""Direct links Without Sizes!B2:B""))),XLOOKUP($B297,IMPORTRANGE(""1NK5L1mviMn0j3D3uo53ASkIZOFRlLnqaCTnwzOG2_Wg"",""Direct li"&amp;"nks Without Sizes!D2:D""),IMPORTRANGE(""1NK5L1mviMn0j3D3uo53ASkIZOFRlLnqaCTnwzOG2_Wg"",""Direct links Without Sizes!E2:E""))),"""")"),"")</f>
        <v/>
      </c>
      <c r="H297" s="41"/>
      <c r="I297" s="4"/>
      <c r="J297" s="4"/>
      <c r="K297" s="10" t="str">
        <f t="shared" si="1"/>
        <v/>
      </c>
      <c r="L297" s="10"/>
      <c r="M297" s="10" t="str">
        <f t="shared" si="2"/>
        <v/>
      </c>
    </row>
    <row r="298">
      <c r="A298" s="4"/>
      <c r="B298" s="15"/>
      <c r="C298" s="7" t="str">
        <f>IFERROR(__xludf.DUMMYFUNCTION("iferror(iferror(INDEX(IMPORTRANGE(""12vtnxaE_Q1s4tyr10kZQx7ZF_xG0lBFae4jQEUtgsMU"",""All!B2:B""),MATCH($B298,IMPORTRANGE(""12vtnxaE_Q1s4tyr10kZQx7ZF_xG0lBFae4jQEUtgsMU"",""All!A2:A""),0)),INDEX(IMPORTRANGE(""13KC70HngS4DDi8y9E5khtSpQEPG6owaQ9z4E-tR5mnY"","&amp;"""Non-Food!B2:B""),MATCH($B298,IMPORTRANGE(""13KC70HngS4DDi8y9E5khtSpQEPG6owaQ9z4E-tR5mnY"",""Non-Food!A2:A""),0))),"""")"),"")</f>
        <v/>
      </c>
      <c r="D298" s="15"/>
      <c r="E298" s="15"/>
      <c r="F298" s="36"/>
      <c r="G298" s="24" t="str">
        <f>IFERROR(__xludf.DUMMYFUNCTION("iferror(iferror(iferror(index(IMPORTRANGE(""1NK5L1mviMn0j3D3uo53ASkIZOFRlLnqaCTnwzOG2_Wg"",""Direct Link!B2:B""),MATCH($B298,IMPORTRANGE(""1NK5L1mviMn0j3D3uo53ASkIZOFRlLnqaCTnwzOG2_Wg"",""Direct Link!A2:A""),0)),XLOOKUP($B298,IMPORTRANGE(""1NK5L1mviMn0j3D"&amp;"3uo53ASkIZOFRlLnqaCTnwzOG2_Wg"",""Direct links Without Sizes!A2:A""),IMPORTRANGE(""1NK5L1mviMn0j3D3uo53ASkIZOFRlLnqaCTnwzOG2_Wg"",""Direct links Without Sizes!B2:B""))),XLOOKUP($B298,IMPORTRANGE(""1NK5L1mviMn0j3D3uo53ASkIZOFRlLnqaCTnwzOG2_Wg"",""Direct li"&amp;"nks Without Sizes!D2:D""),IMPORTRANGE(""1NK5L1mviMn0j3D3uo53ASkIZOFRlLnqaCTnwzOG2_Wg"",""Direct links Without Sizes!E2:E""))),"""")"),"")</f>
        <v/>
      </c>
      <c r="H298" s="41"/>
      <c r="I298" s="4"/>
      <c r="J298" s="4"/>
      <c r="K298" s="10" t="str">
        <f t="shared" si="1"/>
        <v/>
      </c>
      <c r="L298" s="10"/>
      <c r="M298" s="10" t="str">
        <f t="shared" si="2"/>
        <v/>
      </c>
    </row>
    <row r="299">
      <c r="A299" s="4"/>
      <c r="B299" s="15"/>
      <c r="C299" s="7" t="str">
        <f>IFERROR(__xludf.DUMMYFUNCTION("iferror(iferror(INDEX(IMPORTRANGE(""12vtnxaE_Q1s4tyr10kZQx7ZF_xG0lBFae4jQEUtgsMU"",""All!B2:B""),MATCH($B299,IMPORTRANGE(""12vtnxaE_Q1s4tyr10kZQx7ZF_xG0lBFae4jQEUtgsMU"",""All!A2:A""),0)),INDEX(IMPORTRANGE(""13KC70HngS4DDi8y9E5khtSpQEPG6owaQ9z4E-tR5mnY"","&amp;"""Non-Food!B2:B""),MATCH($B299,IMPORTRANGE(""13KC70HngS4DDi8y9E5khtSpQEPG6owaQ9z4E-tR5mnY"",""Non-Food!A2:A""),0))),"""")"),"")</f>
        <v/>
      </c>
      <c r="D299" s="15"/>
      <c r="E299" s="15"/>
      <c r="F299" s="36"/>
      <c r="G299" s="24" t="str">
        <f>IFERROR(__xludf.DUMMYFUNCTION("iferror(iferror(iferror(index(IMPORTRANGE(""1NK5L1mviMn0j3D3uo53ASkIZOFRlLnqaCTnwzOG2_Wg"",""Direct Link!B2:B""),MATCH($B299,IMPORTRANGE(""1NK5L1mviMn0j3D3uo53ASkIZOFRlLnqaCTnwzOG2_Wg"",""Direct Link!A2:A""),0)),XLOOKUP($B299,IMPORTRANGE(""1NK5L1mviMn0j3D"&amp;"3uo53ASkIZOFRlLnqaCTnwzOG2_Wg"",""Direct links Without Sizes!A2:A""),IMPORTRANGE(""1NK5L1mviMn0j3D3uo53ASkIZOFRlLnqaCTnwzOG2_Wg"",""Direct links Without Sizes!B2:B""))),XLOOKUP($B299,IMPORTRANGE(""1NK5L1mviMn0j3D3uo53ASkIZOFRlLnqaCTnwzOG2_Wg"",""Direct li"&amp;"nks Without Sizes!D2:D""),IMPORTRANGE(""1NK5L1mviMn0j3D3uo53ASkIZOFRlLnqaCTnwzOG2_Wg"",""Direct links Without Sizes!E2:E""))),"""")"),"")</f>
        <v/>
      </c>
      <c r="H299" s="41"/>
      <c r="I299" s="4"/>
      <c r="J299" s="4"/>
      <c r="K299" s="10" t="str">
        <f t="shared" si="1"/>
        <v/>
      </c>
      <c r="L299" s="10"/>
      <c r="M299" s="10" t="str">
        <f t="shared" si="2"/>
        <v/>
      </c>
    </row>
    <row r="300">
      <c r="A300" s="4"/>
      <c r="B300" s="15"/>
      <c r="C300" s="7" t="str">
        <f>IFERROR(__xludf.DUMMYFUNCTION("iferror(iferror(INDEX(IMPORTRANGE(""12vtnxaE_Q1s4tyr10kZQx7ZF_xG0lBFae4jQEUtgsMU"",""All!B2:B""),MATCH($B300,IMPORTRANGE(""12vtnxaE_Q1s4tyr10kZQx7ZF_xG0lBFae4jQEUtgsMU"",""All!A2:A""),0)),INDEX(IMPORTRANGE(""13KC70HngS4DDi8y9E5khtSpQEPG6owaQ9z4E-tR5mnY"","&amp;"""Non-Food!B2:B""),MATCH($B300,IMPORTRANGE(""13KC70HngS4DDi8y9E5khtSpQEPG6owaQ9z4E-tR5mnY"",""Non-Food!A2:A""),0))),"""")"),"")</f>
        <v/>
      </c>
      <c r="D300" s="15"/>
      <c r="E300" s="15"/>
      <c r="F300" s="36"/>
      <c r="G300" s="24" t="str">
        <f>IFERROR(__xludf.DUMMYFUNCTION("iferror(iferror(iferror(index(IMPORTRANGE(""1NK5L1mviMn0j3D3uo53ASkIZOFRlLnqaCTnwzOG2_Wg"",""Direct Link!B2:B""),MATCH($B300,IMPORTRANGE(""1NK5L1mviMn0j3D3uo53ASkIZOFRlLnqaCTnwzOG2_Wg"",""Direct Link!A2:A""),0)),XLOOKUP($B300,IMPORTRANGE(""1NK5L1mviMn0j3D"&amp;"3uo53ASkIZOFRlLnqaCTnwzOG2_Wg"",""Direct links Without Sizes!A2:A""),IMPORTRANGE(""1NK5L1mviMn0j3D3uo53ASkIZOFRlLnqaCTnwzOG2_Wg"",""Direct links Without Sizes!B2:B""))),XLOOKUP($B300,IMPORTRANGE(""1NK5L1mviMn0j3D3uo53ASkIZOFRlLnqaCTnwzOG2_Wg"",""Direct li"&amp;"nks Without Sizes!D2:D""),IMPORTRANGE(""1NK5L1mviMn0j3D3uo53ASkIZOFRlLnqaCTnwzOG2_Wg"",""Direct links Without Sizes!E2:E""))),"""")"),"")</f>
        <v/>
      </c>
      <c r="H300" s="41"/>
      <c r="I300" s="4"/>
      <c r="J300" s="4"/>
      <c r="K300" s="10" t="str">
        <f t="shared" si="1"/>
        <v/>
      </c>
      <c r="L300" s="10"/>
      <c r="M300" s="10" t="str">
        <f t="shared" si="2"/>
        <v/>
      </c>
    </row>
    <row r="301">
      <c r="A301" s="4"/>
      <c r="B301" s="15"/>
      <c r="C301" s="7" t="str">
        <f>IFERROR(__xludf.DUMMYFUNCTION("iferror(iferror(INDEX(IMPORTRANGE(""12vtnxaE_Q1s4tyr10kZQx7ZF_xG0lBFae4jQEUtgsMU"",""All!B2:B""),MATCH($B301,IMPORTRANGE(""12vtnxaE_Q1s4tyr10kZQx7ZF_xG0lBFae4jQEUtgsMU"",""All!A2:A""),0)),INDEX(IMPORTRANGE(""13KC70HngS4DDi8y9E5khtSpQEPG6owaQ9z4E-tR5mnY"","&amp;"""Non-Food!B2:B""),MATCH($B301,IMPORTRANGE(""13KC70HngS4DDi8y9E5khtSpQEPG6owaQ9z4E-tR5mnY"",""Non-Food!A2:A""),0))),"""")"),"")</f>
        <v/>
      </c>
      <c r="D301" s="15"/>
      <c r="E301" s="15"/>
      <c r="F301" s="36"/>
      <c r="G301" s="24" t="str">
        <f>IFERROR(__xludf.DUMMYFUNCTION("iferror(iferror(iferror(index(IMPORTRANGE(""1NK5L1mviMn0j3D3uo53ASkIZOFRlLnqaCTnwzOG2_Wg"",""Direct Link!B2:B""),MATCH($B301,IMPORTRANGE(""1NK5L1mviMn0j3D3uo53ASkIZOFRlLnqaCTnwzOG2_Wg"",""Direct Link!A2:A""),0)),XLOOKUP($B301,IMPORTRANGE(""1NK5L1mviMn0j3D"&amp;"3uo53ASkIZOFRlLnqaCTnwzOG2_Wg"",""Direct links Without Sizes!A2:A""),IMPORTRANGE(""1NK5L1mviMn0j3D3uo53ASkIZOFRlLnqaCTnwzOG2_Wg"",""Direct links Without Sizes!B2:B""))),XLOOKUP($B301,IMPORTRANGE(""1NK5L1mviMn0j3D3uo53ASkIZOFRlLnqaCTnwzOG2_Wg"",""Direct li"&amp;"nks Without Sizes!D2:D""),IMPORTRANGE(""1NK5L1mviMn0j3D3uo53ASkIZOFRlLnqaCTnwzOG2_Wg"",""Direct links Without Sizes!E2:E""))),"""")"),"")</f>
        <v/>
      </c>
      <c r="H301" s="41"/>
      <c r="I301" s="4"/>
      <c r="J301" s="4"/>
      <c r="K301" s="10" t="str">
        <f t="shared" si="1"/>
        <v/>
      </c>
      <c r="L301" s="10"/>
      <c r="M301" s="10" t="str">
        <f t="shared" si="2"/>
        <v/>
      </c>
    </row>
    <row r="302">
      <c r="A302" s="4"/>
      <c r="B302" s="15"/>
      <c r="C302" s="7" t="str">
        <f>IFERROR(__xludf.DUMMYFUNCTION("iferror(iferror(INDEX(IMPORTRANGE(""12vtnxaE_Q1s4tyr10kZQx7ZF_xG0lBFae4jQEUtgsMU"",""All!B2:B""),MATCH($B302,IMPORTRANGE(""12vtnxaE_Q1s4tyr10kZQx7ZF_xG0lBFae4jQEUtgsMU"",""All!A2:A""),0)),INDEX(IMPORTRANGE(""13KC70HngS4DDi8y9E5khtSpQEPG6owaQ9z4E-tR5mnY"","&amp;"""Non-Food!B2:B""),MATCH($B302,IMPORTRANGE(""13KC70HngS4DDi8y9E5khtSpQEPG6owaQ9z4E-tR5mnY"",""Non-Food!A2:A""),0))),"""")"),"")</f>
        <v/>
      </c>
      <c r="D302" s="15"/>
      <c r="E302" s="15"/>
      <c r="F302" s="36"/>
      <c r="G302" s="24" t="str">
        <f>IFERROR(__xludf.DUMMYFUNCTION("iferror(iferror(iferror(index(IMPORTRANGE(""1NK5L1mviMn0j3D3uo53ASkIZOFRlLnqaCTnwzOG2_Wg"",""Direct Link!B2:B""),MATCH($B302,IMPORTRANGE(""1NK5L1mviMn0j3D3uo53ASkIZOFRlLnqaCTnwzOG2_Wg"",""Direct Link!A2:A""),0)),XLOOKUP($B302,IMPORTRANGE(""1NK5L1mviMn0j3D"&amp;"3uo53ASkIZOFRlLnqaCTnwzOG2_Wg"",""Direct links Without Sizes!A2:A""),IMPORTRANGE(""1NK5L1mviMn0j3D3uo53ASkIZOFRlLnqaCTnwzOG2_Wg"",""Direct links Without Sizes!B2:B""))),XLOOKUP($B302,IMPORTRANGE(""1NK5L1mviMn0j3D3uo53ASkIZOFRlLnqaCTnwzOG2_Wg"",""Direct li"&amp;"nks Without Sizes!D2:D""),IMPORTRANGE(""1NK5L1mviMn0j3D3uo53ASkIZOFRlLnqaCTnwzOG2_Wg"",""Direct links Without Sizes!E2:E""))),"""")"),"")</f>
        <v/>
      </c>
      <c r="H302" s="41"/>
      <c r="I302" s="4"/>
      <c r="J302" s="4"/>
      <c r="K302" s="10" t="str">
        <f t="shared" si="1"/>
        <v/>
      </c>
      <c r="L302" s="10"/>
      <c r="M302" s="10" t="str">
        <f t="shared" si="2"/>
        <v/>
      </c>
    </row>
    <row r="303">
      <c r="A303" s="4"/>
      <c r="B303" s="15"/>
      <c r="C303" s="7" t="str">
        <f>IFERROR(__xludf.DUMMYFUNCTION("iferror(iferror(INDEX(IMPORTRANGE(""12vtnxaE_Q1s4tyr10kZQx7ZF_xG0lBFae4jQEUtgsMU"",""All!B2:B""),MATCH($B303,IMPORTRANGE(""12vtnxaE_Q1s4tyr10kZQx7ZF_xG0lBFae4jQEUtgsMU"",""All!A2:A""),0)),INDEX(IMPORTRANGE(""13KC70HngS4DDi8y9E5khtSpQEPG6owaQ9z4E-tR5mnY"","&amp;"""Non-Food!B2:B""),MATCH($B303,IMPORTRANGE(""13KC70HngS4DDi8y9E5khtSpQEPG6owaQ9z4E-tR5mnY"",""Non-Food!A2:A""),0))),"""")"),"")</f>
        <v/>
      </c>
      <c r="D303" s="15"/>
      <c r="E303" s="15"/>
      <c r="F303" s="36"/>
      <c r="G303" s="24" t="str">
        <f>IFERROR(__xludf.DUMMYFUNCTION("iferror(iferror(iferror(index(IMPORTRANGE(""1NK5L1mviMn0j3D3uo53ASkIZOFRlLnqaCTnwzOG2_Wg"",""Direct Link!B2:B""),MATCH($B303,IMPORTRANGE(""1NK5L1mviMn0j3D3uo53ASkIZOFRlLnqaCTnwzOG2_Wg"",""Direct Link!A2:A""),0)),XLOOKUP($B303,IMPORTRANGE(""1NK5L1mviMn0j3D"&amp;"3uo53ASkIZOFRlLnqaCTnwzOG2_Wg"",""Direct links Without Sizes!A2:A""),IMPORTRANGE(""1NK5L1mviMn0j3D3uo53ASkIZOFRlLnqaCTnwzOG2_Wg"",""Direct links Without Sizes!B2:B""))),XLOOKUP($B303,IMPORTRANGE(""1NK5L1mviMn0j3D3uo53ASkIZOFRlLnqaCTnwzOG2_Wg"",""Direct li"&amp;"nks Without Sizes!D2:D""),IMPORTRANGE(""1NK5L1mviMn0j3D3uo53ASkIZOFRlLnqaCTnwzOG2_Wg"",""Direct links Without Sizes!E2:E""))),"""")"),"")</f>
        <v/>
      </c>
      <c r="H303" s="41"/>
      <c r="I303" s="4"/>
      <c r="J303" s="4"/>
      <c r="K303" s="10" t="str">
        <f t="shared" si="1"/>
        <v/>
      </c>
      <c r="L303" s="10"/>
      <c r="M303" s="10" t="str">
        <f t="shared" si="2"/>
        <v/>
      </c>
    </row>
    <row r="304">
      <c r="A304" s="4"/>
      <c r="B304" s="15"/>
      <c r="C304" s="7" t="str">
        <f>IFERROR(__xludf.DUMMYFUNCTION("iferror(iferror(INDEX(IMPORTRANGE(""12vtnxaE_Q1s4tyr10kZQx7ZF_xG0lBFae4jQEUtgsMU"",""All!B2:B""),MATCH($B304,IMPORTRANGE(""12vtnxaE_Q1s4tyr10kZQx7ZF_xG0lBFae4jQEUtgsMU"",""All!A2:A""),0)),INDEX(IMPORTRANGE(""13KC70HngS4DDi8y9E5khtSpQEPG6owaQ9z4E-tR5mnY"","&amp;"""Non-Food!B2:B""),MATCH($B304,IMPORTRANGE(""13KC70HngS4DDi8y9E5khtSpQEPG6owaQ9z4E-tR5mnY"",""Non-Food!A2:A""),0))),"""")"),"")</f>
        <v/>
      </c>
      <c r="D304" s="15"/>
      <c r="E304" s="15"/>
      <c r="F304" s="36"/>
      <c r="G304" s="24" t="str">
        <f>IFERROR(__xludf.DUMMYFUNCTION("iferror(iferror(iferror(index(IMPORTRANGE(""1NK5L1mviMn0j3D3uo53ASkIZOFRlLnqaCTnwzOG2_Wg"",""Direct Link!B2:B""),MATCH($B304,IMPORTRANGE(""1NK5L1mviMn0j3D3uo53ASkIZOFRlLnqaCTnwzOG2_Wg"",""Direct Link!A2:A""),0)),XLOOKUP($B304,IMPORTRANGE(""1NK5L1mviMn0j3D"&amp;"3uo53ASkIZOFRlLnqaCTnwzOG2_Wg"",""Direct links Without Sizes!A2:A""),IMPORTRANGE(""1NK5L1mviMn0j3D3uo53ASkIZOFRlLnqaCTnwzOG2_Wg"",""Direct links Without Sizes!B2:B""))),XLOOKUP($B304,IMPORTRANGE(""1NK5L1mviMn0j3D3uo53ASkIZOFRlLnqaCTnwzOG2_Wg"",""Direct li"&amp;"nks Without Sizes!D2:D""),IMPORTRANGE(""1NK5L1mviMn0j3D3uo53ASkIZOFRlLnqaCTnwzOG2_Wg"",""Direct links Without Sizes!E2:E""))),"""")"),"")</f>
        <v/>
      </c>
      <c r="H304" s="41"/>
      <c r="I304" s="4"/>
      <c r="J304" s="4"/>
      <c r="K304" s="10" t="str">
        <f t="shared" si="1"/>
        <v/>
      </c>
      <c r="L304" s="10"/>
      <c r="M304" s="10" t="str">
        <f t="shared" si="2"/>
        <v/>
      </c>
    </row>
    <row r="305">
      <c r="A305" s="4"/>
      <c r="B305" s="15"/>
      <c r="C305" s="7" t="str">
        <f>IFERROR(__xludf.DUMMYFUNCTION("iferror(iferror(INDEX(IMPORTRANGE(""12vtnxaE_Q1s4tyr10kZQx7ZF_xG0lBFae4jQEUtgsMU"",""All!B2:B""),MATCH($B305,IMPORTRANGE(""12vtnxaE_Q1s4tyr10kZQx7ZF_xG0lBFae4jQEUtgsMU"",""All!A2:A""),0)),INDEX(IMPORTRANGE(""13KC70HngS4DDi8y9E5khtSpQEPG6owaQ9z4E-tR5mnY"","&amp;"""Non-Food!B2:B""),MATCH($B305,IMPORTRANGE(""13KC70HngS4DDi8y9E5khtSpQEPG6owaQ9z4E-tR5mnY"",""Non-Food!A2:A""),0))),"""")"),"")</f>
        <v/>
      </c>
      <c r="D305" s="15"/>
      <c r="E305" s="15"/>
      <c r="F305" s="36"/>
      <c r="G305" s="24" t="str">
        <f>IFERROR(__xludf.DUMMYFUNCTION("iferror(iferror(iferror(index(IMPORTRANGE(""1NK5L1mviMn0j3D3uo53ASkIZOFRlLnqaCTnwzOG2_Wg"",""Direct Link!B2:B""),MATCH($B305,IMPORTRANGE(""1NK5L1mviMn0j3D3uo53ASkIZOFRlLnqaCTnwzOG2_Wg"",""Direct Link!A2:A""),0)),XLOOKUP($B305,IMPORTRANGE(""1NK5L1mviMn0j3D"&amp;"3uo53ASkIZOFRlLnqaCTnwzOG2_Wg"",""Direct links Without Sizes!A2:A""),IMPORTRANGE(""1NK5L1mviMn0j3D3uo53ASkIZOFRlLnqaCTnwzOG2_Wg"",""Direct links Without Sizes!B2:B""))),XLOOKUP($B305,IMPORTRANGE(""1NK5L1mviMn0j3D3uo53ASkIZOFRlLnqaCTnwzOG2_Wg"",""Direct li"&amp;"nks Without Sizes!D2:D""),IMPORTRANGE(""1NK5L1mviMn0j3D3uo53ASkIZOFRlLnqaCTnwzOG2_Wg"",""Direct links Without Sizes!E2:E""))),"""")"),"")</f>
        <v/>
      </c>
      <c r="H305" s="41"/>
      <c r="I305" s="4"/>
      <c r="J305" s="4"/>
      <c r="K305" s="10" t="str">
        <f t="shared" si="1"/>
        <v/>
      </c>
      <c r="L305" s="10"/>
      <c r="M305" s="10" t="str">
        <f t="shared" si="2"/>
        <v/>
      </c>
    </row>
    <row r="306">
      <c r="A306" s="4"/>
      <c r="B306" s="15"/>
      <c r="C306" s="7" t="str">
        <f>IFERROR(__xludf.DUMMYFUNCTION("iferror(iferror(INDEX(IMPORTRANGE(""12vtnxaE_Q1s4tyr10kZQx7ZF_xG0lBFae4jQEUtgsMU"",""All!B2:B""),MATCH($B306,IMPORTRANGE(""12vtnxaE_Q1s4tyr10kZQx7ZF_xG0lBFae4jQEUtgsMU"",""All!A2:A""),0)),INDEX(IMPORTRANGE(""13KC70HngS4DDi8y9E5khtSpQEPG6owaQ9z4E-tR5mnY"","&amp;"""Non-Food!B2:B""),MATCH($B306,IMPORTRANGE(""13KC70HngS4DDi8y9E5khtSpQEPG6owaQ9z4E-tR5mnY"",""Non-Food!A2:A""),0))),"""")"),"")</f>
        <v/>
      </c>
      <c r="D306" s="15"/>
      <c r="E306" s="15"/>
      <c r="F306" s="36"/>
      <c r="G306" s="24" t="str">
        <f>IFERROR(__xludf.DUMMYFUNCTION("iferror(iferror(iferror(index(IMPORTRANGE(""1NK5L1mviMn0j3D3uo53ASkIZOFRlLnqaCTnwzOG2_Wg"",""Direct Link!B2:B""),MATCH($B306,IMPORTRANGE(""1NK5L1mviMn0j3D3uo53ASkIZOFRlLnqaCTnwzOG2_Wg"",""Direct Link!A2:A""),0)),XLOOKUP($B306,IMPORTRANGE(""1NK5L1mviMn0j3D"&amp;"3uo53ASkIZOFRlLnqaCTnwzOG2_Wg"",""Direct links Without Sizes!A2:A""),IMPORTRANGE(""1NK5L1mviMn0j3D3uo53ASkIZOFRlLnqaCTnwzOG2_Wg"",""Direct links Without Sizes!B2:B""))),XLOOKUP($B306,IMPORTRANGE(""1NK5L1mviMn0j3D3uo53ASkIZOFRlLnqaCTnwzOG2_Wg"",""Direct li"&amp;"nks Without Sizes!D2:D""),IMPORTRANGE(""1NK5L1mviMn0j3D3uo53ASkIZOFRlLnqaCTnwzOG2_Wg"",""Direct links Without Sizes!E2:E""))),"""")"),"")</f>
        <v/>
      </c>
      <c r="H306" s="41"/>
      <c r="I306" s="4"/>
      <c r="J306" s="4"/>
      <c r="K306" s="10" t="str">
        <f t="shared" si="1"/>
        <v/>
      </c>
      <c r="L306" s="10"/>
      <c r="M306" s="10" t="str">
        <f t="shared" si="2"/>
        <v/>
      </c>
    </row>
    <row r="307">
      <c r="A307" s="4"/>
      <c r="B307" s="15"/>
      <c r="C307" s="7" t="str">
        <f>IFERROR(__xludf.DUMMYFUNCTION("iferror(iferror(INDEX(IMPORTRANGE(""12vtnxaE_Q1s4tyr10kZQx7ZF_xG0lBFae4jQEUtgsMU"",""All!B2:B""),MATCH($B307,IMPORTRANGE(""12vtnxaE_Q1s4tyr10kZQx7ZF_xG0lBFae4jQEUtgsMU"",""All!A2:A""),0)),INDEX(IMPORTRANGE(""13KC70HngS4DDi8y9E5khtSpQEPG6owaQ9z4E-tR5mnY"","&amp;"""Non-Food!B2:B""),MATCH($B307,IMPORTRANGE(""13KC70HngS4DDi8y9E5khtSpQEPG6owaQ9z4E-tR5mnY"",""Non-Food!A2:A""),0))),"""")"),"")</f>
        <v/>
      </c>
      <c r="D307" s="15"/>
      <c r="E307" s="15"/>
      <c r="F307" s="36"/>
      <c r="G307" s="24" t="str">
        <f>IFERROR(__xludf.DUMMYFUNCTION("iferror(iferror(iferror(index(IMPORTRANGE(""1NK5L1mviMn0j3D3uo53ASkIZOFRlLnqaCTnwzOG2_Wg"",""Direct Link!B2:B""),MATCH($B307,IMPORTRANGE(""1NK5L1mviMn0j3D3uo53ASkIZOFRlLnqaCTnwzOG2_Wg"",""Direct Link!A2:A""),0)),XLOOKUP($B307,IMPORTRANGE(""1NK5L1mviMn0j3D"&amp;"3uo53ASkIZOFRlLnqaCTnwzOG2_Wg"",""Direct links Without Sizes!A2:A""),IMPORTRANGE(""1NK5L1mviMn0j3D3uo53ASkIZOFRlLnqaCTnwzOG2_Wg"",""Direct links Without Sizes!B2:B""))),XLOOKUP($B307,IMPORTRANGE(""1NK5L1mviMn0j3D3uo53ASkIZOFRlLnqaCTnwzOG2_Wg"",""Direct li"&amp;"nks Without Sizes!D2:D""),IMPORTRANGE(""1NK5L1mviMn0j3D3uo53ASkIZOFRlLnqaCTnwzOG2_Wg"",""Direct links Without Sizes!E2:E""))),"""")"),"")</f>
        <v/>
      </c>
      <c r="H307" s="41"/>
      <c r="I307" s="4"/>
      <c r="J307" s="4"/>
      <c r="K307" s="10" t="str">
        <f t="shared" si="1"/>
        <v/>
      </c>
      <c r="L307" s="10"/>
      <c r="M307" s="10" t="str">
        <f t="shared" si="2"/>
        <v/>
      </c>
    </row>
    <row r="308">
      <c r="A308" s="4"/>
      <c r="B308" s="15"/>
      <c r="C308" s="7" t="str">
        <f>IFERROR(__xludf.DUMMYFUNCTION("iferror(iferror(INDEX(IMPORTRANGE(""12vtnxaE_Q1s4tyr10kZQx7ZF_xG0lBFae4jQEUtgsMU"",""All!B2:B""),MATCH($B308,IMPORTRANGE(""12vtnxaE_Q1s4tyr10kZQx7ZF_xG0lBFae4jQEUtgsMU"",""All!A2:A""),0)),INDEX(IMPORTRANGE(""13KC70HngS4DDi8y9E5khtSpQEPG6owaQ9z4E-tR5mnY"","&amp;"""Non-Food!B2:B""),MATCH($B308,IMPORTRANGE(""13KC70HngS4DDi8y9E5khtSpQEPG6owaQ9z4E-tR5mnY"",""Non-Food!A2:A""),0))),"""")"),"")</f>
        <v/>
      </c>
      <c r="D308" s="15"/>
      <c r="E308" s="15"/>
      <c r="F308" s="36"/>
      <c r="G308" s="24" t="str">
        <f>IFERROR(__xludf.DUMMYFUNCTION("iferror(iferror(iferror(index(IMPORTRANGE(""1NK5L1mviMn0j3D3uo53ASkIZOFRlLnqaCTnwzOG2_Wg"",""Direct Link!B2:B""),MATCH($B308,IMPORTRANGE(""1NK5L1mviMn0j3D3uo53ASkIZOFRlLnqaCTnwzOG2_Wg"",""Direct Link!A2:A""),0)),XLOOKUP($B308,IMPORTRANGE(""1NK5L1mviMn0j3D"&amp;"3uo53ASkIZOFRlLnqaCTnwzOG2_Wg"",""Direct links Without Sizes!A2:A""),IMPORTRANGE(""1NK5L1mviMn0j3D3uo53ASkIZOFRlLnqaCTnwzOG2_Wg"",""Direct links Without Sizes!B2:B""))),XLOOKUP($B308,IMPORTRANGE(""1NK5L1mviMn0j3D3uo53ASkIZOFRlLnqaCTnwzOG2_Wg"",""Direct li"&amp;"nks Without Sizes!D2:D""),IMPORTRANGE(""1NK5L1mviMn0j3D3uo53ASkIZOFRlLnqaCTnwzOG2_Wg"",""Direct links Without Sizes!E2:E""))),"""")"),"")</f>
        <v/>
      </c>
      <c r="H308" s="41"/>
      <c r="I308" s="4"/>
      <c r="J308" s="4"/>
      <c r="K308" s="10" t="str">
        <f t="shared" si="1"/>
        <v/>
      </c>
      <c r="L308" s="10"/>
      <c r="M308" s="10" t="str">
        <f t="shared" si="2"/>
        <v/>
      </c>
    </row>
    <row r="309">
      <c r="A309" s="4"/>
      <c r="B309" s="15"/>
      <c r="C309" s="7" t="str">
        <f>IFERROR(__xludf.DUMMYFUNCTION("iferror(iferror(INDEX(IMPORTRANGE(""12vtnxaE_Q1s4tyr10kZQx7ZF_xG0lBFae4jQEUtgsMU"",""All!B2:B""),MATCH($B309,IMPORTRANGE(""12vtnxaE_Q1s4tyr10kZQx7ZF_xG0lBFae4jQEUtgsMU"",""All!A2:A""),0)),INDEX(IMPORTRANGE(""13KC70HngS4DDi8y9E5khtSpQEPG6owaQ9z4E-tR5mnY"","&amp;"""Non-Food!B2:B""),MATCH($B309,IMPORTRANGE(""13KC70HngS4DDi8y9E5khtSpQEPG6owaQ9z4E-tR5mnY"",""Non-Food!A2:A""),0))),"""")"),"")</f>
        <v/>
      </c>
      <c r="D309" s="15"/>
      <c r="E309" s="15"/>
      <c r="F309" s="36"/>
      <c r="G309" s="24" t="str">
        <f>IFERROR(__xludf.DUMMYFUNCTION("iferror(iferror(iferror(index(IMPORTRANGE(""1NK5L1mviMn0j3D3uo53ASkIZOFRlLnqaCTnwzOG2_Wg"",""Direct Link!B2:B""),MATCH($B309,IMPORTRANGE(""1NK5L1mviMn0j3D3uo53ASkIZOFRlLnqaCTnwzOG2_Wg"",""Direct Link!A2:A""),0)),XLOOKUP($B309,IMPORTRANGE(""1NK5L1mviMn0j3D"&amp;"3uo53ASkIZOFRlLnqaCTnwzOG2_Wg"",""Direct links Without Sizes!A2:A""),IMPORTRANGE(""1NK5L1mviMn0j3D3uo53ASkIZOFRlLnqaCTnwzOG2_Wg"",""Direct links Without Sizes!B2:B""))),XLOOKUP($B309,IMPORTRANGE(""1NK5L1mviMn0j3D3uo53ASkIZOFRlLnqaCTnwzOG2_Wg"",""Direct li"&amp;"nks Without Sizes!D2:D""),IMPORTRANGE(""1NK5L1mviMn0j3D3uo53ASkIZOFRlLnqaCTnwzOG2_Wg"",""Direct links Without Sizes!E2:E""))),"""")"),"")</f>
        <v/>
      </c>
      <c r="H309" s="41"/>
      <c r="I309" s="4"/>
      <c r="J309" s="4"/>
      <c r="K309" s="10" t="str">
        <f t="shared" si="1"/>
        <v/>
      </c>
      <c r="L309" s="10"/>
      <c r="M309" s="10" t="str">
        <f t="shared" si="2"/>
        <v/>
      </c>
    </row>
    <row r="310">
      <c r="A310" s="4"/>
      <c r="B310" s="15"/>
      <c r="C310" s="7" t="str">
        <f>IFERROR(__xludf.DUMMYFUNCTION("iferror(iferror(INDEX(IMPORTRANGE(""12vtnxaE_Q1s4tyr10kZQx7ZF_xG0lBFae4jQEUtgsMU"",""All!B2:B""),MATCH($B310,IMPORTRANGE(""12vtnxaE_Q1s4tyr10kZQx7ZF_xG0lBFae4jQEUtgsMU"",""All!A2:A""),0)),INDEX(IMPORTRANGE(""13KC70HngS4DDi8y9E5khtSpQEPG6owaQ9z4E-tR5mnY"","&amp;"""Non-Food!B2:B""),MATCH($B310,IMPORTRANGE(""13KC70HngS4DDi8y9E5khtSpQEPG6owaQ9z4E-tR5mnY"",""Non-Food!A2:A""),0))),"""")"),"")</f>
        <v/>
      </c>
      <c r="D310" s="15"/>
      <c r="E310" s="15"/>
      <c r="F310" s="36"/>
      <c r="G310" s="24" t="str">
        <f>IFERROR(__xludf.DUMMYFUNCTION("iferror(iferror(iferror(index(IMPORTRANGE(""1NK5L1mviMn0j3D3uo53ASkIZOFRlLnqaCTnwzOG2_Wg"",""Direct Link!B2:B""),MATCH($B310,IMPORTRANGE(""1NK5L1mviMn0j3D3uo53ASkIZOFRlLnqaCTnwzOG2_Wg"",""Direct Link!A2:A""),0)),XLOOKUP($B310,IMPORTRANGE(""1NK5L1mviMn0j3D"&amp;"3uo53ASkIZOFRlLnqaCTnwzOG2_Wg"",""Direct links Without Sizes!A2:A""),IMPORTRANGE(""1NK5L1mviMn0j3D3uo53ASkIZOFRlLnqaCTnwzOG2_Wg"",""Direct links Without Sizes!B2:B""))),XLOOKUP($B310,IMPORTRANGE(""1NK5L1mviMn0j3D3uo53ASkIZOFRlLnqaCTnwzOG2_Wg"",""Direct li"&amp;"nks Without Sizes!D2:D""),IMPORTRANGE(""1NK5L1mviMn0j3D3uo53ASkIZOFRlLnqaCTnwzOG2_Wg"",""Direct links Without Sizes!E2:E""))),"""")"),"")</f>
        <v/>
      </c>
      <c r="H310" s="41"/>
      <c r="I310" s="4"/>
      <c r="J310" s="4"/>
      <c r="K310" s="10" t="str">
        <f t="shared" si="1"/>
        <v/>
      </c>
      <c r="L310" s="10"/>
      <c r="M310" s="10" t="str">
        <f t="shared" si="2"/>
        <v/>
      </c>
    </row>
    <row r="311">
      <c r="A311" s="4"/>
      <c r="B311" s="15"/>
      <c r="C311" s="7" t="str">
        <f>IFERROR(__xludf.DUMMYFUNCTION("iferror(iferror(INDEX(IMPORTRANGE(""12vtnxaE_Q1s4tyr10kZQx7ZF_xG0lBFae4jQEUtgsMU"",""All!B2:B""),MATCH($B311,IMPORTRANGE(""12vtnxaE_Q1s4tyr10kZQx7ZF_xG0lBFae4jQEUtgsMU"",""All!A2:A""),0)),INDEX(IMPORTRANGE(""13KC70HngS4DDi8y9E5khtSpQEPG6owaQ9z4E-tR5mnY"","&amp;"""Non-Food!B2:B""),MATCH($B311,IMPORTRANGE(""13KC70HngS4DDi8y9E5khtSpQEPG6owaQ9z4E-tR5mnY"",""Non-Food!A2:A""),0))),"""")"),"")</f>
        <v/>
      </c>
      <c r="D311" s="15"/>
      <c r="E311" s="15"/>
      <c r="F311" s="36"/>
      <c r="G311" s="24" t="str">
        <f>IFERROR(__xludf.DUMMYFUNCTION("iferror(iferror(iferror(index(IMPORTRANGE(""1NK5L1mviMn0j3D3uo53ASkIZOFRlLnqaCTnwzOG2_Wg"",""Direct Link!B2:B""),MATCH($B311,IMPORTRANGE(""1NK5L1mviMn0j3D3uo53ASkIZOFRlLnqaCTnwzOG2_Wg"",""Direct Link!A2:A""),0)),XLOOKUP($B311,IMPORTRANGE(""1NK5L1mviMn0j3D"&amp;"3uo53ASkIZOFRlLnqaCTnwzOG2_Wg"",""Direct links Without Sizes!A2:A""),IMPORTRANGE(""1NK5L1mviMn0j3D3uo53ASkIZOFRlLnqaCTnwzOG2_Wg"",""Direct links Without Sizes!B2:B""))),XLOOKUP($B311,IMPORTRANGE(""1NK5L1mviMn0j3D3uo53ASkIZOFRlLnqaCTnwzOG2_Wg"",""Direct li"&amp;"nks Without Sizes!D2:D""),IMPORTRANGE(""1NK5L1mviMn0j3D3uo53ASkIZOFRlLnqaCTnwzOG2_Wg"",""Direct links Without Sizes!E2:E""))),"""")"),"")</f>
        <v/>
      </c>
      <c r="H311" s="41"/>
      <c r="I311" s="4"/>
      <c r="J311" s="4"/>
      <c r="K311" s="10" t="str">
        <f t="shared" si="1"/>
        <v/>
      </c>
      <c r="L311" s="10"/>
      <c r="M311" s="10" t="str">
        <f t="shared" si="2"/>
        <v/>
      </c>
    </row>
    <row r="312">
      <c r="A312" s="4"/>
      <c r="B312" s="15"/>
      <c r="C312" s="7" t="str">
        <f>IFERROR(__xludf.DUMMYFUNCTION("iferror(iferror(INDEX(IMPORTRANGE(""12vtnxaE_Q1s4tyr10kZQx7ZF_xG0lBFae4jQEUtgsMU"",""All!B2:B""),MATCH($B312,IMPORTRANGE(""12vtnxaE_Q1s4tyr10kZQx7ZF_xG0lBFae4jQEUtgsMU"",""All!A2:A""),0)),INDEX(IMPORTRANGE(""13KC70HngS4DDi8y9E5khtSpQEPG6owaQ9z4E-tR5mnY"","&amp;"""Non-Food!B2:B""),MATCH($B312,IMPORTRANGE(""13KC70HngS4DDi8y9E5khtSpQEPG6owaQ9z4E-tR5mnY"",""Non-Food!A2:A""),0))),"""")"),"")</f>
        <v/>
      </c>
      <c r="D312" s="15"/>
      <c r="E312" s="15"/>
      <c r="F312" s="36"/>
      <c r="G312" s="24" t="str">
        <f>IFERROR(__xludf.DUMMYFUNCTION("iferror(iferror(iferror(index(IMPORTRANGE(""1NK5L1mviMn0j3D3uo53ASkIZOFRlLnqaCTnwzOG2_Wg"",""Direct Link!B2:B""),MATCH($B312,IMPORTRANGE(""1NK5L1mviMn0j3D3uo53ASkIZOFRlLnqaCTnwzOG2_Wg"",""Direct Link!A2:A""),0)),XLOOKUP($B312,IMPORTRANGE(""1NK5L1mviMn0j3D"&amp;"3uo53ASkIZOFRlLnqaCTnwzOG2_Wg"",""Direct links Without Sizes!A2:A""),IMPORTRANGE(""1NK5L1mviMn0j3D3uo53ASkIZOFRlLnqaCTnwzOG2_Wg"",""Direct links Without Sizes!B2:B""))),XLOOKUP($B312,IMPORTRANGE(""1NK5L1mviMn0j3D3uo53ASkIZOFRlLnqaCTnwzOG2_Wg"",""Direct li"&amp;"nks Without Sizes!D2:D""),IMPORTRANGE(""1NK5L1mviMn0j3D3uo53ASkIZOFRlLnqaCTnwzOG2_Wg"",""Direct links Without Sizes!E2:E""))),"""")"),"")</f>
        <v/>
      </c>
      <c r="H312" s="41"/>
      <c r="I312" s="4"/>
      <c r="J312" s="4"/>
      <c r="K312" s="10" t="str">
        <f t="shared" si="1"/>
        <v/>
      </c>
      <c r="L312" s="10"/>
      <c r="M312" s="10" t="str">
        <f t="shared" si="2"/>
        <v/>
      </c>
    </row>
    <row r="313">
      <c r="A313" s="4"/>
      <c r="B313" s="15"/>
      <c r="C313" s="7" t="str">
        <f>IFERROR(__xludf.DUMMYFUNCTION("iferror(iferror(INDEX(IMPORTRANGE(""12vtnxaE_Q1s4tyr10kZQx7ZF_xG0lBFae4jQEUtgsMU"",""All!B2:B""),MATCH($B313,IMPORTRANGE(""12vtnxaE_Q1s4tyr10kZQx7ZF_xG0lBFae4jQEUtgsMU"",""All!A2:A""),0)),INDEX(IMPORTRANGE(""13KC70HngS4DDi8y9E5khtSpQEPG6owaQ9z4E-tR5mnY"","&amp;"""Non-Food!B2:B""),MATCH($B313,IMPORTRANGE(""13KC70HngS4DDi8y9E5khtSpQEPG6owaQ9z4E-tR5mnY"",""Non-Food!A2:A""),0))),"""")"),"")</f>
        <v/>
      </c>
      <c r="D313" s="15"/>
      <c r="E313" s="15"/>
      <c r="F313" s="36"/>
      <c r="G313" s="24" t="str">
        <f>IFERROR(__xludf.DUMMYFUNCTION("iferror(iferror(iferror(index(IMPORTRANGE(""1NK5L1mviMn0j3D3uo53ASkIZOFRlLnqaCTnwzOG2_Wg"",""Direct Link!B2:B""),MATCH($B313,IMPORTRANGE(""1NK5L1mviMn0j3D3uo53ASkIZOFRlLnqaCTnwzOG2_Wg"",""Direct Link!A2:A""),0)),XLOOKUP($B313,IMPORTRANGE(""1NK5L1mviMn0j3D"&amp;"3uo53ASkIZOFRlLnqaCTnwzOG2_Wg"",""Direct links Without Sizes!A2:A""),IMPORTRANGE(""1NK5L1mviMn0j3D3uo53ASkIZOFRlLnqaCTnwzOG2_Wg"",""Direct links Without Sizes!B2:B""))),XLOOKUP($B313,IMPORTRANGE(""1NK5L1mviMn0j3D3uo53ASkIZOFRlLnqaCTnwzOG2_Wg"",""Direct li"&amp;"nks Without Sizes!D2:D""),IMPORTRANGE(""1NK5L1mviMn0j3D3uo53ASkIZOFRlLnqaCTnwzOG2_Wg"",""Direct links Without Sizes!E2:E""))),"""")"),"")</f>
        <v/>
      </c>
      <c r="H313" s="41"/>
      <c r="I313" s="4"/>
      <c r="J313" s="4"/>
      <c r="K313" s="10" t="str">
        <f t="shared" si="1"/>
        <v/>
      </c>
      <c r="L313" s="10"/>
      <c r="M313" s="10" t="str">
        <f t="shared" si="2"/>
        <v/>
      </c>
    </row>
    <row r="314">
      <c r="A314" s="4"/>
      <c r="B314" s="15"/>
      <c r="C314" s="7" t="str">
        <f>IFERROR(__xludf.DUMMYFUNCTION("iferror(iferror(INDEX(IMPORTRANGE(""12vtnxaE_Q1s4tyr10kZQx7ZF_xG0lBFae4jQEUtgsMU"",""All!B2:B""),MATCH($B314,IMPORTRANGE(""12vtnxaE_Q1s4tyr10kZQx7ZF_xG0lBFae4jQEUtgsMU"",""All!A2:A""),0)),INDEX(IMPORTRANGE(""13KC70HngS4DDi8y9E5khtSpQEPG6owaQ9z4E-tR5mnY"","&amp;"""Non-Food!B2:B""),MATCH($B314,IMPORTRANGE(""13KC70HngS4DDi8y9E5khtSpQEPG6owaQ9z4E-tR5mnY"",""Non-Food!A2:A""),0))),"""")"),"")</f>
        <v/>
      </c>
      <c r="D314" s="15"/>
      <c r="E314" s="15"/>
      <c r="F314" s="36"/>
      <c r="G314" s="24" t="str">
        <f>IFERROR(__xludf.DUMMYFUNCTION("iferror(iferror(iferror(index(IMPORTRANGE(""1NK5L1mviMn0j3D3uo53ASkIZOFRlLnqaCTnwzOG2_Wg"",""Direct Link!B2:B""),MATCH($B314,IMPORTRANGE(""1NK5L1mviMn0j3D3uo53ASkIZOFRlLnqaCTnwzOG2_Wg"",""Direct Link!A2:A""),0)),XLOOKUP($B314,IMPORTRANGE(""1NK5L1mviMn0j3D"&amp;"3uo53ASkIZOFRlLnqaCTnwzOG2_Wg"",""Direct links Without Sizes!A2:A""),IMPORTRANGE(""1NK5L1mviMn0j3D3uo53ASkIZOFRlLnqaCTnwzOG2_Wg"",""Direct links Without Sizes!B2:B""))),XLOOKUP($B314,IMPORTRANGE(""1NK5L1mviMn0j3D3uo53ASkIZOFRlLnqaCTnwzOG2_Wg"",""Direct li"&amp;"nks Without Sizes!D2:D""),IMPORTRANGE(""1NK5L1mviMn0j3D3uo53ASkIZOFRlLnqaCTnwzOG2_Wg"",""Direct links Without Sizes!E2:E""))),"""")"),"")</f>
        <v/>
      </c>
      <c r="H314" s="41"/>
      <c r="I314" s="4"/>
      <c r="J314" s="4"/>
      <c r="K314" s="10" t="str">
        <f t="shared" si="1"/>
        <v/>
      </c>
      <c r="L314" s="10"/>
      <c r="M314" s="10" t="str">
        <f t="shared" si="2"/>
        <v/>
      </c>
    </row>
    <row r="315">
      <c r="A315" s="4"/>
      <c r="B315" s="15"/>
      <c r="C315" s="7" t="str">
        <f>IFERROR(__xludf.DUMMYFUNCTION("iferror(iferror(INDEX(IMPORTRANGE(""12vtnxaE_Q1s4tyr10kZQx7ZF_xG0lBFae4jQEUtgsMU"",""All!B2:B""),MATCH($B315,IMPORTRANGE(""12vtnxaE_Q1s4tyr10kZQx7ZF_xG0lBFae4jQEUtgsMU"",""All!A2:A""),0)),INDEX(IMPORTRANGE(""13KC70HngS4DDi8y9E5khtSpQEPG6owaQ9z4E-tR5mnY"","&amp;"""Non-Food!B2:B""),MATCH($B315,IMPORTRANGE(""13KC70HngS4DDi8y9E5khtSpQEPG6owaQ9z4E-tR5mnY"",""Non-Food!A2:A""),0))),"""")"),"")</f>
        <v/>
      </c>
      <c r="D315" s="15"/>
      <c r="E315" s="15"/>
      <c r="F315" s="36"/>
      <c r="G315" s="24" t="str">
        <f>IFERROR(__xludf.DUMMYFUNCTION("iferror(iferror(iferror(index(IMPORTRANGE(""1NK5L1mviMn0j3D3uo53ASkIZOFRlLnqaCTnwzOG2_Wg"",""Direct Link!B2:B""),MATCH($B315,IMPORTRANGE(""1NK5L1mviMn0j3D3uo53ASkIZOFRlLnqaCTnwzOG2_Wg"",""Direct Link!A2:A""),0)),XLOOKUP($B315,IMPORTRANGE(""1NK5L1mviMn0j3D"&amp;"3uo53ASkIZOFRlLnqaCTnwzOG2_Wg"",""Direct links Without Sizes!A2:A""),IMPORTRANGE(""1NK5L1mviMn0j3D3uo53ASkIZOFRlLnqaCTnwzOG2_Wg"",""Direct links Without Sizes!B2:B""))),XLOOKUP($B315,IMPORTRANGE(""1NK5L1mviMn0j3D3uo53ASkIZOFRlLnqaCTnwzOG2_Wg"",""Direct li"&amp;"nks Without Sizes!D2:D""),IMPORTRANGE(""1NK5L1mviMn0j3D3uo53ASkIZOFRlLnqaCTnwzOG2_Wg"",""Direct links Without Sizes!E2:E""))),"""")"),"")</f>
        <v/>
      </c>
      <c r="H315" s="41"/>
      <c r="I315" s="4"/>
      <c r="J315" s="4"/>
      <c r="K315" s="10" t="str">
        <f t="shared" si="1"/>
        <v/>
      </c>
      <c r="L315" s="10"/>
      <c r="M315" s="10" t="str">
        <f t="shared" si="2"/>
        <v/>
      </c>
    </row>
    <row r="316">
      <c r="A316" s="4"/>
      <c r="B316" s="15"/>
      <c r="C316" s="7" t="str">
        <f>IFERROR(__xludf.DUMMYFUNCTION("iferror(iferror(INDEX(IMPORTRANGE(""12vtnxaE_Q1s4tyr10kZQx7ZF_xG0lBFae4jQEUtgsMU"",""All!B2:B""),MATCH($B316,IMPORTRANGE(""12vtnxaE_Q1s4tyr10kZQx7ZF_xG0lBFae4jQEUtgsMU"",""All!A2:A""),0)),INDEX(IMPORTRANGE(""13KC70HngS4DDi8y9E5khtSpQEPG6owaQ9z4E-tR5mnY"","&amp;"""Non-Food!B2:B""),MATCH($B316,IMPORTRANGE(""13KC70HngS4DDi8y9E5khtSpQEPG6owaQ9z4E-tR5mnY"",""Non-Food!A2:A""),0))),"""")"),"")</f>
        <v/>
      </c>
      <c r="D316" s="15"/>
      <c r="E316" s="15"/>
      <c r="F316" s="36"/>
      <c r="G316" s="24" t="str">
        <f>IFERROR(__xludf.DUMMYFUNCTION("iferror(iferror(iferror(index(IMPORTRANGE(""1NK5L1mviMn0j3D3uo53ASkIZOFRlLnqaCTnwzOG2_Wg"",""Direct Link!B2:B""),MATCH($B316,IMPORTRANGE(""1NK5L1mviMn0j3D3uo53ASkIZOFRlLnqaCTnwzOG2_Wg"",""Direct Link!A2:A""),0)),XLOOKUP($B316,IMPORTRANGE(""1NK5L1mviMn0j3D"&amp;"3uo53ASkIZOFRlLnqaCTnwzOG2_Wg"",""Direct links Without Sizes!A2:A""),IMPORTRANGE(""1NK5L1mviMn0j3D3uo53ASkIZOFRlLnqaCTnwzOG2_Wg"",""Direct links Without Sizes!B2:B""))),XLOOKUP($B316,IMPORTRANGE(""1NK5L1mviMn0j3D3uo53ASkIZOFRlLnqaCTnwzOG2_Wg"",""Direct li"&amp;"nks Without Sizes!D2:D""),IMPORTRANGE(""1NK5L1mviMn0j3D3uo53ASkIZOFRlLnqaCTnwzOG2_Wg"",""Direct links Without Sizes!E2:E""))),"""")"),"")</f>
        <v/>
      </c>
      <c r="H316" s="41"/>
      <c r="I316" s="4"/>
      <c r="J316" s="4"/>
      <c r="K316" s="10" t="str">
        <f t="shared" si="1"/>
        <v/>
      </c>
      <c r="L316" s="10"/>
      <c r="M316" s="10" t="str">
        <f t="shared" si="2"/>
        <v/>
      </c>
    </row>
    <row r="317">
      <c r="A317" s="4"/>
      <c r="B317" s="15"/>
      <c r="C317" s="7" t="str">
        <f>IFERROR(__xludf.DUMMYFUNCTION("iferror(iferror(INDEX(IMPORTRANGE(""12vtnxaE_Q1s4tyr10kZQx7ZF_xG0lBFae4jQEUtgsMU"",""All!B2:B""),MATCH($B317,IMPORTRANGE(""12vtnxaE_Q1s4tyr10kZQx7ZF_xG0lBFae4jQEUtgsMU"",""All!A2:A""),0)),INDEX(IMPORTRANGE(""13KC70HngS4DDi8y9E5khtSpQEPG6owaQ9z4E-tR5mnY"","&amp;"""Non-Food!B2:B""),MATCH($B317,IMPORTRANGE(""13KC70HngS4DDi8y9E5khtSpQEPG6owaQ9z4E-tR5mnY"",""Non-Food!A2:A""),0))),"""")"),"")</f>
        <v/>
      </c>
      <c r="D317" s="15"/>
      <c r="E317" s="15"/>
      <c r="F317" s="36"/>
      <c r="G317" s="24" t="str">
        <f>IFERROR(__xludf.DUMMYFUNCTION("iferror(iferror(iferror(index(IMPORTRANGE(""1NK5L1mviMn0j3D3uo53ASkIZOFRlLnqaCTnwzOG2_Wg"",""Direct Link!B2:B""),MATCH($B317,IMPORTRANGE(""1NK5L1mviMn0j3D3uo53ASkIZOFRlLnqaCTnwzOG2_Wg"",""Direct Link!A2:A""),0)),XLOOKUP($B317,IMPORTRANGE(""1NK5L1mviMn0j3D"&amp;"3uo53ASkIZOFRlLnqaCTnwzOG2_Wg"",""Direct links Without Sizes!A2:A""),IMPORTRANGE(""1NK5L1mviMn0j3D3uo53ASkIZOFRlLnqaCTnwzOG2_Wg"",""Direct links Without Sizes!B2:B""))),XLOOKUP($B317,IMPORTRANGE(""1NK5L1mviMn0j3D3uo53ASkIZOFRlLnqaCTnwzOG2_Wg"",""Direct li"&amp;"nks Without Sizes!D2:D""),IMPORTRANGE(""1NK5L1mviMn0j3D3uo53ASkIZOFRlLnqaCTnwzOG2_Wg"",""Direct links Without Sizes!E2:E""))),"""")"),"")</f>
        <v/>
      </c>
      <c r="H317" s="41"/>
      <c r="I317" s="4"/>
      <c r="J317" s="4"/>
      <c r="K317" s="10" t="str">
        <f t="shared" si="1"/>
        <v/>
      </c>
      <c r="L317" s="10"/>
      <c r="M317" s="10" t="str">
        <f t="shared" si="2"/>
        <v/>
      </c>
    </row>
    <row r="318">
      <c r="A318" s="4"/>
      <c r="B318" s="15"/>
      <c r="C318" s="7" t="str">
        <f>IFERROR(__xludf.DUMMYFUNCTION("iferror(iferror(INDEX(IMPORTRANGE(""12vtnxaE_Q1s4tyr10kZQx7ZF_xG0lBFae4jQEUtgsMU"",""All!B2:B""),MATCH($B318,IMPORTRANGE(""12vtnxaE_Q1s4tyr10kZQx7ZF_xG0lBFae4jQEUtgsMU"",""All!A2:A""),0)),INDEX(IMPORTRANGE(""13KC70HngS4DDi8y9E5khtSpQEPG6owaQ9z4E-tR5mnY"","&amp;"""Non-Food!B2:B""),MATCH($B318,IMPORTRANGE(""13KC70HngS4DDi8y9E5khtSpQEPG6owaQ9z4E-tR5mnY"",""Non-Food!A2:A""),0))),"""")"),"")</f>
        <v/>
      </c>
      <c r="D318" s="15"/>
      <c r="E318" s="15"/>
      <c r="F318" s="36"/>
      <c r="G318" s="24" t="str">
        <f>IFERROR(__xludf.DUMMYFUNCTION("iferror(iferror(iferror(index(IMPORTRANGE(""1NK5L1mviMn0j3D3uo53ASkIZOFRlLnqaCTnwzOG2_Wg"",""Direct Link!B2:B""),MATCH($B318,IMPORTRANGE(""1NK5L1mviMn0j3D3uo53ASkIZOFRlLnqaCTnwzOG2_Wg"",""Direct Link!A2:A""),0)),XLOOKUP($B318,IMPORTRANGE(""1NK5L1mviMn0j3D"&amp;"3uo53ASkIZOFRlLnqaCTnwzOG2_Wg"",""Direct links Without Sizes!A2:A""),IMPORTRANGE(""1NK5L1mviMn0j3D3uo53ASkIZOFRlLnqaCTnwzOG2_Wg"",""Direct links Without Sizes!B2:B""))),XLOOKUP($B318,IMPORTRANGE(""1NK5L1mviMn0j3D3uo53ASkIZOFRlLnqaCTnwzOG2_Wg"",""Direct li"&amp;"nks Without Sizes!D2:D""),IMPORTRANGE(""1NK5L1mviMn0j3D3uo53ASkIZOFRlLnqaCTnwzOG2_Wg"",""Direct links Without Sizes!E2:E""))),"""")"),"")</f>
        <v/>
      </c>
      <c r="H318" s="41"/>
      <c r="I318" s="4"/>
      <c r="J318" s="4"/>
      <c r="K318" s="10" t="str">
        <f t="shared" si="1"/>
        <v/>
      </c>
      <c r="L318" s="10"/>
      <c r="M318" s="10" t="str">
        <f t="shared" si="2"/>
        <v/>
      </c>
    </row>
    <row r="319">
      <c r="A319" s="4"/>
      <c r="B319" s="15"/>
      <c r="C319" s="7" t="str">
        <f>IFERROR(__xludf.DUMMYFUNCTION("iferror(iferror(INDEX(IMPORTRANGE(""12vtnxaE_Q1s4tyr10kZQx7ZF_xG0lBFae4jQEUtgsMU"",""All!B2:B""),MATCH($B319,IMPORTRANGE(""12vtnxaE_Q1s4tyr10kZQx7ZF_xG0lBFae4jQEUtgsMU"",""All!A2:A""),0)),INDEX(IMPORTRANGE(""13KC70HngS4DDi8y9E5khtSpQEPG6owaQ9z4E-tR5mnY"","&amp;"""Non-Food!B2:B""),MATCH($B319,IMPORTRANGE(""13KC70HngS4DDi8y9E5khtSpQEPG6owaQ9z4E-tR5mnY"",""Non-Food!A2:A""),0))),"""")"),"")</f>
        <v/>
      </c>
      <c r="D319" s="15"/>
      <c r="E319" s="15"/>
      <c r="F319" s="36"/>
      <c r="G319" s="24" t="str">
        <f>IFERROR(__xludf.DUMMYFUNCTION("iferror(iferror(iferror(index(IMPORTRANGE(""1NK5L1mviMn0j3D3uo53ASkIZOFRlLnqaCTnwzOG2_Wg"",""Direct Link!B2:B""),MATCH($B319,IMPORTRANGE(""1NK5L1mviMn0j3D3uo53ASkIZOFRlLnqaCTnwzOG2_Wg"",""Direct Link!A2:A""),0)),XLOOKUP($B319,IMPORTRANGE(""1NK5L1mviMn0j3D"&amp;"3uo53ASkIZOFRlLnqaCTnwzOG2_Wg"",""Direct links Without Sizes!A2:A""),IMPORTRANGE(""1NK5L1mviMn0j3D3uo53ASkIZOFRlLnqaCTnwzOG2_Wg"",""Direct links Without Sizes!B2:B""))),XLOOKUP($B319,IMPORTRANGE(""1NK5L1mviMn0j3D3uo53ASkIZOFRlLnqaCTnwzOG2_Wg"",""Direct li"&amp;"nks Without Sizes!D2:D""),IMPORTRANGE(""1NK5L1mviMn0j3D3uo53ASkIZOFRlLnqaCTnwzOG2_Wg"",""Direct links Without Sizes!E2:E""))),"""")"),"")</f>
        <v/>
      </c>
      <c r="H319" s="41"/>
      <c r="I319" s="4"/>
      <c r="J319" s="4"/>
      <c r="K319" s="10" t="str">
        <f t="shared" si="1"/>
        <v/>
      </c>
      <c r="L319" s="10"/>
      <c r="M319" s="10" t="str">
        <f t="shared" si="2"/>
        <v/>
      </c>
    </row>
    <row r="320">
      <c r="A320" s="4"/>
      <c r="B320" s="15"/>
      <c r="C320" s="7" t="str">
        <f>IFERROR(__xludf.DUMMYFUNCTION("iferror(iferror(INDEX(IMPORTRANGE(""12vtnxaE_Q1s4tyr10kZQx7ZF_xG0lBFae4jQEUtgsMU"",""All!B2:B""),MATCH($B320,IMPORTRANGE(""12vtnxaE_Q1s4tyr10kZQx7ZF_xG0lBFae4jQEUtgsMU"",""All!A2:A""),0)),INDEX(IMPORTRANGE(""13KC70HngS4DDi8y9E5khtSpQEPG6owaQ9z4E-tR5mnY"","&amp;"""Non-Food!B2:B""),MATCH($B320,IMPORTRANGE(""13KC70HngS4DDi8y9E5khtSpQEPG6owaQ9z4E-tR5mnY"",""Non-Food!A2:A""),0))),"""")"),"")</f>
        <v/>
      </c>
      <c r="D320" s="15"/>
      <c r="E320" s="15"/>
      <c r="F320" s="36"/>
      <c r="G320" s="24" t="str">
        <f>IFERROR(__xludf.DUMMYFUNCTION("iferror(iferror(iferror(index(IMPORTRANGE(""1NK5L1mviMn0j3D3uo53ASkIZOFRlLnqaCTnwzOG2_Wg"",""Direct Link!B2:B""),MATCH($B320,IMPORTRANGE(""1NK5L1mviMn0j3D3uo53ASkIZOFRlLnqaCTnwzOG2_Wg"",""Direct Link!A2:A""),0)),XLOOKUP($B320,IMPORTRANGE(""1NK5L1mviMn0j3D"&amp;"3uo53ASkIZOFRlLnqaCTnwzOG2_Wg"",""Direct links Without Sizes!A2:A""),IMPORTRANGE(""1NK5L1mviMn0j3D3uo53ASkIZOFRlLnqaCTnwzOG2_Wg"",""Direct links Without Sizes!B2:B""))),XLOOKUP($B320,IMPORTRANGE(""1NK5L1mviMn0j3D3uo53ASkIZOFRlLnqaCTnwzOG2_Wg"",""Direct li"&amp;"nks Without Sizes!D2:D""),IMPORTRANGE(""1NK5L1mviMn0j3D3uo53ASkIZOFRlLnqaCTnwzOG2_Wg"",""Direct links Without Sizes!E2:E""))),"""")"),"")</f>
        <v/>
      </c>
      <c r="H320" s="41"/>
      <c r="I320" s="4"/>
      <c r="J320" s="4"/>
      <c r="K320" s="10" t="str">
        <f t="shared" si="1"/>
        <v/>
      </c>
      <c r="L320" s="10"/>
      <c r="M320" s="10" t="str">
        <f t="shared" si="2"/>
        <v/>
      </c>
    </row>
    <row r="321">
      <c r="A321" s="4"/>
      <c r="B321" s="15"/>
      <c r="C321" s="7" t="str">
        <f>IFERROR(__xludf.DUMMYFUNCTION("iferror(iferror(INDEX(IMPORTRANGE(""12vtnxaE_Q1s4tyr10kZQx7ZF_xG0lBFae4jQEUtgsMU"",""All!B2:B""),MATCH($B321,IMPORTRANGE(""12vtnxaE_Q1s4tyr10kZQx7ZF_xG0lBFae4jQEUtgsMU"",""All!A2:A""),0)),INDEX(IMPORTRANGE(""13KC70HngS4DDi8y9E5khtSpQEPG6owaQ9z4E-tR5mnY"","&amp;"""Non-Food!B2:B""),MATCH($B321,IMPORTRANGE(""13KC70HngS4DDi8y9E5khtSpQEPG6owaQ9z4E-tR5mnY"",""Non-Food!A2:A""),0))),"""")"),"")</f>
        <v/>
      </c>
      <c r="D321" s="15"/>
      <c r="E321" s="15"/>
      <c r="F321" s="36"/>
      <c r="G321" s="24" t="str">
        <f>IFERROR(__xludf.DUMMYFUNCTION("iferror(iferror(iferror(index(IMPORTRANGE(""1NK5L1mviMn0j3D3uo53ASkIZOFRlLnqaCTnwzOG2_Wg"",""Direct Link!B2:B""),MATCH($B321,IMPORTRANGE(""1NK5L1mviMn0j3D3uo53ASkIZOFRlLnqaCTnwzOG2_Wg"",""Direct Link!A2:A""),0)),XLOOKUP($B321,IMPORTRANGE(""1NK5L1mviMn0j3D"&amp;"3uo53ASkIZOFRlLnqaCTnwzOG2_Wg"",""Direct links Without Sizes!A2:A""),IMPORTRANGE(""1NK5L1mviMn0j3D3uo53ASkIZOFRlLnqaCTnwzOG2_Wg"",""Direct links Without Sizes!B2:B""))),XLOOKUP($B321,IMPORTRANGE(""1NK5L1mviMn0j3D3uo53ASkIZOFRlLnqaCTnwzOG2_Wg"",""Direct li"&amp;"nks Without Sizes!D2:D""),IMPORTRANGE(""1NK5L1mviMn0j3D3uo53ASkIZOFRlLnqaCTnwzOG2_Wg"",""Direct links Without Sizes!E2:E""))),"""")"),"")</f>
        <v/>
      </c>
      <c r="H321" s="41"/>
      <c r="I321" s="4"/>
      <c r="J321" s="4"/>
      <c r="K321" s="10" t="str">
        <f t="shared" si="1"/>
        <v/>
      </c>
      <c r="L321" s="10"/>
      <c r="M321" s="10" t="str">
        <f t="shared" si="2"/>
        <v/>
      </c>
    </row>
    <row r="322">
      <c r="A322" s="4"/>
      <c r="B322" s="15"/>
      <c r="C322" s="7" t="str">
        <f>IFERROR(__xludf.DUMMYFUNCTION("iferror(iferror(INDEX(IMPORTRANGE(""12vtnxaE_Q1s4tyr10kZQx7ZF_xG0lBFae4jQEUtgsMU"",""All!B2:B""),MATCH($B322,IMPORTRANGE(""12vtnxaE_Q1s4tyr10kZQx7ZF_xG0lBFae4jQEUtgsMU"",""All!A2:A""),0)),INDEX(IMPORTRANGE(""13KC70HngS4DDi8y9E5khtSpQEPG6owaQ9z4E-tR5mnY"","&amp;"""Non-Food!B2:B""),MATCH($B322,IMPORTRANGE(""13KC70HngS4DDi8y9E5khtSpQEPG6owaQ9z4E-tR5mnY"",""Non-Food!A2:A""),0))),"""")"),"")</f>
        <v/>
      </c>
      <c r="D322" s="15"/>
      <c r="E322" s="15"/>
      <c r="F322" s="36"/>
      <c r="G322" s="24" t="str">
        <f>IFERROR(__xludf.DUMMYFUNCTION("iferror(iferror(iferror(index(IMPORTRANGE(""1NK5L1mviMn0j3D3uo53ASkIZOFRlLnqaCTnwzOG2_Wg"",""Direct Link!B2:B""),MATCH($B322,IMPORTRANGE(""1NK5L1mviMn0j3D3uo53ASkIZOFRlLnqaCTnwzOG2_Wg"",""Direct Link!A2:A""),0)),XLOOKUP($B322,IMPORTRANGE(""1NK5L1mviMn0j3D"&amp;"3uo53ASkIZOFRlLnqaCTnwzOG2_Wg"",""Direct links Without Sizes!A2:A""),IMPORTRANGE(""1NK5L1mviMn0j3D3uo53ASkIZOFRlLnqaCTnwzOG2_Wg"",""Direct links Without Sizes!B2:B""))),XLOOKUP($B322,IMPORTRANGE(""1NK5L1mviMn0j3D3uo53ASkIZOFRlLnqaCTnwzOG2_Wg"",""Direct li"&amp;"nks Without Sizes!D2:D""),IMPORTRANGE(""1NK5L1mviMn0j3D3uo53ASkIZOFRlLnqaCTnwzOG2_Wg"",""Direct links Without Sizes!E2:E""))),"""")"),"")</f>
        <v/>
      </c>
      <c r="H322" s="41"/>
      <c r="I322" s="4"/>
      <c r="J322" s="4"/>
      <c r="K322" s="10" t="str">
        <f t="shared" si="1"/>
        <v/>
      </c>
      <c r="L322" s="10"/>
      <c r="M322" s="10" t="str">
        <f t="shared" si="2"/>
        <v/>
      </c>
    </row>
    <row r="323">
      <c r="A323" s="4"/>
      <c r="B323" s="15"/>
      <c r="C323" s="7" t="str">
        <f>IFERROR(__xludf.DUMMYFUNCTION("iferror(iferror(INDEX(IMPORTRANGE(""12vtnxaE_Q1s4tyr10kZQx7ZF_xG0lBFae4jQEUtgsMU"",""All!B2:B""),MATCH($B323,IMPORTRANGE(""12vtnxaE_Q1s4tyr10kZQx7ZF_xG0lBFae4jQEUtgsMU"",""All!A2:A""),0)),INDEX(IMPORTRANGE(""13KC70HngS4DDi8y9E5khtSpQEPG6owaQ9z4E-tR5mnY"","&amp;"""Non-Food!B2:B""),MATCH($B323,IMPORTRANGE(""13KC70HngS4DDi8y9E5khtSpQEPG6owaQ9z4E-tR5mnY"",""Non-Food!A2:A""),0))),"""")"),"")</f>
        <v/>
      </c>
      <c r="D323" s="15"/>
      <c r="E323" s="15"/>
      <c r="F323" s="36"/>
      <c r="G323" s="24" t="str">
        <f>IFERROR(__xludf.DUMMYFUNCTION("iferror(iferror(iferror(index(IMPORTRANGE(""1NK5L1mviMn0j3D3uo53ASkIZOFRlLnqaCTnwzOG2_Wg"",""Direct Link!B2:B""),MATCH($B323,IMPORTRANGE(""1NK5L1mviMn0j3D3uo53ASkIZOFRlLnqaCTnwzOG2_Wg"",""Direct Link!A2:A""),0)),XLOOKUP($B323,IMPORTRANGE(""1NK5L1mviMn0j3D"&amp;"3uo53ASkIZOFRlLnqaCTnwzOG2_Wg"",""Direct links Without Sizes!A2:A""),IMPORTRANGE(""1NK5L1mviMn0j3D3uo53ASkIZOFRlLnqaCTnwzOG2_Wg"",""Direct links Without Sizes!B2:B""))),XLOOKUP($B323,IMPORTRANGE(""1NK5L1mviMn0j3D3uo53ASkIZOFRlLnqaCTnwzOG2_Wg"",""Direct li"&amp;"nks Without Sizes!D2:D""),IMPORTRANGE(""1NK5L1mviMn0j3D3uo53ASkIZOFRlLnqaCTnwzOG2_Wg"",""Direct links Without Sizes!E2:E""))),"""")"),"")</f>
        <v/>
      </c>
      <c r="H323" s="41"/>
      <c r="I323" s="4"/>
      <c r="J323" s="4"/>
      <c r="K323" s="10" t="str">
        <f t="shared" si="1"/>
        <v/>
      </c>
      <c r="L323" s="10"/>
      <c r="M323" s="10" t="str">
        <f t="shared" si="2"/>
        <v/>
      </c>
    </row>
    <row r="324">
      <c r="A324" s="4"/>
      <c r="B324" s="15"/>
      <c r="C324" s="7" t="str">
        <f>IFERROR(__xludf.DUMMYFUNCTION("iferror(iferror(INDEX(IMPORTRANGE(""12vtnxaE_Q1s4tyr10kZQx7ZF_xG0lBFae4jQEUtgsMU"",""All!B2:B""),MATCH($B324,IMPORTRANGE(""12vtnxaE_Q1s4tyr10kZQx7ZF_xG0lBFae4jQEUtgsMU"",""All!A2:A""),0)),INDEX(IMPORTRANGE(""13KC70HngS4DDi8y9E5khtSpQEPG6owaQ9z4E-tR5mnY"","&amp;"""Non-Food!B2:B""),MATCH($B324,IMPORTRANGE(""13KC70HngS4DDi8y9E5khtSpQEPG6owaQ9z4E-tR5mnY"",""Non-Food!A2:A""),0))),"""")"),"")</f>
        <v/>
      </c>
      <c r="D324" s="15"/>
      <c r="E324" s="15"/>
      <c r="F324" s="36"/>
      <c r="G324" s="24" t="str">
        <f>IFERROR(__xludf.DUMMYFUNCTION("iferror(iferror(iferror(index(IMPORTRANGE(""1NK5L1mviMn0j3D3uo53ASkIZOFRlLnqaCTnwzOG2_Wg"",""Direct Link!B2:B""),MATCH($B324,IMPORTRANGE(""1NK5L1mviMn0j3D3uo53ASkIZOFRlLnqaCTnwzOG2_Wg"",""Direct Link!A2:A""),0)),XLOOKUP($B324,IMPORTRANGE(""1NK5L1mviMn0j3D"&amp;"3uo53ASkIZOFRlLnqaCTnwzOG2_Wg"",""Direct links Without Sizes!A2:A""),IMPORTRANGE(""1NK5L1mviMn0j3D3uo53ASkIZOFRlLnqaCTnwzOG2_Wg"",""Direct links Without Sizes!B2:B""))),XLOOKUP($B324,IMPORTRANGE(""1NK5L1mviMn0j3D3uo53ASkIZOFRlLnqaCTnwzOG2_Wg"",""Direct li"&amp;"nks Without Sizes!D2:D""),IMPORTRANGE(""1NK5L1mviMn0j3D3uo53ASkIZOFRlLnqaCTnwzOG2_Wg"",""Direct links Without Sizes!E2:E""))),"""")"),"")</f>
        <v/>
      </c>
      <c r="H324" s="41"/>
      <c r="I324" s="4"/>
      <c r="J324" s="4"/>
      <c r="K324" s="10" t="str">
        <f t="shared" si="1"/>
        <v/>
      </c>
      <c r="L324" s="10"/>
      <c r="M324" s="10" t="str">
        <f t="shared" si="2"/>
        <v/>
      </c>
    </row>
    <row r="325">
      <c r="A325" s="4"/>
      <c r="B325" s="15"/>
      <c r="C325" s="7" t="str">
        <f>IFERROR(__xludf.DUMMYFUNCTION("iferror(iferror(INDEX(IMPORTRANGE(""12vtnxaE_Q1s4tyr10kZQx7ZF_xG0lBFae4jQEUtgsMU"",""All!B2:B""),MATCH($B325,IMPORTRANGE(""12vtnxaE_Q1s4tyr10kZQx7ZF_xG0lBFae4jQEUtgsMU"",""All!A2:A""),0)),INDEX(IMPORTRANGE(""13KC70HngS4DDi8y9E5khtSpQEPG6owaQ9z4E-tR5mnY"","&amp;"""Non-Food!B2:B""),MATCH($B325,IMPORTRANGE(""13KC70HngS4DDi8y9E5khtSpQEPG6owaQ9z4E-tR5mnY"",""Non-Food!A2:A""),0))),"""")"),"")</f>
        <v/>
      </c>
      <c r="D325" s="15"/>
      <c r="E325" s="15"/>
      <c r="F325" s="36"/>
      <c r="G325" s="24" t="str">
        <f>IFERROR(__xludf.DUMMYFUNCTION("iferror(iferror(iferror(index(IMPORTRANGE(""1NK5L1mviMn0j3D3uo53ASkIZOFRlLnqaCTnwzOG2_Wg"",""Direct Link!B2:B""),MATCH($B325,IMPORTRANGE(""1NK5L1mviMn0j3D3uo53ASkIZOFRlLnqaCTnwzOG2_Wg"",""Direct Link!A2:A""),0)),XLOOKUP($B325,IMPORTRANGE(""1NK5L1mviMn0j3D"&amp;"3uo53ASkIZOFRlLnqaCTnwzOG2_Wg"",""Direct links Without Sizes!A2:A""),IMPORTRANGE(""1NK5L1mviMn0j3D3uo53ASkIZOFRlLnqaCTnwzOG2_Wg"",""Direct links Without Sizes!B2:B""))),XLOOKUP($B325,IMPORTRANGE(""1NK5L1mviMn0j3D3uo53ASkIZOFRlLnqaCTnwzOG2_Wg"",""Direct li"&amp;"nks Without Sizes!D2:D""),IMPORTRANGE(""1NK5L1mviMn0j3D3uo53ASkIZOFRlLnqaCTnwzOG2_Wg"",""Direct links Without Sizes!E2:E""))),"""")"),"")</f>
        <v/>
      </c>
      <c r="H325" s="41"/>
      <c r="I325" s="4"/>
      <c r="J325" s="4"/>
      <c r="K325" s="10" t="str">
        <f t="shared" si="1"/>
        <v/>
      </c>
      <c r="L325" s="10"/>
      <c r="M325" s="10" t="str">
        <f t="shared" si="2"/>
        <v/>
      </c>
    </row>
    <row r="326">
      <c r="A326" s="4"/>
      <c r="B326" s="15"/>
      <c r="C326" s="7" t="str">
        <f>IFERROR(__xludf.DUMMYFUNCTION("iferror(iferror(INDEX(IMPORTRANGE(""12vtnxaE_Q1s4tyr10kZQx7ZF_xG0lBFae4jQEUtgsMU"",""All!B2:B""),MATCH($B326,IMPORTRANGE(""12vtnxaE_Q1s4tyr10kZQx7ZF_xG0lBFae4jQEUtgsMU"",""All!A2:A""),0)),INDEX(IMPORTRANGE(""13KC70HngS4DDi8y9E5khtSpQEPG6owaQ9z4E-tR5mnY"","&amp;"""Non-Food!B2:B""),MATCH($B326,IMPORTRANGE(""13KC70HngS4DDi8y9E5khtSpQEPG6owaQ9z4E-tR5mnY"",""Non-Food!A2:A""),0))),"""")"),"")</f>
        <v/>
      </c>
      <c r="D326" s="15"/>
      <c r="E326" s="15"/>
      <c r="F326" s="36"/>
      <c r="G326" s="24" t="str">
        <f>IFERROR(__xludf.DUMMYFUNCTION("iferror(iferror(iferror(index(IMPORTRANGE(""1NK5L1mviMn0j3D3uo53ASkIZOFRlLnqaCTnwzOG2_Wg"",""Direct Link!B2:B""),MATCH($B326,IMPORTRANGE(""1NK5L1mviMn0j3D3uo53ASkIZOFRlLnqaCTnwzOG2_Wg"",""Direct Link!A2:A""),0)),XLOOKUP($B326,IMPORTRANGE(""1NK5L1mviMn0j3D"&amp;"3uo53ASkIZOFRlLnqaCTnwzOG2_Wg"",""Direct links Without Sizes!A2:A""),IMPORTRANGE(""1NK5L1mviMn0j3D3uo53ASkIZOFRlLnqaCTnwzOG2_Wg"",""Direct links Without Sizes!B2:B""))),XLOOKUP($B326,IMPORTRANGE(""1NK5L1mviMn0j3D3uo53ASkIZOFRlLnqaCTnwzOG2_Wg"",""Direct li"&amp;"nks Without Sizes!D2:D""),IMPORTRANGE(""1NK5L1mviMn0j3D3uo53ASkIZOFRlLnqaCTnwzOG2_Wg"",""Direct links Without Sizes!E2:E""))),"""")"),"")</f>
        <v/>
      </c>
      <c r="H326" s="41"/>
      <c r="I326" s="4"/>
      <c r="J326" s="4"/>
      <c r="K326" s="10" t="str">
        <f t="shared" si="1"/>
        <v/>
      </c>
      <c r="L326" s="10"/>
      <c r="M326" s="10" t="str">
        <f t="shared" si="2"/>
        <v/>
      </c>
    </row>
    <row r="327">
      <c r="A327" s="4"/>
      <c r="B327" s="15"/>
      <c r="C327" s="7" t="str">
        <f>IFERROR(__xludf.DUMMYFUNCTION("iferror(iferror(INDEX(IMPORTRANGE(""12vtnxaE_Q1s4tyr10kZQx7ZF_xG0lBFae4jQEUtgsMU"",""All!B2:B""),MATCH($B327,IMPORTRANGE(""12vtnxaE_Q1s4tyr10kZQx7ZF_xG0lBFae4jQEUtgsMU"",""All!A2:A""),0)),INDEX(IMPORTRANGE(""13KC70HngS4DDi8y9E5khtSpQEPG6owaQ9z4E-tR5mnY"","&amp;"""Non-Food!B2:B""),MATCH($B327,IMPORTRANGE(""13KC70HngS4DDi8y9E5khtSpQEPG6owaQ9z4E-tR5mnY"",""Non-Food!A2:A""),0))),"""")"),"")</f>
        <v/>
      </c>
      <c r="D327" s="15"/>
      <c r="E327" s="15"/>
      <c r="F327" s="36"/>
      <c r="G327" s="24" t="str">
        <f>IFERROR(__xludf.DUMMYFUNCTION("iferror(iferror(iferror(index(IMPORTRANGE(""1NK5L1mviMn0j3D3uo53ASkIZOFRlLnqaCTnwzOG2_Wg"",""Direct Link!B2:B""),MATCH($B327,IMPORTRANGE(""1NK5L1mviMn0j3D3uo53ASkIZOFRlLnqaCTnwzOG2_Wg"",""Direct Link!A2:A""),0)),XLOOKUP($B327,IMPORTRANGE(""1NK5L1mviMn0j3D"&amp;"3uo53ASkIZOFRlLnqaCTnwzOG2_Wg"",""Direct links Without Sizes!A2:A""),IMPORTRANGE(""1NK5L1mviMn0j3D3uo53ASkIZOFRlLnqaCTnwzOG2_Wg"",""Direct links Without Sizes!B2:B""))),XLOOKUP($B327,IMPORTRANGE(""1NK5L1mviMn0j3D3uo53ASkIZOFRlLnqaCTnwzOG2_Wg"",""Direct li"&amp;"nks Without Sizes!D2:D""),IMPORTRANGE(""1NK5L1mviMn0j3D3uo53ASkIZOFRlLnqaCTnwzOG2_Wg"",""Direct links Without Sizes!E2:E""))),"""")"),"")</f>
        <v/>
      </c>
      <c r="H327" s="41"/>
      <c r="I327" s="4"/>
      <c r="J327" s="4"/>
      <c r="K327" s="10" t="str">
        <f t="shared" si="1"/>
        <v/>
      </c>
      <c r="L327" s="10"/>
      <c r="M327" s="10" t="str">
        <f t="shared" si="2"/>
        <v/>
      </c>
    </row>
    <row r="328">
      <c r="A328" s="4"/>
      <c r="B328" s="15"/>
      <c r="C328" s="7" t="str">
        <f>IFERROR(__xludf.DUMMYFUNCTION("iferror(iferror(INDEX(IMPORTRANGE(""12vtnxaE_Q1s4tyr10kZQx7ZF_xG0lBFae4jQEUtgsMU"",""All!B2:B""),MATCH($B328,IMPORTRANGE(""12vtnxaE_Q1s4tyr10kZQx7ZF_xG0lBFae4jQEUtgsMU"",""All!A2:A""),0)),INDEX(IMPORTRANGE(""13KC70HngS4DDi8y9E5khtSpQEPG6owaQ9z4E-tR5mnY"","&amp;"""Non-Food!B2:B""),MATCH($B328,IMPORTRANGE(""13KC70HngS4DDi8y9E5khtSpQEPG6owaQ9z4E-tR5mnY"",""Non-Food!A2:A""),0))),"""")"),"")</f>
        <v/>
      </c>
      <c r="D328" s="15"/>
      <c r="E328" s="15"/>
      <c r="F328" s="36"/>
      <c r="G328" s="24" t="str">
        <f>IFERROR(__xludf.DUMMYFUNCTION("iferror(iferror(iferror(index(IMPORTRANGE(""1NK5L1mviMn0j3D3uo53ASkIZOFRlLnqaCTnwzOG2_Wg"",""Direct Link!B2:B""),MATCH($B328,IMPORTRANGE(""1NK5L1mviMn0j3D3uo53ASkIZOFRlLnqaCTnwzOG2_Wg"",""Direct Link!A2:A""),0)),XLOOKUP($B328,IMPORTRANGE(""1NK5L1mviMn0j3D"&amp;"3uo53ASkIZOFRlLnqaCTnwzOG2_Wg"",""Direct links Without Sizes!A2:A""),IMPORTRANGE(""1NK5L1mviMn0j3D3uo53ASkIZOFRlLnqaCTnwzOG2_Wg"",""Direct links Without Sizes!B2:B""))),XLOOKUP($B328,IMPORTRANGE(""1NK5L1mviMn0j3D3uo53ASkIZOFRlLnqaCTnwzOG2_Wg"",""Direct li"&amp;"nks Without Sizes!D2:D""),IMPORTRANGE(""1NK5L1mviMn0j3D3uo53ASkIZOFRlLnqaCTnwzOG2_Wg"",""Direct links Without Sizes!E2:E""))),"""")"),"")</f>
        <v/>
      </c>
      <c r="H328" s="41"/>
      <c r="I328" s="4"/>
      <c r="J328" s="4"/>
      <c r="K328" s="10" t="str">
        <f t="shared" si="1"/>
        <v/>
      </c>
      <c r="L328" s="10"/>
      <c r="M328" s="10" t="str">
        <f t="shared" si="2"/>
        <v/>
      </c>
    </row>
    <row r="329">
      <c r="A329" s="4"/>
      <c r="B329" s="15"/>
      <c r="C329" s="7" t="str">
        <f>IFERROR(__xludf.DUMMYFUNCTION("iferror(iferror(INDEX(IMPORTRANGE(""12vtnxaE_Q1s4tyr10kZQx7ZF_xG0lBFae4jQEUtgsMU"",""All!B2:B""),MATCH($B329,IMPORTRANGE(""12vtnxaE_Q1s4tyr10kZQx7ZF_xG0lBFae4jQEUtgsMU"",""All!A2:A""),0)),INDEX(IMPORTRANGE(""13KC70HngS4DDi8y9E5khtSpQEPG6owaQ9z4E-tR5mnY"","&amp;"""Non-Food!B2:B""),MATCH($B329,IMPORTRANGE(""13KC70HngS4DDi8y9E5khtSpQEPG6owaQ9z4E-tR5mnY"",""Non-Food!A2:A""),0))),"""")"),"")</f>
        <v/>
      </c>
      <c r="D329" s="15"/>
      <c r="E329" s="15"/>
      <c r="F329" s="36"/>
      <c r="G329" s="24" t="str">
        <f>IFERROR(__xludf.DUMMYFUNCTION("iferror(iferror(iferror(index(IMPORTRANGE(""1NK5L1mviMn0j3D3uo53ASkIZOFRlLnqaCTnwzOG2_Wg"",""Direct Link!B2:B""),MATCH($B329,IMPORTRANGE(""1NK5L1mviMn0j3D3uo53ASkIZOFRlLnqaCTnwzOG2_Wg"",""Direct Link!A2:A""),0)),XLOOKUP($B329,IMPORTRANGE(""1NK5L1mviMn0j3D"&amp;"3uo53ASkIZOFRlLnqaCTnwzOG2_Wg"",""Direct links Without Sizes!A2:A""),IMPORTRANGE(""1NK5L1mviMn0j3D3uo53ASkIZOFRlLnqaCTnwzOG2_Wg"",""Direct links Without Sizes!B2:B""))),XLOOKUP($B329,IMPORTRANGE(""1NK5L1mviMn0j3D3uo53ASkIZOFRlLnqaCTnwzOG2_Wg"",""Direct li"&amp;"nks Without Sizes!D2:D""),IMPORTRANGE(""1NK5L1mviMn0j3D3uo53ASkIZOFRlLnqaCTnwzOG2_Wg"",""Direct links Without Sizes!E2:E""))),"""")"),"")</f>
        <v/>
      </c>
      <c r="H329" s="41"/>
      <c r="I329" s="4"/>
      <c r="J329" s="4"/>
      <c r="K329" s="10" t="str">
        <f t="shared" si="1"/>
        <v/>
      </c>
      <c r="L329" s="10"/>
      <c r="M329" s="10" t="str">
        <f t="shared" si="2"/>
        <v/>
      </c>
    </row>
    <row r="330">
      <c r="A330" s="4"/>
      <c r="B330" s="15"/>
      <c r="C330" s="7" t="str">
        <f>IFERROR(__xludf.DUMMYFUNCTION("iferror(iferror(INDEX(IMPORTRANGE(""12vtnxaE_Q1s4tyr10kZQx7ZF_xG0lBFae4jQEUtgsMU"",""All!B2:B""),MATCH($B330,IMPORTRANGE(""12vtnxaE_Q1s4tyr10kZQx7ZF_xG0lBFae4jQEUtgsMU"",""All!A2:A""),0)),INDEX(IMPORTRANGE(""13KC70HngS4DDi8y9E5khtSpQEPG6owaQ9z4E-tR5mnY"","&amp;"""Non-Food!B2:B""),MATCH($B330,IMPORTRANGE(""13KC70HngS4DDi8y9E5khtSpQEPG6owaQ9z4E-tR5mnY"",""Non-Food!A2:A""),0))),"""")"),"")</f>
        <v/>
      </c>
      <c r="D330" s="15"/>
      <c r="E330" s="15"/>
      <c r="F330" s="36"/>
      <c r="G330" s="24" t="str">
        <f>IFERROR(__xludf.DUMMYFUNCTION("iferror(iferror(iferror(index(IMPORTRANGE(""1NK5L1mviMn0j3D3uo53ASkIZOFRlLnqaCTnwzOG2_Wg"",""Direct Link!B2:B""),MATCH($B330,IMPORTRANGE(""1NK5L1mviMn0j3D3uo53ASkIZOFRlLnqaCTnwzOG2_Wg"",""Direct Link!A2:A""),0)),XLOOKUP($B330,IMPORTRANGE(""1NK5L1mviMn0j3D"&amp;"3uo53ASkIZOFRlLnqaCTnwzOG2_Wg"",""Direct links Without Sizes!A2:A""),IMPORTRANGE(""1NK5L1mviMn0j3D3uo53ASkIZOFRlLnqaCTnwzOG2_Wg"",""Direct links Without Sizes!B2:B""))),XLOOKUP($B330,IMPORTRANGE(""1NK5L1mviMn0j3D3uo53ASkIZOFRlLnqaCTnwzOG2_Wg"",""Direct li"&amp;"nks Without Sizes!D2:D""),IMPORTRANGE(""1NK5L1mviMn0j3D3uo53ASkIZOFRlLnqaCTnwzOG2_Wg"",""Direct links Without Sizes!E2:E""))),"""")"),"")</f>
        <v/>
      </c>
      <c r="H330" s="41"/>
      <c r="I330" s="4"/>
      <c r="J330" s="4"/>
      <c r="K330" s="10" t="str">
        <f t="shared" si="1"/>
        <v/>
      </c>
      <c r="L330" s="10"/>
      <c r="M330" s="10" t="str">
        <f t="shared" si="2"/>
        <v/>
      </c>
    </row>
    <row r="331">
      <c r="A331" s="4"/>
      <c r="B331" s="15"/>
      <c r="C331" s="7" t="str">
        <f>IFERROR(__xludf.DUMMYFUNCTION("iferror(iferror(INDEX(IMPORTRANGE(""12vtnxaE_Q1s4tyr10kZQx7ZF_xG0lBFae4jQEUtgsMU"",""All!B2:B""),MATCH($B331,IMPORTRANGE(""12vtnxaE_Q1s4tyr10kZQx7ZF_xG0lBFae4jQEUtgsMU"",""All!A2:A""),0)),INDEX(IMPORTRANGE(""13KC70HngS4DDi8y9E5khtSpQEPG6owaQ9z4E-tR5mnY"","&amp;"""Non-Food!B2:B""),MATCH($B331,IMPORTRANGE(""13KC70HngS4DDi8y9E5khtSpQEPG6owaQ9z4E-tR5mnY"",""Non-Food!A2:A""),0))),"""")"),"")</f>
        <v/>
      </c>
      <c r="D331" s="15"/>
      <c r="E331" s="15"/>
      <c r="F331" s="36"/>
      <c r="G331" s="24" t="str">
        <f>IFERROR(__xludf.DUMMYFUNCTION("iferror(iferror(iferror(index(IMPORTRANGE(""1NK5L1mviMn0j3D3uo53ASkIZOFRlLnqaCTnwzOG2_Wg"",""Direct Link!B2:B""),MATCH($B331,IMPORTRANGE(""1NK5L1mviMn0j3D3uo53ASkIZOFRlLnqaCTnwzOG2_Wg"",""Direct Link!A2:A""),0)),XLOOKUP($B331,IMPORTRANGE(""1NK5L1mviMn0j3D"&amp;"3uo53ASkIZOFRlLnqaCTnwzOG2_Wg"",""Direct links Without Sizes!A2:A""),IMPORTRANGE(""1NK5L1mviMn0j3D3uo53ASkIZOFRlLnqaCTnwzOG2_Wg"",""Direct links Without Sizes!B2:B""))),XLOOKUP($B331,IMPORTRANGE(""1NK5L1mviMn0j3D3uo53ASkIZOFRlLnqaCTnwzOG2_Wg"",""Direct li"&amp;"nks Without Sizes!D2:D""),IMPORTRANGE(""1NK5L1mviMn0j3D3uo53ASkIZOFRlLnqaCTnwzOG2_Wg"",""Direct links Without Sizes!E2:E""))),"""")"),"")</f>
        <v/>
      </c>
      <c r="H331" s="41"/>
      <c r="I331" s="4"/>
      <c r="J331" s="4"/>
      <c r="K331" s="10" t="str">
        <f t="shared" si="1"/>
        <v/>
      </c>
      <c r="L331" s="10"/>
      <c r="M331" s="10" t="str">
        <f t="shared" si="2"/>
        <v/>
      </c>
    </row>
    <row r="332">
      <c r="A332" s="4"/>
      <c r="B332" s="15"/>
      <c r="C332" s="7" t="str">
        <f>IFERROR(__xludf.DUMMYFUNCTION("iferror(iferror(INDEX(IMPORTRANGE(""12vtnxaE_Q1s4tyr10kZQx7ZF_xG0lBFae4jQEUtgsMU"",""All!B2:B""),MATCH($B332,IMPORTRANGE(""12vtnxaE_Q1s4tyr10kZQx7ZF_xG0lBFae4jQEUtgsMU"",""All!A2:A""),0)),INDEX(IMPORTRANGE(""13KC70HngS4DDi8y9E5khtSpQEPG6owaQ9z4E-tR5mnY"","&amp;"""Non-Food!B2:B""),MATCH($B332,IMPORTRANGE(""13KC70HngS4DDi8y9E5khtSpQEPG6owaQ9z4E-tR5mnY"",""Non-Food!A2:A""),0))),"""")"),"")</f>
        <v/>
      </c>
      <c r="D332" s="15"/>
      <c r="E332" s="15"/>
      <c r="F332" s="36"/>
      <c r="G332" s="24" t="str">
        <f>IFERROR(__xludf.DUMMYFUNCTION("iferror(iferror(iferror(index(IMPORTRANGE(""1NK5L1mviMn0j3D3uo53ASkIZOFRlLnqaCTnwzOG2_Wg"",""Direct Link!B2:B""),MATCH($B332,IMPORTRANGE(""1NK5L1mviMn0j3D3uo53ASkIZOFRlLnqaCTnwzOG2_Wg"",""Direct Link!A2:A""),0)),XLOOKUP($B332,IMPORTRANGE(""1NK5L1mviMn0j3D"&amp;"3uo53ASkIZOFRlLnqaCTnwzOG2_Wg"",""Direct links Without Sizes!A2:A""),IMPORTRANGE(""1NK5L1mviMn0j3D3uo53ASkIZOFRlLnqaCTnwzOG2_Wg"",""Direct links Without Sizes!B2:B""))),XLOOKUP($B332,IMPORTRANGE(""1NK5L1mviMn0j3D3uo53ASkIZOFRlLnqaCTnwzOG2_Wg"",""Direct li"&amp;"nks Without Sizes!D2:D""),IMPORTRANGE(""1NK5L1mviMn0j3D3uo53ASkIZOFRlLnqaCTnwzOG2_Wg"",""Direct links Without Sizes!E2:E""))),"""")"),"")</f>
        <v/>
      </c>
      <c r="H332" s="41"/>
      <c r="I332" s="4"/>
      <c r="J332" s="4"/>
      <c r="K332" s="10" t="str">
        <f t="shared" si="1"/>
        <v/>
      </c>
      <c r="L332" s="10"/>
      <c r="M332" s="10" t="str">
        <f t="shared" si="2"/>
        <v/>
      </c>
    </row>
    <row r="333">
      <c r="A333" s="4"/>
      <c r="B333" s="15"/>
      <c r="C333" s="7" t="str">
        <f>IFERROR(__xludf.DUMMYFUNCTION("iferror(iferror(INDEX(IMPORTRANGE(""12vtnxaE_Q1s4tyr10kZQx7ZF_xG0lBFae4jQEUtgsMU"",""All!B2:B""),MATCH($B333,IMPORTRANGE(""12vtnxaE_Q1s4tyr10kZQx7ZF_xG0lBFae4jQEUtgsMU"",""All!A2:A""),0)),INDEX(IMPORTRANGE(""13KC70HngS4DDi8y9E5khtSpQEPG6owaQ9z4E-tR5mnY"","&amp;"""Non-Food!B2:B""),MATCH($B333,IMPORTRANGE(""13KC70HngS4DDi8y9E5khtSpQEPG6owaQ9z4E-tR5mnY"",""Non-Food!A2:A""),0))),"""")"),"")</f>
        <v/>
      </c>
      <c r="D333" s="15"/>
      <c r="E333" s="15"/>
      <c r="F333" s="36"/>
      <c r="G333" s="24" t="str">
        <f>IFERROR(__xludf.DUMMYFUNCTION("iferror(iferror(iferror(index(IMPORTRANGE(""1NK5L1mviMn0j3D3uo53ASkIZOFRlLnqaCTnwzOG2_Wg"",""Direct Link!B2:B""),MATCH($B333,IMPORTRANGE(""1NK5L1mviMn0j3D3uo53ASkIZOFRlLnqaCTnwzOG2_Wg"",""Direct Link!A2:A""),0)),XLOOKUP($B333,IMPORTRANGE(""1NK5L1mviMn0j3D"&amp;"3uo53ASkIZOFRlLnqaCTnwzOG2_Wg"",""Direct links Without Sizes!A2:A""),IMPORTRANGE(""1NK5L1mviMn0j3D3uo53ASkIZOFRlLnqaCTnwzOG2_Wg"",""Direct links Without Sizes!B2:B""))),XLOOKUP($B333,IMPORTRANGE(""1NK5L1mviMn0j3D3uo53ASkIZOFRlLnqaCTnwzOG2_Wg"",""Direct li"&amp;"nks Without Sizes!D2:D""),IMPORTRANGE(""1NK5L1mviMn0j3D3uo53ASkIZOFRlLnqaCTnwzOG2_Wg"",""Direct links Without Sizes!E2:E""))),"""")"),"")</f>
        <v/>
      </c>
      <c r="H333" s="41"/>
      <c r="I333" s="4"/>
      <c r="J333" s="4"/>
      <c r="K333" s="10" t="str">
        <f t="shared" si="1"/>
        <v/>
      </c>
      <c r="L333" s="10"/>
      <c r="M333" s="10" t="str">
        <f t="shared" si="2"/>
        <v/>
      </c>
    </row>
    <row r="334">
      <c r="A334" s="4"/>
      <c r="B334" s="15"/>
      <c r="C334" s="7" t="str">
        <f>IFERROR(__xludf.DUMMYFUNCTION("iferror(iferror(INDEX(IMPORTRANGE(""12vtnxaE_Q1s4tyr10kZQx7ZF_xG0lBFae4jQEUtgsMU"",""All!B2:B""),MATCH($B334,IMPORTRANGE(""12vtnxaE_Q1s4tyr10kZQx7ZF_xG0lBFae4jQEUtgsMU"",""All!A2:A""),0)),INDEX(IMPORTRANGE(""13KC70HngS4DDi8y9E5khtSpQEPG6owaQ9z4E-tR5mnY"","&amp;"""Non-Food!B2:B""),MATCH($B334,IMPORTRANGE(""13KC70HngS4DDi8y9E5khtSpQEPG6owaQ9z4E-tR5mnY"",""Non-Food!A2:A""),0))),"""")"),"")</f>
        <v/>
      </c>
      <c r="D334" s="15"/>
      <c r="E334" s="15"/>
      <c r="F334" s="36"/>
      <c r="G334" s="24" t="str">
        <f>IFERROR(__xludf.DUMMYFUNCTION("iferror(iferror(iferror(index(IMPORTRANGE(""1NK5L1mviMn0j3D3uo53ASkIZOFRlLnqaCTnwzOG2_Wg"",""Direct Link!B2:B""),MATCH($B334,IMPORTRANGE(""1NK5L1mviMn0j3D3uo53ASkIZOFRlLnqaCTnwzOG2_Wg"",""Direct Link!A2:A""),0)),XLOOKUP($B334,IMPORTRANGE(""1NK5L1mviMn0j3D"&amp;"3uo53ASkIZOFRlLnqaCTnwzOG2_Wg"",""Direct links Without Sizes!A2:A""),IMPORTRANGE(""1NK5L1mviMn0j3D3uo53ASkIZOFRlLnqaCTnwzOG2_Wg"",""Direct links Without Sizes!B2:B""))),XLOOKUP($B334,IMPORTRANGE(""1NK5L1mviMn0j3D3uo53ASkIZOFRlLnqaCTnwzOG2_Wg"",""Direct li"&amp;"nks Without Sizes!D2:D""),IMPORTRANGE(""1NK5L1mviMn0j3D3uo53ASkIZOFRlLnqaCTnwzOG2_Wg"",""Direct links Without Sizes!E2:E""))),"""")"),"")</f>
        <v/>
      </c>
      <c r="H334" s="41"/>
      <c r="I334" s="4"/>
      <c r="J334" s="4"/>
      <c r="K334" s="10" t="str">
        <f t="shared" si="1"/>
        <v/>
      </c>
      <c r="L334" s="10"/>
      <c r="M334" s="10" t="str">
        <f t="shared" si="2"/>
        <v/>
      </c>
    </row>
    <row r="335">
      <c r="A335" s="4"/>
      <c r="B335" s="15"/>
      <c r="C335" s="7" t="str">
        <f>IFERROR(__xludf.DUMMYFUNCTION("iferror(iferror(INDEX(IMPORTRANGE(""12vtnxaE_Q1s4tyr10kZQx7ZF_xG0lBFae4jQEUtgsMU"",""All!B2:B""),MATCH($B335,IMPORTRANGE(""12vtnxaE_Q1s4tyr10kZQx7ZF_xG0lBFae4jQEUtgsMU"",""All!A2:A""),0)),INDEX(IMPORTRANGE(""13KC70HngS4DDi8y9E5khtSpQEPG6owaQ9z4E-tR5mnY"","&amp;"""Non-Food!B2:B""),MATCH($B335,IMPORTRANGE(""13KC70HngS4DDi8y9E5khtSpQEPG6owaQ9z4E-tR5mnY"",""Non-Food!A2:A""),0))),"""")"),"")</f>
        <v/>
      </c>
      <c r="D335" s="15"/>
      <c r="E335" s="15"/>
      <c r="F335" s="36"/>
      <c r="G335" s="24" t="str">
        <f>IFERROR(__xludf.DUMMYFUNCTION("iferror(iferror(iferror(index(IMPORTRANGE(""1NK5L1mviMn0j3D3uo53ASkIZOFRlLnqaCTnwzOG2_Wg"",""Direct Link!B2:B""),MATCH($B335,IMPORTRANGE(""1NK5L1mviMn0j3D3uo53ASkIZOFRlLnqaCTnwzOG2_Wg"",""Direct Link!A2:A""),0)),XLOOKUP($B335,IMPORTRANGE(""1NK5L1mviMn0j3D"&amp;"3uo53ASkIZOFRlLnqaCTnwzOG2_Wg"",""Direct links Without Sizes!A2:A""),IMPORTRANGE(""1NK5L1mviMn0j3D3uo53ASkIZOFRlLnqaCTnwzOG2_Wg"",""Direct links Without Sizes!B2:B""))),XLOOKUP($B335,IMPORTRANGE(""1NK5L1mviMn0j3D3uo53ASkIZOFRlLnqaCTnwzOG2_Wg"",""Direct li"&amp;"nks Without Sizes!D2:D""),IMPORTRANGE(""1NK5L1mviMn0j3D3uo53ASkIZOFRlLnqaCTnwzOG2_Wg"",""Direct links Without Sizes!E2:E""))),"""")"),"")</f>
        <v/>
      </c>
      <c r="H335" s="41"/>
      <c r="I335" s="4"/>
      <c r="J335" s="4"/>
      <c r="K335" s="10" t="str">
        <f t="shared" si="1"/>
        <v/>
      </c>
      <c r="L335" s="10"/>
      <c r="M335" s="10" t="str">
        <f t="shared" si="2"/>
        <v/>
      </c>
    </row>
    <row r="336">
      <c r="A336" s="4"/>
      <c r="B336" s="15"/>
      <c r="C336" s="7" t="str">
        <f>IFERROR(__xludf.DUMMYFUNCTION("iferror(iferror(INDEX(IMPORTRANGE(""12vtnxaE_Q1s4tyr10kZQx7ZF_xG0lBFae4jQEUtgsMU"",""All!B2:B""),MATCH($B336,IMPORTRANGE(""12vtnxaE_Q1s4tyr10kZQx7ZF_xG0lBFae4jQEUtgsMU"",""All!A2:A""),0)),INDEX(IMPORTRANGE(""13KC70HngS4DDi8y9E5khtSpQEPG6owaQ9z4E-tR5mnY"","&amp;"""Non-Food!B2:B""),MATCH($B336,IMPORTRANGE(""13KC70HngS4DDi8y9E5khtSpQEPG6owaQ9z4E-tR5mnY"",""Non-Food!A2:A""),0))),"""")"),"")</f>
        <v/>
      </c>
      <c r="D336" s="15"/>
      <c r="E336" s="15"/>
      <c r="F336" s="36"/>
      <c r="G336" s="24" t="str">
        <f>IFERROR(__xludf.DUMMYFUNCTION("iferror(iferror(iferror(index(IMPORTRANGE(""1NK5L1mviMn0j3D3uo53ASkIZOFRlLnqaCTnwzOG2_Wg"",""Direct Link!B2:B""),MATCH($B336,IMPORTRANGE(""1NK5L1mviMn0j3D3uo53ASkIZOFRlLnqaCTnwzOG2_Wg"",""Direct Link!A2:A""),0)),XLOOKUP($B336,IMPORTRANGE(""1NK5L1mviMn0j3D"&amp;"3uo53ASkIZOFRlLnqaCTnwzOG2_Wg"",""Direct links Without Sizes!A2:A""),IMPORTRANGE(""1NK5L1mviMn0j3D3uo53ASkIZOFRlLnqaCTnwzOG2_Wg"",""Direct links Without Sizes!B2:B""))),XLOOKUP($B336,IMPORTRANGE(""1NK5L1mviMn0j3D3uo53ASkIZOFRlLnqaCTnwzOG2_Wg"",""Direct li"&amp;"nks Without Sizes!D2:D""),IMPORTRANGE(""1NK5L1mviMn0j3D3uo53ASkIZOFRlLnqaCTnwzOG2_Wg"",""Direct links Without Sizes!E2:E""))),"""")"),"")</f>
        <v/>
      </c>
      <c r="H336" s="41"/>
      <c r="I336" s="4"/>
      <c r="J336" s="4"/>
      <c r="K336" s="10" t="str">
        <f t="shared" si="1"/>
        <v/>
      </c>
      <c r="L336" s="10"/>
      <c r="M336" s="10" t="str">
        <f t="shared" si="2"/>
        <v/>
      </c>
    </row>
    <row r="337">
      <c r="A337" s="4"/>
      <c r="B337" s="15"/>
      <c r="C337" s="7" t="str">
        <f>IFERROR(__xludf.DUMMYFUNCTION("iferror(iferror(INDEX(IMPORTRANGE(""12vtnxaE_Q1s4tyr10kZQx7ZF_xG0lBFae4jQEUtgsMU"",""All!B2:B""),MATCH($B337,IMPORTRANGE(""12vtnxaE_Q1s4tyr10kZQx7ZF_xG0lBFae4jQEUtgsMU"",""All!A2:A""),0)),INDEX(IMPORTRANGE(""13KC70HngS4DDi8y9E5khtSpQEPG6owaQ9z4E-tR5mnY"","&amp;"""Non-Food!B2:B""),MATCH($B337,IMPORTRANGE(""13KC70HngS4DDi8y9E5khtSpQEPG6owaQ9z4E-tR5mnY"",""Non-Food!A2:A""),0))),"""")"),"")</f>
        <v/>
      </c>
      <c r="D337" s="15"/>
      <c r="E337" s="15"/>
      <c r="F337" s="36"/>
      <c r="G337" s="24" t="str">
        <f>IFERROR(__xludf.DUMMYFUNCTION("iferror(iferror(iferror(index(IMPORTRANGE(""1NK5L1mviMn0j3D3uo53ASkIZOFRlLnqaCTnwzOG2_Wg"",""Direct Link!B2:B""),MATCH($B337,IMPORTRANGE(""1NK5L1mviMn0j3D3uo53ASkIZOFRlLnqaCTnwzOG2_Wg"",""Direct Link!A2:A""),0)),XLOOKUP($B337,IMPORTRANGE(""1NK5L1mviMn0j3D"&amp;"3uo53ASkIZOFRlLnqaCTnwzOG2_Wg"",""Direct links Without Sizes!A2:A""),IMPORTRANGE(""1NK5L1mviMn0j3D3uo53ASkIZOFRlLnqaCTnwzOG2_Wg"",""Direct links Without Sizes!B2:B""))),XLOOKUP($B337,IMPORTRANGE(""1NK5L1mviMn0j3D3uo53ASkIZOFRlLnqaCTnwzOG2_Wg"",""Direct li"&amp;"nks Without Sizes!D2:D""),IMPORTRANGE(""1NK5L1mviMn0j3D3uo53ASkIZOFRlLnqaCTnwzOG2_Wg"",""Direct links Without Sizes!E2:E""))),"""")"),"")</f>
        <v/>
      </c>
      <c r="H337" s="41"/>
      <c r="I337" s="4"/>
      <c r="J337" s="4"/>
      <c r="K337" s="10" t="str">
        <f t="shared" si="1"/>
        <v/>
      </c>
      <c r="L337" s="10"/>
      <c r="M337" s="10" t="str">
        <f t="shared" si="2"/>
        <v/>
      </c>
    </row>
    <row r="338">
      <c r="A338" s="4"/>
      <c r="B338" s="15"/>
      <c r="C338" s="7" t="str">
        <f>IFERROR(__xludf.DUMMYFUNCTION("iferror(iferror(INDEX(IMPORTRANGE(""12vtnxaE_Q1s4tyr10kZQx7ZF_xG0lBFae4jQEUtgsMU"",""All!B2:B""),MATCH($B338,IMPORTRANGE(""12vtnxaE_Q1s4tyr10kZQx7ZF_xG0lBFae4jQEUtgsMU"",""All!A2:A""),0)),INDEX(IMPORTRANGE(""13KC70HngS4DDi8y9E5khtSpQEPG6owaQ9z4E-tR5mnY"","&amp;"""Non-Food!B2:B""),MATCH($B338,IMPORTRANGE(""13KC70HngS4DDi8y9E5khtSpQEPG6owaQ9z4E-tR5mnY"",""Non-Food!A2:A""),0))),"""")"),"")</f>
        <v/>
      </c>
      <c r="D338" s="15"/>
      <c r="E338" s="15"/>
      <c r="F338" s="36"/>
      <c r="G338" s="24" t="str">
        <f>IFERROR(__xludf.DUMMYFUNCTION("iferror(iferror(iferror(index(IMPORTRANGE(""1NK5L1mviMn0j3D3uo53ASkIZOFRlLnqaCTnwzOG2_Wg"",""Direct Link!B2:B""),MATCH($B338,IMPORTRANGE(""1NK5L1mviMn0j3D3uo53ASkIZOFRlLnqaCTnwzOG2_Wg"",""Direct Link!A2:A""),0)),XLOOKUP($B338,IMPORTRANGE(""1NK5L1mviMn0j3D"&amp;"3uo53ASkIZOFRlLnqaCTnwzOG2_Wg"",""Direct links Without Sizes!A2:A""),IMPORTRANGE(""1NK5L1mviMn0j3D3uo53ASkIZOFRlLnqaCTnwzOG2_Wg"",""Direct links Without Sizes!B2:B""))),XLOOKUP($B338,IMPORTRANGE(""1NK5L1mviMn0j3D3uo53ASkIZOFRlLnqaCTnwzOG2_Wg"",""Direct li"&amp;"nks Without Sizes!D2:D""),IMPORTRANGE(""1NK5L1mviMn0j3D3uo53ASkIZOFRlLnqaCTnwzOG2_Wg"",""Direct links Without Sizes!E2:E""))),"""")"),"")</f>
        <v/>
      </c>
      <c r="H338" s="41"/>
      <c r="I338" s="4"/>
      <c r="J338" s="4"/>
      <c r="K338" s="10" t="str">
        <f t="shared" si="1"/>
        <v/>
      </c>
      <c r="L338" s="10"/>
      <c r="M338" s="10" t="str">
        <f t="shared" si="2"/>
        <v/>
      </c>
    </row>
    <row r="339">
      <c r="A339" s="4"/>
      <c r="B339" s="15"/>
      <c r="C339" s="7" t="str">
        <f>IFERROR(__xludf.DUMMYFUNCTION("iferror(iferror(INDEX(IMPORTRANGE(""12vtnxaE_Q1s4tyr10kZQx7ZF_xG0lBFae4jQEUtgsMU"",""All!B2:B""),MATCH($B339,IMPORTRANGE(""12vtnxaE_Q1s4tyr10kZQx7ZF_xG0lBFae4jQEUtgsMU"",""All!A2:A""),0)),INDEX(IMPORTRANGE(""13KC70HngS4DDi8y9E5khtSpQEPG6owaQ9z4E-tR5mnY"","&amp;"""Non-Food!B2:B""),MATCH($B339,IMPORTRANGE(""13KC70HngS4DDi8y9E5khtSpQEPG6owaQ9z4E-tR5mnY"",""Non-Food!A2:A""),0))),"""")"),"")</f>
        <v/>
      </c>
      <c r="D339" s="15"/>
      <c r="E339" s="15"/>
      <c r="F339" s="36"/>
      <c r="G339" s="24" t="str">
        <f>IFERROR(__xludf.DUMMYFUNCTION("iferror(iferror(iferror(index(IMPORTRANGE(""1NK5L1mviMn0j3D3uo53ASkIZOFRlLnqaCTnwzOG2_Wg"",""Direct Link!B2:B""),MATCH($B339,IMPORTRANGE(""1NK5L1mviMn0j3D3uo53ASkIZOFRlLnqaCTnwzOG2_Wg"",""Direct Link!A2:A""),0)),XLOOKUP($B339,IMPORTRANGE(""1NK5L1mviMn0j3D"&amp;"3uo53ASkIZOFRlLnqaCTnwzOG2_Wg"",""Direct links Without Sizes!A2:A""),IMPORTRANGE(""1NK5L1mviMn0j3D3uo53ASkIZOFRlLnqaCTnwzOG2_Wg"",""Direct links Without Sizes!B2:B""))),XLOOKUP($B339,IMPORTRANGE(""1NK5L1mviMn0j3D3uo53ASkIZOFRlLnqaCTnwzOG2_Wg"",""Direct li"&amp;"nks Without Sizes!D2:D""),IMPORTRANGE(""1NK5L1mviMn0j3D3uo53ASkIZOFRlLnqaCTnwzOG2_Wg"",""Direct links Without Sizes!E2:E""))),"""")"),"")</f>
        <v/>
      </c>
      <c r="H339" s="41"/>
      <c r="I339" s="4"/>
      <c r="J339" s="4"/>
      <c r="K339" s="10" t="str">
        <f t="shared" si="1"/>
        <v/>
      </c>
      <c r="L339" s="10"/>
      <c r="M339" s="10" t="str">
        <f t="shared" si="2"/>
        <v/>
      </c>
    </row>
    <row r="340">
      <c r="A340" s="4"/>
      <c r="B340" s="15"/>
      <c r="C340" s="7" t="str">
        <f>IFERROR(__xludf.DUMMYFUNCTION("iferror(iferror(INDEX(IMPORTRANGE(""12vtnxaE_Q1s4tyr10kZQx7ZF_xG0lBFae4jQEUtgsMU"",""All!B2:B""),MATCH($B340,IMPORTRANGE(""12vtnxaE_Q1s4tyr10kZQx7ZF_xG0lBFae4jQEUtgsMU"",""All!A2:A""),0)),INDEX(IMPORTRANGE(""13KC70HngS4DDi8y9E5khtSpQEPG6owaQ9z4E-tR5mnY"","&amp;"""Non-Food!B2:B""),MATCH($B340,IMPORTRANGE(""13KC70HngS4DDi8y9E5khtSpQEPG6owaQ9z4E-tR5mnY"",""Non-Food!A2:A""),0))),"""")"),"")</f>
        <v/>
      </c>
      <c r="D340" s="15"/>
      <c r="E340" s="15"/>
      <c r="F340" s="36"/>
      <c r="G340" s="24" t="str">
        <f>IFERROR(__xludf.DUMMYFUNCTION("iferror(iferror(iferror(index(IMPORTRANGE(""1NK5L1mviMn0j3D3uo53ASkIZOFRlLnqaCTnwzOG2_Wg"",""Direct Link!B2:B""),MATCH($B340,IMPORTRANGE(""1NK5L1mviMn0j3D3uo53ASkIZOFRlLnqaCTnwzOG2_Wg"",""Direct Link!A2:A""),0)),XLOOKUP($B340,IMPORTRANGE(""1NK5L1mviMn0j3D"&amp;"3uo53ASkIZOFRlLnqaCTnwzOG2_Wg"",""Direct links Without Sizes!A2:A""),IMPORTRANGE(""1NK5L1mviMn0j3D3uo53ASkIZOFRlLnqaCTnwzOG2_Wg"",""Direct links Without Sizes!B2:B""))),XLOOKUP($B340,IMPORTRANGE(""1NK5L1mviMn0j3D3uo53ASkIZOFRlLnqaCTnwzOG2_Wg"",""Direct li"&amp;"nks Without Sizes!D2:D""),IMPORTRANGE(""1NK5L1mviMn0j3D3uo53ASkIZOFRlLnqaCTnwzOG2_Wg"",""Direct links Without Sizes!E2:E""))),"""")"),"")</f>
        <v/>
      </c>
      <c r="H340" s="41"/>
      <c r="I340" s="4"/>
      <c r="J340" s="4"/>
      <c r="K340" s="10" t="str">
        <f t="shared" si="1"/>
        <v/>
      </c>
      <c r="L340" s="10"/>
      <c r="M340" s="10" t="str">
        <f t="shared" si="2"/>
        <v/>
      </c>
    </row>
    <row r="341">
      <c r="A341" s="4"/>
      <c r="B341" s="15"/>
      <c r="C341" s="7" t="str">
        <f>IFERROR(__xludf.DUMMYFUNCTION("iferror(iferror(INDEX(IMPORTRANGE(""12vtnxaE_Q1s4tyr10kZQx7ZF_xG0lBFae4jQEUtgsMU"",""All!B2:B""),MATCH($B341,IMPORTRANGE(""12vtnxaE_Q1s4tyr10kZQx7ZF_xG0lBFae4jQEUtgsMU"",""All!A2:A""),0)),INDEX(IMPORTRANGE(""13KC70HngS4DDi8y9E5khtSpQEPG6owaQ9z4E-tR5mnY"","&amp;"""Non-Food!B2:B""),MATCH($B341,IMPORTRANGE(""13KC70HngS4DDi8y9E5khtSpQEPG6owaQ9z4E-tR5mnY"",""Non-Food!A2:A""),0))),"""")"),"")</f>
        <v/>
      </c>
      <c r="D341" s="15"/>
      <c r="E341" s="15"/>
      <c r="F341" s="36"/>
      <c r="G341" s="24" t="str">
        <f>IFERROR(__xludf.DUMMYFUNCTION("iferror(iferror(iferror(index(IMPORTRANGE(""1NK5L1mviMn0j3D3uo53ASkIZOFRlLnqaCTnwzOG2_Wg"",""Direct Link!B2:B""),MATCH($B341,IMPORTRANGE(""1NK5L1mviMn0j3D3uo53ASkIZOFRlLnqaCTnwzOG2_Wg"",""Direct Link!A2:A""),0)),XLOOKUP($B341,IMPORTRANGE(""1NK5L1mviMn0j3D"&amp;"3uo53ASkIZOFRlLnqaCTnwzOG2_Wg"",""Direct links Without Sizes!A2:A""),IMPORTRANGE(""1NK5L1mviMn0j3D3uo53ASkIZOFRlLnqaCTnwzOG2_Wg"",""Direct links Without Sizes!B2:B""))),XLOOKUP($B341,IMPORTRANGE(""1NK5L1mviMn0j3D3uo53ASkIZOFRlLnqaCTnwzOG2_Wg"",""Direct li"&amp;"nks Without Sizes!D2:D""),IMPORTRANGE(""1NK5L1mviMn0j3D3uo53ASkIZOFRlLnqaCTnwzOG2_Wg"",""Direct links Without Sizes!E2:E""))),"""")"),"")</f>
        <v/>
      </c>
      <c r="H341" s="41"/>
      <c r="I341" s="4"/>
      <c r="J341" s="4"/>
      <c r="K341" s="10" t="str">
        <f t="shared" si="1"/>
        <v/>
      </c>
      <c r="L341" s="10"/>
      <c r="M341" s="10" t="str">
        <f t="shared" si="2"/>
        <v/>
      </c>
    </row>
    <row r="342">
      <c r="A342" s="4"/>
      <c r="B342" s="15"/>
      <c r="C342" s="7" t="str">
        <f>IFERROR(__xludf.DUMMYFUNCTION("iferror(iferror(INDEX(IMPORTRANGE(""12vtnxaE_Q1s4tyr10kZQx7ZF_xG0lBFae4jQEUtgsMU"",""All!B2:B""),MATCH($B342,IMPORTRANGE(""12vtnxaE_Q1s4tyr10kZQx7ZF_xG0lBFae4jQEUtgsMU"",""All!A2:A""),0)),INDEX(IMPORTRANGE(""13KC70HngS4DDi8y9E5khtSpQEPG6owaQ9z4E-tR5mnY"","&amp;"""Non-Food!B2:B""),MATCH($B342,IMPORTRANGE(""13KC70HngS4DDi8y9E5khtSpQEPG6owaQ9z4E-tR5mnY"",""Non-Food!A2:A""),0))),"""")"),"")</f>
        <v/>
      </c>
      <c r="D342" s="15"/>
      <c r="E342" s="15"/>
      <c r="F342" s="36"/>
      <c r="G342" s="24" t="str">
        <f>IFERROR(__xludf.DUMMYFUNCTION("iferror(iferror(iferror(index(IMPORTRANGE(""1NK5L1mviMn0j3D3uo53ASkIZOFRlLnqaCTnwzOG2_Wg"",""Direct Link!B2:B""),MATCH($B342,IMPORTRANGE(""1NK5L1mviMn0j3D3uo53ASkIZOFRlLnqaCTnwzOG2_Wg"",""Direct Link!A2:A""),0)),XLOOKUP($B342,IMPORTRANGE(""1NK5L1mviMn0j3D"&amp;"3uo53ASkIZOFRlLnqaCTnwzOG2_Wg"",""Direct links Without Sizes!A2:A""),IMPORTRANGE(""1NK5L1mviMn0j3D3uo53ASkIZOFRlLnqaCTnwzOG2_Wg"",""Direct links Without Sizes!B2:B""))),XLOOKUP($B342,IMPORTRANGE(""1NK5L1mviMn0j3D3uo53ASkIZOFRlLnqaCTnwzOG2_Wg"",""Direct li"&amp;"nks Without Sizes!D2:D""),IMPORTRANGE(""1NK5L1mviMn0j3D3uo53ASkIZOFRlLnqaCTnwzOG2_Wg"",""Direct links Without Sizes!E2:E""))),"""")"),"")</f>
        <v/>
      </c>
      <c r="H342" s="41"/>
      <c r="I342" s="4"/>
      <c r="J342" s="4"/>
      <c r="K342" s="10" t="str">
        <f t="shared" si="1"/>
        <v/>
      </c>
      <c r="L342" s="10"/>
      <c r="M342" s="10" t="str">
        <f t="shared" si="2"/>
        <v/>
      </c>
    </row>
    <row r="343">
      <c r="A343" s="4"/>
      <c r="B343" s="15"/>
      <c r="C343" s="7" t="str">
        <f>IFERROR(__xludf.DUMMYFUNCTION("iferror(iferror(INDEX(IMPORTRANGE(""12vtnxaE_Q1s4tyr10kZQx7ZF_xG0lBFae4jQEUtgsMU"",""All!B2:B""),MATCH($B343,IMPORTRANGE(""12vtnxaE_Q1s4tyr10kZQx7ZF_xG0lBFae4jQEUtgsMU"",""All!A2:A""),0)),INDEX(IMPORTRANGE(""13KC70HngS4DDi8y9E5khtSpQEPG6owaQ9z4E-tR5mnY"","&amp;"""Non-Food!B2:B""),MATCH($B343,IMPORTRANGE(""13KC70HngS4DDi8y9E5khtSpQEPG6owaQ9z4E-tR5mnY"",""Non-Food!A2:A""),0))),"""")"),"")</f>
        <v/>
      </c>
      <c r="D343" s="15"/>
      <c r="E343" s="15"/>
      <c r="F343" s="36"/>
      <c r="G343" s="24" t="str">
        <f>IFERROR(__xludf.DUMMYFUNCTION("iferror(iferror(iferror(index(IMPORTRANGE(""1NK5L1mviMn0j3D3uo53ASkIZOFRlLnqaCTnwzOG2_Wg"",""Direct Link!B2:B""),MATCH($B343,IMPORTRANGE(""1NK5L1mviMn0j3D3uo53ASkIZOFRlLnqaCTnwzOG2_Wg"",""Direct Link!A2:A""),0)),XLOOKUP($B343,IMPORTRANGE(""1NK5L1mviMn0j3D"&amp;"3uo53ASkIZOFRlLnqaCTnwzOG2_Wg"",""Direct links Without Sizes!A2:A""),IMPORTRANGE(""1NK5L1mviMn0j3D3uo53ASkIZOFRlLnqaCTnwzOG2_Wg"",""Direct links Without Sizes!B2:B""))),XLOOKUP($B343,IMPORTRANGE(""1NK5L1mviMn0j3D3uo53ASkIZOFRlLnqaCTnwzOG2_Wg"",""Direct li"&amp;"nks Without Sizes!D2:D""),IMPORTRANGE(""1NK5L1mviMn0j3D3uo53ASkIZOFRlLnqaCTnwzOG2_Wg"",""Direct links Without Sizes!E2:E""))),"""")"),"")</f>
        <v/>
      </c>
      <c r="H343" s="41"/>
      <c r="I343" s="4"/>
      <c r="J343" s="4"/>
      <c r="K343" s="10" t="str">
        <f t="shared" si="1"/>
        <v/>
      </c>
      <c r="L343" s="10"/>
      <c r="M343" s="10" t="str">
        <f t="shared" si="2"/>
        <v/>
      </c>
    </row>
    <row r="344">
      <c r="A344" s="4"/>
      <c r="B344" s="15"/>
      <c r="C344" s="7" t="str">
        <f>IFERROR(__xludf.DUMMYFUNCTION("iferror(iferror(INDEX(IMPORTRANGE(""12vtnxaE_Q1s4tyr10kZQx7ZF_xG0lBFae4jQEUtgsMU"",""All!B2:B""),MATCH($B344,IMPORTRANGE(""12vtnxaE_Q1s4tyr10kZQx7ZF_xG0lBFae4jQEUtgsMU"",""All!A2:A""),0)),INDEX(IMPORTRANGE(""13KC70HngS4DDi8y9E5khtSpQEPG6owaQ9z4E-tR5mnY"","&amp;"""Non-Food!B2:B""),MATCH($B344,IMPORTRANGE(""13KC70HngS4DDi8y9E5khtSpQEPG6owaQ9z4E-tR5mnY"",""Non-Food!A2:A""),0))),"""")"),"")</f>
        <v/>
      </c>
      <c r="D344" s="15"/>
      <c r="E344" s="15"/>
      <c r="F344" s="36"/>
      <c r="G344" s="24" t="str">
        <f>IFERROR(__xludf.DUMMYFUNCTION("iferror(iferror(iferror(index(IMPORTRANGE(""1NK5L1mviMn0j3D3uo53ASkIZOFRlLnqaCTnwzOG2_Wg"",""Direct Link!B2:B""),MATCH($B344,IMPORTRANGE(""1NK5L1mviMn0j3D3uo53ASkIZOFRlLnqaCTnwzOG2_Wg"",""Direct Link!A2:A""),0)),XLOOKUP($B344,IMPORTRANGE(""1NK5L1mviMn0j3D"&amp;"3uo53ASkIZOFRlLnqaCTnwzOG2_Wg"",""Direct links Without Sizes!A2:A""),IMPORTRANGE(""1NK5L1mviMn0j3D3uo53ASkIZOFRlLnqaCTnwzOG2_Wg"",""Direct links Without Sizes!B2:B""))),XLOOKUP($B344,IMPORTRANGE(""1NK5L1mviMn0j3D3uo53ASkIZOFRlLnqaCTnwzOG2_Wg"",""Direct li"&amp;"nks Without Sizes!D2:D""),IMPORTRANGE(""1NK5L1mviMn0j3D3uo53ASkIZOFRlLnqaCTnwzOG2_Wg"",""Direct links Without Sizes!E2:E""))),"""")"),"")</f>
        <v/>
      </c>
      <c r="H344" s="41"/>
      <c r="I344" s="4"/>
      <c r="J344" s="4"/>
      <c r="K344" s="10" t="str">
        <f t="shared" si="1"/>
        <v/>
      </c>
      <c r="L344" s="10"/>
      <c r="M344" s="10" t="str">
        <f t="shared" si="2"/>
        <v/>
      </c>
    </row>
    <row r="345">
      <c r="A345" s="4"/>
      <c r="B345" s="15"/>
      <c r="C345" s="7" t="str">
        <f>IFERROR(__xludf.DUMMYFUNCTION("iferror(iferror(INDEX(IMPORTRANGE(""12vtnxaE_Q1s4tyr10kZQx7ZF_xG0lBFae4jQEUtgsMU"",""All!B2:B""),MATCH($B345,IMPORTRANGE(""12vtnxaE_Q1s4tyr10kZQx7ZF_xG0lBFae4jQEUtgsMU"",""All!A2:A""),0)),INDEX(IMPORTRANGE(""13KC70HngS4DDi8y9E5khtSpQEPG6owaQ9z4E-tR5mnY"","&amp;"""Non-Food!B2:B""),MATCH($B345,IMPORTRANGE(""13KC70HngS4DDi8y9E5khtSpQEPG6owaQ9z4E-tR5mnY"",""Non-Food!A2:A""),0))),"""")"),"")</f>
        <v/>
      </c>
      <c r="D345" s="15"/>
      <c r="E345" s="15"/>
      <c r="F345" s="36"/>
      <c r="G345" s="24" t="str">
        <f>IFERROR(__xludf.DUMMYFUNCTION("iferror(iferror(iferror(index(IMPORTRANGE(""1NK5L1mviMn0j3D3uo53ASkIZOFRlLnqaCTnwzOG2_Wg"",""Direct Link!B2:B""),MATCH($B345,IMPORTRANGE(""1NK5L1mviMn0j3D3uo53ASkIZOFRlLnqaCTnwzOG2_Wg"",""Direct Link!A2:A""),0)),XLOOKUP($B345,IMPORTRANGE(""1NK5L1mviMn0j3D"&amp;"3uo53ASkIZOFRlLnqaCTnwzOG2_Wg"",""Direct links Without Sizes!A2:A""),IMPORTRANGE(""1NK5L1mviMn0j3D3uo53ASkIZOFRlLnqaCTnwzOG2_Wg"",""Direct links Without Sizes!B2:B""))),XLOOKUP($B345,IMPORTRANGE(""1NK5L1mviMn0j3D3uo53ASkIZOFRlLnqaCTnwzOG2_Wg"",""Direct li"&amp;"nks Without Sizes!D2:D""),IMPORTRANGE(""1NK5L1mviMn0j3D3uo53ASkIZOFRlLnqaCTnwzOG2_Wg"",""Direct links Without Sizes!E2:E""))),"""")"),"")</f>
        <v/>
      </c>
      <c r="H345" s="41"/>
      <c r="I345" s="4"/>
      <c r="J345" s="4"/>
      <c r="K345" s="10" t="str">
        <f t="shared" si="1"/>
        <v/>
      </c>
      <c r="L345" s="10"/>
      <c r="M345" s="10" t="str">
        <f t="shared" si="2"/>
        <v/>
      </c>
    </row>
    <row r="346">
      <c r="A346" s="4"/>
      <c r="B346" s="15"/>
      <c r="C346" s="7" t="str">
        <f>IFERROR(__xludf.DUMMYFUNCTION("iferror(iferror(INDEX(IMPORTRANGE(""12vtnxaE_Q1s4tyr10kZQx7ZF_xG0lBFae4jQEUtgsMU"",""All!B2:B""),MATCH($B346,IMPORTRANGE(""12vtnxaE_Q1s4tyr10kZQx7ZF_xG0lBFae4jQEUtgsMU"",""All!A2:A""),0)),INDEX(IMPORTRANGE(""13KC70HngS4DDi8y9E5khtSpQEPG6owaQ9z4E-tR5mnY"","&amp;"""Non-Food!B2:B""),MATCH($B346,IMPORTRANGE(""13KC70HngS4DDi8y9E5khtSpQEPG6owaQ9z4E-tR5mnY"",""Non-Food!A2:A""),0))),"""")"),"")</f>
        <v/>
      </c>
      <c r="D346" s="15"/>
      <c r="E346" s="15"/>
      <c r="F346" s="36"/>
      <c r="G346" s="24" t="str">
        <f>IFERROR(__xludf.DUMMYFUNCTION("iferror(iferror(iferror(index(IMPORTRANGE(""1NK5L1mviMn0j3D3uo53ASkIZOFRlLnqaCTnwzOG2_Wg"",""Direct Link!B2:B""),MATCH($B346,IMPORTRANGE(""1NK5L1mviMn0j3D3uo53ASkIZOFRlLnqaCTnwzOG2_Wg"",""Direct Link!A2:A""),0)),XLOOKUP($B346,IMPORTRANGE(""1NK5L1mviMn0j3D"&amp;"3uo53ASkIZOFRlLnqaCTnwzOG2_Wg"",""Direct links Without Sizes!A2:A""),IMPORTRANGE(""1NK5L1mviMn0j3D3uo53ASkIZOFRlLnqaCTnwzOG2_Wg"",""Direct links Without Sizes!B2:B""))),XLOOKUP($B346,IMPORTRANGE(""1NK5L1mviMn0j3D3uo53ASkIZOFRlLnqaCTnwzOG2_Wg"",""Direct li"&amp;"nks Without Sizes!D2:D""),IMPORTRANGE(""1NK5L1mviMn0j3D3uo53ASkIZOFRlLnqaCTnwzOG2_Wg"",""Direct links Without Sizes!E2:E""))),"""")"),"")</f>
        <v/>
      </c>
      <c r="H346" s="41"/>
      <c r="I346" s="4"/>
      <c r="J346" s="4"/>
      <c r="K346" s="10" t="str">
        <f t="shared" si="1"/>
        <v/>
      </c>
      <c r="L346" s="10"/>
      <c r="M346" s="10" t="str">
        <f t="shared" si="2"/>
        <v/>
      </c>
    </row>
    <row r="347">
      <c r="A347" s="4"/>
      <c r="B347" s="15"/>
      <c r="C347" s="7" t="str">
        <f>IFERROR(__xludf.DUMMYFUNCTION("iferror(iferror(INDEX(IMPORTRANGE(""12vtnxaE_Q1s4tyr10kZQx7ZF_xG0lBFae4jQEUtgsMU"",""All!B2:B""),MATCH($B347,IMPORTRANGE(""12vtnxaE_Q1s4tyr10kZQx7ZF_xG0lBFae4jQEUtgsMU"",""All!A2:A""),0)),INDEX(IMPORTRANGE(""13KC70HngS4DDi8y9E5khtSpQEPG6owaQ9z4E-tR5mnY"","&amp;"""Non-Food!B2:B""),MATCH($B347,IMPORTRANGE(""13KC70HngS4DDi8y9E5khtSpQEPG6owaQ9z4E-tR5mnY"",""Non-Food!A2:A""),0))),"""")"),"")</f>
        <v/>
      </c>
      <c r="D347" s="15"/>
      <c r="E347" s="15"/>
      <c r="F347" s="36"/>
      <c r="G347" s="24" t="str">
        <f>IFERROR(__xludf.DUMMYFUNCTION("iferror(iferror(iferror(index(IMPORTRANGE(""1NK5L1mviMn0j3D3uo53ASkIZOFRlLnqaCTnwzOG2_Wg"",""Direct Link!B2:B""),MATCH($B347,IMPORTRANGE(""1NK5L1mviMn0j3D3uo53ASkIZOFRlLnqaCTnwzOG2_Wg"",""Direct Link!A2:A""),0)),XLOOKUP($B347,IMPORTRANGE(""1NK5L1mviMn0j3D"&amp;"3uo53ASkIZOFRlLnqaCTnwzOG2_Wg"",""Direct links Without Sizes!A2:A""),IMPORTRANGE(""1NK5L1mviMn0j3D3uo53ASkIZOFRlLnqaCTnwzOG2_Wg"",""Direct links Without Sizes!B2:B""))),XLOOKUP($B347,IMPORTRANGE(""1NK5L1mviMn0j3D3uo53ASkIZOFRlLnqaCTnwzOG2_Wg"",""Direct li"&amp;"nks Without Sizes!D2:D""),IMPORTRANGE(""1NK5L1mviMn0j3D3uo53ASkIZOFRlLnqaCTnwzOG2_Wg"",""Direct links Without Sizes!E2:E""))),"""")"),"")</f>
        <v/>
      </c>
      <c r="H347" s="41"/>
      <c r="I347" s="4"/>
      <c r="J347" s="4"/>
      <c r="K347" s="10" t="str">
        <f t="shared" si="1"/>
        <v/>
      </c>
      <c r="L347" s="10"/>
      <c r="M347" s="10" t="str">
        <f t="shared" si="2"/>
        <v/>
      </c>
    </row>
    <row r="348">
      <c r="A348" s="4"/>
      <c r="B348" s="15"/>
      <c r="C348" s="7" t="str">
        <f>IFERROR(__xludf.DUMMYFUNCTION("iferror(iferror(INDEX(IMPORTRANGE(""12vtnxaE_Q1s4tyr10kZQx7ZF_xG0lBFae4jQEUtgsMU"",""All!B2:B""),MATCH($B348,IMPORTRANGE(""12vtnxaE_Q1s4tyr10kZQx7ZF_xG0lBFae4jQEUtgsMU"",""All!A2:A""),0)),INDEX(IMPORTRANGE(""13KC70HngS4DDi8y9E5khtSpQEPG6owaQ9z4E-tR5mnY"","&amp;"""Non-Food!B2:B""),MATCH($B348,IMPORTRANGE(""13KC70HngS4DDi8y9E5khtSpQEPG6owaQ9z4E-tR5mnY"",""Non-Food!A2:A""),0))),"""")"),"")</f>
        <v/>
      </c>
      <c r="D348" s="15"/>
      <c r="E348" s="15"/>
      <c r="F348" s="36"/>
      <c r="G348" s="24" t="str">
        <f>IFERROR(__xludf.DUMMYFUNCTION("iferror(iferror(iferror(index(IMPORTRANGE(""1NK5L1mviMn0j3D3uo53ASkIZOFRlLnqaCTnwzOG2_Wg"",""Direct Link!B2:B""),MATCH($B348,IMPORTRANGE(""1NK5L1mviMn0j3D3uo53ASkIZOFRlLnqaCTnwzOG2_Wg"",""Direct Link!A2:A""),0)),XLOOKUP($B348,IMPORTRANGE(""1NK5L1mviMn0j3D"&amp;"3uo53ASkIZOFRlLnqaCTnwzOG2_Wg"",""Direct links Without Sizes!A2:A""),IMPORTRANGE(""1NK5L1mviMn0j3D3uo53ASkIZOFRlLnqaCTnwzOG2_Wg"",""Direct links Without Sizes!B2:B""))),XLOOKUP($B348,IMPORTRANGE(""1NK5L1mviMn0j3D3uo53ASkIZOFRlLnqaCTnwzOG2_Wg"",""Direct li"&amp;"nks Without Sizes!D2:D""),IMPORTRANGE(""1NK5L1mviMn0j3D3uo53ASkIZOFRlLnqaCTnwzOG2_Wg"",""Direct links Without Sizes!E2:E""))),"""")"),"")</f>
        <v/>
      </c>
      <c r="H348" s="41"/>
      <c r="I348" s="4"/>
      <c r="J348" s="4"/>
      <c r="K348" s="10" t="str">
        <f t="shared" si="1"/>
        <v/>
      </c>
      <c r="L348" s="10"/>
      <c r="M348" s="10" t="str">
        <f t="shared" si="2"/>
        <v/>
      </c>
    </row>
    <row r="349">
      <c r="A349" s="4"/>
      <c r="B349" s="15"/>
      <c r="C349" s="7" t="str">
        <f>IFERROR(__xludf.DUMMYFUNCTION("iferror(iferror(INDEX(IMPORTRANGE(""12vtnxaE_Q1s4tyr10kZQx7ZF_xG0lBFae4jQEUtgsMU"",""All!B2:B""),MATCH($B349,IMPORTRANGE(""12vtnxaE_Q1s4tyr10kZQx7ZF_xG0lBFae4jQEUtgsMU"",""All!A2:A""),0)),INDEX(IMPORTRANGE(""13KC70HngS4DDi8y9E5khtSpQEPG6owaQ9z4E-tR5mnY"","&amp;"""Non-Food!B2:B""),MATCH($B349,IMPORTRANGE(""13KC70HngS4DDi8y9E5khtSpQEPG6owaQ9z4E-tR5mnY"",""Non-Food!A2:A""),0))),"""")"),"")</f>
        <v/>
      </c>
      <c r="D349" s="15"/>
      <c r="E349" s="15"/>
      <c r="F349" s="36"/>
      <c r="G349" s="24" t="str">
        <f>IFERROR(__xludf.DUMMYFUNCTION("iferror(iferror(iferror(index(IMPORTRANGE(""1NK5L1mviMn0j3D3uo53ASkIZOFRlLnqaCTnwzOG2_Wg"",""Direct Link!B2:B""),MATCH($B349,IMPORTRANGE(""1NK5L1mviMn0j3D3uo53ASkIZOFRlLnqaCTnwzOG2_Wg"",""Direct Link!A2:A""),0)),XLOOKUP($B349,IMPORTRANGE(""1NK5L1mviMn0j3D"&amp;"3uo53ASkIZOFRlLnqaCTnwzOG2_Wg"",""Direct links Without Sizes!A2:A""),IMPORTRANGE(""1NK5L1mviMn0j3D3uo53ASkIZOFRlLnqaCTnwzOG2_Wg"",""Direct links Without Sizes!B2:B""))),XLOOKUP($B349,IMPORTRANGE(""1NK5L1mviMn0j3D3uo53ASkIZOFRlLnqaCTnwzOG2_Wg"",""Direct li"&amp;"nks Without Sizes!D2:D""),IMPORTRANGE(""1NK5L1mviMn0j3D3uo53ASkIZOFRlLnqaCTnwzOG2_Wg"",""Direct links Without Sizes!E2:E""))),"""")"),"")</f>
        <v/>
      </c>
      <c r="H349" s="41"/>
      <c r="I349" s="4"/>
      <c r="J349" s="4"/>
      <c r="K349" s="10" t="str">
        <f t="shared" si="1"/>
        <v/>
      </c>
      <c r="L349" s="10"/>
      <c r="M349" s="10" t="str">
        <f t="shared" si="2"/>
        <v/>
      </c>
    </row>
    <row r="350">
      <c r="A350" s="4"/>
      <c r="B350" s="15"/>
      <c r="C350" s="7" t="str">
        <f>IFERROR(__xludf.DUMMYFUNCTION("iferror(iferror(INDEX(IMPORTRANGE(""12vtnxaE_Q1s4tyr10kZQx7ZF_xG0lBFae4jQEUtgsMU"",""All!B2:B""),MATCH($B350,IMPORTRANGE(""12vtnxaE_Q1s4tyr10kZQx7ZF_xG0lBFae4jQEUtgsMU"",""All!A2:A""),0)),INDEX(IMPORTRANGE(""13KC70HngS4DDi8y9E5khtSpQEPG6owaQ9z4E-tR5mnY"","&amp;"""Non-Food!B2:B""),MATCH($B350,IMPORTRANGE(""13KC70HngS4DDi8y9E5khtSpQEPG6owaQ9z4E-tR5mnY"",""Non-Food!A2:A""),0))),"""")"),"")</f>
        <v/>
      </c>
      <c r="D350" s="15"/>
      <c r="E350" s="15"/>
      <c r="F350" s="36"/>
      <c r="G350" s="24" t="str">
        <f>IFERROR(__xludf.DUMMYFUNCTION("iferror(iferror(iferror(index(IMPORTRANGE(""1NK5L1mviMn0j3D3uo53ASkIZOFRlLnqaCTnwzOG2_Wg"",""Direct Link!B2:B""),MATCH($B350,IMPORTRANGE(""1NK5L1mviMn0j3D3uo53ASkIZOFRlLnqaCTnwzOG2_Wg"",""Direct Link!A2:A""),0)),XLOOKUP($B350,IMPORTRANGE(""1NK5L1mviMn0j3D"&amp;"3uo53ASkIZOFRlLnqaCTnwzOG2_Wg"",""Direct links Without Sizes!A2:A""),IMPORTRANGE(""1NK5L1mviMn0j3D3uo53ASkIZOFRlLnqaCTnwzOG2_Wg"",""Direct links Without Sizes!B2:B""))),XLOOKUP($B350,IMPORTRANGE(""1NK5L1mviMn0j3D3uo53ASkIZOFRlLnqaCTnwzOG2_Wg"",""Direct li"&amp;"nks Without Sizes!D2:D""),IMPORTRANGE(""1NK5L1mviMn0j3D3uo53ASkIZOFRlLnqaCTnwzOG2_Wg"",""Direct links Without Sizes!E2:E""))),"""")"),"")</f>
        <v/>
      </c>
      <c r="H350" s="41"/>
      <c r="I350" s="4"/>
      <c r="J350" s="4"/>
      <c r="K350" s="10" t="str">
        <f t="shared" si="1"/>
        <v/>
      </c>
      <c r="L350" s="10"/>
      <c r="M350" s="10" t="str">
        <f t="shared" si="2"/>
        <v/>
      </c>
    </row>
    <row r="351">
      <c r="A351" s="4"/>
      <c r="B351" s="15"/>
      <c r="C351" s="7" t="str">
        <f>IFERROR(__xludf.DUMMYFUNCTION("iferror(iferror(INDEX(IMPORTRANGE(""12vtnxaE_Q1s4tyr10kZQx7ZF_xG0lBFae4jQEUtgsMU"",""All!B2:B""),MATCH($B351,IMPORTRANGE(""12vtnxaE_Q1s4tyr10kZQx7ZF_xG0lBFae4jQEUtgsMU"",""All!A2:A""),0)),INDEX(IMPORTRANGE(""13KC70HngS4DDi8y9E5khtSpQEPG6owaQ9z4E-tR5mnY"","&amp;"""Non-Food!B2:B""),MATCH($B351,IMPORTRANGE(""13KC70HngS4DDi8y9E5khtSpQEPG6owaQ9z4E-tR5mnY"",""Non-Food!A2:A""),0))),"""")"),"")</f>
        <v/>
      </c>
      <c r="D351" s="15"/>
      <c r="E351" s="15"/>
      <c r="F351" s="36"/>
      <c r="G351" s="24" t="str">
        <f>IFERROR(__xludf.DUMMYFUNCTION("iferror(iferror(iferror(index(IMPORTRANGE(""1NK5L1mviMn0j3D3uo53ASkIZOFRlLnqaCTnwzOG2_Wg"",""Direct Link!B2:B""),MATCH($B351,IMPORTRANGE(""1NK5L1mviMn0j3D3uo53ASkIZOFRlLnqaCTnwzOG2_Wg"",""Direct Link!A2:A""),0)),XLOOKUP($B351,IMPORTRANGE(""1NK5L1mviMn0j3D"&amp;"3uo53ASkIZOFRlLnqaCTnwzOG2_Wg"",""Direct links Without Sizes!A2:A""),IMPORTRANGE(""1NK5L1mviMn0j3D3uo53ASkIZOFRlLnqaCTnwzOG2_Wg"",""Direct links Without Sizes!B2:B""))),XLOOKUP($B351,IMPORTRANGE(""1NK5L1mviMn0j3D3uo53ASkIZOFRlLnqaCTnwzOG2_Wg"",""Direct li"&amp;"nks Without Sizes!D2:D""),IMPORTRANGE(""1NK5L1mviMn0j3D3uo53ASkIZOFRlLnqaCTnwzOG2_Wg"",""Direct links Without Sizes!E2:E""))),"""")"),"")</f>
        <v/>
      </c>
      <c r="H351" s="41"/>
      <c r="I351" s="4"/>
      <c r="J351" s="4"/>
      <c r="K351" s="10" t="str">
        <f t="shared" si="1"/>
        <v/>
      </c>
      <c r="L351" s="10"/>
      <c r="M351" s="10" t="str">
        <f t="shared" si="2"/>
        <v/>
      </c>
    </row>
    <row r="352">
      <c r="A352" s="4"/>
      <c r="B352" s="15"/>
      <c r="C352" s="7" t="str">
        <f>IFERROR(__xludf.DUMMYFUNCTION("iferror(iferror(INDEX(IMPORTRANGE(""12vtnxaE_Q1s4tyr10kZQx7ZF_xG0lBFae4jQEUtgsMU"",""All!B2:B""),MATCH($B352,IMPORTRANGE(""12vtnxaE_Q1s4tyr10kZQx7ZF_xG0lBFae4jQEUtgsMU"",""All!A2:A""),0)),INDEX(IMPORTRANGE(""13KC70HngS4DDi8y9E5khtSpQEPG6owaQ9z4E-tR5mnY"","&amp;"""Non-Food!B2:B""),MATCH($B352,IMPORTRANGE(""13KC70HngS4DDi8y9E5khtSpQEPG6owaQ9z4E-tR5mnY"",""Non-Food!A2:A""),0))),"""")"),"")</f>
        <v/>
      </c>
      <c r="D352" s="15"/>
      <c r="E352" s="15"/>
      <c r="F352" s="36"/>
      <c r="G352" s="24" t="str">
        <f>IFERROR(__xludf.DUMMYFUNCTION("iferror(iferror(iferror(index(IMPORTRANGE(""1NK5L1mviMn0j3D3uo53ASkIZOFRlLnqaCTnwzOG2_Wg"",""Direct Link!B2:B""),MATCH($B352,IMPORTRANGE(""1NK5L1mviMn0j3D3uo53ASkIZOFRlLnqaCTnwzOG2_Wg"",""Direct Link!A2:A""),0)),XLOOKUP($B352,IMPORTRANGE(""1NK5L1mviMn0j3D"&amp;"3uo53ASkIZOFRlLnqaCTnwzOG2_Wg"",""Direct links Without Sizes!A2:A""),IMPORTRANGE(""1NK5L1mviMn0j3D3uo53ASkIZOFRlLnqaCTnwzOG2_Wg"",""Direct links Without Sizes!B2:B""))),XLOOKUP($B352,IMPORTRANGE(""1NK5L1mviMn0j3D3uo53ASkIZOFRlLnqaCTnwzOG2_Wg"",""Direct li"&amp;"nks Without Sizes!D2:D""),IMPORTRANGE(""1NK5L1mviMn0j3D3uo53ASkIZOFRlLnqaCTnwzOG2_Wg"",""Direct links Without Sizes!E2:E""))),"""")"),"")</f>
        <v/>
      </c>
      <c r="H352" s="41"/>
      <c r="I352" s="4"/>
      <c r="J352" s="4"/>
      <c r="K352" s="10" t="str">
        <f t="shared" si="1"/>
        <v/>
      </c>
      <c r="L352" s="10"/>
      <c r="M352" s="10" t="str">
        <f t="shared" si="2"/>
        <v/>
      </c>
    </row>
    <row r="353">
      <c r="A353" s="4"/>
      <c r="B353" s="15"/>
      <c r="C353" s="7" t="str">
        <f>IFERROR(__xludf.DUMMYFUNCTION("iferror(iferror(INDEX(IMPORTRANGE(""12vtnxaE_Q1s4tyr10kZQx7ZF_xG0lBFae4jQEUtgsMU"",""All!B2:B""),MATCH($B353,IMPORTRANGE(""12vtnxaE_Q1s4tyr10kZQx7ZF_xG0lBFae4jQEUtgsMU"",""All!A2:A""),0)),INDEX(IMPORTRANGE(""13KC70HngS4DDi8y9E5khtSpQEPG6owaQ9z4E-tR5mnY"","&amp;"""Non-Food!B2:B""),MATCH($B353,IMPORTRANGE(""13KC70HngS4DDi8y9E5khtSpQEPG6owaQ9z4E-tR5mnY"",""Non-Food!A2:A""),0))),"""")"),"")</f>
        <v/>
      </c>
      <c r="D353" s="15"/>
      <c r="E353" s="15"/>
      <c r="F353" s="36"/>
      <c r="G353" s="24" t="str">
        <f>IFERROR(__xludf.DUMMYFUNCTION("iferror(iferror(iferror(index(IMPORTRANGE(""1NK5L1mviMn0j3D3uo53ASkIZOFRlLnqaCTnwzOG2_Wg"",""Direct Link!B2:B""),MATCH($B353,IMPORTRANGE(""1NK5L1mviMn0j3D3uo53ASkIZOFRlLnqaCTnwzOG2_Wg"",""Direct Link!A2:A""),0)),XLOOKUP($B353,IMPORTRANGE(""1NK5L1mviMn0j3D"&amp;"3uo53ASkIZOFRlLnqaCTnwzOG2_Wg"",""Direct links Without Sizes!A2:A""),IMPORTRANGE(""1NK5L1mviMn0j3D3uo53ASkIZOFRlLnqaCTnwzOG2_Wg"",""Direct links Without Sizes!B2:B""))),XLOOKUP($B353,IMPORTRANGE(""1NK5L1mviMn0j3D3uo53ASkIZOFRlLnqaCTnwzOG2_Wg"",""Direct li"&amp;"nks Without Sizes!D2:D""),IMPORTRANGE(""1NK5L1mviMn0j3D3uo53ASkIZOFRlLnqaCTnwzOG2_Wg"",""Direct links Without Sizes!E2:E""))),"""")"),"")</f>
        <v/>
      </c>
      <c r="H353" s="41"/>
      <c r="I353" s="4"/>
      <c r="J353" s="4"/>
      <c r="K353" s="10" t="str">
        <f t="shared" si="1"/>
        <v/>
      </c>
      <c r="L353" s="10"/>
      <c r="M353" s="10" t="str">
        <f t="shared" si="2"/>
        <v/>
      </c>
    </row>
    <row r="354">
      <c r="A354" s="4"/>
      <c r="B354" s="15"/>
      <c r="C354" s="7" t="str">
        <f>IFERROR(__xludf.DUMMYFUNCTION("iferror(iferror(INDEX(IMPORTRANGE(""12vtnxaE_Q1s4tyr10kZQx7ZF_xG0lBFae4jQEUtgsMU"",""All!B2:B""),MATCH($B354,IMPORTRANGE(""12vtnxaE_Q1s4tyr10kZQx7ZF_xG0lBFae4jQEUtgsMU"",""All!A2:A""),0)),INDEX(IMPORTRANGE(""13KC70HngS4DDi8y9E5khtSpQEPG6owaQ9z4E-tR5mnY"","&amp;"""Non-Food!B2:B""),MATCH($B354,IMPORTRANGE(""13KC70HngS4DDi8y9E5khtSpQEPG6owaQ9z4E-tR5mnY"",""Non-Food!A2:A""),0))),"""")"),"")</f>
        <v/>
      </c>
      <c r="D354" s="15"/>
      <c r="E354" s="15"/>
      <c r="F354" s="36"/>
      <c r="G354" s="24" t="str">
        <f>IFERROR(__xludf.DUMMYFUNCTION("iferror(iferror(iferror(index(IMPORTRANGE(""1NK5L1mviMn0j3D3uo53ASkIZOFRlLnqaCTnwzOG2_Wg"",""Direct Link!B2:B""),MATCH($B354,IMPORTRANGE(""1NK5L1mviMn0j3D3uo53ASkIZOFRlLnqaCTnwzOG2_Wg"",""Direct Link!A2:A""),0)),XLOOKUP($B354,IMPORTRANGE(""1NK5L1mviMn0j3D"&amp;"3uo53ASkIZOFRlLnqaCTnwzOG2_Wg"",""Direct links Without Sizes!A2:A""),IMPORTRANGE(""1NK5L1mviMn0j3D3uo53ASkIZOFRlLnqaCTnwzOG2_Wg"",""Direct links Without Sizes!B2:B""))),XLOOKUP($B354,IMPORTRANGE(""1NK5L1mviMn0j3D3uo53ASkIZOFRlLnqaCTnwzOG2_Wg"",""Direct li"&amp;"nks Without Sizes!D2:D""),IMPORTRANGE(""1NK5L1mviMn0j3D3uo53ASkIZOFRlLnqaCTnwzOG2_Wg"",""Direct links Without Sizes!E2:E""))),"""")"),"")</f>
        <v/>
      </c>
      <c r="H354" s="41"/>
      <c r="I354" s="4"/>
      <c r="J354" s="4"/>
      <c r="K354" s="10" t="str">
        <f t="shared" si="1"/>
        <v/>
      </c>
      <c r="L354" s="10"/>
      <c r="M354" s="10" t="str">
        <f t="shared" si="2"/>
        <v/>
      </c>
    </row>
    <row r="355">
      <c r="A355" s="4"/>
      <c r="B355" s="15"/>
      <c r="C355" s="7" t="str">
        <f>IFERROR(__xludf.DUMMYFUNCTION("iferror(iferror(INDEX(IMPORTRANGE(""12vtnxaE_Q1s4tyr10kZQx7ZF_xG0lBFae4jQEUtgsMU"",""All!B2:B""),MATCH($B355,IMPORTRANGE(""12vtnxaE_Q1s4tyr10kZQx7ZF_xG0lBFae4jQEUtgsMU"",""All!A2:A""),0)),INDEX(IMPORTRANGE(""13KC70HngS4DDi8y9E5khtSpQEPG6owaQ9z4E-tR5mnY"","&amp;"""Non-Food!B2:B""),MATCH($B355,IMPORTRANGE(""13KC70HngS4DDi8y9E5khtSpQEPG6owaQ9z4E-tR5mnY"",""Non-Food!A2:A""),0))),"""")"),"")</f>
        <v/>
      </c>
      <c r="D355" s="15"/>
      <c r="E355" s="15"/>
      <c r="F355" s="36"/>
      <c r="G355" s="24" t="str">
        <f>IFERROR(__xludf.DUMMYFUNCTION("iferror(iferror(iferror(index(IMPORTRANGE(""1NK5L1mviMn0j3D3uo53ASkIZOFRlLnqaCTnwzOG2_Wg"",""Direct Link!B2:B""),MATCH($B355,IMPORTRANGE(""1NK5L1mviMn0j3D3uo53ASkIZOFRlLnqaCTnwzOG2_Wg"",""Direct Link!A2:A""),0)),XLOOKUP($B355,IMPORTRANGE(""1NK5L1mviMn0j3D"&amp;"3uo53ASkIZOFRlLnqaCTnwzOG2_Wg"",""Direct links Without Sizes!A2:A""),IMPORTRANGE(""1NK5L1mviMn0j3D3uo53ASkIZOFRlLnqaCTnwzOG2_Wg"",""Direct links Without Sizes!B2:B""))),XLOOKUP($B355,IMPORTRANGE(""1NK5L1mviMn0j3D3uo53ASkIZOFRlLnqaCTnwzOG2_Wg"",""Direct li"&amp;"nks Without Sizes!D2:D""),IMPORTRANGE(""1NK5L1mviMn0j3D3uo53ASkIZOFRlLnqaCTnwzOG2_Wg"",""Direct links Without Sizes!E2:E""))),"""")"),"")</f>
        <v/>
      </c>
      <c r="H355" s="41"/>
      <c r="I355" s="4"/>
      <c r="J355" s="4"/>
      <c r="K355" s="10" t="str">
        <f t="shared" si="1"/>
        <v/>
      </c>
      <c r="L355" s="10"/>
      <c r="M355" s="10" t="str">
        <f t="shared" si="2"/>
        <v/>
      </c>
    </row>
    <row r="356">
      <c r="A356" s="4"/>
      <c r="B356" s="15"/>
      <c r="C356" s="7" t="str">
        <f>IFERROR(__xludf.DUMMYFUNCTION("iferror(iferror(INDEX(IMPORTRANGE(""12vtnxaE_Q1s4tyr10kZQx7ZF_xG0lBFae4jQEUtgsMU"",""All!B2:B""),MATCH($B356,IMPORTRANGE(""12vtnxaE_Q1s4tyr10kZQx7ZF_xG0lBFae4jQEUtgsMU"",""All!A2:A""),0)),INDEX(IMPORTRANGE(""13KC70HngS4DDi8y9E5khtSpQEPG6owaQ9z4E-tR5mnY"","&amp;"""Non-Food!B2:B""),MATCH($B356,IMPORTRANGE(""13KC70HngS4DDi8y9E5khtSpQEPG6owaQ9z4E-tR5mnY"",""Non-Food!A2:A""),0))),"""")"),"")</f>
        <v/>
      </c>
      <c r="D356" s="15"/>
      <c r="E356" s="15"/>
      <c r="F356" s="36"/>
      <c r="G356" s="24" t="str">
        <f>IFERROR(__xludf.DUMMYFUNCTION("iferror(iferror(iferror(index(IMPORTRANGE(""1NK5L1mviMn0j3D3uo53ASkIZOFRlLnqaCTnwzOG2_Wg"",""Direct Link!B2:B""),MATCH($B356,IMPORTRANGE(""1NK5L1mviMn0j3D3uo53ASkIZOFRlLnqaCTnwzOG2_Wg"",""Direct Link!A2:A""),0)),XLOOKUP($B356,IMPORTRANGE(""1NK5L1mviMn0j3D"&amp;"3uo53ASkIZOFRlLnqaCTnwzOG2_Wg"",""Direct links Without Sizes!A2:A""),IMPORTRANGE(""1NK5L1mviMn0j3D3uo53ASkIZOFRlLnqaCTnwzOG2_Wg"",""Direct links Without Sizes!B2:B""))),XLOOKUP($B356,IMPORTRANGE(""1NK5L1mviMn0j3D3uo53ASkIZOFRlLnqaCTnwzOG2_Wg"",""Direct li"&amp;"nks Without Sizes!D2:D""),IMPORTRANGE(""1NK5L1mviMn0j3D3uo53ASkIZOFRlLnqaCTnwzOG2_Wg"",""Direct links Without Sizes!E2:E""))),"""")"),"")</f>
        <v/>
      </c>
      <c r="H356" s="41"/>
      <c r="I356" s="4"/>
      <c r="J356" s="4"/>
      <c r="K356" s="10" t="str">
        <f t="shared" si="1"/>
        <v/>
      </c>
      <c r="L356" s="10"/>
      <c r="M356" s="10" t="str">
        <f t="shared" si="2"/>
        <v/>
      </c>
    </row>
    <row r="357">
      <c r="A357" s="4"/>
      <c r="B357" s="15"/>
      <c r="C357" s="7" t="str">
        <f>IFERROR(__xludf.DUMMYFUNCTION("iferror(iferror(INDEX(IMPORTRANGE(""12vtnxaE_Q1s4tyr10kZQx7ZF_xG0lBFae4jQEUtgsMU"",""All!B2:B""),MATCH($B357,IMPORTRANGE(""12vtnxaE_Q1s4tyr10kZQx7ZF_xG0lBFae4jQEUtgsMU"",""All!A2:A""),0)),INDEX(IMPORTRANGE(""13KC70HngS4DDi8y9E5khtSpQEPG6owaQ9z4E-tR5mnY"","&amp;"""Non-Food!B2:B""),MATCH($B357,IMPORTRANGE(""13KC70HngS4DDi8y9E5khtSpQEPG6owaQ9z4E-tR5mnY"",""Non-Food!A2:A""),0))),"""")"),"")</f>
        <v/>
      </c>
      <c r="D357" s="15"/>
      <c r="E357" s="15"/>
      <c r="F357" s="36"/>
      <c r="G357" s="24" t="str">
        <f>IFERROR(__xludf.DUMMYFUNCTION("iferror(iferror(iferror(index(IMPORTRANGE(""1NK5L1mviMn0j3D3uo53ASkIZOFRlLnqaCTnwzOG2_Wg"",""Direct Link!B2:B""),MATCH($B357,IMPORTRANGE(""1NK5L1mviMn0j3D3uo53ASkIZOFRlLnqaCTnwzOG2_Wg"",""Direct Link!A2:A""),0)),XLOOKUP($B357,IMPORTRANGE(""1NK5L1mviMn0j3D"&amp;"3uo53ASkIZOFRlLnqaCTnwzOG2_Wg"",""Direct links Without Sizes!A2:A""),IMPORTRANGE(""1NK5L1mviMn0j3D3uo53ASkIZOFRlLnqaCTnwzOG2_Wg"",""Direct links Without Sizes!B2:B""))),XLOOKUP($B357,IMPORTRANGE(""1NK5L1mviMn0j3D3uo53ASkIZOFRlLnqaCTnwzOG2_Wg"",""Direct li"&amp;"nks Without Sizes!D2:D""),IMPORTRANGE(""1NK5L1mviMn0j3D3uo53ASkIZOFRlLnqaCTnwzOG2_Wg"",""Direct links Without Sizes!E2:E""))),"""")"),"")</f>
        <v/>
      </c>
      <c r="H357" s="41"/>
      <c r="I357" s="4"/>
      <c r="J357" s="4"/>
      <c r="K357" s="10" t="str">
        <f t="shared" si="1"/>
        <v/>
      </c>
      <c r="L357" s="10"/>
      <c r="M357" s="10" t="str">
        <f t="shared" si="2"/>
        <v/>
      </c>
    </row>
    <row r="358">
      <c r="A358" s="4"/>
      <c r="B358" s="15"/>
      <c r="C358" s="7" t="str">
        <f>IFERROR(__xludf.DUMMYFUNCTION("iferror(iferror(INDEX(IMPORTRANGE(""12vtnxaE_Q1s4tyr10kZQx7ZF_xG0lBFae4jQEUtgsMU"",""All!B2:B""),MATCH($B358,IMPORTRANGE(""12vtnxaE_Q1s4tyr10kZQx7ZF_xG0lBFae4jQEUtgsMU"",""All!A2:A""),0)),INDEX(IMPORTRANGE(""13KC70HngS4DDi8y9E5khtSpQEPG6owaQ9z4E-tR5mnY"","&amp;"""Non-Food!B2:B""),MATCH($B358,IMPORTRANGE(""13KC70HngS4DDi8y9E5khtSpQEPG6owaQ9z4E-tR5mnY"",""Non-Food!A2:A""),0))),"""")"),"")</f>
        <v/>
      </c>
      <c r="D358" s="15"/>
      <c r="E358" s="15"/>
      <c r="F358" s="36"/>
      <c r="G358" s="24" t="str">
        <f>IFERROR(__xludf.DUMMYFUNCTION("iferror(iferror(iferror(index(IMPORTRANGE(""1NK5L1mviMn0j3D3uo53ASkIZOFRlLnqaCTnwzOG2_Wg"",""Direct Link!B2:B""),MATCH($B358,IMPORTRANGE(""1NK5L1mviMn0j3D3uo53ASkIZOFRlLnqaCTnwzOG2_Wg"",""Direct Link!A2:A""),0)),XLOOKUP($B358,IMPORTRANGE(""1NK5L1mviMn0j3D"&amp;"3uo53ASkIZOFRlLnqaCTnwzOG2_Wg"",""Direct links Without Sizes!A2:A""),IMPORTRANGE(""1NK5L1mviMn0j3D3uo53ASkIZOFRlLnqaCTnwzOG2_Wg"",""Direct links Without Sizes!B2:B""))),XLOOKUP($B358,IMPORTRANGE(""1NK5L1mviMn0j3D3uo53ASkIZOFRlLnqaCTnwzOG2_Wg"",""Direct li"&amp;"nks Without Sizes!D2:D""),IMPORTRANGE(""1NK5L1mviMn0j3D3uo53ASkIZOFRlLnqaCTnwzOG2_Wg"",""Direct links Without Sizes!E2:E""))),"""")"),"")</f>
        <v/>
      </c>
      <c r="H358" s="41"/>
      <c r="I358" s="4"/>
      <c r="J358" s="4"/>
      <c r="K358" s="10" t="str">
        <f t="shared" si="1"/>
        <v/>
      </c>
      <c r="L358" s="10"/>
      <c r="M358" s="10" t="str">
        <f t="shared" si="2"/>
        <v/>
      </c>
    </row>
    <row r="359">
      <c r="A359" s="4"/>
      <c r="B359" s="15"/>
      <c r="C359" s="7" t="str">
        <f>IFERROR(__xludf.DUMMYFUNCTION("iferror(iferror(INDEX(IMPORTRANGE(""12vtnxaE_Q1s4tyr10kZQx7ZF_xG0lBFae4jQEUtgsMU"",""All!B2:B""),MATCH($B359,IMPORTRANGE(""12vtnxaE_Q1s4tyr10kZQx7ZF_xG0lBFae4jQEUtgsMU"",""All!A2:A""),0)),INDEX(IMPORTRANGE(""13KC70HngS4DDi8y9E5khtSpQEPG6owaQ9z4E-tR5mnY"","&amp;"""Non-Food!B2:B""),MATCH($B359,IMPORTRANGE(""13KC70HngS4DDi8y9E5khtSpQEPG6owaQ9z4E-tR5mnY"",""Non-Food!A2:A""),0))),"""")"),"")</f>
        <v/>
      </c>
      <c r="D359" s="15"/>
      <c r="E359" s="15"/>
      <c r="F359" s="36"/>
      <c r="G359" s="24" t="str">
        <f>IFERROR(__xludf.DUMMYFUNCTION("iferror(iferror(iferror(index(IMPORTRANGE(""1NK5L1mviMn0j3D3uo53ASkIZOFRlLnqaCTnwzOG2_Wg"",""Direct Link!B2:B""),MATCH($B359,IMPORTRANGE(""1NK5L1mviMn0j3D3uo53ASkIZOFRlLnqaCTnwzOG2_Wg"",""Direct Link!A2:A""),0)),XLOOKUP($B359,IMPORTRANGE(""1NK5L1mviMn0j3D"&amp;"3uo53ASkIZOFRlLnqaCTnwzOG2_Wg"",""Direct links Without Sizes!A2:A""),IMPORTRANGE(""1NK5L1mviMn0j3D3uo53ASkIZOFRlLnqaCTnwzOG2_Wg"",""Direct links Without Sizes!B2:B""))),XLOOKUP($B359,IMPORTRANGE(""1NK5L1mviMn0j3D3uo53ASkIZOFRlLnqaCTnwzOG2_Wg"",""Direct li"&amp;"nks Without Sizes!D2:D""),IMPORTRANGE(""1NK5L1mviMn0j3D3uo53ASkIZOFRlLnqaCTnwzOG2_Wg"",""Direct links Without Sizes!E2:E""))),"""")"),"")</f>
        <v/>
      </c>
      <c r="H359" s="41"/>
      <c r="I359" s="4"/>
      <c r="J359" s="4"/>
      <c r="K359" s="10" t="str">
        <f t="shared" si="1"/>
        <v/>
      </c>
      <c r="L359" s="10"/>
      <c r="M359" s="10" t="str">
        <f t="shared" si="2"/>
        <v/>
      </c>
    </row>
    <row r="360">
      <c r="A360" s="4"/>
      <c r="B360" s="15"/>
      <c r="C360" s="7" t="str">
        <f>IFERROR(__xludf.DUMMYFUNCTION("iferror(iferror(INDEX(IMPORTRANGE(""12vtnxaE_Q1s4tyr10kZQx7ZF_xG0lBFae4jQEUtgsMU"",""All!B2:B""),MATCH($B360,IMPORTRANGE(""12vtnxaE_Q1s4tyr10kZQx7ZF_xG0lBFae4jQEUtgsMU"",""All!A2:A""),0)),INDEX(IMPORTRANGE(""13KC70HngS4DDi8y9E5khtSpQEPG6owaQ9z4E-tR5mnY"","&amp;"""Non-Food!B2:B""),MATCH($B360,IMPORTRANGE(""13KC70HngS4DDi8y9E5khtSpQEPG6owaQ9z4E-tR5mnY"",""Non-Food!A2:A""),0))),"""")"),"")</f>
        <v/>
      </c>
      <c r="D360" s="15"/>
      <c r="E360" s="15"/>
      <c r="F360" s="36"/>
      <c r="G360" s="24" t="str">
        <f>IFERROR(__xludf.DUMMYFUNCTION("iferror(iferror(iferror(index(IMPORTRANGE(""1NK5L1mviMn0j3D3uo53ASkIZOFRlLnqaCTnwzOG2_Wg"",""Direct Link!B2:B""),MATCH($B360,IMPORTRANGE(""1NK5L1mviMn0j3D3uo53ASkIZOFRlLnqaCTnwzOG2_Wg"",""Direct Link!A2:A""),0)),XLOOKUP($B360,IMPORTRANGE(""1NK5L1mviMn0j3D"&amp;"3uo53ASkIZOFRlLnqaCTnwzOG2_Wg"",""Direct links Without Sizes!A2:A""),IMPORTRANGE(""1NK5L1mviMn0j3D3uo53ASkIZOFRlLnqaCTnwzOG2_Wg"",""Direct links Without Sizes!B2:B""))),XLOOKUP($B360,IMPORTRANGE(""1NK5L1mviMn0j3D3uo53ASkIZOFRlLnqaCTnwzOG2_Wg"",""Direct li"&amp;"nks Without Sizes!D2:D""),IMPORTRANGE(""1NK5L1mviMn0j3D3uo53ASkIZOFRlLnqaCTnwzOG2_Wg"",""Direct links Without Sizes!E2:E""))),"""")"),"")</f>
        <v/>
      </c>
      <c r="H360" s="41"/>
      <c r="I360" s="4"/>
      <c r="J360" s="4"/>
      <c r="K360" s="10" t="str">
        <f t="shared" si="1"/>
        <v/>
      </c>
      <c r="L360" s="10"/>
      <c r="M360" s="10" t="str">
        <f t="shared" si="2"/>
        <v/>
      </c>
    </row>
    <row r="361">
      <c r="A361" s="4"/>
      <c r="B361" s="15"/>
      <c r="C361" s="7" t="str">
        <f>IFERROR(__xludf.DUMMYFUNCTION("iferror(iferror(INDEX(IMPORTRANGE(""12vtnxaE_Q1s4tyr10kZQx7ZF_xG0lBFae4jQEUtgsMU"",""All!B2:B""),MATCH($B361,IMPORTRANGE(""12vtnxaE_Q1s4tyr10kZQx7ZF_xG0lBFae4jQEUtgsMU"",""All!A2:A""),0)),INDEX(IMPORTRANGE(""13KC70HngS4DDi8y9E5khtSpQEPG6owaQ9z4E-tR5mnY"","&amp;"""Non-Food!B2:B""),MATCH($B361,IMPORTRANGE(""13KC70HngS4DDi8y9E5khtSpQEPG6owaQ9z4E-tR5mnY"",""Non-Food!A2:A""),0))),"""")"),"")</f>
        <v/>
      </c>
      <c r="D361" s="15"/>
      <c r="E361" s="15"/>
      <c r="F361" s="36"/>
      <c r="G361" s="24" t="str">
        <f>IFERROR(__xludf.DUMMYFUNCTION("iferror(iferror(iferror(index(IMPORTRANGE(""1NK5L1mviMn0j3D3uo53ASkIZOFRlLnqaCTnwzOG2_Wg"",""Direct Link!B2:B""),MATCH($B361,IMPORTRANGE(""1NK5L1mviMn0j3D3uo53ASkIZOFRlLnqaCTnwzOG2_Wg"",""Direct Link!A2:A""),0)),XLOOKUP($B361,IMPORTRANGE(""1NK5L1mviMn0j3D"&amp;"3uo53ASkIZOFRlLnqaCTnwzOG2_Wg"",""Direct links Without Sizes!A2:A""),IMPORTRANGE(""1NK5L1mviMn0j3D3uo53ASkIZOFRlLnqaCTnwzOG2_Wg"",""Direct links Without Sizes!B2:B""))),XLOOKUP($B361,IMPORTRANGE(""1NK5L1mviMn0j3D3uo53ASkIZOFRlLnqaCTnwzOG2_Wg"",""Direct li"&amp;"nks Without Sizes!D2:D""),IMPORTRANGE(""1NK5L1mviMn0j3D3uo53ASkIZOFRlLnqaCTnwzOG2_Wg"",""Direct links Without Sizes!E2:E""))),"""")"),"")</f>
        <v/>
      </c>
      <c r="H361" s="41"/>
      <c r="I361" s="4"/>
      <c r="J361" s="4"/>
      <c r="K361" s="10" t="str">
        <f t="shared" si="1"/>
        <v/>
      </c>
      <c r="L361" s="10"/>
      <c r="M361" s="10" t="str">
        <f t="shared" si="2"/>
        <v/>
      </c>
    </row>
    <row r="362">
      <c r="A362" s="4"/>
      <c r="B362" s="15"/>
      <c r="C362" s="7" t="str">
        <f>IFERROR(__xludf.DUMMYFUNCTION("iferror(iferror(INDEX(IMPORTRANGE(""12vtnxaE_Q1s4tyr10kZQx7ZF_xG0lBFae4jQEUtgsMU"",""All!B2:B""),MATCH($B362,IMPORTRANGE(""12vtnxaE_Q1s4tyr10kZQx7ZF_xG0lBFae4jQEUtgsMU"",""All!A2:A""),0)),INDEX(IMPORTRANGE(""13KC70HngS4DDi8y9E5khtSpQEPG6owaQ9z4E-tR5mnY"","&amp;"""Non-Food!B2:B""),MATCH($B362,IMPORTRANGE(""13KC70HngS4DDi8y9E5khtSpQEPG6owaQ9z4E-tR5mnY"",""Non-Food!A2:A""),0))),"""")"),"")</f>
        <v/>
      </c>
      <c r="D362" s="15"/>
      <c r="E362" s="15"/>
      <c r="F362" s="36"/>
      <c r="G362" s="24" t="str">
        <f>IFERROR(__xludf.DUMMYFUNCTION("iferror(iferror(iferror(index(IMPORTRANGE(""1NK5L1mviMn0j3D3uo53ASkIZOFRlLnqaCTnwzOG2_Wg"",""Direct Link!B2:B""),MATCH($B362,IMPORTRANGE(""1NK5L1mviMn0j3D3uo53ASkIZOFRlLnqaCTnwzOG2_Wg"",""Direct Link!A2:A""),0)),XLOOKUP($B362,IMPORTRANGE(""1NK5L1mviMn0j3D"&amp;"3uo53ASkIZOFRlLnqaCTnwzOG2_Wg"",""Direct links Without Sizes!A2:A""),IMPORTRANGE(""1NK5L1mviMn0j3D3uo53ASkIZOFRlLnqaCTnwzOG2_Wg"",""Direct links Without Sizes!B2:B""))),XLOOKUP($B362,IMPORTRANGE(""1NK5L1mviMn0j3D3uo53ASkIZOFRlLnqaCTnwzOG2_Wg"",""Direct li"&amp;"nks Without Sizes!D2:D""),IMPORTRANGE(""1NK5L1mviMn0j3D3uo53ASkIZOFRlLnqaCTnwzOG2_Wg"",""Direct links Without Sizes!E2:E""))),"""")"),"")</f>
        <v/>
      </c>
      <c r="H362" s="41"/>
      <c r="I362" s="4"/>
      <c r="J362" s="4"/>
      <c r="K362" s="10" t="str">
        <f t="shared" si="1"/>
        <v/>
      </c>
      <c r="L362" s="10"/>
      <c r="M362" s="10" t="str">
        <f t="shared" si="2"/>
        <v/>
      </c>
    </row>
    <row r="363">
      <c r="A363" s="4"/>
      <c r="B363" s="15"/>
      <c r="C363" s="7" t="str">
        <f>IFERROR(__xludf.DUMMYFUNCTION("iferror(iferror(INDEX(IMPORTRANGE(""12vtnxaE_Q1s4tyr10kZQx7ZF_xG0lBFae4jQEUtgsMU"",""All!B2:B""),MATCH($B363,IMPORTRANGE(""12vtnxaE_Q1s4tyr10kZQx7ZF_xG0lBFae4jQEUtgsMU"",""All!A2:A""),0)),INDEX(IMPORTRANGE(""13KC70HngS4DDi8y9E5khtSpQEPG6owaQ9z4E-tR5mnY"","&amp;"""Non-Food!B2:B""),MATCH($B363,IMPORTRANGE(""13KC70HngS4DDi8y9E5khtSpQEPG6owaQ9z4E-tR5mnY"",""Non-Food!A2:A""),0))),"""")"),"")</f>
        <v/>
      </c>
      <c r="D363" s="15"/>
      <c r="E363" s="15"/>
      <c r="F363" s="36"/>
      <c r="G363" s="24" t="str">
        <f>IFERROR(__xludf.DUMMYFUNCTION("iferror(iferror(iferror(index(IMPORTRANGE(""1NK5L1mviMn0j3D3uo53ASkIZOFRlLnqaCTnwzOG2_Wg"",""Direct Link!B2:B""),MATCH($B363,IMPORTRANGE(""1NK5L1mviMn0j3D3uo53ASkIZOFRlLnqaCTnwzOG2_Wg"",""Direct Link!A2:A""),0)),XLOOKUP($B363,IMPORTRANGE(""1NK5L1mviMn0j3D"&amp;"3uo53ASkIZOFRlLnqaCTnwzOG2_Wg"",""Direct links Without Sizes!A2:A""),IMPORTRANGE(""1NK5L1mviMn0j3D3uo53ASkIZOFRlLnqaCTnwzOG2_Wg"",""Direct links Without Sizes!B2:B""))),XLOOKUP($B363,IMPORTRANGE(""1NK5L1mviMn0j3D3uo53ASkIZOFRlLnqaCTnwzOG2_Wg"",""Direct li"&amp;"nks Without Sizes!D2:D""),IMPORTRANGE(""1NK5L1mviMn0j3D3uo53ASkIZOFRlLnqaCTnwzOG2_Wg"",""Direct links Without Sizes!E2:E""))),"""")"),"")</f>
        <v/>
      </c>
      <c r="H363" s="41"/>
      <c r="I363" s="4"/>
      <c r="J363" s="4"/>
      <c r="K363" s="10" t="str">
        <f t="shared" si="1"/>
        <v/>
      </c>
      <c r="L363" s="10"/>
      <c r="M363" s="10" t="str">
        <f t="shared" si="2"/>
        <v/>
      </c>
    </row>
    <row r="364">
      <c r="A364" s="4"/>
      <c r="B364" s="15"/>
      <c r="C364" s="7" t="str">
        <f>IFERROR(__xludf.DUMMYFUNCTION("iferror(iferror(INDEX(IMPORTRANGE(""12vtnxaE_Q1s4tyr10kZQx7ZF_xG0lBFae4jQEUtgsMU"",""All!B2:B""),MATCH($B364,IMPORTRANGE(""12vtnxaE_Q1s4tyr10kZQx7ZF_xG0lBFae4jQEUtgsMU"",""All!A2:A""),0)),INDEX(IMPORTRANGE(""13KC70HngS4DDi8y9E5khtSpQEPG6owaQ9z4E-tR5mnY"","&amp;"""Non-Food!B2:B""),MATCH($B364,IMPORTRANGE(""13KC70HngS4DDi8y9E5khtSpQEPG6owaQ9z4E-tR5mnY"",""Non-Food!A2:A""),0))),"""")"),"")</f>
        <v/>
      </c>
      <c r="D364" s="15"/>
      <c r="E364" s="15"/>
      <c r="F364" s="36"/>
      <c r="G364" s="24" t="str">
        <f>IFERROR(__xludf.DUMMYFUNCTION("iferror(iferror(iferror(index(IMPORTRANGE(""1NK5L1mviMn0j3D3uo53ASkIZOFRlLnqaCTnwzOG2_Wg"",""Direct Link!B2:B""),MATCH($B364,IMPORTRANGE(""1NK5L1mviMn0j3D3uo53ASkIZOFRlLnqaCTnwzOG2_Wg"",""Direct Link!A2:A""),0)),XLOOKUP($B364,IMPORTRANGE(""1NK5L1mviMn0j3D"&amp;"3uo53ASkIZOFRlLnqaCTnwzOG2_Wg"",""Direct links Without Sizes!A2:A""),IMPORTRANGE(""1NK5L1mviMn0j3D3uo53ASkIZOFRlLnqaCTnwzOG2_Wg"",""Direct links Without Sizes!B2:B""))),XLOOKUP($B364,IMPORTRANGE(""1NK5L1mviMn0j3D3uo53ASkIZOFRlLnqaCTnwzOG2_Wg"",""Direct li"&amp;"nks Without Sizes!D2:D""),IMPORTRANGE(""1NK5L1mviMn0j3D3uo53ASkIZOFRlLnqaCTnwzOG2_Wg"",""Direct links Without Sizes!E2:E""))),"""")"),"")</f>
        <v/>
      </c>
      <c r="H364" s="41"/>
      <c r="I364" s="4"/>
      <c r="J364" s="4"/>
      <c r="K364" s="10" t="str">
        <f t="shared" si="1"/>
        <v/>
      </c>
      <c r="L364" s="10"/>
      <c r="M364" s="10" t="str">
        <f t="shared" si="2"/>
        <v/>
      </c>
    </row>
    <row r="365">
      <c r="A365" s="4"/>
      <c r="B365" s="15"/>
      <c r="C365" s="7" t="str">
        <f>IFERROR(__xludf.DUMMYFUNCTION("iferror(iferror(INDEX(IMPORTRANGE(""12vtnxaE_Q1s4tyr10kZQx7ZF_xG0lBFae4jQEUtgsMU"",""All!B2:B""),MATCH($B365,IMPORTRANGE(""12vtnxaE_Q1s4tyr10kZQx7ZF_xG0lBFae4jQEUtgsMU"",""All!A2:A""),0)),INDEX(IMPORTRANGE(""13KC70HngS4DDi8y9E5khtSpQEPG6owaQ9z4E-tR5mnY"","&amp;"""Non-Food!B2:B""),MATCH($B365,IMPORTRANGE(""13KC70HngS4DDi8y9E5khtSpQEPG6owaQ9z4E-tR5mnY"",""Non-Food!A2:A""),0))),"""")"),"")</f>
        <v/>
      </c>
      <c r="D365" s="15"/>
      <c r="E365" s="15"/>
      <c r="F365" s="36"/>
      <c r="G365" s="24" t="str">
        <f>IFERROR(__xludf.DUMMYFUNCTION("iferror(iferror(iferror(index(IMPORTRANGE(""1NK5L1mviMn0j3D3uo53ASkIZOFRlLnqaCTnwzOG2_Wg"",""Direct Link!B2:B""),MATCH($B365,IMPORTRANGE(""1NK5L1mviMn0j3D3uo53ASkIZOFRlLnqaCTnwzOG2_Wg"",""Direct Link!A2:A""),0)),XLOOKUP($B365,IMPORTRANGE(""1NK5L1mviMn0j3D"&amp;"3uo53ASkIZOFRlLnqaCTnwzOG2_Wg"",""Direct links Without Sizes!A2:A""),IMPORTRANGE(""1NK5L1mviMn0j3D3uo53ASkIZOFRlLnqaCTnwzOG2_Wg"",""Direct links Without Sizes!B2:B""))),XLOOKUP($B365,IMPORTRANGE(""1NK5L1mviMn0j3D3uo53ASkIZOFRlLnqaCTnwzOG2_Wg"",""Direct li"&amp;"nks Without Sizes!D2:D""),IMPORTRANGE(""1NK5L1mviMn0j3D3uo53ASkIZOFRlLnqaCTnwzOG2_Wg"",""Direct links Without Sizes!E2:E""))),"""")"),"")</f>
        <v/>
      </c>
      <c r="H365" s="41"/>
      <c r="I365" s="4"/>
      <c r="J365" s="4"/>
      <c r="K365" s="10" t="str">
        <f t="shared" si="1"/>
        <v/>
      </c>
      <c r="L365" s="10"/>
      <c r="M365" s="10" t="str">
        <f t="shared" si="2"/>
        <v/>
      </c>
    </row>
    <row r="366">
      <c r="A366" s="4"/>
      <c r="B366" s="15"/>
      <c r="C366" s="7" t="str">
        <f>IFERROR(__xludf.DUMMYFUNCTION("iferror(iferror(INDEX(IMPORTRANGE(""12vtnxaE_Q1s4tyr10kZQx7ZF_xG0lBFae4jQEUtgsMU"",""All!B2:B""),MATCH($B366,IMPORTRANGE(""12vtnxaE_Q1s4tyr10kZQx7ZF_xG0lBFae4jQEUtgsMU"",""All!A2:A""),0)),INDEX(IMPORTRANGE(""13KC70HngS4DDi8y9E5khtSpQEPG6owaQ9z4E-tR5mnY"","&amp;"""Non-Food!B2:B""),MATCH($B366,IMPORTRANGE(""13KC70HngS4DDi8y9E5khtSpQEPG6owaQ9z4E-tR5mnY"",""Non-Food!A2:A""),0))),"""")"),"")</f>
        <v/>
      </c>
      <c r="D366" s="15"/>
      <c r="E366" s="15"/>
      <c r="F366" s="36"/>
      <c r="G366" s="24" t="str">
        <f>IFERROR(__xludf.DUMMYFUNCTION("iferror(iferror(iferror(index(IMPORTRANGE(""1NK5L1mviMn0j3D3uo53ASkIZOFRlLnqaCTnwzOG2_Wg"",""Direct Link!B2:B""),MATCH($B366,IMPORTRANGE(""1NK5L1mviMn0j3D3uo53ASkIZOFRlLnqaCTnwzOG2_Wg"",""Direct Link!A2:A""),0)),XLOOKUP($B366,IMPORTRANGE(""1NK5L1mviMn0j3D"&amp;"3uo53ASkIZOFRlLnqaCTnwzOG2_Wg"",""Direct links Without Sizes!A2:A""),IMPORTRANGE(""1NK5L1mviMn0j3D3uo53ASkIZOFRlLnqaCTnwzOG2_Wg"",""Direct links Without Sizes!B2:B""))),XLOOKUP($B366,IMPORTRANGE(""1NK5L1mviMn0j3D3uo53ASkIZOFRlLnqaCTnwzOG2_Wg"",""Direct li"&amp;"nks Without Sizes!D2:D""),IMPORTRANGE(""1NK5L1mviMn0j3D3uo53ASkIZOFRlLnqaCTnwzOG2_Wg"",""Direct links Without Sizes!E2:E""))),"""")"),"")</f>
        <v/>
      </c>
      <c r="H366" s="41"/>
      <c r="I366" s="4"/>
      <c r="J366" s="4"/>
      <c r="K366" s="10" t="str">
        <f t="shared" si="1"/>
        <v/>
      </c>
      <c r="L366" s="10"/>
      <c r="M366" s="10" t="str">
        <f t="shared" si="2"/>
        <v/>
      </c>
    </row>
    <row r="367">
      <c r="A367" s="4"/>
      <c r="B367" s="15"/>
      <c r="C367" s="7" t="str">
        <f>IFERROR(__xludf.DUMMYFUNCTION("iferror(iferror(INDEX(IMPORTRANGE(""12vtnxaE_Q1s4tyr10kZQx7ZF_xG0lBFae4jQEUtgsMU"",""All!B2:B""),MATCH($B367,IMPORTRANGE(""12vtnxaE_Q1s4tyr10kZQx7ZF_xG0lBFae4jQEUtgsMU"",""All!A2:A""),0)),INDEX(IMPORTRANGE(""13KC70HngS4DDi8y9E5khtSpQEPG6owaQ9z4E-tR5mnY"","&amp;"""Non-Food!B2:B""),MATCH($B367,IMPORTRANGE(""13KC70HngS4DDi8y9E5khtSpQEPG6owaQ9z4E-tR5mnY"",""Non-Food!A2:A""),0))),"""")"),"")</f>
        <v/>
      </c>
      <c r="D367" s="15"/>
      <c r="E367" s="15"/>
      <c r="F367" s="36"/>
      <c r="G367" s="24" t="str">
        <f>IFERROR(__xludf.DUMMYFUNCTION("iferror(iferror(iferror(index(IMPORTRANGE(""1NK5L1mviMn0j3D3uo53ASkIZOFRlLnqaCTnwzOG2_Wg"",""Direct Link!B2:B""),MATCH($B367,IMPORTRANGE(""1NK5L1mviMn0j3D3uo53ASkIZOFRlLnqaCTnwzOG2_Wg"",""Direct Link!A2:A""),0)),XLOOKUP($B367,IMPORTRANGE(""1NK5L1mviMn0j3D"&amp;"3uo53ASkIZOFRlLnqaCTnwzOG2_Wg"",""Direct links Without Sizes!A2:A""),IMPORTRANGE(""1NK5L1mviMn0j3D3uo53ASkIZOFRlLnqaCTnwzOG2_Wg"",""Direct links Without Sizes!B2:B""))),XLOOKUP($B367,IMPORTRANGE(""1NK5L1mviMn0j3D3uo53ASkIZOFRlLnqaCTnwzOG2_Wg"",""Direct li"&amp;"nks Without Sizes!D2:D""),IMPORTRANGE(""1NK5L1mviMn0j3D3uo53ASkIZOFRlLnqaCTnwzOG2_Wg"",""Direct links Without Sizes!E2:E""))),"""")"),"")</f>
        <v/>
      </c>
      <c r="H367" s="41"/>
      <c r="I367" s="4"/>
      <c r="J367" s="4"/>
      <c r="K367" s="10" t="str">
        <f t="shared" si="1"/>
        <v/>
      </c>
      <c r="L367" s="10"/>
      <c r="M367" s="10" t="str">
        <f t="shared" si="2"/>
        <v/>
      </c>
    </row>
    <row r="368">
      <c r="A368" s="4"/>
      <c r="B368" s="15"/>
      <c r="C368" s="7" t="str">
        <f>IFERROR(__xludf.DUMMYFUNCTION("iferror(iferror(INDEX(IMPORTRANGE(""12vtnxaE_Q1s4tyr10kZQx7ZF_xG0lBFae4jQEUtgsMU"",""All!B2:B""),MATCH($B368,IMPORTRANGE(""12vtnxaE_Q1s4tyr10kZQx7ZF_xG0lBFae4jQEUtgsMU"",""All!A2:A""),0)),INDEX(IMPORTRANGE(""13KC70HngS4DDi8y9E5khtSpQEPG6owaQ9z4E-tR5mnY"","&amp;"""Non-Food!B2:B""),MATCH($B368,IMPORTRANGE(""13KC70HngS4DDi8y9E5khtSpQEPG6owaQ9z4E-tR5mnY"",""Non-Food!A2:A""),0))),"""")"),"")</f>
        <v/>
      </c>
      <c r="D368" s="15"/>
      <c r="E368" s="15"/>
      <c r="F368" s="36"/>
      <c r="G368" s="24" t="str">
        <f>IFERROR(__xludf.DUMMYFUNCTION("iferror(iferror(iferror(index(IMPORTRANGE(""1NK5L1mviMn0j3D3uo53ASkIZOFRlLnqaCTnwzOG2_Wg"",""Direct Link!B2:B""),MATCH($B368,IMPORTRANGE(""1NK5L1mviMn0j3D3uo53ASkIZOFRlLnqaCTnwzOG2_Wg"",""Direct Link!A2:A""),0)),XLOOKUP($B368,IMPORTRANGE(""1NK5L1mviMn0j3D"&amp;"3uo53ASkIZOFRlLnqaCTnwzOG2_Wg"",""Direct links Without Sizes!A2:A""),IMPORTRANGE(""1NK5L1mviMn0j3D3uo53ASkIZOFRlLnqaCTnwzOG2_Wg"",""Direct links Without Sizes!B2:B""))),XLOOKUP($B368,IMPORTRANGE(""1NK5L1mviMn0j3D3uo53ASkIZOFRlLnqaCTnwzOG2_Wg"",""Direct li"&amp;"nks Without Sizes!D2:D""),IMPORTRANGE(""1NK5L1mviMn0j3D3uo53ASkIZOFRlLnqaCTnwzOG2_Wg"",""Direct links Without Sizes!E2:E""))),"""")"),"")</f>
        <v/>
      </c>
      <c r="H368" s="41"/>
      <c r="I368" s="4"/>
      <c r="J368" s="4"/>
      <c r="K368" s="10" t="str">
        <f t="shared" si="1"/>
        <v/>
      </c>
      <c r="L368" s="10"/>
      <c r="M368" s="10" t="str">
        <f t="shared" si="2"/>
        <v/>
      </c>
    </row>
    <row r="369">
      <c r="A369" s="4"/>
      <c r="B369" s="15"/>
      <c r="C369" s="7" t="str">
        <f>IFERROR(__xludf.DUMMYFUNCTION("iferror(iferror(INDEX(IMPORTRANGE(""12vtnxaE_Q1s4tyr10kZQx7ZF_xG0lBFae4jQEUtgsMU"",""All!B2:B""),MATCH($B369,IMPORTRANGE(""12vtnxaE_Q1s4tyr10kZQx7ZF_xG0lBFae4jQEUtgsMU"",""All!A2:A""),0)),INDEX(IMPORTRANGE(""13KC70HngS4DDi8y9E5khtSpQEPG6owaQ9z4E-tR5mnY"","&amp;"""Non-Food!B2:B""),MATCH($B369,IMPORTRANGE(""13KC70HngS4DDi8y9E5khtSpQEPG6owaQ9z4E-tR5mnY"",""Non-Food!A2:A""),0))),"""")"),"")</f>
        <v/>
      </c>
      <c r="D369" s="15"/>
      <c r="E369" s="15"/>
      <c r="F369" s="36"/>
      <c r="G369" s="24" t="str">
        <f>IFERROR(__xludf.DUMMYFUNCTION("iferror(iferror(iferror(index(IMPORTRANGE(""1NK5L1mviMn0j3D3uo53ASkIZOFRlLnqaCTnwzOG2_Wg"",""Direct Link!B2:B""),MATCH($B369,IMPORTRANGE(""1NK5L1mviMn0j3D3uo53ASkIZOFRlLnqaCTnwzOG2_Wg"",""Direct Link!A2:A""),0)),XLOOKUP($B369,IMPORTRANGE(""1NK5L1mviMn0j3D"&amp;"3uo53ASkIZOFRlLnqaCTnwzOG2_Wg"",""Direct links Without Sizes!A2:A""),IMPORTRANGE(""1NK5L1mviMn0j3D3uo53ASkIZOFRlLnqaCTnwzOG2_Wg"",""Direct links Without Sizes!B2:B""))),XLOOKUP($B369,IMPORTRANGE(""1NK5L1mviMn0j3D3uo53ASkIZOFRlLnqaCTnwzOG2_Wg"",""Direct li"&amp;"nks Without Sizes!D2:D""),IMPORTRANGE(""1NK5L1mviMn0j3D3uo53ASkIZOFRlLnqaCTnwzOG2_Wg"",""Direct links Without Sizes!E2:E""))),"""")"),"")</f>
        <v/>
      </c>
      <c r="H369" s="41"/>
      <c r="I369" s="4"/>
      <c r="J369" s="4"/>
      <c r="K369" s="10" t="str">
        <f t="shared" si="1"/>
        <v/>
      </c>
      <c r="L369" s="10"/>
      <c r="M369" s="10" t="str">
        <f t="shared" si="2"/>
        <v/>
      </c>
    </row>
    <row r="370">
      <c r="A370" s="4"/>
      <c r="B370" s="15"/>
      <c r="C370" s="7" t="str">
        <f>IFERROR(__xludf.DUMMYFUNCTION("iferror(iferror(INDEX(IMPORTRANGE(""12vtnxaE_Q1s4tyr10kZQx7ZF_xG0lBFae4jQEUtgsMU"",""All!B2:B""),MATCH($B370,IMPORTRANGE(""12vtnxaE_Q1s4tyr10kZQx7ZF_xG0lBFae4jQEUtgsMU"",""All!A2:A""),0)),INDEX(IMPORTRANGE(""13KC70HngS4DDi8y9E5khtSpQEPG6owaQ9z4E-tR5mnY"","&amp;"""Non-Food!B2:B""),MATCH($B370,IMPORTRANGE(""13KC70HngS4DDi8y9E5khtSpQEPG6owaQ9z4E-tR5mnY"",""Non-Food!A2:A""),0))),"""")"),"")</f>
        <v/>
      </c>
      <c r="D370" s="15"/>
      <c r="E370" s="15"/>
      <c r="F370" s="36"/>
      <c r="G370" s="24" t="str">
        <f>IFERROR(__xludf.DUMMYFUNCTION("iferror(iferror(iferror(index(IMPORTRANGE(""1NK5L1mviMn0j3D3uo53ASkIZOFRlLnqaCTnwzOG2_Wg"",""Direct Link!B2:B""),MATCH($B370,IMPORTRANGE(""1NK5L1mviMn0j3D3uo53ASkIZOFRlLnqaCTnwzOG2_Wg"",""Direct Link!A2:A""),0)),XLOOKUP($B370,IMPORTRANGE(""1NK5L1mviMn0j3D"&amp;"3uo53ASkIZOFRlLnqaCTnwzOG2_Wg"",""Direct links Without Sizes!A2:A""),IMPORTRANGE(""1NK5L1mviMn0j3D3uo53ASkIZOFRlLnqaCTnwzOG2_Wg"",""Direct links Without Sizes!B2:B""))),XLOOKUP($B370,IMPORTRANGE(""1NK5L1mviMn0j3D3uo53ASkIZOFRlLnqaCTnwzOG2_Wg"",""Direct li"&amp;"nks Without Sizes!D2:D""),IMPORTRANGE(""1NK5L1mviMn0j3D3uo53ASkIZOFRlLnqaCTnwzOG2_Wg"",""Direct links Without Sizes!E2:E""))),"""")"),"")</f>
        <v/>
      </c>
      <c r="H370" s="41"/>
      <c r="I370" s="4"/>
      <c r="J370" s="4"/>
      <c r="K370" s="10" t="str">
        <f t="shared" si="1"/>
        <v/>
      </c>
      <c r="L370" s="10"/>
      <c r="M370" s="10" t="str">
        <f t="shared" si="2"/>
        <v/>
      </c>
    </row>
    <row r="371">
      <c r="A371" s="4"/>
      <c r="B371" s="15"/>
      <c r="C371" s="7" t="str">
        <f>IFERROR(__xludf.DUMMYFUNCTION("iferror(iferror(INDEX(IMPORTRANGE(""12vtnxaE_Q1s4tyr10kZQx7ZF_xG0lBFae4jQEUtgsMU"",""All!B2:B""),MATCH($B371,IMPORTRANGE(""12vtnxaE_Q1s4tyr10kZQx7ZF_xG0lBFae4jQEUtgsMU"",""All!A2:A""),0)),INDEX(IMPORTRANGE(""13KC70HngS4DDi8y9E5khtSpQEPG6owaQ9z4E-tR5mnY"","&amp;"""Non-Food!B2:B""),MATCH($B371,IMPORTRANGE(""13KC70HngS4DDi8y9E5khtSpQEPG6owaQ9z4E-tR5mnY"",""Non-Food!A2:A""),0))),"""")"),"")</f>
        <v/>
      </c>
      <c r="D371" s="15"/>
      <c r="E371" s="15"/>
      <c r="F371" s="36"/>
      <c r="G371" s="24" t="str">
        <f>IFERROR(__xludf.DUMMYFUNCTION("iferror(iferror(iferror(index(IMPORTRANGE(""1NK5L1mviMn0j3D3uo53ASkIZOFRlLnqaCTnwzOG2_Wg"",""Direct Link!B2:B""),MATCH($B371,IMPORTRANGE(""1NK5L1mviMn0j3D3uo53ASkIZOFRlLnqaCTnwzOG2_Wg"",""Direct Link!A2:A""),0)),XLOOKUP($B371,IMPORTRANGE(""1NK5L1mviMn0j3D"&amp;"3uo53ASkIZOFRlLnqaCTnwzOG2_Wg"",""Direct links Without Sizes!A2:A""),IMPORTRANGE(""1NK5L1mviMn0j3D3uo53ASkIZOFRlLnqaCTnwzOG2_Wg"",""Direct links Without Sizes!B2:B""))),XLOOKUP($B371,IMPORTRANGE(""1NK5L1mviMn0j3D3uo53ASkIZOFRlLnqaCTnwzOG2_Wg"",""Direct li"&amp;"nks Without Sizes!D2:D""),IMPORTRANGE(""1NK5L1mviMn0j3D3uo53ASkIZOFRlLnqaCTnwzOG2_Wg"",""Direct links Without Sizes!E2:E""))),"""")"),"")</f>
        <v/>
      </c>
      <c r="H371" s="41"/>
      <c r="I371" s="4"/>
      <c r="J371" s="4"/>
      <c r="K371" s="10" t="str">
        <f t="shared" si="1"/>
        <v/>
      </c>
      <c r="L371" s="10"/>
      <c r="M371" s="10" t="str">
        <f t="shared" si="2"/>
        <v/>
      </c>
    </row>
    <row r="372">
      <c r="A372" s="4"/>
      <c r="B372" s="15"/>
      <c r="C372" s="7" t="str">
        <f>IFERROR(__xludf.DUMMYFUNCTION("iferror(iferror(INDEX(IMPORTRANGE(""12vtnxaE_Q1s4tyr10kZQx7ZF_xG0lBFae4jQEUtgsMU"",""All!B2:B""),MATCH($B372,IMPORTRANGE(""12vtnxaE_Q1s4tyr10kZQx7ZF_xG0lBFae4jQEUtgsMU"",""All!A2:A""),0)),INDEX(IMPORTRANGE(""13KC70HngS4DDi8y9E5khtSpQEPG6owaQ9z4E-tR5mnY"","&amp;"""Non-Food!B2:B""),MATCH($B372,IMPORTRANGE(""13KC70HngS4DDi8y9E5khtSpQEPG6owaQ9z4E-tR5mnY"",""Non-Food!A2:A""),0))),"""")"),"")</f>
        <v/>
      </c>
      <c r="D372" s="15"/>
      <c r="E372" s="15"/>
      <c r="F372" s="36"/>
      <c r="G372" s="24" t="str">
        <f>IFERROR(__xludf.DUMMYFUNCTION("iferror(iferror(iferror(index(IMPORTRANGE(""1NK5L1mviMn0j3D3uo53ASkIZOFRlLnqaCTnwzOG2_Wg"",""Direct Link!B2:B""),MATCH($B372,IMPORTRANGE(""1NK5L1mviMn0j3D3uo53ASkIZOFRlLnqaCTnwzOG2_Wg"",""Direct Link!A2:A""),0)),XLOOKUP($B372,IMPORTRANGE(""1NK5L1mviMn0j3D"&amp;"3uo53ASkIZOFRlLnqaCTnwzOG2_Wg"",""Direct links Without Sizes!A2:A""),IMPORTRANGE(""1NK5L1mviMn0j3D3uo53ASkIZOFRlLnqaCTnwzOG2_Wg"",""Direct links Without Sizes!B2:B""))),XLOOKUP($B372,IMPORTRANGE(""1NK5L1mviMn0j3D3uo53ASkIZOFRlLnqaCTnwzOG2_Wg"",""Direct li"&amp;"nks Without Sizes!D2:D""),IMPORTRANGE(""1NK5L1mviMn0j3D3uo53ASkIZOFRlLnqaCTnwzOG2_Wg"",""Direct links Without Sizes!E2:E""))),"""")"),"")</f>
        <v/>
      </c>
      <c r="H372" s="41"/>
      <c r="I372" s="4"/>
      <c r="J372" s="4"/>
      <c r="K372" s="10" t="str">
        <f t="shared" si="1"/>
        <v/>
      </c>
      <c r="L372" s="10"/>
      <c r="M372" s="10" t="str">
        <f t="shared" si="2"/>
        <v/>
      </c>
    </row>
    <row r="373">
      <c r="A373" s="4"/>
      <c r="B373" s="15"/>
      <c r="C373" s="7" t="str">
        <f>IFERROR(__xludf.DUMMYFUNCTION("iferror(iferror(INDEX(IMPORTRANGE(""12vtnxaE_Q1s4tyr10kZQx7ZF_xG0lBFae4jQEUtgsMU"",""All!B2:B""),MATCH($B373,IMPORTRANGE(""12vtnxaE_Q1s4tyr10kZQx7ZF_xG0lBFae4jQEUtgsMU"",""All!A2:A""),0)),INDEX(IMPORTRANGE(""13KC70HngS4DDi8y9E5khtSpQEPG6owaQ9z4E-tR5mnY"","&amp;"""Non-Food!B2:B""),MATCH($B373,IMPORTRANGE(""13KC70HngS4DDi8y9E5khtSpQEPG6owaQ9z4E-tR5mnY"",""Non-Food!A2:A""),0))),"""")"),"")</f>
        <v/>
      </c>
      <c r="D373" s="15"/>
      <c r="E373" s="15"/>
      <c r="F373" s="36"/>
      <c r="G373" s="24" t="str">
        <f>IFERROR(__xludf.DUMMYFUNCTION("iferror(iferror(iferror(index(IMPORTRANGE(""1NK5L1mviMn0j3D3uo53ASkIZOFRlLnqaCTnwzOG2_Wg"",""Direct Link!B2:B""),MATCH($B373,IMPORTRANGE(""1NK5L1mviMn0j3D3uo53ASkIZOFRlLnqaCTnwzOG2_Wg"",""Direct Link!A2:A""),0)),XLOOKUP($B373,IMPORTRANGE(""1NK5L1mviMn0j3D"&amp;"3uo53ASkIZOFRlLnqaCTnwzOG2_Wg"",""Direct links Without Sizes!A2:A""),IMPORTRANGE(""1NK5L1mviMn0j3D3uo53ASkIZOFRlLnqaCTnwzOG2_Wg"",""Direct links Without Sizes!B2:B""))),XLOOKUP($B373,IMPORTRANGE(""1NK5L1mviMn0j3D3uo53ASkIZOFRlLnqaCTnwzOG2_Wg"",""Direct li"&amp;"nks Without Sizes!D2:D""),IMPORTRANGE(""1NK5L1mviMn0j3D3uo53ASkIZOFRlLnqaCTnwzOG2_Wg"",""Direct links Without Sizes!E2:E""))),"""")"),"")</f>
        <v/>
      </c>
      <c r="H373" s="41"/>
      <c r="I373" s="4"/>
      <c r="J373" s="4"/>
      <c r="K373" s="10" t="str">
        <f t="shared" si="1"/>
        <v/>
      </c>
      <c r="L373" s="10"/>
      <c r="M373" s="10" t="str">
        <f t="shared" si="2"/>
        <v/>
      </c>
    </row>
    <row r="374">
      <c r="A374" s="4"/>
      <c r="B374" s="15"/>
      <c r="C374" s="7" t="str">
        <f>IFERROR(__xludf.DUMMYFUNCTION("iferror(iferror(INDEX(IMPORTRANGE(""12vtnxaE_Q1s4tyr10kZQx7ZF_xG0lBFae4jQEUtgsMU"",""All!B2:B""),MATCH($B374,IMPORTRANGE(""12vtnxaE_Q1s4tyr10kZQx7ZF_xG0lBFae4jQEUtgsMU"",""All!A2:A""),0)),INDEX(IMPORTRANGE(""13KC70HngS4DDi8y9E5khtSpQEPG6owaQ9z4E-tR5mnY"","&amp;"""Non-Food!B2:B""),MATCH($B374,IMPORTRANGE(""13KC70HngS4DDi8y9E5khtSpQEPG6owaQ9z4E-tR5mnY"",""Non-Food!A2:A""),0))),"""")"),"")</f>
        <v/>
      </c>
      <c r="D374" s="15"/>
      <c r="E374" s="15"/>
      <c r="F374" s="36"/>
      <c r="G374" s="24" t="str">
        <f>IFERROR(__xludf.DUMMYFUNCTION("iferror(iferror(iferror(index(IMPORTRANGE(""1NK5L1mviMn0j3D3uo53ASkIZOFRlLnqaCTnwzOG2_Wg"",""Direct Link!B2:B""),MATCH($B374,IMPORTRANGE(""1NK5L1mviMn0j3D3uo53ASkIZOFRlLnqaCTnwzOG2_Wg"",""Direct Link!A2:A""),0)),XLOOKUP($B374,IMPORTRANGE(""1NK5L1mviMn0j3D"&amp;"3uo53ASkIZOFRlLnqaCTnwzOG2_Wg"",""Direct links Without Sizes!A2:A""),IMPORTRANGE(""1NK5L1mviMn0j3D3uo53ASkIZOFRlLnqaCTnwzOG2_Wg"",""Direct links Without Sizes!B2:B""))),XLOOKUP($B374,IMPORTRANGE(""1NK5L1mviMn0j3D3uo53ASkIZOFRlLnqaCTnwzOG2_Wg"",""Direct li"&amp;"nks Without Sizes!D2:D""),IMPORTRANGE(""1NK5L1mviMn0j3D3uo53ASkIZOFRlLnqaCTnwzOG2_Wg"",""Direct links Without Sizes!E2:E""))),"""")"),"")</f>
        <v/>
      </c>
      <c r="H374" s="41"/>
      <c r="I374" s="4"/>
      <c r="J374" s="4"/>
      <c r="K374" s="10" t="str">
        <f t="shared" si="1"/>
        <v/>
      </c>
      <c r="L374" s="10"/>
      <c r="M374" s="10" t="str">
        <f t="shared" si="2"/>
        <v/>
      </c>
    </row>
    <row r="375">
      <c r="A375" s="4"/>
      <c r="B375" s="15"/>
      <c r="C375" s="7" t="str">
        <f>IFERROR(__xludf.DUMMYFUNCTION("iferror(iferror(INDEX(IMPORTRANGE(""12vtnxaE_Q1s4tyr10kZQx7ZF_xG0lBFae4jQEUtgsMU"",""All!B2:B""),MATCH($B375,IMPORTRANGE(""12vtnxaE_Q1s4tyr10kZQx7ZF_xG0lBFae4jQEUtgsMU"",""All!A2:A""),0)),INDEX(IMPORTRANGE(""13KC70HngS4DDi8y9E5khtSpQEPG6owaQ9z4E-tR5mnY"","&amp;"""Non-Food!B2:B""),MATCH($B375,IMPORTRANGE(""13KC70HngS4DDi8y9E5khtSpQEPG6owaQ9z4E-tR5mnY"",""Non-Food!A2:A""),0))),"""")"),"")</f>
        <v/>
      </c>
      <c r="D375" s="15"/>
      <c r="E375" s="15"/>
      <c r="F375" s="36"/>
      <c r="G375" s="24" t="str">
        <f>IFERROR(__xludf.DUMMYFUNCTION("iferror(iferror(iferror(index(IMPORTRANGE(""1NK5L1mviMn0j3D3uo53ASkIZOFRlLnqaCTnwzOG2_Wg"",""Direct Link!B2:B""),MATCH($B375,IMPORTRANGE(""1NK5L1mviMn0j3D3uo53ASkIZOFRlLnqaCTnwzOG2_Wg"",""Direct Link!A2:A""),0)),XLOOKUP($B375,IMPORTRANGE(""1NK5L1mviMn0j3D"&amp;"3uo53ASkIZOFRlLnqaCTnwzOG2_Wg"",""Direct links Without Sizes!A2:A""),IMPORTRANGE(""1NK5L1mviMn0j3D3uo53ASkIZOFRlLnqaCTnwzOG2_Wg"",""Direct links Without Sizes!B2:B""))),XLOOKUP($B375,IMPORTRANGE(""1NK5L1mviMn0j3D3uo53ASkIZOFRlLnqaCTnwzOG2_Wg"",""Direct li"&amp;"nks Without Sizes!D2:D""),IMPORTRANGE(""1NK5L1mviMn0j3D3uo53ASkIZOFRlLnqaCTnwzOG2_Wg"",""Direct links Without Sizes!E2:E""))),"""")"),"")</f>
        <v/>
      </c>
      <c r="H375" s="41"/>
      <c r="I375" s="4"/>
      <c r="J375" s="4"/>
      <c r="K375" s="10" t="str">
        <f t="shared" si="1"/>
        <v/>
      </c>
      <c r="L375" s="10"/>
      <c r="M375" s="10" t="str">
        <f t="shared" si="2"/>
        <v/>
      </c>
    </row>
    <row r="376">
      <c r="A376" s="4"/>
      <c r="B376" s="15"/>
      <c r="C376" s="7" t="str">
        <f>IFERROR(__xludf.DUMMYFUNCTION("iferror(iferror(INDEX(IMPORTRANGE(""12vtnxaE_Q1s4tyr10kZQx7ZF_xG0lBFae4jQEUtgsMU"",""All!B2:B""),MATCH($B376,IMPORTRANGE(""12vtnxaE_Q1s4tyr10kZQx7ZF_xG0lBFae4jQEUtgsMU"",""All!A2:A""),0)),INDEX(IMPORTRANGE(""13KC70HngS4DDi8y9E5khtSpQEPG6owaQ9z4E-tR5mnY"","&amp;"""Non-Food!B2:B""),MATCH($B376,IMPORTRANGE(""13KC70HngS4DDi8y9E5khtSpQEPG6owaQ9z4E-tR5mnY"",""Non-Food!A2:A""),0))),"""")"),"")</f>
        <v/>
      </c>
      <c r="D376" s="15"/>
      <c r="E376" s="15"/>
      <c r="F376" s="36"/>
      <c r="G376" s="24" t="str">
        <f>IFERROR(__xludf.DUMMYFUNCTION("iferror(iferror(iferror(index(IMPORTRANGE(""1NK5L1mviMn0j3D3uo53ASkIZOFRlLnqaCTnwzOG2_Wg"",""Direct Link!B2:B""),MATCH($B376,IMPORTRANGE(""1NK5L1mviMn0j3D3uo53ASkIZOFRlLnqaCTnwzOG2_Wg"",""Direct Link!A2:A""),0)),XLOOKUP($B376,IMPORTRANGE(""1NK5L1mviMn0j3D"&amp;"3uo53ASkIZOFRlLnqaCTnwzOG2_Wg"",""Direct links Without Sizes!A2:A""),IMPORTRANGE(""1NK5L1mviMn0j3D3uo53ASkIZOFRlLnqaCTnwzOG2_Wg"",""Direct links Without Sizes!B2:B""))),XLOOKUP($B376,IMPORTRANGE(""1NK5L1mviMn0j3D3uo53ASkIZOFRlLnqaCTnwzOG2_Wg"",""Direct li"&amp;"nks Without Sizes!D2:D""),IMPORTRANGE(""1NK5L1mviMn0j3D3uo53ASkIZOFRlLnqaCTnwzOG2_Wg"",""Direct links Without Sizes!E2:E""))),"""")"),"")</f>
        <v/>
      </c>
      <c r="H376" s="41"/>
      <c r="I376" s="4"/>
      <c r="J376" s="4"/>
      <c r="K376" s="10" t="str">
        <f t="shared" si="1"/>
        <v/>
      </c>
      <c r="L376" s="10"/>
      <c r="M376" s="10" t="str">
        <f t="shared" si="2"/>
        <v/>
      </c>
    </row>
    <row r="377">
      <c r="A377" s="4"/>
      <c r="B377" s="15"/>
      <c r="C377" s="7" t="str">
        <f>IFERROR(__xludf.DUMMYFUNCTION("iferror(iferror(INDEX(IMPORTRANGE(""12vtnxaE_Q1s4tyr10kZQx7ZF_xG0lBFae4jQEUtgsMU"",""All!B2:B""),MATCH($B377,IMPORTRANGE(""12vtnxaE_Q1s4tyr10kZQx7ZF_xG0lBFae4jQEUtgsMU"",""All!A2:A""),0)),INDEX(IMPORTRANGE(""13KC70HngS4DDi8y9E5khtSpQEPG6owaQ9z4E-tR5mnY"","&amp;"""Non-Food!B2:B""),MATCH($B377,IMPORTRANGE(""13KC70HngS4DDi8y9E5khtSpQEPG6owaQ9z4E-tR5mnY"",""Non-Food!A2:A""),0))),"""")"),"")</f>
        <v/>
      </c>
      <c r="D377" s="15"/>
      <c r="E377" s="15"/>
      <c r="F377" s="36"/>
      <c r="G377" s="24" t="str">
        <f>IFERROR(__xludf.DUMMYFUNCTION("iferror(iferror(iferror(index(IMPORTRANGE(""1NK5L1mviMn0j3D3uo53ASkIZOFRlLnqaCTnwzOG2_Wg"",""Direct Link!B2:B""),MATCH($B377,IMPORTRANGE(""1NK5L1mviMn0j3D3uo53ASkIZOFRlLnqaCTnwzOG2_Wg"",""Direct Link!A2:A""),0)),XLOOKUP($B377,IMPORTRANGE(""1NK5L1mviMn0j3D"&amp;"3uo53ASkIZOFRlLnqaCTnwzOG2_Wg"",""Direct links Without Sizes!A2:A""),IMPORTRANGE(""1NK5L1mviMn0j3D3uo53ASkIZOFRlLnqaCTnwzOG2_Wg"",""Direct links Without Sizes!B2:B""))),XLOOKUP($B377,IMPORTRANGE(""1NK5L1mviMn0j3D3uo53ASkIZOFRlLnqaCTnwzOG2_Wg"",""Direct li"&amp;"nks Without Sizes!D2:D""),IMPORTRANGE(""1NK5L1mviMn0j3D3uo53ASkIZOFRlLnqaCTnwzOG2_Wg"",""Direct links Without Sizes!E2:E""))),"""")"),"")</f>
        <v/>
      </c>
      <c r="H377" s="41"/>
      <c r="I377" s="4"/>
      <c r="J377" s="4"/>
      <c r="K377" s="10" t="str">
        <f t="shared" si="1"/>
        <v/>
      </c>
      <c r="L377" s="10"/>
      <c r="M377" s="10" t="str">
        <f t="shared" si="2"/>
        <v/>
      </c>
    </row>
    <row r="378">
      <c r="A378" s="4"/>
      <c r="B378" s="15"/>
      <c r="C378" s="7" t="str">
        <f>IFERROR(__xludf.DUMMYFUNCTION("iferror(iferror(INDEX(IMPORTRANGE(""12vtnxaE_Q1s4tyr10kZQx7ZF_xG0lBFae4jQEUtgsMU"",""All!B2:B""),MATCH($B378,IMPORTRANGE(""12vtnxaE_Q1s4tyr10kZQx7ZF_xG0lBFae4jQEUtgsMU"",""All!A2:A""),0)),INDEX(IMPORTRANGE(""13KC70HngS4DDi8y9E5khtSpQEPG6owaQ9z4E-tR5mnY"","&amp;"""Non-Food!B2:B""),MATCH($B378,IMPORTRANGE(""13KC70HngS4DDi8y9E5khtSpQEPG6owaQ9z4E-tR5mnY"",""Non-Food!A2:A""),0))),"""")"),"")</f>
        <v/>
      </c>
      <c r="D378" s="15"/>
      <c r="E378" s="15"/>
      <c r="F378" s="36"/>
      <c r="G378" s="24" t="str">
        <f>IFERROR(__xludf.DUMMYFUNCTION("iferror(iferror(iferror(index(IMPORTRANGE(""1NK5L1mviMn0j3D3uo53ASkIZOFRlLnqaCTnwzOG2_Wg"",""Direct Link!B2:B""),MATCH($B378,IMPORTRANGE(""1NK5L1mviMn0j3D3uo53ASkIZOFRlLnqaCTnwzOG2_Wg"",""Direct Link!A2:A""),0)),XLOOKUP($B378,IMPORTRANGE(""1NK5L1mviMn0j3D"&amp;"3uo53ASkIZOFRlLnqaCTnwzOG2_Wg"",""Direct links Without Sizes!A2:A""),IMPORTRANGE(""1NK5L1mviMn0j3D3uo53ASkIZOFRlLnqaCTnwzOG2_Wg"",""Direct links Without Sizes!B2:B""))),XLOOKUP($B378,IMPORTRANGE(""1NK5L1mviMn0j3D3uo53ASkIZOFRlLnqaCTnwzOG2_Wg"",""Direct li"&amp;"nks Without Sizes!D2:D""),IMPORTRANGE(""1NK5L1mviMn0j3D3uo53ASkIZOFRlLnqaCTnwzOG2_Wg"",""Direct links Without Sizes!E2:E""))),"""")"),"")</f>
        <v/>
      </c>
      <c r="H378" s="41"/>
      <c r="I378" s="4"/>
      <c r="J378" s="4"/>
      <c r="K378" s="10" t="str">
        <f t="shared" si="1"/>
        <v/>
      </c>
      <c r="L378" s="10"/>
      <c r="M378" s="10" t="str">
        <f t="shared" si="2"/>
        <v/>
      </c>
    </row>
    <row r="379">
      <c r="A379" s="4"/>
      <c r="B379" s="15"/>
      <c r="C379" s="7" t="str">
        <f>IFERROR(__xludf.DUMMYFUNCTION("iferror(iferror(INDEX(IMPORTRANGE(""12vtnxaE_Q1s4tyr10kZQx7ZF_xG0lBFae4jQEUtgsMU"",""All!B2:B""),MATCH($B379,IMPORTRANGE(""12vtnxaE_Q1s4tyr10kZQx7ZF_xG0lBFae4jQEUtgsMU"",""All!A2:A""),0)),INDEX(IMPORTRANGE(""13KC70HngS4DDi8y9E5khtSpQEPG6owaQ9z4E-tR5mnY"","&amp;"""Non-Food!B2:B""),MATCH($B379,IMPORTRANGE(""13KC70HngS4DDi8y9E5khtSpQEPG6owaQ9z4E-tR5mnY"",""Non-Food!A2:A""),0))),"""")"),"")</f>
        <v/>
      </c>
      <c r="D379" s="15"/>
      <c r="E379" s="15"/>
      <c r="F379" s="36"/>
      <c r="G379" s="24" t="str">
        <f>IFERROR(__xludf.DUMMYFUNCTION("iferror(iferror(iferror(index(IMPORTRANGE(""1NK5L1mviMn0j3D3uo53ASkIZOFRlLnqaCTnwzOG2_Wg"",""Direct Link!B2:B""),MATCH($B379,IMPORTRANGE(""1NK5L1mviMn0j3D3uo53ASkIZOFRlLnqaCTnwzOG2_Wg"",""Direct Link!A2:A""),0)),XLOOKUP($B379,IMPORTRANGE(""1NK5L1mviMn0j3D"&amp;"3uo53ASkIZOFRlLnqaCTnwzOG2_Wg"",""Direct links Without Sizes!A2:A""),IMPORTRANGE(""1NK5L1mviMn0j3D3uo53ASkIZOFRlLnqaCTnwzOG2_Wg"",""Direct links Without Sizes!B2:B""))),XLOOKUP($B379,IMPORTRANGE(""1NK5L1mviMn0j3D3uo53ASkIZOFRlLnqaCTnwzOG2_Wg"",""Direct li"&amp;"nks Without Sizes!D2:D""),IMPORTRANGE(""1NK5L1mviMn0j3D3uo53ASkIZOFRlLnqaCTnwzOG2_Wg"",""Direct links Without Sizes!E2:E""))),"""")"),"")</f>
        <v/>
      </c>
      <c r="H379" s="41"/>
      <c r="I379" s="4"/>
      <c r="J379" s="4"/>
      <c r="K379" s="10" t="str">
        <f t="shared" si="1"/>
        <v/>
      </c>
      <c r="L379" s="10"/>
      <c r="M379" s="10" t="str">
        <f t="shared" si="2"/>
        <v/>
      </c>
    </row>
    <row r="380">
      <c r="A380" s="4"/>
      <c r="B380" s="15"/>
      <c r="C380" s="7" t="str">
        <f>IFERROR(__xludf.DUMMYFUNCTION("iferror(iferror(INDEX(IMPORTRANGE(""12vtnxaE_Q1s4tyr10kZQx7ZF_xG0lBFae4jQEUtgsMU"",""All!B2:B""),MATCH($B380,IMPORTRANGE(""12vtnxaE_Q1s4tyr10kZQx7ZF_xG0lBFae4jQEUtgsMU"",""All!A2:A""),0)),INDEX(IMPORTRANGE(""13KC70HngS4DDi8y9E5khtSpQEPG6owaQ9z4E-tR5mnY"","&amp;"""Non-Food!B2:B""),MATCH($B380,IMPORTRANGE(""13KC70HngS4DDi8y9E5khtSpQEPG6owaQ9z4E-tR5mnY"",""Non-Food!A2:A""),0))),"""")"),"")</f>
        <v/>
      </c>
      <c r="D380" s="15"/>
      <c r="E380" s="15"/>
      <c r="F380" s="36"/>
      <c r="G380" s="24" t="str">
        <f>IFERROR(__xludf.DUMMYFUNCTION("iferror(iferror(iferror(index(IMPORTRANGE(""1NK5L1mviMn0j3D3uo53ASkIZOFRlLnqaCTnwzOG2_Wg"",""Direct Link!B2:B""),MATCH($B380,IMPORTRANGE(""1NK5L1mviMn0j3D3uo53ASkIZOFRlLnqaCTnwzOG2_Wg"",""Direct Link!A2:A""),0)),XLOOKUP($B380,IMPORTRANGE(""1NK5L1mviMn0j3D"&amp;"3uo53ASkIZOFRlLnqaCTnwzOG2_Wg"",""Direct links Without Sizes!A2:A""),IMPORTRANGE(""1NK5L1mviMn0j3D3uo53ASkIZOFRlLnqaCTnwzOG2_Wg"",""Direct links Without Sizes!B2:B""))),XLOOKUP($B380,IMPORTRANGE(""1NK5L1mviMn0j3D3uo53ASkIZOFRlLnqaCTnwzOG2_Wg"",""Direct li"&amp;"nks Without Sizes!D2:D""),IMPORTRANGE(""1NK5L1mviMn0j3D3uo53ASkIZOFRlLnqaCTnwzOG2_Wg"",""Direct links Without Sizes!E2:E""))),"""")"),"")</f>
        <v/>
      </c>
      <c r="H380" s="41"/>
      <c r="I380" s="4"/>
      <c r="J380" s="4"/>
      <c r="K380" s="10" t="str">
        <f t="shared" si="1"/>
        <v/>
      </c>
      <c r="L380" s="10"/>
      <c r="M380" s="10" t="str">
        <f t="shared" si="2"/>
        <v/>
      </c>
    </row>
    <row r="381">
      <c r="A381" s="4"/>
      <c r="B381" s="15"/>
      <c r="C381" s="7" t="str">
        <f>IFERROR(__xludf.DUMMYFUNCTION("iferror(iferror(INDEX(IMPORTRANGE(""12vtnxaE_Q1s4tyr10kZQx7ZF_xG0lBFae4jQEUtgsMU"",""All!B2:B""),MATCH($B381,IMPORTRANGE(""12vtnxaE_Q1s4tyr10kZQx7ZF_xG0lBFae4jQEUtgsMU"",""All!A2:A""),0)),INDEX(IMPORTRANGE(""13KC70HngS4DDi8y9E5khtSpQEPG6owaQ9z4E-tR5mnY"","&amp;"""Non-Food!B2:B""),MATCH($B381,IMPORTRANGE(""13KC70HngS4DDi8y9E5khtSpQEPG6owaQ9z4E-tR5mnY"",""Non-Food!A2:A""),0))),"""")"),"")</f>
        <v/>
      </c>
      <c r="D381" s="15"/>
      <c r="E381" s="15"/>
      <c r="F381" s="36"/>
      <c r="G381" s="24" t="str">
        <f>IFERROR(__xludf.DUMMYFUNCTION("iferror(iferror(iferror(index(IMPORTRANGE(""1NK5L1mviMn0j3D3uo53ASkIZOFRlLnqaCTnwzOG2_Wg"",""Direct Link!B2:B""),MATCH($B381,IMPORTRANGE(""1NK5L1mviMn0j3D3uo53ASkIZOFRlLnqaCTnwzOG2_Wg"",""Direct Link!A2:A""),0)),XLOOKUP($B381,IMPORTRANGE(""1NK5L1mviMn0j3D"&amp;"3uo53ASkIZOFRlLnqaCTnwzOG2_Wg"",""Direct links Without Sizes!A2:A""),IMPORTRANGE(""1NK5L1mviMn0j3D3uo53ASkIZOFRlLnqaCTnwzOG2_Wg"",""Direct links Without Sizes!B2:B""))),XLOOKUP($B381,IMPORTRANGE(""1NK5L1mviMn0j3D3uo53ASkIZOFRlLnqaCTnwzOG2_Wg"",""Direct li"&amp;"nks Without Sizes!D2:D""),IMPORTRANGE(""1NK5L1mviMn0j3D3uo53ASkIZOFRlLnqaCTnwzOG2_Wg"",""Direct links Without Sizes!E2:E""))),"""")"),"")</f>
        <v/>
      </c>
      <c r="H381" s="41"/>
      <c r="I381" s="4"/>
      <c r="J381" s="4"/>
      <c r="K381" s="10" t="str">
        <f t="shared" si="1"/>
        <v/>
      </c>
      <c r="L381" s="10"/>
      <c r="M381" s="10" t="str">
        <f t="shared" si="2"/>
        <v/>
      </c>
    </row>
    <row r="382">
      <c r="A382" s="4"/>
      <c r="B382" s="15"/>
      <c r="C382" s="7" t="str">
        <f>IFERROR(__xludf.DUMMYFUNCTION("iferror(iferror(INDEX(IMPORTRANGE(""12vtnxaE_Q1s4tyr10kZQx7ZF_xG0lBFae4jQEUtgsMU"",""All!B2:B""),MATCH($B382,IMPORTRANGE(""12vtnxaE_Q1s4tyr10kZQx7ZF_xG0lBFae4jQEUtgsMU"",""All!A2:A""),0)),INDEX(IMPORTRANGE(""13KC70HngS4DDi8y9E5khtSpQEPG6owaQ9z4E-tR5mnY"","&amp;"""Non-Food!B2:B""),MATCH($B382,IMPORTRANGE(""13KC70HngS4DDi8y9E5khtSpQEPG6owaQ9z4E-tR5mnY"",""Non-Food!A2:A""),0))),"""")"),"")</f>
        <v/>
      </c>
      <c r="D382" s="15"/>
      <c r="E382" s="15"/>
      <c r="F382" s="36"/>
      <c r="G382" s="24" t="str">
        <f>IFERROR(__xludf.DUMMYFUNCTION("iferror(iferror(iferror(index(IMPORTRANGE(""1NK5L1mviMn0j3D3uo53ASkIZOFRlLnqaCTnwzOG2_Wg"",""Direct Link!B2:B""),MATCH($B382,IMPORTRANGE(""1NK5L1mviMn0j3D3uo53ASkIZOFRlLnqaCTnwzOG2_Wg"",""Direct Link!A2:A""),0)),XLOOKUP($B382,IMPORTRANGE(""1NK5L1mviMn0j3D"&amp;"3uo53ASkIZOFRlLnqaCTnwzOG2_Wg"",""Direct links Without Sizes!A2:A""),IMPORTRANGE(""1NK5L1mviMn0j3D3uo53ASkIZOFRlLnqaCTnwzOG2_Wg"",""Direct links Without Sizes!B2:B""))),XLOOKUP($B382,IMPORTRANGE(""1NK5L1mviMn0j3D3uo53ASkIZOFRlLnqaCTnwzOG2_Wg"",""Direct li"&amp;"nks Without Sizes!D2:D""),IMPORTRANGE(""1NK5L1mviMn0j3D3uo53ASkIZOFRlLnqaCTnwzOG2_Wg"",""Direct links Without Sizes!E2:E""))),"""")"),"")</f>
        <v/>
      </c>
      <c r="H382" s="41"/>
      <c r="I382" s="4"/>
      <c r="J382" s="4"/>
      <c r="K382" s="10" t="str">
        <f t="shared" si="1"/>
        <v/>
      </c>
      <c r="L382" s="10"/>
      <c r="M382" s="10" t="str">
        <f t="shared" si="2"/>
        <v/>
      </c>
    </row>
    <row r="383">
      <c r="A383" s="4"/>
      <c r="B383" s="15"/>
      <c r="C383" s="7" t="str">
        <f>IFERROR(__xludf.DUMMYFUNCTION("iferror(iferror(INDEX(IMPORTRANGE(""12vtnxaE_Q1s4tyr10kZQx7ZF_xG0lBFae4jQEUtgsMU"",""All!B2:B""),MATCH($B383,IMPORTRANGE(""12vtnxaE_Q1s4tyr10kZQx7ZF_xG0lBFae4jQEUtgsMU"",""All!A2:A""),0)),INDEX(IMPORTRANGE(""13KC70HngS4DDi8y9E5khtSpQEPG6owaQ9z4E-tR5mnY"","&amp;"""Non-Food!B2:B""),MATCH($B383,IMPORTRANGE(""13KC70HngS4DDi8y9E5khtSpQEPG6owaQ9z4E-tR5mnY"",""Non-Food!A2:A""),0))),"""")"),"")</f>
        <v/>
      </c>
      <c r="D383" s="15"/>
      <c r="E383" s="15"/>
      <c r="F383" s="36"/>
      <c r="G383" s="24" t="str">
        <f>IFERROR(__xludf.DUMMYFUNCTION("iferror(iferror(iferror(index(IMPORTRANGE(""1NK5L1mviMn0j3D3uo53ASkIZOFRlLnqaCTnwzOG2_Wg"",""Direct Link!B2:B""),MATCH($B383,IMPORTRANGE(""1NK5L1mviMn0j3D3uo53ASkIZOFRlLnqaCTnwzOG2_Wg"",""Direct Link!A2:A""),0)),XLOOKUP($B383,IMPORTRANGE(""1NK5L1mviMn0j3D"&amp;"3uo53ASkIZOFRlLnqaCTnwzOG2_Wg"",""Direct links Without Sizes!A2:A""),IMPORTRANGE(""1NK5L1mviMn0j3D3uo53ASkIZOFRlLnqaCTnwzOG2_Wg"",""Direct links Without Sizes!B2:B""))),XLOOKUP($B383,IMPORTRANGE(""1NK5L1mviMn0j3D3uo53ASkIZOFRlLnqaCTnwzOG2_Wg"",""Direct li"&amp;"nks Without Sizes!D2:D""),IMPORTRANGE(""1NK5L1mviMn0j3D3uo53ASkIZOFRlLnqaCTnwzOG2_Wg"",""Direct links Without Sizes!E2:E""))),"""")"),"")</f>
        <v/>
      </c>
      <c r="H383" s="41"/>
      <c r="I383" s="4"/>
      <c r="J383" s="4"/>
      <c r="K383" s="10" t="str">
        <f t="shared" si="1"/>
        <v/>
      </c>
      <c r="L383" s="10"/>
      <c r="M383" s="10" t="str">
        <f t="shared" si="2"/>
        <v/>
      </c>
    </row>
    <row r="384">
      <c r="A384" s="4"/>
      <c r="B384" s="15"/>
      <c r="C384" s="7" t="str">
        <f>IFERROR(__xludf.DUMMYFUNCTION("iferror(iferror(INDEX(IMPORTRANGE(""12vtnxaE_Q1s4tyr10kZQx7ZF_xG0lBFae4jQEUtgsMU"",""All!B2:B""),MATCH($B384,IMPORTRANGE(""12vtnxaE_Q1s4tyr10kZQx7ZF_xG0lBFae4jQEUtgsMU"",""All!A2:A""),0)),INDEX(IMPORTRANGE(""13KC70HngS4DDi8y9E5khtSpQEPG6owaQ9z4E-tR5mnY"","&amp;"""Non-Food!B2:B""),MATCH($B384,IMPORTRANGE(""13KC70HngS4DDi8y9E5khtSpQEPG6owaQ9z4E-tR5mnY"",""Non-Food!A2:A""),0))),"""")"),"")</f>
        <v/>
      </c>
      <c r="D384" s="15"/>
      <c r="E384" s="15"/>
      <c r="F384" s="36"/>
      <c r="G384" s="24" t="str">
        <f>IFERROR(__xludf.DUMMYFUNCTION("iferror(iferror(iferror(index(IMPORTRANGE(""1NK5L1mviMn0j3D3uo53ASkIZOFRlLnqaCTnwzOG2_Wg"",""Direct Link!B2:B""),MATCH($B384,IMPORTRANGE(""1NK5L1mviMn0j3D3uo53ASkIZOFRlLnqaCTnwzOG2_Wg"",""Direct Link!A2:A""),0)),XLOOKUP($B384,IMPORTRANGE(""1NK5L1mviMn0j3D"&amp;"3uo53ASkIZOFRlLnqaCTnwzOG2_Wg"",""Direct links Without Sizes!A2:A""),IMPORTRANGE(""1NK5L1mviMn0j3D3uo53ASkIZOFRlLnqaCTnwzOG2_Wg"",""Direct links Without Sizes!B2:B""))),XLOOKUP($B384,IMPORTRANGE(""1NK5L1mviMn0j3D3uo53ASkIZOFRlLnqaCTnwzOG2_Wg"",""Direct li"&amp;"nks Without Sizes!D2:D""),IMPORTRANGE(""1NK5L1mviMn0j3D3uo53ASkIZOFRlLnqaCTnwzOG2_Wg"",""Direct links Without Sizes!E2:E""))),"""")"),"")</f>
        <v/>
      </c>
      <c r="H384" s="41"/>
      <c r="I384" s="4"/>
      <c r="J384" s="4"/>
      <c r="K384" s="10" t="str">
        <f t="shared" si="1"/>
        <v/>
      </c>
      <c r="L384" s="10"/>
      <c r="M384" s="10" t="str">
        <f t="shared" si="2"/>
        <v/>
      </c>
    </row>
    <row r="385">
      <c r="A385" s="4"/>
      <c r="B385" s="15"/>
      <c r="C385" s="7" t="str">
        <f>IFERROR(__xludf.DUMMYFUNCTION("iferror(iferror(INDEX(IMPORTRANGE(""12vtnxaE_Q1s4tyr10kZQx7ZF_xG0lBFae4jQEUtgsMU"",""All!B2:B""),MATCH($B385,IMPORTRANGE(""12vtnxaE_Q1s4tyr10kZQx7ZF_xG0lBFae4jQEUtgsMU"",""All!A2:A""),0)),INDEX(IMPORTRANGE(""13KC70HngS4DDi8y9E5khtSpQEPG6owaQ9z4E-tR5mnY"","&amp;"""Non-Food!B2:B""),MATCH($B385,IMPORTRANGE(""13KC70HngS4DDi8y9E5khtSpQEPG6owaQ9z4E-tR5mnY"",""Non-Food!A2:A""),0))),"""")"),"")</f>
        <v/>
      </c>
      <c r="D385" s="15"/>
      <c r="E385" s="15"/>
      <c r="F385" s="36"/>
      <c r="G385" s="24" t="str">
        <f>IFERROR(__xludf.DUMMYFUNCTION("iferror(iferror(iferror(index(IMPORTRANGE(""1NK5L1mviMn0j3D3uo53ASkIZOFRlLnqaCTnwzOG2_Wg"",""Direct Link!B2:B""),MATCH($B385,IMPORTRANGE(""1NK5L1mviMn0j3D3uo53ASkIZOFRlLnqaCTnwzOG2_Wg"",""Direct Link!A2:A""),0)),XLOOKUP($B385,IMPORTRANGE(""1NK5L1mviMn0j3D"&amp;"3uo53ASkIZOFRlLnqaCTnwzOG2_Wg"",""Direct links Without Sizes!A2:A""),IMPORTRANGE(""1NK5L1mviMn0j3D3uo53ASkIZOFRlLnqaCTnwzOG2_Wg"",""Direct links Without Sizes!B2:B""))),XLOOKUP($B385,IMPORTRANGE(""1NK5L1mviMn0j3D3uo53ASkIZOFRlLnqaCTnwzOG2_Wg"",""Direct li"&amp;"nks Without Sizes!D2:D""),IMPORTRANGE(""1NK5L1mviMn0j3D3uo53ASkIZOFRlLnqaCTnwzOG2_Wg"",""Direct links Without Sizes!E2:E""))),"""")"),"")</f>
        <v/>
      </c>
      <c r="H385" s="41"/>
      <c r="I385" s="4"/>
      <c r="J385" s="4"/>
      <c r="K385" s="10" t="str">
        <f t="shared" si="1"/>
        <v/>
      </c>
      <c r="L385" s="10"/>
      <c r="M385" s="10" t="str">
        <f t="shared" si="2"/>
        <v/>
      </c>
    </row>
    <row r="386">
      <c r="A386" s="4"/>
      <c r="B386" s="15"/>
      <c r="C386" s="7" t="str">
        <f>IFERROR(__xludf.DUMMYFUNCTION("iferror(iferror(INDEX(IMPORTRANGE(""12vtnxaE_Q1s4tyr10kZQx7ZF_xG0lBFae4jQEUtgsMU"",""All!B2:B""),MATCH($B386,IMPORTRANGE(""12vtnxaE_Q1s4tyr10kZQx7ZF_xG0lBFae4jQEUtgsMU"",""All!A2:A""),0)),INDEX(IMPORTRANGE(""13KC70HngS4DDi8y9E5khtSpQEPG6owaQ9z4E-tR5mnY"","&amp;"""Non-Food!B2:B""),MATCH($B386,IMPORTRANGE(""13KC70HngS4DDi8y9E5khtSpQEPG6owaQ9z4E-tR5mnY"",""Non-Food!A2:A""),0))),"""")"),"")</f>
        <v/>
      </c>
      <c r="D386" s="15"/>
      <c r="E386" s="15"/>
      <c r="F386" s="36"/>
      <c r="G386" s="24" t="str">
        <f>IFERROR(__xludf.DUMMYFUNCTION("iferror(iferror(iferror(index(IMPORTRANGE(""1NK5L1mviMn0j3D3uo53ASkIZOFRlLnqaCTnwzOG2_Wg"",""Direct Link!B2:B""),MATCH($B386,IMPORTRANGE(""1NK5L1mviMn0j3D3uo53ASkIZOFRlLnqaCTnwzOG2_Wg"",""Direct Link!A2:A""),0)),XLOOKUP($B386,IMPORTRANGE(""1NK5L1mviMn0j3D"&amp;"3uo53ASkIZOFRlLnqaCTnwzOG2_Wg"",""Direct links Without Sizes!A2:A""),IMPORTRANGE(""1NK5L1mviMn0j3D3uo53ASkIZOFRlLnqaCTnwzOG2_Wg"",""Direct links Without Sizes!B2:B""))),XLOOKUP($B386,IMPORTRANGE(""1NK5L1mviMn0j3D3uo53ASkIZOFRlLnqaCTnwzOG2_Wg"",""Direct li"&amp;"nks Without Sizes!D2:D""),IMPORTRANGE(""1NK5L1mviMn0j3D3uo53ASkIZOFRlLnqaCTnwzOG2_Wg"",""Direct links Without Sizes!E2:E""))),"""")"),"")</f>
        <v/>
      </c>
      <c r="H386" s="41"/>
      <c r="I386" s="4"/>
      <c r="J386" s="4"/>
      <c r="K386" s="10" t="str">
        <f t="shared" si="1"/>
        <v/>
      </c>
      <c r="L386" s="10"/>
      <c r="M386" s="10" t="str">
        <f t="shared" si="2"/>
        <v/>
      </c>
    </row>
    <row r="387">
      <c r="A387" s="4"/>
      <c r="B387" s="15"/>
      <c r="C387" s="7" t="str">
        <f>IFERROR(__xludf.DUMMYFUNCTION("iferror(iferror(INDEX(IMPORTRANGE(""12vtnxaE_Q1s4tyr10kZQx7ZF_xG0lBFae4jQEUtgsMU"",""All!B2:B""),MATCH($B387,IMPORTRANGE(""12vtnxaE_Q1s4tyr10kZQx7ZF_xG0lBFae4jQEUtgsMU"",""All!A2:A""),0)),INDEX(IMPORTRANGE(""13KC70HngS4DDi8y9E5khtSpQEPG6owaQ9z4E-tR5mnY"","&amp;"""Non-Food!B2:B""),MATCH($B387,IMPORTRANGE(""13KC70HngS4DDi8y9E5khtSpQEPG6owaQ9z4E-tR5mnY"",""Non-Food!A2:A""),0))),"""")"),"")</f>
        <v/>
      </c>
      <c r="D387" s="15"/>
      <c r="E387" s="15"/>
      <c r="F387" s="36"/>
      <c r="G387" s="24" t="str">
        <f>IFERROR(__xludf.DUMMYFUNCTION("iferror(iferror(iferror(index(IMPORTRANGE(""1NK5L1mviMn0j3D3uo53ASkIZOFRlLnqaCTnwzOG2_Wg"",""Direct Link!B2:B""),MATCH($B387,IMPORTRANGE(""1NK5L1mviMn0j3D3uo53ASkIZOFRlLnqaCTnwzOG2_Wg"",""Direct Link!A2:A""),0)),XLOOKUP($B387,IMPORTRANGE(""1NK5L1mviMn0j3D"&amp;"3uo53ASkIZOFRlLnqaCTnwzOG2_Wg"",""Direct links Without Sizes!A2:A""),IMPORTRANGE(""1NK5L1mviMn0j3D3uo53ASkIZOFRlLnqaCTnwzOG2_Wg"",""Direct links Without Sizes!B2:B""))),XLOOKUP($B387,IMPORTRANGE(""1NK5L1mviMn0j3D3uo53ASkIZOFRlLnqaCTnwzOG2_Wg"",""Direct li"&amp;"nks Without Sizes!D2:D""),IMPORTRANGE(""1NK5L1mviMn0j3D3uo53ASkIZOFRlLnqaCTnwzOG2_Wg"",""Direct links Without Sizes!E2:E""))),"""")"),"")</f>
        <v/>
      </c>
      <c r="H387" s="41"/>
      <c r="I387" s="4"/>
      <c r="J387" s="4"/>
      <c r="K387" s="10" t="str">
        <f t="shared" si="1"/>
        <v/>
      </c>
      <c r="L387" s="10"/>
      <c r="M387" s="10" t="str">
        <f t="shared" si="2"/>
        <v/>
      </c>
    </row>
    <row r="388">
      <c r="A388" s="4"/>
      <c r="B388" s="15"/>
      <c r="C388" s="7" t="str">
        <f>IFERROR(__xludf.DUMMYFUNCTION("iferror(iferror(INDEX(IMPORTRANGE(""12vtnxaE_Q1s4tyr10kZQx7ZF_xG0lBFae4jQEUtgsMU"",""All!B2:B""),MATCH($B388,IMPORTRANGE(""12vtnxaE_Q1s4tyr10kZQx7ZF_xG0lBFae4jQEUtgsMU"",""All!A2:A""),0)),INDEX(IMPORTRANGE(""13KC70HngS4DDi8y9E5khtSpQEPG6owaQ9z4E-tR5mnY"","&amp;"""Non-Food!B2:B""),MATCH($B388,IMPORTRANGE(""13KC70HngS4DDi8y9E5khtSpQEPG6owaQ9z4E-tR5mnY"",""Non-Food!A2:A""),0))),"""")"),"")</f>
        <v/>
      </c>
      <c r="D388" s="15"/>
      <c r="E388" s="15"/>
      <c r="F388" s="36"/>
      <c r="G388" s="24" t="str">
        <f>IFERROR(__xludf.DUMMYFUNCTION("iferror(iferror(iferror(index(IMPORTRANGE(""1NK5L1mviMn0j3D3uo53ASkIZOFRlLnqaCTnwzOG2_Wg"",""Direct Link!B2:B""),MATCH($B388,IMPORTRANGE(""1NK5L1mviMn0j3D3uo53ASkIZOFRlLnqaCTnwzOG2_Wg"",""Direct Link!A2:A""),0)),XLOOKUP($B388,IMPORTRANGE(""1NK5L1mviMn0j3D"&amp;"3uo53ASkIZOFRlLnqaCTnwzOG2_Wg"",""Direct links Without Sizes!A2:A""),IMPORTRANGE(""1NK5L1mviMn0j3D3uo53ASkIZOFRlLnqaCTnwzOG2_Wg"",""Direct links Without Sizes!B2:B""))),XLOOKUP($B388,IMPORTRANGE(""1NK5L1mviMn0j3D3uo53ASkIZOFRlLnqaCTnwzOG2_Wg"",""Direct li"&amp;"nks Without Sizes!D2:D""),IMPORTRANGE(""1NK5L1mviMn0j3D3uo53ASkIZOFRlLnqaCTnwzOG2_Wg"",""Direct links Without Sizes!E2:E""))),"""")"),"")</f>
        <v/>
      </c>
      <c r="H388" s="41"/>
      <c r="I388" s="4"/>
      <c r="J388" s="4"/>
      <c r="K388" s="10" t="str">
        <f t="shared" si="1"/>
        <v/>
      </c>
      <c r="L388" s="10"/>
      <c r="M388" s="10" t="str">
        <f t="shared" si="2"/>
        <v/>
      </c>
    </row>
    <row r="389">
      <c r="A389" s="4"/>
      <c r="B389" s="15"/>
      <c r="C389" s="7" t="str">
        <f>IFERROR(__xludf.DUMMYFUNCTION("iferror(iferror(INDEX(IMPORTRANGE(""12vtnxaE_Q1s4tyr10kZQx7ZF_xG0lBFae4jQEUtgsMU"",""All!B2:B""),MATCH($B389,IMPORTRANGE(""12vtnxaE_Q1s4tyr10kZQx7ZF_xG0lBFae4jQEUtgsMU"",""All!A2:A""),0)),INDEX(IMPORTRANGE(""13KC70HngS4DDi8y9E5khtSpQEPG6owaQ9z4E-tR5mnY"","&amp;"""Non-Food!B2:B""),MATCH($B389,IMPORTRANGE(""13KC70HngS4DDi8y9E5khtSpQEPG6owaQ9z4E-tR5mnY"",""Non-Food!A2:A""),0))),"""")"),"")</f>
        <v/>
      </c>
      <c r="D389" s="15"/>
      <c r="E389" s="15"/>
      <c r="F389" s="36"/>
      <c r="G389" s="24" t="str">
        <f>IFERROR(__xludf.DUMMYFUNCTION("iferror(iferror(iferror(index(IMPORTRANGE(""1NK5L1mviMn0j3D3uo53ASkIZOFRlLnqaCTnwzOG2_Wg"",""Direct Link!B2:B""),MATCH($B389,IMPORTRANGE(""1NK5L1mviMn0j3D3uo53ASkIZOFRlLnqaCTnwzOG2_Wg"",""Direct Link!A2:A""),0)),XLOOKUP($B389,IMPORTRANGE(""1NK5L1mviMn0j3D"&amp;"3uo53ASkIZOFRlLnqaCTnwzOG2_Wg"",""Direct links Without Sizes!A2:A""),IMPORTRANGE(""1NK5L1mviMn0j3D3uo53ASkIZOFRlLnqaCTnwzOG2_Wg"",""Direct links Without Sizes!B2:B""))),XLOOKUP($B389,IMPORTRANGE(""1NK5L1mviMn0j3D3uo53ASkIZOFRlLnqaCTnwzOG2_Wg"",""Direct li"&amp;"nks Without Sizes!D2:D""),IMPORTRANGE(""1NK5L1mviMn0j3D3uo53ASkIZOFRlLnqaCTnwzOG2_Wg"",""Direct links Without Sizes!E2:E""))),"""")"),"")</f>
        <v/>
      </c>
      <c r="H389" s="41"/>
      <c r="I389" s="4"/>
      <c r="J389" s="4"/>
      <c r="K389" s="10" t="str">
        <f t="shared" si="1"/>
        <v/>
      </c>
      <c r="L389" s="10"/>
      <c r="M389" s="10" t="str">
        <f t="shared" si="2"/>
        <v/>
      </c>
    </row>
    <row r="390">
      <c r="A390" s="4"/>
      <c r="B390" s="15"/>
      <c r="C390" s="7" t="str">
        <f>IFERROR(__xludf.DUMMYFUNCTION("iferror(iferror(INDEX(IMPORTRANGE(""12vtnxaE_Q1s4tyr10kZQx7ZF_xG0lBFae4jQEUtgsMU"",""All!B2:B""),MATCH($B390,IMPORTRANGE(""12vtnxaE_Q1s4tyr10kZQx7ZF_xG0lBFae4jQEUtgsMU"",""All!A2:A""),0)),INDEX(IMPORTRANGE(""13KC70HngS4DDi8y9E5khtSpQEPG6owaQ9z4E-tR5mnY"","&amp;"""Non-Food!B2:B""),MATCH($B390,IMPORTRANGE(""13KC70HngS4DDi8y9E5khtSpQEPG6owaQ9z4E-tR5mnY"",""Non-Food!A2:A""),0))),"""")"),"")</f>
        <v/>
      </c>
      <c r="D390" s="15"/>
      <c r="E390" s="15"/>
      <c r="F390" s="36"/>
      <c r="G390" s="24" t="str">
        <f>IFERROR(__xludf.DUMMYFUNCTION("iferror(iferror(iferror(index(IMPORTRANGE(""1NK5L1mviMn0j3D3uo53ASkIZOFRlLnqaCTnwzOG2_Wg"",""Direct Link!B2:B""),MATCH($B390,IMPORTRANGE(""1NK5L1mviMn0j3D3uo53ASkIZOFRlLnqaCTnwzOG2_Wg"",""Direct Link!A2:A""),0)),XLOOKUP($B390,IMPORTRANGE(""1NK5L1mviMn0j3D"&amp;"3uo53ASkIZOFRlLnqaCTnwzOG2_Wg"",""Direct links Without Sizes!A2:A""),IMPORTRANGE(""1NK5L1mviMn0j3D3uo53ASkIZOFRlLnqaCTnwzOG2_Wg"",""Direct links Without Sizes!B2:B""))),XLOOKUP($B390,IMPORTRANGE(""1NK5L1mviMn0j3D3uo53ASkIZOFRlLnqaCTnwzOG2_Wg"",""Direct li"&amp;"nks Without Sizes!D2:D""),IMPORTRANGE(""1NK5L1mviMn0j3D3uo53ASkIZOFRlLnqaCTnwzOG2_Wg"",""Direct links Without Sizes!E2:E""))),"""")"),"")</f>
        <v/>
      </c>
      <c r="H390" s="41"/>
      <c r="I390" s="4"/>
      <c r="J390" s="4"/>
      <c r="K390" s="10" t="str">
        <f t="shared" si="1"/>
        <v/>
      </c>
      <c r="L390" s="10"/>
      <c r="M390" s="10" t="str">
        <f t="shared" si="2"/>
        <v/>
      </c>
    </row>
    <row r="391">
      <c r="A391" s="4"/>
      <c r="B391" s="15"/>
      <c r="C391" s="7" t="str">
        <f>IFERROR(__xludf.DUMMYFUNCTION("iferror(iferror(INDEX(IMPORTRANGE(""12vtnxaE_Q1s4tyr10kZQx7ZF_xG0lBFae4jQEUtgsMU"",""All!B2:B""),MATCH($B391,IMPORTRANGE(""12vtnxaE_Q1s4tyr10kZQx7ZF_xG0lBFae4jQEUtgsMU"",""All!A2:A""),0)),INDEX(IMPORTRANGE(""13KC70HngS4DDi8y9E5khtSpQEPG6owaQ9z4E-tR5mnY"","&amp;"""Non-Food!B2:B""),MATCH($B391,IMPORTRANGE(""13KC70HngS4DDi8y9E5khtSpQEPG6owaQ9z4E-tR5mnY"",""Non-Food!A2:A""),0))),"""")"),"")</f>
        <v/>
      </c>
      <c r="D391" s="15"/>
      <c r="E391" s="15"/>
      <c r="F391" s="36"/>
      <c r="G391" s="24" t="str">
        <f>IFERROR(__xludf.DUMMYFUNCTION("iferror(iferror(iferror(index(IMPORTRANGE(""1NK5L1mviMn0j3D3uo53ASkIZOFRlLnqaCTnwzOG2_Wg"",""Direct Link!B2:B""),MATCH($B391,IMPORTRANGE(""1NK5L1mviMn0j3D3uo53ASkIZOFRlLnqaCTnwzOG2_Wg"",""Direct Link!A2:A""),0)),XLOOKUP($B391,IMPORTRANGE(""1NK5L1mviMn0j3D"&amp;"3uo53ASkIZOFRlLnqaCTnwzOG2_Wg"",""Direct links Without Sizes!A2:A""),IMPORTRANGE(""1NK5L1mviMn0j3D3uo53ASkIZOFRlLnqaCTnwzOG2_Wg"",""Direct links Without Sizes!B2:B""))),XLOOKUP($B391,IMPORTRANGE(""1NK5L1mviMn0j3D3uo53ASkIZOFRlLnqaCTnwzOG2_Wg"",""Direct li"&amp;"nks Without Sizes!D2:D""),IMPORTRANGE(""1NK5L1mviMn0j3D3uo53ASkIZOFRlLnqaCTnwzOG2_Wg"",""Direct links Without Sizes!E2:E""))),"""")"),"")</f>
        <v/>
      </c>
      <c r="H391" s="41"/>
      <c r="I391" s="4"/>
      <c r="J391" s="4"/>
      <c r="K391" s="10" t="str">
        <f t="shared" si="1"/>
        <v/>
      </c>
      <c r="L391" s="10"/>
      <c r="M391" s="10" t="str">
        <f t="shared" si="2"/>
        <v/>
      </c>
    </row>
    <row r="392">
      <c r="A392" s="4"/>
      <c r="B392" s="15"/>
      <c r="C392" s="7" t="str">
        <f>IFERROR(__xludf.DUMMYFUNCTION("iferror(iferror(INDEX(IMPORTRANGE(""12vtnxaE_Q1s4tyr10kZQx7ZF_xG0lBFae4jQEUtgsMU"",""All!B2:B""),MATCH($B392,IMPORTRANGE(""12vtnxaE_Q1s4tyr10kZQx7ZF_xG0lBFae4jQEUtgsMU"",""All!A2:A""),0)),INDEX(IMPORTRANGE(""13KC70HngS4DDi8y9E5khtSpQEPG6owaQ9z4E-tR5mnY"","&amp;"""Non-Food!B2:B""),MATCH($B392,IMPORTRANGE(""13KC70HngS4DDi8y9E5khtSpQEPG6owaQ9z4E-tR5mnY"",""Non-Food!A2:A""),0))),"""")"),"")</f>
        <v/>
      </c>
      <c r="D392" s="15"/>
      <c r="E392" s="15"/>
      <c r="F392" s="36"/>
      <c r="G392" s="24" t="str">
        <f>IFERROR(__xludf.DUMMYFUNCTION("iferror(iferror(iferror(index(IMPORTRANGE(""1NK5L1mviMn0j3D3uo53ASkIZOFRlLnqaCTnwzOG2_Wg"",""Direct Link!B2:B""),MATCH($B392,IMPORTRANGE(""1NK5L1mviMn0j3D3uo53ASkIZOFRlLnqaCTnwzOG2_Wg"",""Direct Link!A2:A""),0)),XLOOKUP($B392,IMPORTRANGE(""1NK5L1mviMn0j3D"&amp;"3uo53ASkIZOFRlLnqaCTnwzOG2_Wg"",""Direct links Without Sizes!A2:A""),IMPORTRANGE(""1NK5L1mviMn0j3D3uo53ASkIZOFRlLnqaCTnwzOG2_Wg"",""Direct links Without Sizes!B2:B""))),XLOOKUP($B392,IMPORTRANGE(""1NK5L1mviMn0j3D3uo53ASkIZOFRlLnqaCTnwzOG2_Wg"",""Direct li"&amp;"nks Without Sizes!D2:D""),IMPORTRANGE(""1NK5L1mviMn0j3D3uo53ASkIZOFRlLnqaCTnwzOG2_Wg"",""Direct links Without Sizes!E2:E""))),"""")"),"")</f>
        <v/>
      </c>
      <c r="H392" s="41"/>
      <c r="I392" s="4"/>
      <c r="J392" s="4"/>
      <c r="K392" s="10" t="str">
        <f t="shared" si="1"/>
        <v/>
      </c>
      <c r="L392" s="10"/>
      <c r="M392" s="10" t="str">
        <f t="shared" si="2"/>
        <v/>
      </c>
    </row>
    <row r="393">
      <c r="A393" s="4"/>
      <c r="B393" s="15"/>
      <c r="C393" s="7" t="str">
        <f>IFERROR(__xludf.DUMMYFUNCTION("iferror(iferror(INDEX(IMPORTRANGE(""12vtnxaE_Q1s4tyr10kZQx7ZF_xG0lBFae4jQEUtgsMU"",""All!B2:B""),MATCH($B393,IMPORTRANGE(""12vtnxaE_Q1s4tyr10kZQx7ZF_xG0lBFae4jQEUtgsMU"",""All!A2:A""),0)),INDEX(IMPORTRANGE(""13KC70HngS4DDi8y9E5khtSpQEPG6owaQ9z4E-tR5mnY"","&amp;"""Non-Food!B2:B""),MATCH($B393,IMPORTRANGE(""13KC70HngS4DDi8y9E5khtSpQEPG6owaQ9z4E-tR5mnY"",""Non-Food!A2:A""),0))),"""")"),"")</f>
        <v/>
      </c>
      <c r="D393" s="15"/>
      <c r="E393" s="15"/>
      <c r="F393" s="36"/>
      <c r="G393" s="24" t="str">
        <f>IFERROR(__xludf.DUMMYFUNCTION("iferror(iferror(iferror(index(IMPORTRANGE(""1NK5L1mviMn0j3D3uo53ASkIZOFRlLnqaCTnwzOG2_Wg"",""Direct Link!B2:B""),MATCH($B393,IMPORTRANGE(""1NK5L1mviMn0j3D3uo53ASkIZOFRlLnqaCTnwzOG2_Wg"",""Direct Link!A2:A""),0)),XLOOKUP($B393,IMPORTRANGE(""1NK5L1mviMn0j3D"&amp;"3uo53ASkIZOFRlLnqaCTnwzOG2_Wg"",""Direct links Without Sizes!A2:A""),IMPORTRANGE(""1NK5L1mviMn0j3D3uo53ASkIZOFRlLnqaCTnwzOG2_Wg"",""Direct links Without Sizes!B2:B""))),XLOOKUP($B393,IMPORTRANGE(""1NK5L1mviMn0j3D3uo53ASkIZOFRlLnqaCTnwzOG2_Wg"",""Direct li"&amp;"nks Without Sizes!D2:D""),IMPORTRANGE(""1NK5L1mviMn0j3D3uo53ASkIZOFRlLnqaCTnwzOG2_Wg"",""Direct links Without Sizes!E2:E""))),"""")"),"")</f>
        <v/>
      </c>
      <c r="H393" s="41"/>
      <c r="I393" s="4"/>
      <c r="J393" s="4"/>
      <c r="K393" s="10" t="str">
        <f t="shared" si="1"/>
        <v/>
      </c>
      <c r="L393" s="10"/>
      <c r="M393" s="10" t="str">
        <f t="shared" si="2"/>
        <v/>
      </c>
    </row>
    <row r="394">
      <c r="A394" s="4"/>
      <c r="B394" s="15"/>
      <c r="C394" s="7" t="str">
        <f>IFERROR(__xludf.DUMMYFUNCTION("iferror(iferror(INDEX(IMPORTRANGE(""12vtnxaE_Q1s4tyr10kZQx7ZF_xG0lBFae4jQEUtgsMU"",""All!B2:B""),MATCH($B394,IMPORTRANGE(""12vtnxaE_Q1s4tyr10kZQx7ZF_xG0lBFae4jQEUtgsMU"",""All!A2:A""),0)),INDEX(IMPORTRANGE(""13KC70HngS4DDi8y9E5khtSpQEPG6owaQ9z4E-tR5mnY"","&amp;"""Non-Food!B2:B""),MATCH($B394,IMPORTRANGE(""13KC70HngS4DDi8y9E5khtSpQEPG6owaQ9z4E-tR5mnY"",""Non-Food!A2:A""),0))),"""")"),"")</f>
        <v/>
      </c>
      <c r="D394" s="15"/>
      <c r="E394" s="15"/>
      <c r="F394" s="36"/>
      <c r="G394" s="24" t="str">
        <f>IFERROR(__xludf.DUMMYFUNCTION("iferror(iferror(iferror(index(IMPORTRANGE(""1NK5L1mviMn0j3D3uo53ASkIZOFRlLnqaCTnwzOG2_Wg"",""Direct Link!B2:B""),MATCH($B394,IMPORTRANGE(""1NK5L1mviMn0j3D3uo53ASkIZOFRlLnqaCTnwzOG2_Wg"",""Direct Link!A2:A""),0)),XLOOKUP($B394,IMPORTRANGE(""1NK5L1mviMn0j3D"&amp;"3uo53ASkIZOFRlLnqaCTnwzOG2_Wg"",""Direct links Without Sizes!A2:A""),IMPORTRANGE(""1NK5L1mviMn0j3D3uo53ASkIZOFRlLnqaCTnwzOG2_Wg"",""Direct links Without Sizes!B2:B""))),XLOOKUP($B394,IMPORTRANGE(""1NK5L1mviMn0j3D3uo53ASkIZOFRlLnqaCTnwzOG2_Wg"",""Direct li"&amp;"nks Without Sizes!D2:D""),IMPORTRANGE(""1NK5L1mviMn0j3D3uo53ASkIZOFRlLnqaCTnwzOG2_Wg"",""Direct links Without Sizes!E2:E""))),"""")"),"")</f>
        <v/>
      </c>
      <c r="H394" s="41"/>
      <c r="I394" s="4"/>
      <c r="J394" s="4"/>
      <c r="K394" s="10" t="str">
        <f t="shared" si="1"/>
        <v/>
      </c>
      <c r="L394" s="10"/>
      <c r="M394" s="10" t="str">
        <f t="shared" si="2"/>
        <v/>
      </c>
    </row>
    <row r="395">
      <c r="A395" s="4"/>
      <c r="B395" s="15"/>
      <c r="C395" s="7" t="str">
        <f>IFERROR(__xludf.DUMMYFUNCTION("iferror(iferror(INDEX(IMPORTRANGE(""12vtnxaE_Q1s4tyr10kZQx7ZF_xG0lBFae4jQEUtgsMU"",""All!B2:B""),MATCH($B395,IMPORTRANGE(""12vtnxaE_Q1s4tyr10kZQx7ZF_xG0lBFae4jQEUtgsMU"",""All!A2:A""),0)),INDEX(IMPORTRANGE(""13KC70HngS4DDi8y9E5khtSpQEPG6owaQ9z4E-tR5mnY"","&amp;"""Non-Food!B2:B""),MATCH($B395,IMPORTRANGE(""13KC70HngS4DDi8y9E5khtSpQEPG6owaQ9z4E-tR5mnY"",""Non-Food!A2:A""),0))),"""")"),"")</f>
        <v/>
      </c>
      <c r="D395" s="15"/>
      <c r="E395" s="15"/>
      <c r="F395" s="36"/>
      <c r="G395" s="24" t="str">
        <f>IFERROR(__xludf.DUMMYFUNCTION("iferror(iferror(iferror(index(IMPORTRANGE(""1NK5L1mviMn0j3D3uo53ASkIZOFRlLnqaCTnwzOG2_Wg"",""Direct Link!B2:B""),MATCH($B395,IMPORTRANGE(""1NK5L1mviMn0j3D3uo53ASkIZOFRlLnqaCTnwzOG2_Wg"",""Direct Link!A2:A""),0)),XLOOKUP($B395,IMPORTRANGE(""1NK5L1mviMn0j3D"&amp;"3uo53ASkIZOFRlLnqaCTnwzOG2_Wg"",""Direct links Without Sizes!A2:A""),IMPORTRANGE(""1NK5L1mviMn0j3D3uo53ASkIZOFRlLnqaCTnwzOG2_Wg"",""Direct links Without Sizes!B2:B""))),XLOOKUP($B395,IMPORTRANGE(""1NK5L1mviMn0j3D3uo53ASkIZOFRlLnqaCTnwzOG2_Wg"",""Direct li"&amp;"nks Without Sizes!D2:D""),IMPORTRANGE(""1NK5L1mviMn0j3D3uo53ASkIZOFRlLnqaCTnwzOG2_Wg"",""Direct links Without Sizes!E2:E""))),"""")"),"")</f>
        <v/>
      </c>
      <c r="H395" s="41"/>
      <c r="I395" s="4"/>
      <c r="J395" s="4"/>
      <c r="K395" s="10" t="str">
        <f t="shared" si="1"/>
        <v/>
      </c>
      <c r="L395" s="10"/>
      <c r="M395" s="10" t="str">
        <f t="shared" si="2"/>
        <v/>
      </c>
    </row>
    <row r="396">
      <c r="A396" s="4"/>
      <c r="B396" s="15"/>
      <c r="C396" s="7" t="str">
        <f>IFERROR(__xludf.DUMMYFUNCTION("iferror(iferror(INDEX(IMPORTRANGE(""12vtnxaE_Q1s4tyr10kZQx7ZF_xG0lBFae4jQEUtgsMU"",""All!B2:B""),MATCH($B396,IMPORTRANGE(""12vtnxaE_Q1s4tyr10kZQx7ZF_xG0lBFae4jQEUtgsMU"",""All!A2:A""),0)),INDEX(IMPORTRANGE(""13KC70HngS4DDi8y9E5khtSpQEPG6owaQ9z4E-tR5mnY"","&amp;"""Non-Food!B2:B""),MATCH($B396,IMPORTRANGE(""13KC70HngS4DDi8y9E5khtSpQEPG6owaQ9z4E-tR5mnY"",""Non-Food!A2:A""),0))),"""")"),"")</f>
        <v/>
      </c>
      <c r="D396" s="15"/>
      <c r="E396" s="15"/>
      <c r="F396" s="36"/>
      <c r="G396" s="24" t="str">
        <f>IFERROR(__xludf.DUMMYFUNCTION("iferror(iferror(iferror(index(IMPORTRANGE(""1NK5L1mviMn0j3D3uo53ASkIZOFRlLnqaCTnwzOG2_Wg"",""Direct Link!B2:B""),MATCH($B396,IMPORTRANGE(""1NK5L1mviMn0j3D3uo53ASkIZOFRlLnqaCTnwzOG2_Wg"",""Direct Link!A2:A""),0)),XLOOKUP($B396,IMPORTRANGE(""1NK5L1mviMn0j3D"&amp;"3uo53ASkIZOFRlLnqaCTnwzOG2_Wg"",""Direct links Without Sizes!A2:A""),IMPORTRANGE(""1NK5L1mviMn0j3D3uo53ASkIZOFRlLnqaCTnwzOG2_Wg"",""Direct links Without Sizes!B2:B""))),XLOOKUP($B396,IMPORTRANGE(""1NK5L1mviMn0j3D3uo53ASkIZOFRlLnqaCTnwzOG2_Wg"",""Direct li"&amp;"nks Without Sizes!D2:D""),IMPORTRANGE(""1NK5L1mviMn0j3D3uo53ASkIZOFRlLnqaCTnwzOG2_Wg"",""Direct links Without Sizes!E2:E""))),"""")"),"")</f>
        <v/>
      </c>
      <c r="H396" s="41"/>
      <c r="I396" s="4"/>
      <c r="J396" s="4"/>
      <c r="K396" s="10" t="str">
        <f t="shared" si="1"/>
        <v/>
      </c>
      <c r="L396" s="10"/>
      <c r="M396" s="10" t="str">
        <f t="shared" si="2"/>
        <v/>
      </c>
    </row>
    <row r="397">
      <c r="A397" s="4"/>
      <c r="B397" s="15"/>
      <c r="C397" s="7" t="str">
        <f>IFERROR(__xludf.DUMMYFUNCTION("iferror(iferror(INDEX(IMPORTRANGE(""12vtnxaE_Q1s4tyr10kZQx7ZF_xG0lBFae4jQEUtgsMU"",""All!B2:B""),MATCH($B397,IMPORTRANGE(""12vtnxaE_Q1s4tyr10kZQx7ZF_xG0lBFae4jQEUtgsMU"",""All!A2:A""),0)),INDEX(IMPORTRANGE(""13KC70HngS4DDi8y9E5khtSpQEPG6owaQ9z4E-tR5mnY"","&amp;"""Non-Food!B2:B""),MATCH($B397,IMPORTRANGE(""13KC70HngS4DDi8y9E5khtSpQEPG6owaQ9z4E-tR5mnY"",""Non-Food!A2:A""),0))),"""")"),"")</f>
        <v/>
      </c>
      <c r="D397" s="15"/>
      <c r="E397" s="15"/>
      <c r="F397" s="36"/>
      <c r="G397" s="24" t="str">
        <f>IFERROR(__xludf.DUMMYFUNCTION("iferror(iferror(iferror(index(IMPORTRANGE(""1NK5L1mviMn0j3D3uo53ASkIZOFRlLnqaCTnwzOG2_Wg"",""Direct Link!B2:B""),MATCH($B397,IMPORTRANGE(""1NK5L1mviMn0j3D3uo53ASkIZOFRlLnqaCTnwzOG2_Wg"",""Direct Link!A2:A""),0)),XLOOKUP($B397,IMPORTRANGE(""1NK5L1mviMn0j3D"&amp;"3uo53ASkIZOFRlLnqaCTnwzOG2_Wg"",""Direct links Without Sizes!A2:A""),IMPORTRANGE(""1NK5L1mviMn0j3D3uo53ASkIZOFRlLnqaCTnwzOG2_Wg"",""Direct links Without Sizes!B2:B""))),XLOOKUP($B397,IMPORTRANGE(""1NK5L1mviMn0j3D3uo53ASkIZOFRlLnqaCTnwzOG2_Wg"",""Direct li"&amp;"nks Without Sizes!D2:D""),IMPORTRANGE(""1NK5L1mviMn0j3D3uo53ASkIZOFRlLnqaCTnwzOG2_Wg"",""Direct links Without Sizes!E2:E""))),"""")"),"")</f>
        <v/>
      </c>
      <c r="H397" s="41"/>
      <c r="I397" s="4"/>
      <c r="J397" s="4"/>
      <c r="K397" s="10" t="str">
        <f t="shared" si="1"/>
        <v/>
      </c>
      <c r="L397" s="10"/>
      <c r="M397" s="10" t="str">
        <f t="shared" si="2"/>
        <v/>
      </c>
    </row>
    <row r="398">
      <c r="A398" s="4"/>
      <c r="B398" s="15"/>
      <c r="C398" s="7" t="str">
        <f>IFERROR(__xludf.DUMMYFUNCTION("iferror(iferror(INDEX(IMPORTRANGE(""12vtnxaE_Q1s4tyr10kZQx7ZF_xG0lBFae4jQEUtgsMU"",""All!B2:B""),MATCH($B398,IMPORTRANGE(""12vtnxaE_Q1s4tyr10kZQx7ZF_xG0lBFae4jQEUtgsMU"",""All!A2:A""),0)),INDEX(IMPORTRANGE(""13KC70HngS4DDi8y9E5khtSpQEPG6owaQ9z4E-tR5mnY"","&amp;"""Non-Food!B2:B""),MATCH($B398,IMPORTRANGE(""13KC70HngS4DDi8y9E5khtSpQEPG6owaQ9z4E-tR5mnY"",""Non-Food!A2:A""),0))),"""")"),"")</f>
        <v/>
      </c>
      <c r="D398" s="15"/>
      <c r="E398" s="15"/>
      <c r="F398" s="36"/>
      <c r="G398" s="24" t="str">
        <f>IFERROR(__xludf.DUMMYFUNCTION("iferror(iferror(iferror(index(IMPORTRANGE(""1NK5L1mviMn0j3D3uo53ASkIZOFRlLnqaCTnwzOG2_Wg"",""Direct Link!B2:B""),MATCH($B398,IMPORTRANGE(""1NK5L1mviMn0j3D3uo53ASkIZOFRlLnqaCTnwzOG2_Wg"",""Direct Link!A2:A""),0)),XLOOKUP($B398,IMPORTRANGE(""1NK5L1mviMn0j3D"&amp;"3uo53ASkIZOFRlLnqaCTnwzOG2_Wg"",""Direct links Without Sizes!A2:A""),IMPORTRANGE(""1NK5L1mviMn0j3D3uo53ASkIZOFRlLnqaCTnwzOG2_Wg"",""Direct links Without Sizes!B2:B""))),XLOOKUP($B398,IMPORTRANGE(""1NK5L1mviMn0j3D3uo53ASkIZOFRlLnqaCTnwzOG2_Wg"",""Direct li"&amp;"nks Without Sizes!D2:D""),IMPORTRANGE(""1NK5L1mviMn0j3D3uo53ASkIZOFRlLnqaCTnwzOG2_Wg"",""Direct links Without Sizes!E2:E""))),"""")"),"")</f>
        <v/>
      </c>
      <c r="H398" s="41"/>
      <c r="I398" s="4"/>
      <c r="J398" s="4"/>
      <c r="K398" s="10" t="str">
        <f t="shared" si="1"/>
        <v/>
      </c>
      <c r="L398" s="10"/>
      <c r="M398" s="10" t="str">
        <f t="shared" si="2"/>
        <v/>
      </c>
    </row>
    <row r="399">
      <c r="A399" s="4"/>
      <c r="B399" s="15"/>
      <c r="C399" s="7" t="str">
        <f>IFERROR(__xludf.DUMMYFUNCTION("iferror(iferror(INDEX(IMPORTRANGE(""12vtnxaE_Q1s4tyr10kZQx7ZF_xG0lBFae4jQEUtgsMU"",""All!B2:B""),MATCH($B399,IMPORTRANGE(""12vtnxaE_Q1s4tyr10kZQx7ZF_xG0lBFae4jQEUtgsMU"",""All!A2:A""),0)),INDEX(IMPORTRANGE(""13KC70HngS4DDi8y9E5khtSpQEPG6owaQ9z4E-tR5mnY"","&amp;"""Non-Food!B2:B""),MATCH($B399,IMPORTRANGE(""13KC70HngS4DDi8y9E5khtSpQEPG6owaQ9z4E-tR5mnY"",""Non-Food!A2:A""),0))),"""")"),"")</f>
        <v/>
      </c>
      <c r="D399" s="15"/>
      <c r="E399" s="15"/>
      <c r="F399" s="36"/>
      <c r="G399" s="24" t="str">
        <f>IFERROR(__xludf.DUMMYFUNCTION("iferror(iferror(iferror(index(IMPORTRANGE(""1NK5L1mviMn0j3D3uo53ASkIZOFRlLnqaCTnwzOG2_Wg"",""Direct Link!B2:B""),MATCH($B399,IMPORTRANGE(""1NK5L1mviMn0j3D3uo53ASkIZOFRlLnqaCTnwzOG2_Wg"",""Direct Link!A2:A""),0)),XLOOKUP($B399,IMPORTRANGE(""1NK5L1mviMn0j3D"&amp;"3uo53ASkIZOFRlLnqaCTnwzOG2_Wg"",""Direct links Without Sizes!A2:A""),IMPORTRANGE(""1NK5L1mviMn0j3D3uo53ASkIZOFRlLnqaCTnwzOG2_Wg"",""Direct links Without Sizes!B2:B""))),XLOOKUP($B399,IMPORTRANGE(""1NK5L1mviMn0j3D3uo53ASkIZOFRlLnqaCTnwzOG2_Wg"",""Direct li"&amp;"nks Without Sizes!D2:D""),IMPORTRANGE(""1NK5L1mviMn0j3D3uo53ASkIZOFRlLnqaCTnwzOG2_Wg"",""Direct links Without Sizes!E2:E""))),"""")"),"")</f>
        <v/>
      </c>
      <c r="H399" s="41"/>
      <c r="I399" s="4"/>
      <c r="J399" s="4"/>
      <c r="K399" s="10" t="str">
        <f t="shared" si="1"/>
        <v/>
      </c>
      <c r="L399" s="10"/>
      <c r="M399" s="10" t="str">
        <f t="shared" si="2"/>
        <v/>
      </c>
    </row>
    <row r="400">
      <c r="A400" s="4"/>
      <c r="B400" s="15"/>
      <c r="C400" s="7" t="str">
        <f>IFERROR(__xludf.DUMMYFUNCTION("iferror(iferror(INDEX(IMPORTRANGE(""12vtnxaE_Q1s4tyr10kZQx7ZF_xG0lBFae4jQEUtgsMU"",""All!B2:B""),MATCH($B400,IMPORTRANGE(""12vtnxaE_Q1s4tyr10kZQx7ZF_xG0lBFae4jQEUtgsMU"",""All!A2:A""),0)),INDEX(IMPORTRANGE(""13KC70HngS4DDi8y9E5khtSpQEPG6owaQ9z4E-tR5mnY"","&amp;"""Non-Food!B2:B""),MATCH($B400,IMPORTRANGE(""13KC70HngS4DDi8y9E5khtSpQEPG6owaQ9z4E-tR5mnY"",""Non-Food!A2:A""),0))),"""")"),"")</f>
        <v/>
      </c>
      <c r="D400" s="15"/>
      <c r="E400" s="15"/>
      <c r="F400" s="36"/>
      <c r="G400" s="24" t="str">
        <f>IFERROR(__xludf.DUMMYFUNCTION("iferror(iferror(iferror(index(IMPORTRANGE(""1NK5L1mviMn0j3D3uo53ASkIZOFRlLnqaCTnwzOG2_Wg"",""Direct Link!B2:B""),MATCH($B400,IMPORTRANGE(""1NK5L1mviMn0j3D3uo53ASkIZOFRlLnqaCTnwzOG2_Wg"",""Direct Link!A2:A""),0)),XLOOKUP($B400,IMPORTRANGE(""1NK5L1mviMn0j3D"&amp;"3uo53ASkIZOFRlLnqaCTnwzOG2_Wg"",""Direct links Without Sizes!A2:A""),IMPORTRANGE(""1NK5L1mviMn0j3D3uo53ASkIZOFRlLnqaCTnwzOG2_Wg"",""Direct links Without Sizes!B2:B""))),XLOOKUP($B400,IMPORTRANGE(""1NK5L1mviMn0j3D3uo53ASkIZOFRlLnqaCTnwzOG2_Wg"",""Direct li"&amp;"nks Without Sizes!D2:D""),IMPORTRANGE(""1NK5L1mviMn0j3D3uo53ASkIZOFRlLnqaCTnwzOG2_Wg"",""Direct links Without Sizes!E2:E""))),"""")"),"")</f>
        <v/>
      </c>
      <c r="H400" s="41"/>
      <c r="I400" s="4"/>
      <c r="J400" s="4"/>
      <c r="K400" s="10" t="str">
        <f t="shared" si="1"/>
        <v/>
      </c>
      <c r="L400" s="10"/>
      <c r="M400" s="10" t="str">
        <f t="shared" si="2"/>
        <v/>
      </c>
    </row>
    <row r="401">
      <c r="A401" s="4"/>
      <c r="B401" s="15"/>
      <c r="C401" s="7" t="str">
        <f>IFERROR(__xludf.DUMMYFUNCTION("iferror(iferror(INDEX(IMPORTRANGE(""12vtnxaE_Q1s4tyr10kZQx7ZF_xG0lBFae4jQEUtgsMU"",""All!B2:B""),MATCH($B401,IMPORTRANGE(""12vtnxaE_Q1s4tyr10kZQx7ZF_xG0lBFae4jQEUtgsMU"",""All!A2:A""),0)),INDEX(IMPORTRANGE(""13KC70HngS4DDi8y9E5khtSpQEPG6owaQ9z4E-tR5mnY"","&amp;"""Non-Food!B2:B""),MATCH($B401,IMPORTRANGE(""13KC70HngS4DDi8y9E5khtSpQEPG6owaQ9z4E-tR5mnY"",""Non-Food!A2:A""),0))),"""")"),"")</f>
        <v/>
      </c>
      <c r="D401" s="15"/>
      <c r="E401" s="15"/>
      <c r="F401" s="36"/>
      <c r="G401" s="24" t="str">
        <f>IFERROR(__xludf.DUMMYFUNCTION("iferror(iferror(iferror(index(IMPORTRANGE(""1NK5L1mviMn0j3D3uo53ASkIZOFRlLnqaCTnwzOG2_Wg"",""Direct Link!B2:B""),MATCH($B401,IMPORTRANGE(""1NK5L1mviMn0j3D3uo53ASkIZOFRlLnqaCTnwzOG2_Wg"",""Direct Link!A2:A""),0)),XLOOKUP($B401,IMPORTRANGE(""1NK5L1mviMn0j3D"&amp;"3uo53ASkIZOFRlLnqaCTnwzOG2_Wg"",""Direct links Without Sizes!A2:A""),IMPORTRANGE(""1NK5L1mviMn0j3D3uo53ASkIZOFRlLnqaCTnwzOG2_Wg"",""Direct links Without Sizes!B2:B""))),XLOOKUP($B401,IMPORTRANGE(""1NK5L1mviMn0j3D3uo53ASkIZOFRlLnqaCTnwzOG2_Wg"",""Direct li"&amp;"nks Without Sizes!D2:D""),IMPORTRANGE(""1NK5L1mviMn0j3D3uo53ASkIZOFRlLnqaCTnwzOG2_Wg"",""Direct links Without Sizes!E2:E""))),"""")"),"")</f>
        <v/>
      </c>
      <c r="H401" s="41"/>
      <c r="I401" s="4"/>
      <c r="J401" s="4"/>
      <c r="K401" s="10" t="str">
        <f t="shared" si="1"/>
        <v/>
      </c>
      <c r="L401" s="10"/>
      <c r="M401" s="10" t="str">
        <f t="shared" si="2"/>
        <v/>
      </c>
    </row>
    <row r="402">
      <c r="A402" s="4"/>
      <c r="B402" s="15"/>
      <c r="C402" s="7" t="str">
        <f>IFERROR(__xludf.DUMMYFUNCTION("iferror(iferror(INDEX(IMPORTRANGE(""12vtnxaE_Q1s4tyr10kZQx7ZF_xG0lBFae4jQEUtgsMU"",""All!B2:B""),MATCH($B402,IMPORTRANGE(""12vtnxaE_Q1s4tyr10kZQx7ZF_xG0lBFae4jQEUtgsMU"",""All!A2:A""),0)),INDEX(IMPORTRANGE(""13KC70HngS4DDi8y9E5khtSpQEPG6owaQ9z4E-tR5mnY"","&amp;"""Non-Food!B2:B""),MATCH($B402,IMPORTRANGE(""13KC70HngS4DDi8y9E5khtSpQEPG6owaQ9z4E-tR5mnY"",""Non-Food!A2:A""),0))),"""")"),"")</f>
        <v/>
      </c>
      <c r="D402" s="15"/>
      <c r="E402" s="15"/>
      <c r="F402" s="36"/>
      <c r="G402" s="24" t="str">
        <f>IFERROR(__xludf.DUMMYFUNCTION("iferror(iferror(iferror(index(IMPORTRANGE(""1NK5L1mviMn0j3D3uo53ASkIZOFRlLnqaCTnwzOG2_Wg"",""Direct Link!B2:B""),MATCH($B402,IMPORTRANGE(""1NK5L1mviMn0j3D3uo53ASkIZOFRlLnqaCTnwzOG2_Wg"",""Direct Link!A2:A""),0)),XLOOKUP($B402,IMPORTRANGE(""1NK5L1mviMn0j3D"&amp;"3uo53ASkIZOFRlLnqaCTnwzOG2_Wg"",""Direct links Without Sizes!A2:A""),IMPORTRANGE(""1NK5L1mviMn0j3D3uo53ASkIZOFRlLnqaCTnwzOG2_Wg"",""Direct links Without Sizes!B2:B""))),XLOOKUP($B402,IMPORTRANGE(""1NK5L1mviMn0j3D3uo53ASkIZOFRlLnqaCTnwzOG2_Wg"",""Direct li"&amp;"nks Without Sizes!D2:D""),IMPORTRANGE(""1NK5L1mviMn0j3D3uo53ASkIZOFRlLnqaCTnwzOG2_Wg"",""Direct links Without Sizes!E2:E""))),"""")"),"")</f>
        <v/>
      </c>
      <c r="H402" s="41"/>
      <c r="I402" s="4"/>
      <c r="J402" s="4"/>
      <c r="K402" s="10" t="str">
        <f t="shared" si="1"/>
        <v/>
      </c>
      <c r="L402" s="10"/>
      <c r="M402" s="10" t="str">
        <f t="shared" si="2"/>
        <v/>
      </c>
    </row>
    <row r="403">
      <c r="A403" s="4"/>
      <c r="B403" s="15"/>
      <c r="C403" s="7" t="str">
        <f>IFERROR(__xludf.DUMMYFUNCTION("iferror(iferror(INDEX(IMPORTRANGE(""12vtnxaE_Q1s4tyr10kZQx7ZF_xG0lBFae4jQEUtgsMU"",""All!B2:B""),MATCH($B403,IMPORTRANGE(""12vtnxaE_Q1s4tyr10kZQx7ZF_xG0lBFae4jQEUtgsMU"",""All!A2:A""),0)),INDEX(IMPORTRANGE(""13KC70HngS4DDi8y9E5khtSpQEPG6owaQ9z4E-tR5mnY"","&amp;"""Non-Food!B2:B""),MATCH($B403,IMPORTRANGE(""13KC70HngS4DDi8y9E5khtSpQEPG6owaQ9z4E-tR5mnY"",""Non-Food!A2:A""),0))),"""")"),"")</f>
        <v/>
      </c>
      <c r="D403" s="15"/>
      <c r="E403" s="15"/>
      <c r="F403" s="36"/>
      <c r="G403" s="24" t="str">
        <f>IFERROR(__xludf.DUMMYFUNCTION("iferror(iferror(iferror(index(IMPORTRANGE(""1NK5L1mviMn0j3D3uo53ASkIZOFRlLnqaCTnwzOG2_Wg"",""Direct Link!B2:B""),MATCH($B403,IMPORTRANGE(""1NK5L1mviMn0j3D3uo53ASkIZOFRlLnqaCTnwzOG2_Wg"",""Direct Link!A2:A""),0)),XLOOKUP($B403,IMPORTRANGE(""1NK5L1mviMn0j3D"&amp;"3uo53ASkIZOFRlLnqaCTnwzOG2_Wg"",""Direct links Without Sizes!A2:A""),IMPORTRANGE(""1NK5L1mviMn0j3D3uo53ASkIZOFRlLnqaCTnwzOG2_Wg"",""Direct links Without Sizes!B2:B""))),XLOOKUP($B403,IMPORTRANGE(""1NK5L1mviMn0j3D3uo53ASkIZOFRlLnqaCTnwzOG2_Wg"",""Direct li"&amp;"nks Without Sizes!D2:D""),IMPORTRANGE(""1NK5L1mviMn0j3D3uo53ASkIZOFRlLnqaCTnwzOG2_Wg"",""Direct links Without Sizes!E2:E""))),"""")"),"")</f>
        <v/>
      </c>
      <c r="H403" s="41"/>
      <c r="I403" s="4"/>
      <c r="J403" s="4"/>
      <c r="K403" s="10" t="str">
        <f t="shared" si="1"/>
        <v/>
      </c>
      <c r="L403" s="10"/>
      <c r="M403" s="10" t="str">
        <f t="shared" si="2"/>
        <v/>
      </c>
    </row>
    <row r="404">
      <c r="A404" s="4"/>
      <c r="B404" s="15"/>
      <c r="C404" s="7" t="str">
        <f>IFERROR(__xludf.DUMMYFUNCTION("iferror(iferror(INDEX(IMPORTRANGE(""12vtnxaE_Q1s4tyr10kZQx7ZF_xG0lBFae4jQEUtgsMU"",""All!B2:B""),MATCH($B404,IMPORTRANGE(""12vtnxaE_Q1s4tyr10kZQx7ZF_xG0lBFae4jQEUtgsMU"",""All!A2:A""),0)),INDEX(IMPORTRANGE(""13KC70HngS4DDi8y9E5khtSpQEPG6owaQ9z4E-tR5mnY"","&amp;"""Non-Food!B2:B""),MATCH($B404,IMPORTRANGE(""13KC70HngS4DDi8y9E5khtSpQEPG6owaQ9z4E-tR5mnY"",""Non-Food!A2:A""),0))),"""")"),"")</f>
        <v/>
      </c>
      <c r="D404" s="15"/>
      <c r="E404" s="15"/>
      <c r="F404" s="36"/>
      <c r="G404" s="24" t="str">
        <f>IFERROR(__xludf.DUMMYFUNCTION("iferror(iferror(iferror(index(IMPORTRANGE(""1NK5L1mviMn0j3D3uo53ASkIZOFRlLnqaCTnwzOG2_Wg"",""Direct Link!B2:B""),MATCH($B404,IMPORTRANGE(""1NK5L1mviMn0j3D3uo53ASkIZOFRlLnqaCTnwzOG2_Wg"",""Direct Link!A2:A""),0)),XLOOKUP($B404,IMPORTRANGE(""1NK5L1mviMn0j3D"&amp;"3uo53ASkIZOFRlLnqaCTnwzOG2_Wg"",""Direct links Without Sizes!A2:A""),IMPORTRANGE(""1NK5L1mviMn0j3D3uo53ASkIZOFRlLnqaCTnwzOG2_Wg"",""Direct links Without Sizes!B2:B""))),XLOOKUP($B404,IMPORTRANGE(""1NK5L1mviMn0j3D3uo53ASkIZOFRlLnqaCTnwzOG2_Wg"",""Direct li"&amp;"nks Without Sizes!D2:D""),IMPORTRANGE(""1NK5L1mviMn0j3D3uo53ASkIZOFRlLnqaCTnwzOG2_Wg"",""Direct links Without Sizes!E2:E""))),"""")"),"")</f>
        <v/>
      </c>
      <c r="H404" s="41"/>
      <c r="I404" s="4"/>
      <c r="J404" s="4"/>
      <c r="K404" s="10" t="str">
        <f t="shared" si="1"/>
        <v/>
      </c>
      <c r="L404" s="10"/>
      <c r="M404" s="10" t="str">
        <f t="shared" si="2"/>
        <v/>
      </c>
    </row>
    <row r="405">
      <c r="A405" s="4"/>
      <c r="B405" s="15"/>
      <c r="C405" s="7" t="str">
        <f>IFERROR(__xludf.DUMMYFUNCTION("iferror(iferror(INDEX(IMPORTRANGE(""12vtnxaE_Q1s4tyr10kZQx7ZF_xG0lBFae4jQEUtgsMU"",""All!B2:B""),MATCH($B405,IMPORTRANGE(""12vtnxaE_Q1s4tyr10kZQx7ZF_xG0lBFae4jQEUtgsMU"",""All!A2:A""),0)),INDEX(IMPORTRANGE(""13KC70HngS4DDi8y9E5khtSpQEPG6owaQ9z4E-tR5mnY"","&amp;"""Non-Food!B2:B""),MATCH($B405,IMPORTRANGE(""13KC70HngS4DDi8y9E5khtSpQEPG6owaQ9z4E-tR5mnY"",""Non-Food!A2:A""),0))),"""")"),"")</f>
        <v/>
      </c>
      <c r="D405" s="15"/>
      <c r="E405" s="15"/>
      <c r="F405" s="36"/>
      <c r="G405" s="24" t="str">
        <f>IFERROR(__xludf.DUMMYFUNCTION("iferror(iferror(iferror(index(IMPORTRANGE(""1NK5L1mviMn0j3D3uo53ASkIZOFRlLnqaCTnwzOG2_Wg"",""Direct Link!B2:B""),MATCH($B405,IMPORTRANGE(""1NK5L1mviMn0j3D3uo53ASkIZOFRlLnqaCTnwzOG2_Wg"",""Direct Link!A2:A""),0)),XLOOKUP($B405,IMPORTRANGE(""1NK5L1mviMn0j3D"&amp;"3uo53ASkIZOFRlLnqaCTnwzOG2_Wg"",""Direct links Without Sizes!A2:A""),IMPORTRANGE(""1NK5L1mviMn0j3D3uo53ASkIZOFRlLnqaCTnwzOG2_Wg"",""Direct links Without Sizes!B2:B""))),XLOOKUP($B405,IMPORTRANGE(""1NK5L1mviMn0j3D3uo53ASkIZOFRlLnqaCTnwzOG2_Wg"",""Direct li"&amp;"nks Without Sizes!D2:D""),IMPORTRANGE(""1NK5L1mviMn0j3D3uo53ASkIZOFRlLnqaCTnwzOG2_Wg"",""Direct links Without Sizes!E2:E""))),"""")"),"")</f>
        <v/>
      </c>
      <c r="H405" s="41"/>
      <c r="I405" s="4"/>
      <c r="J405" s="4"/>
      <c r="K405" s="10" t="str">
        <f t="shared" si="1"/>
        <v/>
      </c>
      <c r="L405" s="10"/>
      <c r="M405" s="10" t="str">
        <f t="shared" si="2"/>
        <v/>
      </c>
    </row>
    <row r="406">
      <c r="A406" s="4"/>
      <c r="B406" s="15"/>
      <c r="C406" s="7" t="str">
        <f>IFERROR(__xludf.DUMMYFUNCTION("iferror(iferror(INDEX(IMPORTRANGE(""12vtnxaE_Q1s4tyr10kZQx7ZF_xG0lBFae4jQEUtgsMU"",""All!B2:B""),MATCH($B406,IMPORTRANGE(""12vtnxaE_Q1s4tyr10kZQx7ZF_xG0lBFae4jQEUtgsMU"",""All!A2:A""),0)),INDEX(IMPORTRANGE(""13KC70HngS4DDi8y9E5khtSpQEPG6owaQ9z4E-tR5mnY"","&amp;"""Non-Food!B2:B""),MATCH($B406,IMPORTRANGE(""13KC70HngS4DDi8y9E5khtSpQEPG6owaQ9z4E-tR5mnY"",""Non-Food!A2:A""),0))),"""")"),"")</f>
        <v/>
      </c>
      <c r="D406" s="15"/>
      <c r="E406" s="15"/>
      <c r="F406" s="36"/>
      <c r="G406" s="24" t="str">
        <f>IFERROR(__xludf.DUMMYFUNCTION("iferror(iferror(iferror(index(IMPORTRANGE(""1NK5L1mviMn0j3D3uo53ASkIZOFRlLnqaCTnwzOG2_Wg"",""Direct Link!B2:B""),MATCH($B406,IMPORTRANGE(""1NK5L1mviMn0j3D3uo53ASkIZOFRlLnqaCTnwzOG2_Wg"",""Direct Link!A2:A""),0)),XLOOKUP($B406,IMPORTRANGE(""1NK5L1mviMn0j3D"&amp;"3uo53ASkIZOFRlLnqaCTnwzOG2_Wg"",""Direct links Without Sizes!A2:A""),IMPORTRANGE(""1NK5L1mviMn0j3D3uo53ASkIZOFRlLnqaCTnwzOG2_Wg"",""Direct links Without Sizes!B2:B""))),XLOOKUP($B406,IMPORTRANGE(""1NK5L1mviMn0j3D3uo53ASkIZOFRlLnqaCTnwzOG2_Wg"",""Direct li"&amp;"nks Without Sizes!D2:D""),IMPORTRANGE(""1NK5L1mviMn0j3D3uo53ASkIZOFRlLnqaCTnwzOG2_Wg"",""Direct links Without Sizes!E2:E""))),"""")"),"")</f>
        <v/>
      </c>
      <c r="H406" s="41"/>
      <c r="I406" s="4"/>
      <c r="J406" s="4"/>
      <c r="K406" s="10" t="str">
        <f t="shared" si="1"/>
        <v/>
      </c>
      <c r="L406" s="10"/>
      <c r="M406" s="10" t="str">
        <f t="shared" si="2"/>
        <v/>
      </c>
    </row>
    <row r="407">
      <c r="A407" s="4"/>
      <c r="B407" s="15"/>
      <c r="C407" s="7" t="str">
        <f>IFERROR(__xludf.DUMMYFUNCTION("iferror(iferror(INDEX(IMPORTRANGE(""12vtnxaE_Q1s4tyr10kZQx7ZF_xG0lBFae4jQEUtgsMU"",""All!B2:B""),MATCH($B407,IMPORTRANGE(""12vtnxaE_Q1s4tyr10kZQx7ZF_xG0lBFae4jQEUtgsMU"",""All!A2:A""),0)),INDEX(IMPORTRANGE(""13KC70HngS4DDi8y9E5khtSpQEPG6owaQ9z4E-tR5mnY"","&amp;"""Non-Food!B2:B""),MATCH($B407,IMPORTRANGE(""13KC70HngS4DDi8y9E5khtSpQEPG6owaQ9z4E-tR5mnY"",""Non-Food!A2:A""),0))),"""")"),"")</f>
        <v/>
      </c>
      <c r="D407" s="15"/>
      <c r="E407" s="15"/>
      <c r="F407" s="36"/>
      <c r="G407" s="24" t="str">
        <f>IFERROR(__xludf.DUMMYFUNCTION("iferror(iferror(iferror(index(IMPORTRANGE(""1NK5L1mviMn0j3D3uo53ASkIZOFRlLnqaCTnwzOG2_Wg"",""Direct Link!B2:B""),MATCH($B407,IMPORTRANGE(""1NK5L1mviMn0j3D3uo53ASkIZOFRlLnqaCTnwzOG2_Wg"",""Direct Link!A2:A""),0)),XLOOKUP($B407,IMPORTRANGE(""1NK5L1mviMn0j3D"&amp;"3uo53ASkIZOFRlLnqaCTnwzOG2_Wg"",""Direct links Without Sizes!A2:A""),IMPORTRANGE(""1NK5L1mviMn0j3D3uo53ASkIZOFRlLnqaCTnwzOG2_Wg"",""Direct links Without Sizes!B2:B""))),XLOOKUP($B407,IMPORTRANGE(""1NK5L1mviMn0j3D3uo53ASkIZOFRlLnqaCTnwzOG2_Wg"",""Direct li"&amp;"nks Without Sizes!D2:D""),IMPORTRANGE(""1NK5L1mviMn0j3D3uo53ASkIZOFRlLnqaCTnwzOG2_Wg"",""Direct links Without Sizes!E2:E""))),"""")"),"")</f>
        <v/>
      </c>
      <c r="H407" s="41"/>
      <c r="I407" s="4"/>
      <c r="J407" s="4"/>
      <c r="K407" s="10" t="str">
        <f t="shared" si="1"/>
        <v/>
      </c>
      <c r="L407" s="10"/>
      <c r="M407" s="10" t="str">
        <f t="shared" si="2"/>
        <v/>
      </c>
    </row>
    <row r="408">
      <c r="A408" s="4"/>
      <c r="B408" s="15"/>
      <c r="C408" s="7" t="str">
        <f>IFERROR(__xludf.DUMMYFUNCTION("iferror(iferror(INDEX(IMPORTRANGE(""12vtnxaE_Q1s4tyr10kZQx7ZF_xG0lBFae4jQEUtgsMU"",""All!B2:B""),MATCH($B408,IMPORTRANGE(""12vtnxaE_Q1s4tyr10kZQx7ZF_xG0lBFae4jQEUtgsMU"",""All!A2:A""),0)),INDEX(IMPORTRANGE(""13KC70HngS4DDi8y9E5khtSpQEPG6owaQ9z4E-tR5mnY"","&amp;"""Non-Food!B2:B""),MATCH($B408,IMPORTRANGE(""13KC70HngS4DDi8y9E5khtSpQEPG6owaQ9z4E-tR5mnY"",""Non-Food!A2:A""),0))),"""")"),"")</f>
        <v/>
      </c>
      <c r="D408" s="15"/>
      <c r="E408" s="15"/>
      <c r="F408" s="36"/>
      <c r="G408" s="24" t="str">
        <f>IFERROR(__xludf.DUMMYFUNCTION("iferror(iferror(iferror(index(IMPORTRANGE(""1NK5L1mviMn0j3D3uo53ASkIZOFRlLnqaCTnwzOG2_Wg"",""Direct Link!B2:B""),MATCH($B408,IMPORTRANGE(""1NK5L1mviMn0j3D3uo53ASkIZOFRlLnqaCTnwzOG2_Wg"",""Direct Link!A2:A""),0)),XLOOKUP($B408,IMPORTRANGE(""1NK5L1mviMn0j3D"&amp;"3uo53ASkIZOFRlLnqaCTnwzOG2_Wg"",""Direct links Without Sizes!A2:A""),IMPORTRANGE(""1NK5L1mviMn0j3D3uo53ASkIZOFRlLnqaCTnwzOG2_Wg"",""Direct links Without Sizes!B2:B""))),XLOOKUP($B408,IMPORTRANGE(""1NK5L1mviMn0j3D3uo53ASkIZOFRlLnqaCTnwzOG2_Wg"",""Direct li"&amp;"nks Without Sizes!D2:D""),IMPORTRANGE(""1NK5L1mviMn0j3D3uo53ASkIZOFRlLnqaCTnwzOG2_Wg"",""Direct links Without Sizes!E2:E""))),"""")"),"")</f>
        <v/>
      </c>
      <c r="H408" s="41"/>
      <c r="I408" s="4"/>
      <c r="J408" s="4"/>
      <c r="K408" s="10" t="str">
        <f t="shared" si="1"/>
        <v/>
      </c>
      <c r="L408" s="10"/>
      <c r="M408" s="10" t="str">
        <f t="shared" si="2"/>
        <v/>
      </c>
    </row>
    <row r="409">
      <c r="A409" s="4"/>
      <c r="B409" s="15"/>
      <c r="C409" s="7" t="str">
        <f>IFERROR(__xludf.DUMMYFUNCTION("iferror(iferror(INDEX(IMPORTRANGE(""12vtnxaE_Q1s4tyr10kZQx7ZF_xG0lBFae4jQEUtgsMU"",""All!B2:B""),MATCH($B409,IMPORTRANGE(""12vtnxaE_Q1s4tyr10kZQx7ZF_xG0lBFae4jQEUtgsMU"",""All!A2:A""),0)),INDEX(IMPORTRANGE(""13KC70HngS4DDi8y9E5khtSpQEPG6owaQ9z4E-tR5mnY"","&amp;"""Non-Food!B2:B""),MATCH($B409,IMPORTRANGE(""13KC70HngS4DDi8y9E5khtSpQEPG6owaQ9z4E-tR5mnY"",""Non-Food!A2:A""),0))),"""")"),"")</f>
        <v/>
      </c>
      <c r="D409" s="15"/>
      <c r="E409" s="15"/>
      <c r="F409" s="36"/>
      <c r="G409" s="24" t="str">
        <f>IFERROR(__xludf.DUMMYFUNCTION("iferror(iferror(iferror(index(IMPORTRANGE(""1NK5L1mviMn0j3D3uo53ASkIZOFRlLnqaCTnwzOG2_Wg"",""Direct Link!B2:B""),MATCH($B409,IMPORTRANGE(""1NK5L1mviMn0j3D3uo53ASkIZOFRlLnqaCTnwzOG2_Wg"",""Direct Link!A2:A""),0)),XLOOKUP($B409,IMPORTRANGE(""1NK5L1mviMn0j3D"&amp;"3uo53ASkIZOFRlLnqaCTnwzOG2_Wg"",""Direct links Without Sizes!A2:A""),IMPORTRANGE(""1NK5L1mviMn0j3D3uo53ASkIZOFRlLnqaCTnwzOG2_Wg"",""Direct links Without Sizes!B2:B""))),XLOOKUP($B409,IMPORTRANGE(""1NK5L1mviMn0j3D3uo53ASkIZOFRlLnqaCTnwzOG2_Wg"",""Direct li"&amp;"nks Without Sizes!D2:D""),IMPORTRANGE(""1NK5L1mviMn0j3D3uo53ASkIZOFRlLnqaCTnwzOG2_Wg"",""Direct links Without Sizes!E2:E""))),"""")"),"")</f>
        <v/>
      </c>
      <c r="H409" s="41"/>
      <c r="I409" s="4"/>
      <c r="J409" s="4"/>
      <c r="K409" s="10" t="str">
        <f t="shared" si="1"/>
        <v/>
      </c>
      <c r="L409" s="10"/>
      <c r="M409" s="10" t="str">
        <f t="shared" si="2"/>
        <v/>
      </c>
    </row>
    <row r="410">
      <c r="A410" s="4"/>
      <c r="B410" s="15"/>
      <c r="C410" s="7" t="str">
        <f>IFERROR(__xludf.DUMMYFUNCTION("iferror(iferror(INDEX(IMPORTRANGE(""12vtnxaE_Q1s4tyr10kZQx7ZF_xG0lBFae4jQEUtgsMU"",""All!B2:B""),MATCH($B410,IMPORTRANGE(""12vtnxaE_Q1s4tyr10kZQx7ZF_xG0lBFae4jQEUtgsMU"",""All!A2:A""),0)),INDEX(IMPORTRANGE(""13KC70HngS4DDi8y9E5khtSpQEPG6owaQ9z4E-tR5mnY"","&amp;"""Non-Food!B2:B""),MATCH($B410,IMPORTRANGE(""13KC70HngS4DDi8y9E5khtSpQEPG6owaQ9z4E-tR5mnY"",""Non-Food!A2:A""),0))),"""")"),"")</f>
        <v/>
      </c>
      <c r="D410" s="15"/>
      <c r="E410" s="15"/>
      <c r="F410" s="36"/>
      <c r="G410" s="24" t="str">
        <f>IFERROR(__xludf.DUMMYFUNCTION("iferror(iferror(iferror(index(IMPORTRANGE(""1NK5L1mviMn0j3D3uo53ASkIZOFRlLnqaCTnwzOG2_Wg"",""Direct Link!B2:B""),MATCH($B410,IMPORTRANGE(""1NK5L1mviMn0j3D3uo53ASkIZOFRlLnqaCTnwzOG2_Wg"",""Direct Link!A2:A""),0)),XLOOKUP($B410,IMPORTRANGE(""1NK5L1mviMn0j3D"&amp;"3uo53ASkIZOFRlLnqaCTnwzOG2_Wg"",""Direct links Without Sizes!A2:A""),IMPORTRANGE(""1NK5L1mviMn0j3D3uo53ASkIZOFRlLnqaCTnwzOG2_Wg"",""Direct links Without Sizes!B2:B""))),XLOOKUP($B410,IMPORTRANGE(""1NK5L1mviMn0j3D3uo53ASkIZOFRlLnqaCTnwzOG2_Wg"",""Direct li"&amp;"nks Without Sizes!D2:D""),IMPORTRANGE(""1NK5L1mviMn0j3D3uo53ASkIZOFRlLnqaCTnwzOG2_Wg"",""Direct links Without Sizes!E2:E""))),"""")"),"")</f>
        <v/>
      </c>
      <c r="H410" s="41"/>
      <c r="I410" s="4"/>
      <c r="J410" s="4"/>
      <c r="K410" s="10" t="str">
        <f t="shared" si="1"/>
        <v/>
      </c>
      <c r="L410" s="10"/>
      <c r="M410" s="10" t="str">
        <f t="shared" si="2"/>
        <v/>
      </c>
    </row>
    <row r="411">
      <c r="A411" s="4"/>
      <c r="B411" s="15"/>
      <c r="C411" s="7" t="str">
        <f>IFERROR(__xludf.DUMMYFUNCTION("iferror(iferror(INDEX(IMPORTRANGE(""12vtnxaE_Q1s4tyr10kZQx7ZF_xG0lBFae4jQEUtgsMU"",""All!B2:B""),MATCH($B411,IMPORTRANGE(""12vtnxaE_Q1s4tyr10kZQx7ZF_xG0lBFae4jQEUtgsMU"",""All!A2:A""),0)),INDEX(IMPORTRANGE(""13KC70HngS4DDi8y9E5khtSpQEPG6owaQ9z4E-tR5mnY"","&amp;"""Non-Food!B2:B""),MATCH($B411,IMPORTRANGE(""13KC70HngS4DDi8y9E5khtSpQEPG6owaQ9z4E-tR5mnY"",""Non-Food!A2:A""),0))),"""")"),"")</f>
        <v/>
      </c>
      <c r="D411" s="15"/>
      <c r="E411" s="15"/>
      <c r="F411" s="36"/>
      <c r="G411" s="24" t="str">
        <f>IFERROR(__xludf.DUMMYFUNCTION("iferror(iferror(iferror(index(IMPORTRANGE(""1NK5L1mviMn0j3D3uo53ASkIZOFRlLnqaCTnwzOG2_Wg"",""Direct Link!B2:B""),MATCH($B411,IMPORTRANGE(""1NK5L1mviMn0j3D3uo53ASkIZOFRlLnqaCTnwzOG2_Wg"",""Direct Link!A2:A""),0)),XLOOKUP($B411,IMPORTRANGE(""1NK5L1mviMn0j3D"&amp;"3uo53ASkIZOFRlLnqaCTnwzOG2_Wg"",""Direct links Without Sizes!A2:A""),IMPORTRANGE(""1NK5L1mviMn0j3D3uo53ASkIZOFRlLnqaCTnwzOG2_Wg"",""Direct links Without Sizes!B2:B""))),XLOOKUP($B411,IMPORTRANGE(""1NK5L1mviMn0j3D3uo53ASkIZOFRlLnqaCTnwzOG2_Wg"",""Direct li"&amp;"nks Without Sizes!D2:D""),IMPORTRANGE(""1NK5L1mviMn0j3D3uo53ASkIZOFRlLnqaCTnwzOG2_Wg"",""Direct links Without Sizes!E2:E""))),"""")"),"")</f>
        <v/>
      </c>
      <c r="H411" s="41"/>
      <c r="I411" s="4"/>
      <c r="J411" s="4"/>
      <c r="K411" s="10" t="str">
        <f t="shared" si="1"/>
        <v/>
      </c>
      <c r="L411" s="10"/>
      <c r="M411" s="10" t="str">
        <f t="shared" si="2"/>
        <v/>
      </c>
    </row>
    <row r="412">
      <c r="A412" s="4"/>
      <c r="B412" s="15"/>
      <c r="C412" s="7" t="str">
        <f>IFERROR(__xludf.DUMMYFUNCTION("iferror(iferror(INDEX(IMPORTRANGE(""12vtnxaE_Q1s4tyr10kZQx7ZF_xG0lBFae4jQEUtgsMU"",""All!B2:B""),MATCH($B412,IMPORTRANGE(""12vtnxaE_Q1s4tyr10kZQx7ZF_xG0lBFae4jQEUtgsMU"",""All!A2:A""),0)),INDEX(IMPORTRANGE(""13KC70HngS4DDi8y9E5khtSpQEPG6owaQ9z4E-tR5mnY"","&amp;"""Non-Food!B2:B""),MATCH($B412,IMPORTRANGE(""13KC70HngS4DDi8y9E5khtSpQEPG6owaQ9z4E-tR5mnY"",""Non-Food!A2:A""),0))),"""")"),"")</f>
        <v/>
      </c>
      <c r="D412" s="15"/>
      <c r="E412" s="15"/>
      <c r="F412" s="36"/>
      <c r="G412" s="24" t="str">
        <f>IFERROR(__xludf.DUMMYFUNCTION("iferror(iferror(iferror(index(IMPORTRANGE(""1NK5L1mviMn0j3D3uo53ASkIZOFRlLnqaCTnwzOG2_Wg"",""Direct Link!B2:B""),MATCH($B412,IMPORTRANGE(""1NK5L1mviMn0j3D3uo53ASkIZOFRlLnqaCTnwzOG2_Wg"",""Direct Link!A2:A""),0)),XLOOKUP($B412,IMPORTRANGE(""1NK5L1mviMn0j3D"&amp;"3uo53ASkIZOFRlLnqaCTnwzOG2_Wg"",""Direct links Without Sizes!A2:A""),IMPORTRANGE(""1NK5L1mviMn0j3D3uo53ASkIZOFRlLnqaCTnwzOG2_Wg"",""Direct links Without Sizes!B2:B""))),XLOOKUP($B412,IMPORTRANGE(""1NK5L1mviMn0j3D3uo53ASkIZOFRlLnqaCTnwzOG2_Wg"",""Direct li"&amp;"nks Without Sizes!D2:D""),IMPORTRANGE(""1NK5L1mviMn0j3D3uo53ASkIZOFRlLnqaCTnwzOG2_Wg"",""Direct links Without Sizes!E2:E""))),"""")"),"")</f>
        <v/>
      </c>
      <c r="H412" s="41"/>
      <c r="I412" s="4"/>
      <c r="J412" s="4"/>
      <c r="K412" s="10" t="str">
        <f t="shared" si="1"/>
        <v/>
      </c>
      <c r="L412" s="10"/>
      <c r="M412" s="10" t="str">
        <f t="shared" si="2"/>
        <v/>
      </c>
    </row>
    <row r="413">
      <c r="A413" s="4"/>
      <c r="B413" s="15"/>
      <c r="C413" s="7" t="str">
        <f>IFERROR(__xludf.DUMMYFUNCTION("iferror(iferror(INDEX(IMPORTRANGE(""12vtnxaE_Q1s4tyr10kZQx7ZF_xG0lBFae4jQEUtgsMU"",""All!B2:B""),MATCH($B413,IMPORTRANGE(""12vtnxaE_Q1s4tyr10kZQx7ZF_xG0lBFae4jQEUtgsMU"",""All!A2:A""),0)),INDEX(IMPORTRANGE(""13KC70HngS4DDi8y9E5khtSpQEPG6owaQ9z4E-tR5mnY"","&amp;"""Non-Food!B2:B""),MATCH($B413,IMPORTRANGE(""13KC70HngS4DDi8y9E5khtSpQEPG6owaQ9z4E-tR5mnY"",""Non-Food!A2:A""),0))),"""")"),"")</f>
        <v/>
      </c>
      <c r="D413" s="15"/>
      <c r="E413" s="15"/>
      <c r="F413" s="36"/>
      <c r="G413" s="24" t="str">
        <f>IFERROR(__xludf.DUMMYFUNCTION("iferror(iferror(iferror(index(IMPORTRANGE(""1NK5L1mviMn0j3D3uo53ASkIZOFRlLnqaCTnwzOG2_Wg"",""Direct Link!B2:B""),MATCH($B413,IMPORTRANGE(""1NK5L1mviMn0j3D3uo53ASkIZOFRlLnqaCTnwzOG2_Wg"",""Direct Link!A2:A""),0)),XLOOKUP($B413,IMPORTRANGE(""1NK5L1mviMn0j3D"&amp;"3uo53ASkIZOFRlLnqaCTnwzOG2_Wg"",""Direct links Without Sizes!A2:A""),IMPORTRANGE(""1NK5L1mviMn0j3D3uo53ASkIZOFRlLnqaCTnwzOG2_Wg"",""Direct links Without Sizes!B2:B""))),XLOOKUP($B413,IMPORTRANGE(""1NK5L1mviMn0j3D3uo53ASkIZOFRlLnqaCTnwzOG2_Wg"",""Direct li"&amp;"nks Without Sizes!D2:D""),IMPORTRANGE(""1NK5L1mviMn0j3D3uo53ASkIZOFRlLnqaCTnwzOG2_Wg"",""Direct links Without Sizes!E2:E""))),"""")"),"")</f>
        <v/>
      </c>
      <c r="H413" s="41"/>
      <c r="I413" s="4"/>
      <c r="J413" s="4"/>
      <c r="K413" s="10" t="str">
        <f t="shared" si="1"/>
        <v/>
      </c>
      <c r="L413" s="10"/>
      <c r="M413" s="10" t="str">
        <f t="shared" si="2"/>
        <v/>
      </c>
    </row>
    <row r="414">
      <c r="A414" s="4"/>
      <c r="B414" s="15"/>
      <c r="C414" s="7" t="str">
        <f>IFERROR(__xludf.DUMMYFUNCTION("iferror(iferror(INDEX(IMPORTRANGE(""12vtnxaE_Q1s4tyr10kZQx7ZF_xG0lBFae4jQEUtgsMU"",""All!B2:B""),MATCH($B414,IMPORTRANGE(""12vtnxaE_Q1s4tyr10kZQx7ZF_xG0lBFae4jQEUtgsMU"",""All!A2:A""),0)),INDEX(IMPORTRANGE(""13KC70HngS4DDi8y9E5khtSpQEPG6owaQ9z4E-tR5mnY"","&amp;"""Non-Food!B2:B""),MATCH($B414,IMPORTRANGE(""13KC70HngS4DDi8y9E5khtSpQEPG6owaQ9z4E-tR5mnY"",""Non-Food!A2:A""),0))),"""")"),"")</f>
        <v/>
      </c>
      <c r="D414" s="15"/>
      <c r="E414" s="15"/>
      <c r="F414" s="36"/>
      <c r="G414" s="24" t="str">
        <f>IFERROR(__xludf.DUMMYFUNCTION("iferror(iferror(iferror(index(IMPORTRANGE(""1NK5L1mviMn0j3D3uo53ASkIZOFRlLnqaCTnwzOG2_Wg"",""Direct Link!B2:B""),MATCH($B414,IMPORTRANGE(""1NK5L1mviMn0j3D3uo53ASkIZOFRlLnqaCTnwzOG2_Wg"",""Direct Link!A2:A""),0)),XLOOKUP($B414,IMPORTRANGE(""1NK5L1mviMn0j3D"&amp;"3uo53ASkIZOFRlLnqaCTnwzOG2_Wg"",""Direct links Without Sizes!A2:A""),IMPORTRANGE(""1NK5L1mviMn0j3D3uo53ASkIZOFRlLnqaCTnwzOG2_Wg"",""Direct links Without Sizes!B2:B""))),XLOOKUP($B414,IMPORTRANGE(""1NK5L1mviMn0j3D3uo53ASkIZOFRlLnqaCTnwzOG2_Wg"",""Direct li"&amp;"nks Without Sizes!D2:D""),IMPORTRANGE(""1NK5L1mviMn0j3D3uo53ASkIZOFRlLnqaCTnwzOG2_Wg"",""Direct links Without Sizes!E2:E""))),"""")"),"")</f>
        <v/>
      </c>
      <c r="H414" s="41"/>
      <c r="I414" s="4"/>
      <c r="J414" s="4"/>
      <c r="K414" s="10" t="str">
        <f t="shared" si="1"/>
        <v/>
      </c>
      <c r="L414" s="10"/>
      <c r="M414" s="10" t="str">
        <f t="shared" si="2"/>
        <v/>
      </c>
    </row>
    <row r="415">
      <c r="A415" s="4"/>
      <c r="B415" s="15"/>
      <c r="C415" s="7" t="str">
        <f>IFERROR(__xludf.DUMMYFUNCTION("iferror(iferror(INDEX(IMPORTRANGE(""12vtnxaE_Q1s4tyr10kZQx7ZF_xG0lBFae4jQEUtgsMU"",""All!B2:B""),MATCH($B415,IMPORTRANGE(""12vtnxaE_Q1s4tyr10kZQx7ZF_xG0lBFae4jQEUtgsMU"",""All!A2:A""),0)),INDEX(IMPORTRANGE(""13KC70HngS4DDi8y9E5khtSpQEPG6owaQ9z4E-tR5mnY"","&amp;"""Non-Food!B2:B""),MATCH($B415,IMPORTRANGE(""13KC70HngS4DDi8y9E5khtSpQEPG6owaQ9z4E-tR5mnY"",""Non-Food!A2:A""),0))),"""")"),"")</f>
        <v/>
      </c>
      <c r="D415" s="15"/>
      <c r="E415" s="15"/>
      <c r="F415" s="36"/>
      <c r="G415" s="24" t="str">
        <f>IFERROR(__xludf.DUMMYFUNCTION("iferror(iferror(iferror(index(IMPORTRANGE(""1NK5L1mviMn0j3D3uo53ASkIZOFRlLnqaCTnwzOG2_Wg"",""Direct Link!B2:B""),MATCH($B415,IMPORTRANGE(""1NK5L1mviMn0j3D3uo53ASkIZOFRlLnqaCTnwzOG2_Wg"",""Direct Link!A2:A""),0)),XLOOKUP($B415,IMPORTRANGE(""1NK5L1mviMn0j3D"&amp;"3uo53ASkIZOFRlLnqaCTnwzOG2_Wg"",""Direct links Without Sizes!A2:A""),IMPORTRANGE(""1NK5L1mviMn0j3D3uo53ASkIZOFRlLnqaCTnwzOG2_Wg"",""Direct links Without Sizes!B2:B""))),XLOOKUP($B415,IMPORTRANGE(""1NK5L1mviMn0j3D3uo53ASkIZOFRlLnqaCTnwzOG2_Wg"",""Direct li"&amp;"nks Without Sizes!D2:D""),IMPORTRANGE(""1NK5L1mviMn0j3D3uo53ASkIZOFRlLnqaCTnwzOG2_Wg"",""Direct links Without Sizes!E2:E""))),"""")"),"")</f>
        <v/>
      </c>
      <c r="H415" s="41"/>
      <c r="I415" s="4"/>
      <c r="J415" s="4"/>
      <c r="K415" s="10" t="str">
        <f t="shared" si="1"/>
        <v/>
      </c>
      <c r="L415" s="10"/>
      <c r="M415" s="10" t="str">
        <f t="shared" si="2"/>
        <v/>
      </c>
    </row>
    <row r="416">
      <c r="A416" s="4"/>
      <c r="B416" s="15"/>
      <c r="C416" s="7" t="str">
        <f>IFERROR(__xludf.DUMMYFUNCTION("iferror(iferror(INDEX(IMPORTRANGE(""12vtnxaE_Q1s4tyr10kZQx7ZF_xG0lBFae4jQEUtgsMU"",""All!B2:B""),MATCH($B416,IMPORTRANGE(""12vtnxaE_Q1s4tyr10kZQx7ZF_xG0lBFae4jQEUtgsMU"",""All!A2:A""),0)),INDEX(IMPORTRANGE(""13KC70HngS4DDi8y9E5khtSpQEPG6owaQ9z4E-tR5mnY"","&amp;"""Non-Food!B2:B""),MATCH($B416,IMPORTRANGE(""13KC70HngS4DDi8y9E5khtSpQEPG6owaQ9z4E-tR5mnY"",""Non-Food!A2:A""),0))),"""")"),"")</f>
        <v/>
      </c>
      <c r="D416" s="15"/>
      <c r="E416" s="15"/>
      <c r="F416" s="36"/>
      <c r="G416" s="24" t="str">
        <f>IFERROR(__xludf.DUMMYFUNCTION("iferror(iferror(iferror(index(IMPORTRANGE(""1NK5L1mviMn0j3D3uo53ASkIZOFRlLnqaCTnwzOG2_Wg"",""Direct Link!B2:B""),MATCH($B416,IMPORTRANGE(""1NK5L1mviMn0j3D3uo53ASkIZOFRlLnqaCTnwzOG2_Wg"",""Direct Link!A2:A""),0)),XLOOKUP($B416,IMPORTRANGE(""1NK5L1mviMn0j3D"&amp;"3uo53ASkIZOFRlLnqaCTnwzOG2_Wg"",""Direct links Without Sizes!A2:A""),IMPORTRANGE(""1NK5L1mviMn0j3D3uo53ASkIZOFRlLnqaCTnwzOG2_Wg"",""Direct links Without Sizes!B2:B""))),XLOOKUP($B416,IMPORTRANGE(""1NK5L1mviMn0j3D3uo53ASkIZOFRlLnqaCTnwzOG2_Wg"",""Direct li"&amp;"nks Without Sizes!D2:D""),IMPORTRANGE(""1NK5L1mviMn0j3D3uo53ASkIZOFRlLnqaCTnwzOG2_Wg"",""Direct links Without Sizes!E2:E""))),"""")"),"")</f>
        <v/>
      </c>
      <c r="H416" s="41"/>
      <c r="I416" s="4"/>
      <c r="J416" s="4"/>
      <c r="K416" s="10" t="str">
        <f t="shared" si="1"/>
        <v/>
      </c>
      <c r="L416" s="10"/>
      <c r="M416" s="10" t="str">
        <f t="shared" si="2"/>
        <v/>
      </c>
    </row>
    <row r="417">
      <c r="A417" s="4"/>
      <c r="B417" s="15"/>
      <c r="C417" s="7" t="str">
        <f>IFERROR(__xludf.DUMMYFUNCTION("iferror(iferror(INDEX(IMPORTRANGE(""12vtnxaE_Q1s4tyr10kZQx7ZF_xG0lBFae4jQEUtgsMU"",""All!B2:B""),MATCH($B417,IMPORTRANGE(""12vtnxaE_Q1s4tyr10kZQx7ZF_xG0lBFae4jQEUtgsMU"",""All!A2:A""),0)),INDEX(IMPORTRANGE(""13KC70HngS4DDi8y9E5khtSpQEPG6owaQ9z4E-tR5mnY"","&amp;"""Non-Food!B2:B""),MATCH($B417,IMPORTRANGE(""13KC70HngS4DDi8y9E5khtSpQEPG6owaQ9z4E-tR5mnY"",""Non-Food!A2:A""),0))),"""")"),"")</f>
        <v/>
      </c>
      <c r="D417" s="15"/>
      <c r="E417" s="15"/>
      <c r="F417" s="36"/>
      <c r="G417" s="24" t="str">
        <f>IFERROR(__xludf.DUMMYFUNCTION("iferror(iferror(iferror(index(IMPORTRANGE(""1NK5L1mviMn0j3D3uo53ASkIZOFRlLnqaCTnwzOG2_Wg"",""Direct Link!B2:B""),MATCH($B417,IMPORTRANGE(""1NK5L1mviMn0j3D3uo53ASkIZOFRlLnqaCTnwzOG2_Wg"",""Direct Link!A2:A""),0)),XLOOKUP($B417,IMPORTRANGE(""1NK5L1mviMn0j3D"&amp;"3uo53ASkIZOFRlLnqaCTnwzOG2_Wg"",""Direct links Without Sizes!A2:A""),IMPORTRANGE(""1NK5L1mviMn0j3D3uo53ASkIZOFRlLnqaCTnwzOG2_Wg"",""Direct links Without Sizes!B2:B""))),XLOOKUP($B417,IMPORTRANGE(""1NK5L1mviMn0j3D3uo53ASkIZOFRlLnqaCTnwzOG2_Wg"",""Direct li"&amp;"nks Without Sizes!D2:D""),IMPORTRANGE(""1NK5L1mviMn0j3D3uo53ASkIZOFRlLnqaCTnwzOG2_Wg"",""Direct links Without Sizes!E2:E""))),"""")"),"")</f>
        <v/>
      </c>
      <c r="H417" s="41"/>
      <c r="I417" s="4"/>
      <c r="J417" s="4"/>
      <c r="K417" s="10" t="str">
        <f t="shared" si="1"/>
        <v/>
      </c>
      <c r="L417" s="10"/>
      <c r="M417" s="10" t="str">
        <f t="shared" si="2"/>
        <v/>
      </c>
    </row>
    <row r="418">
      <c r="A418" s="4"/>
      <c r="B418" s="15"/>
      <c r="C418" s="7" t="str">
        <f>IFERROR(__xludf.DUMMYFUNCTION("iferror(iferror(INDEX(IMPORTRANGE(""12vtnxaE_Q1s4tyr10kZQx7ZF_xG0lBFae4jQEUtgsMU"",""All!B2:B""),MATCH($B418,IMPORTRANGE(""12vtnxaE_Q1s4tyr10kZQx7ZF_xG0lBFae4jQEUtgsMU"",""All!A2:A""),0)),INDEX(IMPORTRANGE(""13KC70HngS4DDi8y9E5khtSpQEPG6owaQ9z4E-tR5mnY"","&amp;"""Non-Food!B2:B""),MATCH($B418,IMPORTRANGE(""13KC70HngS4DDi8y9E5khtSpQEPG6owaQ9z4E-tR5mnY"",""Non-Food!A2:A""),0))),"""")"),"")</f>
        <v/>
      </c>
      <c r="D418" s="15"/>
      <c r="E418" s="15"/>
      <c r="F418" s="36"/>
      <c r="G418" s="24" t="str">
        <f>IFERROR(__xludf.DUMMYFUNCTION("iferror(iferror(iferror(index(IMPORTRANGE(""1NK5L1mviMn0j3D3uo53ASkIZOFRlLnqaCTnwzOG2_Wg"",""Direct Link!B2:B""),MATCH($B418,IMPORTRANGE(""1NK5L1mviMn0j3D3uo53ASkIZOFRlLnqaCTnwzOG2_Wg"",""Direct Link!A2:A""),0)),XLOOKUP($B418,IMPORTRANGE(""1NK5L1mviMn0j3D"&amp;"3uo53ASkIZOFRlLnqaCTnwzOG2_Wg"",""Direct links Without Sizes!A2:A""),IMPORTRANGE(""1NK5L1mviMn0j3D3uo53ASkIZOFRlLnqaCTnwzOG2_Wg"",""Direct links Without Sizes!B2:B""))),XLOOKUP($B418,IMPORTRANGE(""1NK5L1mviMn0j3D3uo53ASkIZOFRlLnqaCTnwzOG2_Wg"",""Direct li"&amp;"nks Without Sizes!D2:D""),IMPORTRANGE(""1NK5L1mviMn0j3D3uo53ASkIZOFRlLnqaCTnwzOG2_Wg"",""Direct links Without Sizes!E2:E""))),"""")"),"")</f>
        <v/>
      </c>
      <c r="H418" s="41"/>
      <c r="I418" s="4"/>
      <c r="J418" s="4"/>
      <c r="K418" s="10" t="str">
        <f t="shared" si="1"/>
        <v/>
      </c>
      <c r="L418" s="10"/>
      <c r="M418" s="10" t="str">
        <f t="shared" si="2"/>
        <v/>
      </c>
    </row>
    <row r="419">
      <c r="A419" s="4"/>
      <c r="B419" s="15"/>
      <c r="C419" s="7" t="str">
        <f>IFERROR(__xludf.DUMMYFUNCTION("iferror(iferror(INDEX(IMPORTRANGE(""12vtnxaE_Q1s4tyr10kZQx7ZF_xG0lBFae4jQEUtgsMU"",""All!B2:B""),MATCH($B419,IMPORTRANGE(""12vtnxaE_Q1s4tyr10kZQx7ZF_xG0lBFae4jQEUtgsMU"",""All!A2:A""),0)),INDEX(IMPORTRANGE(""13KC70HngS4DDi8y9E5khtSpQEPG6owaQ9z4E-tR5mnY"","&amp;"""Non-Food!B2:B""),MATCH($B419,IMPORTRANGE(""13KC70HngS4DDi8y9E5khtSpQEPG6owaQ9z4E-tR5mnY"",""Non-Food!A2:A""),0))),"""")"),"")</f>
        <v/>
      </c>
      <c r="D419" s="15"/>
      <c r="E419" s="15"/>
      <c r="F419" s="36"/>
      <c r="G419" s="24" t="str">
        <f>IFERROR(__xludf.DUMMYFUNCTION("iferror(iferror(iferror(index(IMPORTRANGE(""1NK5L1mviMn0j3D3uo53ASkIZOFRlLnqaCTnwzOG2_Wg"",""Direct Link!B2:B""),MATCH($B419,IMPORTRANGE(""1NK5L1mviMn0j3D3uo53ASkIZOFRlLnqaCTnwzOG2_Wg"",""Direct Link!A2:A""),0)),XLOOKUP($B419,IMPORTRANGE(""1NK5L1mviMn0j3D"&amp;"3uo53ASkIZOFRlLnqaCTnwzOG2_Wg"",""Direct links Without Sizes!A2:A""),IMPORTRANGE(""1NK5L1mviMn0j3D3uo53ASkIZOFRlLnqaCTnwzOG2_Wg"",""Direct links Without Sizes!B2:B""))),XLOOKUP($B419,IMPORTRANGE(""1NK5L1mviMn0j3D3uo53ASkIZOFRlLnqaCTnwzOG2_Wg"",""Direct li"&amp;"nks Without Sizes!D2:D""),IMPORTRANGE(""1NK5L1mviMn0j3D3uo53ASkIZOFRlLnqaCTnwzOG2_Wg"",""Direct links Without Sizes!E2:E""))),"""")"),"")</f>
        <v/>
      </c>
      <c r="H419" s="41"/>
      <c r="I419" s="4"/>
      <c r="J419" s="4"/>
      <c r="K419" s="10" t="str">
        <f t="shared" si="1"/>
        <v/>
      </c>
      <c r="L419" s="10"/>
      <c r="M419" s="10" t="str">
        <f t="shared" si="2"/>
        <v/>
      </c>
    </row>
    <row r="420">
      <c r="A420" s="4"/>
      <c r="B420" s="15"/>
      <c r="C420" s="7" t="str">
        <f>IFERROR(__xludf.DUMMYFUNCTION("iferror(iferror(INDEX(IMPORTRANGE(""12vtnxaE_Q1s4tyr10kZQx7ZF_xG0lBFae4jQEUtgsMU"",""All!B2:B""),MATCH($B420,IMPORTRANGE(""12vtnxaE_Q1s4tyr10kZQx7ZF_xG0lBFae4jQEUtgsMU"",""All!A2:A""),0)),INDEX(IMPORTRANGE(""13KC70HngS4DDi8y9E5khtSpQEPG6owaQ9z4E-tR5mnY"","&amp;"""Non-Food!B2:B""),MATCH($B420,IMPORTRANGE(""13KC70HngS4DDi8y9E5khtSpQEPG6owaQ9z4E-tR5mnY"",""Non-Food!A2:A""),0))),"""")"),"")</f>
        <v/>
      </c>
      <c r="D420" s="15"/>
      <c r="E420" s="15"/>
      <c r="F420" s="36"/>
      <c r="G420" s="24" t="str">
        <f>IFERROR(__xludf.DUMMYFUNCTION("iferror(iferror(iferror(index(IMPORTRANGE(""1NK5L1mviMn0j3D3uo53ASkIZOFRlLnqaCTnwzOG2_Wg"",""Direct Link!B2:B""),MATCH($B420,IMPORTRANGE(""1NK5L1mviMn0j3D3uo53ASkIZOFRlLnqaCTnwzOG2_Wg"",""Direct Link!A2:A""),0)),XLOOKUP($B420,IMPORTRANGE(""1NK5L1mviMn0j3D"&amp;"3uo53ASkIZOFRlLnqaCTnwzOG2_Wg"",""Direct links Without Sizes!A2:A""),IMPORTRANGE(""1NK5L1mviMn0j3D3uo53ASkIZOFRlLnqaCTnwzOG2_Wg"",""Direct links Without Sizes!B2:B""))),XLOOKUP($B420,IMPORTRANGE(""1NK5L1mviMn0j3D3uo53ASkIZOFRlLnqaCTnwzOG2_Wg"",""Direct li"&amp;"nks Without Sizes!D2:D""),IMPORTRANGE(""1NK5L1mviMn0j3D3uo53ASkIZOFRlLnqaCTnwzOG2_Wg"",""Direct links Without Sizes!E2:E""))),"""")"),"")</f>
        <v/>
      </c>
      <c r="H420" s="41"/>
      <c r="I420" s="4"/>
      <c r="J420" s="4"/>
      <c r="K420" s="10" t="str">
        <f t="shared" si="1"/>
        <v/>
      </c>
      <c r="L420" s="10"/>
      <c r="M420" s="10" t="str">
        <f t="shared" si="2"/>
        <v/>
      </c>
    </row>
    <row r="421">
      <c r="A421" s="4"/>
      <c r="B421" s="15"/>
      <c r="C421" s="7" t="str">
        <f>IFERROR(__xludf.DUMMYFUNCTION("iferror(iferror(INDEX(IMPORTRANGE(""12vtnxaE_Q1s4tyr10kZQx7ZF_xG0lBFae4jQEUtgsMU"",""All!B2:B""),MATCH($B421,IMPORTRANGE(""12vtnxaE_Q1s4tyr10kZQx7ZF_xG0lBFae4jQEUtgsMU"",""All!A2:A""),0)),INDEX(IMPORTRANGE(""13KC70HngS4DDi8y9E5khtSpQEPG6owaQ9z4E-tR5mnY"","&amp;"""Non-Food!B2:B""),MATCH($B421,IMPORTRANGE(""13KC70HngS4DDi8y9E5khtSpQEPG6owaQ9z4E-tR5mnY"",""Non-Food!A2:A""),0))),"""")"),"")</f>
        <v/>
      </c>
      <c r="D421" s="15"/>
      <c r="E421" s="15"/>
      <c r="F421" s="36"/>
      <c r="G421" s="24" t="str">
        <f>IFERROR(__xludf.DUMMYFUNCTION("iferror(iferror(iferror(index(IMPORTRANGE(""1NK5L1mviMn0j3D3uo53ASkIZOFRlLnqaCTnwzOG2_Wg"",""Direct Link!B2:B""),MATCH($B421,IMPORTRANGE(""1NK5L1mviMn0j3D3uo53ASkIZOFRlLnqaCTnwzOG2_Wg"",""Direct Link!A2:A""),0)),XLOOKUP($B421,IMPORTRANGE(""1NK5L1mviMn0j3D"&amp;"3uo53ASkIZOFRlLnqaCTnwzOG2_Wg"",""Direct links Without Sizes!A2:A""),IMPORTRANGE(""1NK5L1mviMn0j3D3uo53ASkIZOFRlLnqaCTnwzOG2_Wg"",""Direct links Without Sizes!B2:B""))),XLOOKUP($B421,IMPORTRANGE(""1NK5L1mviMn0j3D3uo53ASkIZOFRlLnqaCTnwzOG2_Wg"",""Direct li"&amp;"nks Without Sizes!D2:D""),IMPORTRANGE(""1NK5L1mviMn0j3D3uo53ASkIZOFRlLnqaCTnwzOG2_Wg"",""Direct links Without Sizes!E2:E""))),"""")"),"")</f>
        <v/>
      </c>
      <c r="H421" s="41"/>
      <c r="I421" s="4"/>
      <c r="J421" s="4"/>
      <c r="K421" s="10" t="str">
        <f t="shared" si="1"/>
        <v/>
      </c>
      <c r="L421" s="10"/>
      <c r="M421" s="10" t="str">
        <f t="shared" si="2"/>
        <v/>
      </c>
    </row>
    <row r="422">
      <c r="A422" s="4"/>
      <c r="B422" s="15"/>
      <c r="C422" s="7" t="str">
        <f>IFERROR(__xludf.DUMMYFUNCTION("iferror(iferror(INDEX(IMPORTRANGE(""12vtnxaE_Q1s4tyr10kZQx7ZF_xG0lBFae4jQEUtgsMU"",""All!B2:B""),MATCH($B422,IMPORTRANGE(""12vtnxaE_Q1s4tyr10kZQx7ZF_xG0lBFae4jQEUtgsMU"",""All!A2:A""),0)),INDEX(IMPORTRANGE(""13KC70HngS4DDi8y9E5khtSpQEPG6owaQ9z4E-tR5mnY"","&amp;"""Non-Food!B2:B""),MATCH($B422,IMPORTRANGE(""13KC70HngS4DDi8y9E5khtSpQEPG6owaQ9z4E-tR5mnY"",""Non-Food!A2:A""),0))),"""")"),"")</f>
        <v/>
      </c>
      <c r="D422" s="15"/>
      <c r="E422" s="15"/>
      <c r="F422" s="36"/>
      <c r="G422" s="24" t="str">
        <f>IFERROR(__xludf.DUMMYFUNCTION("iferror(iferror(iferror(index(IMPORTRANGE(""1NK5L1mviMn0j3D3uo53ASkIZOFRlLnqaCTnwzOG2_Wg"",""Direct Link!B2:B""),MATCH($B422,IMPORTRANGE(""1NK5L1mviMn0j3D3uo53ASkIZOFRlLnqaCTnwzOG2_Wg"",""Direct Link!A2:A""),0)),XLOOKUP($B422,IMPORTRANGE(""1NK5L1mviMn0j3D"&amp;"3uo53ASkIZOFRlLnqaCTnwzOG2_Wg"",""Direct links Without Sizes!A2:A""),IMPORTRANGE(""1NK5L1mviMn0j3D3uo53ASkIZOFRlLnqaCTnwzOG2_Wg"",""Direct links Without Sizes!B2:B""))),XLOOKUP($B422,IMPORTRANGE(""1NK5L1mviMn0j3D3uo53ASkIZOFRlLnqaCTnwzOG2_Wg"",""Direct li"&amp;"nks Without Sizes!D2:D""),IMPORTRANGE(""1NK5L1mviMn0j3D3uo53ASkIZOFRlLnqaCTnwzOG2_Wg"",""Direct links Without Sizes!E2:E""))),"""")"),"")</f>
        <v/>
      </c>
      <c r="H422" s="41"/>
      <c r="I422" s="4"/>
      <c r="J422" s="4"/>
      <c r="K422" s="10" t="str">
        <f t="shared" si="1"/>
        <v/>
      </c>
      <c r="L422" s="10"/>
      <c r="M422" s="10" t="str">
        <f t="shared" si="2"/>
        <v/>
      </c>
    </row>
    <row r="423">
      <c r="A423" s="4"/>
      <c r="B423" s="15"/>
      <c r="C423" s="7" t="str">
        <f>IFERROR(__xludf.DUMMYFUNCTION("iferror(iferror(INDEX(IMPORTRANGE(""12vtnxaE_Q1s4tyr10kZQx7ZF_xG0lBFae4jQEUtgsMU"",""All!B2:B""),MATCH($B423,IMPORTRANGE(""12vtnxaE_Q1s4tyr10kZQx7ZF_xG0lBFae4jQEUtgsMU"",""All!A2:A""),0)),INDEX(IMPORTRANGE(""13KC70HngS4DDi8y9E5khtSpQEPG6owaQ9z4E-tR5mnY"","&amp;"""Non-Food!B2:B""),MATCH($B423,IMPORTRANGE(""13KC70HngS4DDi8y9E5khtSpQEPG6owaQ9z4E-tR5mnY"",""Non-Food!A2:A""),0))),"""")"),"")</f>
        <v/>
      </c>
      <c r="D423" s="15"/>
      <c r="E423" s="15"/>
      <c r="F423" s="36"/>
      <c r="G423" s="24" t="str">
        <f>IFERROR(__xludf.DUMMYFUNCTION("iferror(iferror(iferror(index(IMPORTRANGE(""1NK5L1mviMn0j3D3uo53ASkIZOFRlLnqaCTnwzOG2_Wg"",""Direct Link!B2:B""),MATCH($B423,IMPORTRANGE(""1NK5L1mviMn0j3D3uo53ASkIZOFRlLnqaCTnwzOG2_Wg"",""Direct Link!A2:A""),0)),XLOOKUP($B423,IMPORTRANGE(""1NK5L1mviMn0j3D"&amp;"3uo53ASkIZOFRlLnqaCTnwzOG2_Wg"",""Direct links Without Sizes!A2:A""),IMPORTRANGE(""1NK5L1mviMn0j3D3uo53ASkIZOFRlLnqaCTnwzOG2_Wg"",""Direct links Without Sizes!B2:B""))),XLOOKUP($B423,IMPORTRANGE(""1NK5L1mviMn0j3D3uo53ASkIZOFRlLnqaCTnwzOG2_Wg"",""Direct li"&amp;"nks Without Sizes!D2:D""),IMPORTRANGE(""1NK5L1mviMn0j3D3uo53ASkIZOFRlLnqaCTnwzOG2_Wg"",""Direct links Without Sizes!E2:E""))),"""")"),"")</f>
        <v/>
      </c>
      <c r="H423" s="41"/>
      <c r="I423" s="4"/>
      <c r="J423" s="4"/>
      <c r="K423" s="10" t="str">
        <f t="shared" si="1"/>
        <v/>
      </c>
      <c r="L423" s="10"/>
      <c r="M423" s="10" t="str">
        <f t="shared" si="2"/>
        <v/>
      </c>
    </row>
    <row r="424">
      <c r="A424" s="4"/>
      <c r="B424" s="15"/>
      <c r="C424" s="7" t="str">
        <f>IFERROR(__xludf.DUMMYFUNCTION("iferror(iferror(INDEX(IMPORTRANGE(""12vtnxaE_Q1s4tyr10kZQx7ZF_xG0lBFae4jQEUtgsMU"",""All!B2:B""),MATCH($B424,IMPORTRANGE(""12vtnxaE_Q1s4tyr10kZQx7ZF_xG0lBFae4jQEUtgsMU"",""All!A2:A""),0)),INDEX(IMPORTRANGE(""13KC70HngS4DDi8y9E5khtSpQEPG6owaQ9z4E-tR5mnY"","&amp;"""Non-Food!B2:B""),MATCH($B424,IMPORTRANGE(""13KC70HngS4DDi8y9E5khtSpQEPG6owaQ9z4E-tR5mnY"",""Non-Food!A2:A""),0))),"""")"),"")</f>
        <v/>
      </c>
      <c r="D424" s="15"/>
      <c r="E424" s="15"/>
      <c r="F424" s="36"/>
      <c r="G424" s="24" t="str">
        <f>IFERROR(__xludf.DUMMYFUNCTION("iferror(iferror(iferror(index(IMPORTRANGE(""1NK5L1mviMn0j3D3uo53ASkIZOFRlLnqaCTnwzOG2_Wg"",""Direct Link!B2:B""),MATCH($B424,IMPORTRANGE(""1NK5L1mviMn0j3D3uo53ASkIZOFRlLnqaCTnwzOG2_Wg"",""Direct Link!A2:A""),0)),XLOOKUP($B424,IMPORTRANGE(""1NK5L1mviMn0j3D"&amp;"3uo53ASkIZOFRlLnqaCTnwzOG2_Wg"",""Direct links Without Sizes!A2:A""),IMPORTRANGE(""1NK5L1mviMn0j3D3uo53ASkIZOFRlLnqaCTnwzOG2_Wg"",""Direct links Without Sizes!B2:B""))),XLOOKUP($B424,IMPORTRANGE(""1NK5L1mviMn0j3D3uo53ASkIZOFRlLnqaCTnwzOG2_Wg"",""Direct li"&amp;"nks Without Sizes!D2:D""),IMPORTRANGE(""1NK5L1mviMn0j3D3uo53ASkIZOFRlLnqaCTnwzOG2_Wg"",""Direct links Without Sizes!E2:E""))),"""")"),"")</f>
        <v/>
      </c>
      <c r="H424" s="41"/>
      <c r="I424" s="4"/>
      <c r="J424" s="4"/>
      <c r="K424" s="10" t="str">
        <f t="shared" si="1"/>
        <v/>
      </c>
      <c r="L424" s="10"/>
      <c r="M424" s="10" t="str">
        <f t="shared" si="2"/>
        <v/>
      </c>
    </row>
    <row r="425">
      <c r="A425" s="4"/>
      <c r="B425" s="15"/>
      <c r="C425" s="7" t="str">
        <f>IFERROR(__xludf.DUMMYFUNCTION("iferror(iferror(INDEX(IMPORTRANGE(""12vtnxaE_Q1s4tyr10kZQx7ZF_xG0lBFae4jQEUtgsMU"",""All!B2:B""),MATCH($B425,IMPORTRANGE(""12vtnxaE_Q1s4tyr10kZQx7ZF_xG0lBFae4jQEUtgsMU"",""All!A2:A""),0)),INDEX(IMPORTRANGE(""13KC70HngS4DDi8y9E5khtSpQEPG6owaQ9z4E-tR5mnY"","&amp;"""Non-Food!B2:B""),MATCH($B425,IMPORTRANGE(""13KC70HngS4DDi8y9E5khtSpQEPG6owaQ9z4E-tR5mnY"",""Non-Food!A2:A""),0))),"""")"),"")</f>
        <v/>
      </c>
      <c r="D425" s="15"/>
      <c r="E425" s="15"/>
      <c r="F425" s="36"/>
      <c r="G425" s="24" t="str">
        <f>IFERROR(__xludf.DUMMYFUNCTION("iferror(iferror(iferror(index(IMPORTRANGE(""1NK5L1mviMn0j3D3uo53ASkIZOFRlLnqaCTnwzOG2_Wg"",""Direct Link!B2:B""),MATCH($B425,IMPORTRANGE(""1NK5L1mviMn0j3D3uo53ASkIZOFRlLnqaCTnwzOG2_Wg"",""Direct Link!A2:A""),0)),XLOOKUP($B425,IMPORTRANGE(""1NK5L1mviMn0j3D"&amp;"3uo53ASkIZOFRlLnqaCTnwzOG2_Wg"",""Direct links Without Sizes!A2:A""),IMPORTRANGE(""1NK5L1mviMn0j3D3uo53ASkIZOFRlLnqaCTnwzOG2_Wg"",""Direct links Without Sizes!B2:B""))),XLOOKUP($B425,IMPORTRANGE(""1NK5L1mviMn0j3D3uo53ASkIZOFRlLnqaCTnwzOG2_Wg"",""Direct li"&amp;"nks Without Sizes!D2:D""),IMPORTRANGE(""1NK5L1mviMn0j3D3uo53ASkIZOFRlLnqaCTnwzOG2_Wg"",""Direct links Without Sizes!E2:E""))),"""")"),"")</f>
        <v/>
      </c>
      <c r="H425" s="41"/>
      <c r="I425" s="4"/>
      <c r="J425" s="4"/>
      <c r="K425" s="10" t="str">
        <f t="shared" si="1"/>
        <v/>
      </c>
      <c r="L425" s="10"/>
      <c r="M425" s="10" t="str">
        <f t="shared" si="2"/>
        <v/>
      </c>
    </row>
    <row r="426">
      <c r="A426" s="4"/>
      <c r="B426" s="15"/>
      <c r="C426" s="7" t="str">
        <f>IFERROR(__xludf.DUMMYFUNCTION("iferror(iferror(INDEX(IMPORTRANGE(""12vtnxaE_Q1s4tyr10kZQx7ZF_xG0lBFae4jQEUtgsMU"",""All!B2:B""),MATCH($B426,IMPORTRANGE(""12vtnxaE_Q1s4tyr10kZQx7ZF_xG0lBFae4jQEUtgsMU"",""All!A2:A""),0)),INDEX(IMPORTRANGE(""13KC70HngS4DDi8y9E5khtSpQEPG6owaQ9z4E-tR5mnY"","&amp;"""Non-Food!B2:B""),MATCH($B426,IMPORTRANGE(""13KC70HngS4DDi8y9E5khtSpQEPG6owaQ9z4E-tR5mnY"",""Non-Food!A2:A""),0))),"""")"),"")</f>
        <v/>
      </c>
      <c r="D426" s="15"/>
      <c r="E426" s="15"/>
      <c r="F426" s="36"/>
      <c r="G426" s="24" t="str">
        <f>IFERROR(__xludf.DUMMYFUNCTION("iferror(iferror(iferror(index(IMPORTRANGE(""1NK5L1mviMn0j3D3uo53ASkIZOFRlLnqaCTnwzOG2_Wg"",""Direct Link!B2:B""),MATCH($B426,IMPORTRANGE(""1NK5L1mviMn0j3D3uo53ASkIZOFRlLnqaCTnwzOG2_Wg"",""Direct Link!A2:A""),0)),XLOOKUP($B426,IMPORTRANGE(""1NK5L1mviMn0j3D"&amp;"3uo53ASkIZOFRlLnqaCTnwzOG2_Wg"",""Direct links Without Sizes!A2:A""),IMPORTRANGE(""1NK5L1mviMn0j3D3uo53ASkIZOFRlLnqaCTnwzOG2_Wg"",""Direct links Without Sizes!B2:B""))),XLOOKUP($B426,IMPORTRANGE(""1NK5L1mviMn0j3D3uo53ASkIZOFRlLnqaCTnwzOG2_Wg"",""Direct li"&amp;"nks Without Sizes!D2:D""),IMPORTRANGE(""1NK5L1mviMn0j3D3uo53ASkIZOFRlLnqaCTnwzOG2_Wg"",""Direct links Without Sizes!E2:E""))),"""")"),"")</f>
        <v/>
      </c>
      <c r="H426" s="41"/>
      <c r="I426" s="4"/>
      <c r="J426" s="4"/>
      <c r="K426" s="10" t="str">
        <f t="shared" si="1"/>
        <v/>
      </c>
      <c r="L426" s="10"/>
      <c r="M426" s="10" t="str">
        <f t="shared" si="2"/>
        <v/>
      </c>
    </row>
    <row r="427">
      <c r="A427" s="4"/>
      <c r="B427" s="15"/>
      <c r="C427" s="7" t="str">
        <f>IFERROR(__xludf.DUMMYFUNCTION("iferror(iferror(INDEX(IMPORTRANGE(""12vtnxaE_Q1s4tyr10kZQx7ZF_xG0lBFae4jQEUtgsMU"",""All!B2:B""),MATCH($B427,IMPORTRANGE(""12vtnxaE_Q1s4tyr10kZQx7ZF_xG0lBFae4jQEUtgsMU"",""All!A2:A""),0)),INDEX(IMPORTRANGE(""13KC70HngS4DDi8y9E5khtSpQEPG6owaQ9z4E-tR5mnY"","&amp;"""Non-Food!B2:B""),MATCH($B427,IMPORTRANGE(""13KC70HngS4DDi8y9E5khtSpQEPG6owaQ9z4E-tR5mnY"",""Non-Food!A2:A""),0))),"""")"),"")</f>
        <v/>
      </c>
      <c r="D427" s="15"/>
      <c r="E427" s="15"/>
      <c r="F427" s="36"/>
      <c r="G427" s="24" t="str">
        <f>IFERROR(__xludf.DUMMYFUNCTION("iferror(iferror(iferror(index(IMPORTRANGE(""1NK5L1mviMn0j3D3uo53ASkIZOFRlLnqaCTnwzOG2_Wg"",""Direct Link!B2:B""),MATCH($B427,IMPORTRANGE(""1NK5L1mviMn0j3D3uo53ASkIZOFRlLnqaCTnwzOG2_Wg"",""Direct Link!A2:A""),0)),XLOOKUP($B427,IMPORTRANGE(""1NK5L1mviMn0j3D"&amp;"3uo53ASkIZOFRlLnqaCTnwzOG2_Wg"",""Direct links Without Sizes!A2:A""),IMPORTRANGE(""1NK5L1mviMn0j3D3uo53ASkIZOFRlLnqaCTnwzOG2_Wg"",""Direct links Without Sizes!B2:B""))),XLOOKUP($B427,IMPORTRANGE(""1NK5L1mviMn0j3D3uo53ASkIZOFRlLnqaCTnwzOG2_Wg"",""Direct li"&amp;"nks Without Sizes!D2:D""),IMPORTRANGE(""1NK5L1mviMn0j3D3uo53ASkIZOFRlLnqaCTnwzOG2_Wg"",""Direct links Without Sizes!E2:E""))),"""")"),"")</f>
        <v/>
      </c>
      <c r="H427" s="41"/>
      <c r="I427" s="4"/>
      <c r="J427" s="4"/>
      <c r="K427" s="10" t="str">
        <f t="shared" si="1"/>
        <v/>
      </c>
      <c r="L427" s="10"/>
      <c r="M427" s="10" t="str">
        <f t="shared" si="2"/>
        <v/>
      </c>
    </row>
    <row r="428">
      <c r="A428" s="4"/>
      <c r="B428" s="15"/>
      <c r="C428" s="7" t="str">
        <f>IFERROR(__xludf.DUMMYFUNCTION("iferror(iferror(INDEX(IMPORTRANGE(""12vtnxaE_Q1s4tyr10kZQx7ZF_xG0lBFae4jQEUtgsMU"",""All!B2:B""),MATCH($B428,IMPORTRANGE(""12vtnxaE_Q1s4tyr10kZQx7ZF_xG0lBFae4jQEUtgsMU"",""All!A2:A""),0)),INDEX(IMPORTRANGE(""13KC70HngS4DDi8y9E5khtSpQEPG6owaQ9z4E-tR5mnY"","&amp;"""Non-Food!B2:B""),MATCH($B428,IMPORTRANGE(""13KC70HngS4DDi8y9E5khtSpQEPG6owaQ9z4E-tR5mnY"",""Non-Food!A2:A""),0))),"""")"),"")</f>
        <v/>
      </c>
      <c r="D428" s="15"/>
      <c r="E428" s="15"/>
      <c r="F428" s="36"/>
      <c r="G428" s="24" t="str">
        <f>IFERROR(__xludf.DUMMYFUNCTION("iferror(iferror(iferror(index(IMPORTRANGE(""1NK5L1mviMn0j3D3uo53ASkIZOFRlLnqaCTnwzOG2_Wg"",""Direct Link!B2:B""),MATCH($B428,IMPORTRANGE(""1NK5L1mviMn0j3D3uo53ASkIZOFRlLnqaCTnwzOG2_Wg"",""Direct Link!A2:A""),0)),XLOOKUP($B428,IMPORTRANGE(""1NK5L1mviMn0j3D"&amp;"3uo53ASkIZOFRlLnqaCTnwzOG2_Wg"",""Direct links Without Sizes!A2:A""),IMPORTRANGE(""1NK5L1mviMn0j3D3uo53ASkIZOFRlLnqaCTnwzOG2_Wg"",""Direct links Without Sizes!B2:B""))),XLOOKUP($B428,IMPORTRANGE(""1NK5L1mviMn0j3D3uo53ASkIZOFRlLnqaCTnwzOG2_Wg"",""Direct li"&amp;"nks Without Sizes!D2:D""),IMPORTRANGE(""1NK5L1mviMn0j3D3uo53ASkIZOFRlLnqaCTnwzOG2_Wg"",""Direct links Without Sizes!E2:E""))),"""")"),"")</f>
        <v/>
      </c>
      <c r="H428" s="41"/>
      <c r="I428" s="4"/>
      <c r="J428" s="4"/>
      <c r="K428" s="10" t="str">
        <f t="shared" si="1"/>
        <v/>
      </c>
      <c r="L428" s="10"/>
      <c r="M428" s="10" t="str">
        <f t="shared" si="2"/>
        <v/>
      </c>
    </row>
    <row r="429">
      <c r="A429" s="4"/>
      <c r="B429" s="15"/>
      <c r="C429" s="7" t="str">
        <f>IFERROR(__xludf.DUMMYFUNCTION("iferror(iferror(INDEX(IMPORTRANGE(""12vtnxaE_Q1s4tyr10kZQx7ZF_xG0lBFae4jQEUtgsMU"",""All!B2:B""),MATCH($B429,IMPORTRANGE(""12vtnxaE_Q1s4tyr10kZQx7ZF_xG0lBFae4jQEUtgsMU"",""All!A2:A""),0)),INDEX(IMPORTRANGE(""13KC70HngS4DDi8y9E5khtSpQEPG6owaQ9z4E-tR5mnY"","&amp;"""Non-Food!B2:B""),MATCH($B429,IMPORTRANGE(""13KC70HngS4DDi8y9E5khtSpQEPG6owaQ9z4E-tR5mnY"",""Non-Food!A2:A""),0))),"""")"),"")</f>
        <v/>
      </c>
      <c r="D429" s="15"/>
      <c r="E429" s="15"/>
      <c r="F429" s="36"/>
      <c r="G429" s="24" t="str">
        <f>IFERROR(__xludf.DUMMYFUNCTION("iferror(iferror(iferror(index(IMPORTRANGE(""1NK5L1mviMn0j3D3uo53ASkIZOFRlLnqaCTnwzOG2_Wg"",""Direct Link!B2:B""),MATCH($B429,IMPORTRANGE(""1NK5L1mviMn0j3D3uo53ASkIZOFRlLnqaCTnwzOG2_Wg"",""Direct Link!A2:A""),0)),XLOOKUP($B429,IMPORTRANGE(""1NK5L1mviMn0j3D"&amp;"3uo53ASkIZOFRlLnqaCTnwzOG2_Wg"",""Direct links Without Sizes!A2:A""),IMPORTRANGE(""1NK5L1mviMn0j3D3uo53ASkIZOFRlLnqaCTnwzOG2_Wg"",""Direct links Without Sizes!B2:B""))),XLOOKUP($B429,IMPORTRANGE(""1NK5L1mviMn0j3D3uo53ASkIZOFRlLnqaCTnwzOG2_Wg"",""Direct li"&amp;"nks Without Sizes!D2:D""),IMPORTRANGE(""1NK5L1mviMn0j3D3uo53ASkIZOFRlLnqaCTnwzOG2_Wg"",""Direct links Without Sizes!E2:E""))),"""")"),"")</f>
        <v/>
      </c>
      <c r="H429" s="41"/>
      <c r="I429" s="4"/>
      <c r="J429" s="4"/>
      <c r="K429" s="10" t="str">
        <f t="shared" si="1"/>
        <v/>
      </c>
      <c r="L429" s="10"/>
      <c r="M429" s="10" t="str">
        <f t="shared" si="2"/>
        <v/>
      </c>
    </row>
    <row r="430">
      <c r="A430" s="4"/>
      <c r="B430" s="15"/>
      <c r="C430" s="7" t="str">
        <f>IFERROR(__xludf.DUMMYFUNCTION("iferror(iferror(INDEX(IMPORTRANGE(""12vtnxaE_Q1s4tyr10kZQx7ZF_xG0lBFae4jQEUtgsMU"",""All!B2:B""),MATCH($B430,IMPORTRANGE(""12vtnxaE_Q1s4tyr10kZQx7ZF_xG0lBFae4jQEUtgsMU"",""All!A2:A""),0)),INDEX(IMPORTRANGE(""13KC70HngS4DDi8y9E5khtSpQEPG6owaQ9z4E-tR5mnY"","&amp;"""Non-Food!B2:B""),MATCH($B430,IMPORTRANGE(""13KC70HngS4DDi8y9E5khtSpQEPG6owaQ9z4E-tR5mnY"",""Non-Food!A2:A""),0))),"""")"),"")</f>
        <v/>
      </c>
      <c r="D430" s="15"/>
      <c r="E430" s="15"/>
      <c r="F430" s="36"/>
      <c r="G430" s="24" t="str">
        <f>IFERROR(__xludf.DUMMYFUNCTION("iferror(iferror(iferror(index(IMPORTRANGE(""1NK5L1mviMn0j3D3uo53ASkIZOFRlLnqaCTnwzOG2_Wg"",""Direct Link!B2:B""),MATCH($B430,IMPORTRANGE(""1NK5L1mviMn0j3D3uo53ASkIZOFRlLnqaCTnwzOG2_Wg"",""Direct Link!A2:A""),0)),XLOOKUP($B430,IMPORTRANGE(""1NK5L1mviMn0j3D"&amp;"3uo53ASkIZOFRlLnqaCTnwzOG2_Wg"",""Direct links Without Sizes!A2:A""),IMPORTRANGE(""1NK5L1mviMn0j3D3uo53ASkIZOFRlLnqaCTnwzOG2_Wg"",""Direct links Without Sizes!B2:B""))),XLOOKUP($B430,IMPORTRANGE(""1NK5L1mviMn0j3D3uo53ASkIZOFRlLnqaCTnwzOG2_Wg"",""Direct li"&amp;"nks Without Sizes!D2:D""),IMPORTRANGE(""1NK5L1mviMn0j3D3uo53ASkIZOFRlLnqaCTnwzOG2_Wg"",""Direct links Without Sizes!E2:E""))),"""")"),"")</f>
        <v/>
      </c>
      <c r="H430" s="41"/>
      <c r="I430" s="4"/>
      <c r="J430" s="4"/>
      <c r="K430" s="10" t="str">
        <f t="shared" si="1"/>
        <v/>
      </c>
      <c r="L430" s="10"/>
      <c r="M430" s="10" t="str">
        <f t="shared" si="2"/>
        <v/>
      </c>
    </row>
    <row r="431">
      <c r="A431" s="4"/>
      <c r="B431" s="15"/>
      <c r="C431" s="7" t="str">
        <f>IFERROR(__xludf.DUMMYFUNCTION("iferror(iferror(INDEX(IMPORTRANGE(""12vtnxaE_Q1s4tyr10kZQx7ZF_xG0lBFae4jQEUtgsMU"",""All!B2:B""),MATCH($B431,IMPORTRANGE(""12vtnxaE_Q1s4tyr10kZQx7ZF_xG0lBFae4jQEUtgsMU"",""All!A2:A""),0)),INDEX(IMPORTRANGE(""13KC70HngS4DDi8y9E5khtSpQEPG6owaQ9z4E-tR5mnY"","&amp;"""Non-Food!B2:B""),MATCH($B431,IMPORTRANGE(""13KC70HngS4DDi8y9E5khtSpQEPG6owaQ9z4E-tR5mnY"",""Non-Food!A2:A""),0))),"""")"),"")</f>
        <v/>
      </c>
      <c r="D431" s="15"/>
      <c r="E431" s="15"/>
      <c r="F431" s="36"/>
      <c r="G431" s="24" t="str">
        <f>IFERROR(__xludf.DUMMYFUNCTION("iferror(iferror(iferror(index(IMPORTRANGE(""1NK5L1mviMn0j3D3uo53ASkIZOFRlLnqaCTnwzOG2_Wg"",""Direct Link!B2:B""),MATCH($B431,IMPORTRANGE(""1NK5L1mviMn0j3D3uo53ASkIZOFRlLnqaCTnwzOG2_Wg"",""Direct Link!A2:A""),0)),XLOOKUP($B431,IMPORTRANGE(""1NK5L1mviMn0j3D"&amp;"3uo53ASkIZOFRlLnqaCTnwzOG2_Wg"",""Direct links Without Sizes!A2:A""),IMPORTRANGE(""1NK5L1mviMn0j3D3uo53ASkIZOFRlLnqaCTnwzOG2_Wg"",""Direct links Without Sizes!B2:B""))),XLOOKUP($B431,IMPORTRANGE(""1NK5L1mviMn0j3D3uo53ASkIZOFRlLnqaCTnwzOG2_Wg"",""Direct li"&amp;"nks Without Sizes!D2:D""),IMPORTRANGE(""1NK5L1mviMn0j3D3uo53ASkIZOFRlLnqaCTnwzOG2_Wg"",""Direct links Without Sizes!E2:E""))),"""")"),"")</f>
        <v/>
      </c>
      <c r="H431" s="41"/>
      <c r="I431" s="4"/>
      <c r="J431" s="4"/>
      <c r="K431" s="10" t="str">
        <f t="shared" si="1"/>
        <v/>
      </c>
      <c r="L431" s="10"/>
      <c r="M431" s="10" t="str">
        <f t="shared" si="2"/>
        <v/>
      </c>
    </row>
    <row r="432">
      <c r="A432" s="4"/>
      <c r="B432" s="15"/>
      <c r="C432" s="7" t="str">
        <f>IFERROR(__xludf.DUMMYFUNCTION("iferror(iferror(INDEX(IMPORTRANGE(""12vtnxaE_Q1s4tyr10kZQx7ZF_xG0lBFae4jQEUtgsMU"",""All!B2:B""),MATCH($B432,IMPORTRANGE(""12vtnxaE_Q1s4tyr10kZQx7ZF_xG0lBFae4jQEUtgsMU"",""All!A2:A""),0)),INDEX(IMPORTRANGE(""13KC70HngS4DDi8y9E5khtSpQEPG6owaQ9z4E-tR5mnY"","&amp;"""Non-Food!B2:B""),MATCH($B432,IMPORTRANGE(""13KC70HngS4DDi8y9E5khtSpQEPG6owaQ9z4E-tR5mnY"",""Non-Food!A2:A""),0))),"""")"),"")</f>
        <v/>
      </c>
      <c r="D432" s="15"/>
      <c r="E432" s="15"/>
      <c r="F432" s="36"/>
      <c r="G432" s="24" t="str">
        <f>IFERROR(__xludf.DUMMYFUNCTION("iferror(iferror(iferror(index(IMPORTRANGE(""1NK5L1mviMn0j3D3uo53ASkIZOFRlLnqaCTnwzOG2_Wg"",""Direct Link!B2:B""),MATCH($B432,IMPORTRANGE(""1NK5L1mviMn0j3D3uo53ASkIZOFRlLnqaCTnwzOG2_Wg"",""Direct Link!A2:A""),0)),XLOOKUP($B432,IMPORTRANGE(""1NK5L1mviMn0j3D"&amp;"3uo53ASkIZOFRlLnqaCTnwzOG2_Wg"",""Direct links Without Sizes!A2:A""),IMPORTRANGE(""1NK5L1mviMn0j3D3uo53ASkIZOFRlLnqaCTnwzOG2_Wg"",""Direct links Without Sizes!B2:B""))),XLOOKUP($B432,IMPORTRANGE(""1NK5L1mviMn0j3D3uo53ASkIZOFRlLnqaCTnwzOG2_Wg"",""Direct li"&amp;"nks Without Sizes!D2:D""),IMPORTRANGE(""1NK5L1mviMn0j3D3uo53ASkIZOFRlLnqaCTnwzOG2_Wg"",""Direct links Without Sizes!E2:E""))),"""")"),"")</f>
        <v/>
      </c>
      <c r="H432" s="41"/>
      <c r="I432" s="4"/>
      <c r="J432" s="4"/>
      <c r="K432" s="10" t="str">
        <f t="shared" si="1"/>
        <v/>
      </c>
      <c r="L432" s="10"/>
      <c r="M432" s="10" t="str">
        <f t="shared" si="2"/>
        <v/>
      </c>
    </row>
    <row r="433">
      <c r="A433" s="4"/>
      <c r="B433" s="15"/>
      <c r="C433" s="7" t="str">
        <f>IFERROR(__xludf.DUMMYFUNCTION("iferror(iferror(INDEX(IMPORTRANGE(""12vtnxaE_Q1s4tyr10kZQx7ZF_xG0lBFae4jQEUtgsMU"",""All!B2:B""),MATCH($B433,IMPORTRANGE(""12vtnxaE_Q1s4tyr10kZQx7ZF_xG0lBFae4jQEUtgsMU"",""All!A2:A""),0)),INDEX(IMPORTRANGE(""13KC70HngS4DDi8y9E5khtSpQEPG6owaQ9z4E-tR5mnY"","&amp;"""Non-Food!B2:B""),MATCH($B433,IMPORTRANGE(""13KC70HngS4DDi8y9E5khtSpQEPG6owaQ9z4E-tR5mnY"",""Non-Food!A2:A""),0))),"""")"),"")</f>
        <v/>
      </c>
      <c r="D433" s="15"/>
      <c r="E433" s="15"/>
      <c r="F433" s="36"/>
      <c r="G433" s="24" t="str">
        <f>IFERROR(__xludf.DUMMYFUNCTION("iferror(iferror(iferror(index(IMPORTRANGE(""1NK5L1mviMn0j3D3uo53ASkIZOFRlLnqaCTnwzOG2_Wg"",""Direct Link!B2:B""),MATCH($B433,IMPORTRANGE(""1NK5L1mviMn0j3D3uo53ASkIZOFRlLnqaCTnwzOG2_Wg"",""Direct Link!A2:A""),0)),XLOOKUP($B433,IMPORTRANGE(""1NK5L1mviMn0j3D"&amp;"3uo53ASkIZOFRlLnqaCTnwzOG2_Wg"",""Direct links Without Sizes!A2:A""),IMPORTRANGE(""1NK5L1mviMn0j3D3uo53ASkIZOFRlLnqaCTnwzOG2_Wg"",""Direct links Without Sizes!B2:B""))),XLOOKUP($B433,IMPORTRANGE(""1NK5L1mviMn0j3D3uo53ASkIZOFRlLnqaCTnwzOG2_Wg"",""Direct li"&amp;"nks Without Sizes!D2:D""),IMPORTRANGE(""1NK5L1mviMn0j3D3uo53ASkIZOFRlLnqaCTnwzOG2_Wg"",""Direct links Without Sizes!E2:E""))),"""")"),"")</f>
        <v/>
      </c>
      <c r="H433" s="41"/>
      <c r="I433" s="4"/>
      <c r="J433" s="4"/>
      <c r="K433" s="10" t="str">
        <f t="shared" si="1"/>
        <v/>
      </c>
      <c r="L433" s="10"/>
      <c r="M433" s="10" t="str">
        <f t="shared" si="2"/>
        <v/>
      </c>
    </row>
    <row r="434">
      <c r="A434" s="4"/>
      <c r="B434" s="15"/>
      <c r="C434" s="7" t="str">
        <f>IFERROR(__xludf.DUMMYFUNCTION("iferror(iferror(INDEX(IMPORTRANGE(""12vtnxaE_Q1s4tyr10kZQx7ZF_xG0lBFae4jQEUtgsMU"",""All!B2:B""),MATCH($B434,IMPORTRANGE(""12vtnxaE_Q1s4tyr10kZQx7ZF_xG0lBFae4jQEUtgsMU"",""All!A2:A""),0)),INDEX(IMPORTRANGE(""13KC70HngS4DDi8y9E5khtSpQEPG6owaQ9z4E-tR5mnY"","&amp;"""Non-Food!B2:B""),MATCH($B434,IMPORTRANGE(""13KC70HngS4DDi8y9E5khtSpQEPG6owaQ9z4E-tR5mnY"",""Non-Food!A2:A""),0))),"""")"),"")</f>
        <v/>
      </c>
      <c r="D434" s="15"/>
      <c r="E434" s="15"/>
      <c r="F434" s="36"/>
      <c r="G434" s="24" t="str">
        <f>IFERROR(__xludf.DUMMYFUNCTION("iferror(iferror(iferror(index(IMPORTRANGE(""1NK5L1mviMn0j3D3uo53ASkIZOFRlLnqaCTnwzOG2_Wg"",""Direct Link!B2:B""),MATCH($B434,IMPORTRANGE(""1NK5L1mviMn0j3D3uo53ASkIZOFRlLnqaCTnwzOG2_Wg"",""Direct Link!A2:A""),0)),XLOOKUP($B434,IMPORTRANGE(""1NK5L1mviMn0j3D"&amp;"3uo53ASkIZOFRlLnqaCTnwzOG2_Wg"",""Direct links Without Sizes!A2:A""),IMPORTRANGE(""1NK5L1mviMn0j3D3uo53ASkIZOFRlLnqaCTnwzOG2_Wg"",""Direct links Without Sizes!B2:B""))),XLOOKUP($B434,IMPORTRANGE(""1NK5L1mviMn0j3D3uo53ASkIZOFRlLnqaCTnwzOG2_Wg"",""Direct li"&amp;"nks Without Sizes!D2:D""),IMPORTRANGE(""1NK5L1mviMn0j3D3uo53ASkIZOFRlLnqaCTnwzOG2_Wg"",""Direct links Without Sizes!E2:E""))),"""")"),"")</f>
        <v/>
      </c>
      <c r="H434" s="41"/>
      <c r="I434" s="4"/>
      <c r="J434" s="4"/>
      <c r="K434" s="10" t="str">
        <f t="shared" si="1"/>
        <v/>
      </c>
      <c r="L434" s="10"/>
      <c r="M434" s="10" t="str">
        <f t="shared" si="2"/>
        <v/>
      </c>
    </row>
    <row r="435">
      <c r="A435" s="4"/>
      <c r="B435" s="15"/>
      <c r="C435" s="7" t="str">
        <f>IFERROR(__xludf.DUMMYFUNCTION("iferror(iferror(INDEX(IMPORTRANGE(""12vtnxaE_Q1s4tyr10kZQx7ZF_xG0lBFae4jQEUtgsMU"",""All!B2:B""),MATCH($B435,IMPORTRANGE(""12vtnxaE_Q1s4tyr10kZQx7ZF_xG0lBFae4jQEUtgsMU"",""All!A2:A""),0)),INDEX(IMPORTRANGE(""13KC70HngS4DDi8y9E5khtSpQEPG6owaQ9z4E-tR5mnY"","&amp;"""Non-Food!B2:B""),MATCH($B435,IMPORTRANGE(""13KC70HngS4DDi8y9E5khtSpQEPG6owaQ9z4E-tR5mnY"",""Non-Food!A2:A""),0))),"""")"),"")</f>
        <v/>
      </c>
      <c r="D435" s="15"/>
      <c r="E435" s="15"/>
      <c r="F435" s="36"/>
      <c r="G435" s="24" t="str">
        <f>IFERROR(__xludf.DUMMYFUNCTION("iferror(iferror(iferror(index(IMPORTRANGE(""1NK5L1mviMn0j3D3uo53ASkIZOFRlLnqaCTnwzOG2_Wg"",""Direct Link!B2:B""),MATCH($B435,IMPORTRANGE(""1NK5L1mviMn0j3D3uo53ASkIZOFRlLnqaCTnwzOG2_Wg"",""Direct Link!A2:A""),0)),XLOOKUP($B435,IMPORTRANGE(""1NK5L1mviMn0j3D"&amp;"3uo53ASkIZOFRlLnqaCTnwzOG2_Wg"",""Direct links Without Sizes!A2:A""),IMPORTRANGE(""1NK5L1mviMn0j3D3uo53ASkIZOFRlLnqaCTnwzOG2_Wg"",""Direct links Without Sizes!B2:B""))),XLOOKUP($B435,IMPORTRANGE(""1NK5L1mviMn0j3D3uo53ASkIZOFRlLnqaCTnwzOG2_Wg"",""Direct li"&amp;"nks Without Sizes!D2:D""),IMPORTRANGE(""1NK5L1mviMn0j3D3uo53ASkIZOFRlLnqaCTnwzOG2_Wg"",""Direct links Without Sizes!E2:E""))),"""")"),"")</f>
        <v/>
      </c>
      <c r="H435" s="41"/>
      <c r="I435" s="4"/>
      <c r="J435" s="4"/>
      <c r="K435" s="10" t="str">
        <f t="shared" si="1"/>
        <v/>
      </c>
      <c r="L435" s="10"/>
      <c r="M435" s="10" t="str">
        <f t="shared" si="2"/>
        <v/>
      </c>
    </row>
    <row r="436">
      <c r="A436" s="4"/>
      <c r="B436" s="15"/>
      <c r="C436" s="7" t="str">
        <f>IFERROR(__xludf.DUMMYFUNCTION("iferror(iferror(INDEX(IMPORTRANGE(""12vtnxaE_Q1s4tyr10kZQx7ZF_xG0lBFae4jQEUtgsMU"",""All!B2:B""),MATCH($B436,IMPORTRANGE(""12vtnxaE_Q1s4tyr10kZQx7ZF_xG0lBFae4jQEUtgsMU"",""All!A2:A""),0)),INDEX(IMPORTRANGE(""13KC70HngS4DDi8y9E5khtSpQEPG6owaQ9z4E-tR5mnY"","&amp;"""Non-Food!B2:B""),MATCH($B436,IMPORTRANGE(""13KC70HngS4DDi8y9E5khtSpQEPG6owaQ9z4E-tR5mnY"",""Non-Food!A2:A""),0))),"""")"),"")</f>
        <v/>
      </c>
      <c r="D436" s="15"/>
      <c r="E436" s="15"/>
      <c r="F436" s="36"/>
      <c r="G436" s="24" t="str">
        <f>IFERROR(__xludf.DUMMYFUNCTION("iferror(iferror(iferror(index(IMPORTRANGE(""1NK5L1mviMn0j3D3uo53ASkIZOFRlLnqaCTnwzOG2_Wg"",""Direct Link!B2:B""),MATCH($B436,IMPORTRANGE(""1NK5L1mviMn0j3D3uo53ASkIZOFRlLnqaCTnwzOG2_Wg"",""Direct Link!A2:A""),0)),XLOOKUP($B436,IMPORTRANGE(""1NK5L1mviMn0j3D"&amp;"3uo53ASkIZOFRlLnqaCTnwzOG2_Wg"",""Direct links Without Sizes!A2:A""),IMPORTRANGE(""1NK5L1mviMn0j3D3uo53ASkIZOFRlLnqaCTnwzOG2_Wg"",""Direct links Without Sizes!B2:B""))),XLOOKUP($B436,IMPORTRANGE(""1NK5L1mviMn0j3D3uo53ASkIZOFRlLnqaCTnwzOG2_Wg"",""Direct li"&amp;"nks Without Sizes!D2:D""),IMPORTRANGE(""1NK5L1mviMn0j3D3uo53ASkIZOFRlLnqaCTnwzOG2_Wg"",""Direct links Without Sizes!E2:E""))),"""")"),"")</f>
        <v/>
      </c>
      <c r="H436" s="41"/>
      <c r="I436" s="4"/>
      <c r="J436" s="4"/>
      <c r="K436" s="10" t="str">
        <f t="shared" si="1"/>
        <v/>
      </c>
      <c r="L436" s="10"/>
      <c r="M436" s="10" t="str">
        <f t="shared" si="2"/>
        <v/>
      </c>
    </row>
    <row r="437">
      <c r="A437" s="4"/>
      <c r="B437" s="15"/>
      <c r="C437" s="7" t="str">
        <f>IFERROR(__xludf.DUMMYFUNCTION("iferror(iferror(INDEX(IMPORTRANGE(""12vtnxaE_Q1s4tyr10kZQx7ZF_xG0lBFae4jQEUtgsMU"",""All!B2:B""),MATCH($B437,IMPORTRANGE(""12vtnxaE_Q1s4tyr10kZQx7ZF_xG0lBFae4jQEUtgsMU"",""All!A2:A""),0)),INDEX(IMPORTRANGE(""13KC70HngS4DDi8y9E5khtSpQEPG6owaQ9z4E-tR5mnY"","&amp;"""Non-Food!B2:B""),MATCH($B437,IMPORTRANGE(""13KC70HngS4DDi8y9E5khtSpQEPG6owaQ9z4E-tR5mnY"",""Non-Food!A2:A""),0))),"""")"),"")</f>
        <v/>
      </c>
      <c r="D437" s="15"/>
      <c r="E437" s="15"/>
      <c r="F437" s="36"/>
      <c r="G437" s="24" t="str">
        <f>IFERROR(__xludf.DUMMYFUNCTION("iferror(iferror(iferror(index(IMPORTRANGE(""1NK5L1mviMn0j3D3uo53ASkIZOFRlLnqaCTnwzOG2_Wg"",""Direct Link!B2:B""),MATCH($B437,IMPORTRANGE(""1NK5L1mviMn0j3D3uo53ASkIZOFRlLnqaCTnwzOG2_Wg"",""Direct Link!A2:A""),0)),XLOOKUP($B437,IMPORTRANGE(""1NK5L1mviMn0j3D"&amp;"3uo53ASkIZOFRlLnqaCTnwzOG2_Wg"",""Direct links Without Sizes!A2:A""),IMPORTRANGE(""1NK5L1mviMn0j3D3uo53ASkIZOFRlLnqaCTnwzOG2_Wg"",""Direct links Without Sizes!B2:B""))),XLOOKUP($B437,IMPORTRANGE(""1NK5L1mviMn0j3D3uo53ASkIZOFRlLnqaCTnwzOG2_Wg"",""Direct li"&amp;"nks Without Sizes!D2:D""),IMPORTRANGE(""1NK5L1mviMn0j3D3uo53ASkIZOFRlLnqaCTnwzOG2_Wg"",""Direct links Without Sizes!E2:E""))),"""")"),"")</f>
        <v/>
      </c>
      <c r="H437" s="41"/>
      <c r="I437" s="4"/>
      <c r="J437" s="4"/>
      <c r="K437" s="10" t="str">
        <f t="shared" si="1"/>
        <v/>
      </c>
      <c r="L437" s="10"/>
      <c r="M437" s="10" t="str">
        <f t="shared" si="2"/>
        <v/>
      </c>
    </row>
    <row r="438">
      <c r="A438" s="4"/>
      <c r="B438" s="15"/>
      <c r="C438" s="7" t="str">
        <f>IFERROR(__xludf.DUMMYFUNCTION("iferror(iferror(INDEX(IMPORTRANGE(""12vtnxaE_Q1s4tyr10kZQx7ZF_xG0lBFae4jQEUtgsMU"",""All!B2:B""),MATCH($B438,IMPORTRANGE(""12vtnxaE_Q1s4tyr10kZQx7ZF_xG0lBFae4jQEUtgsMU"",""All!A2:A""),0)),INDEX(IMPORTRANGE(""13KC70HngS4DDi8y9E5khtSpQEPG6owaQ9z4E-tR5mnY"","&amp;"""Non-Food!B2:B""),MATCH($B438,IMPORTRANGE(""13KC70HngS4DDi8y9E5khtSpQEPG6owaQ9z4E-tR5mnY"",""Non-Food!A2:A""),0))),"""")"),"")</f>
        <v/>
      </c>
      <c r="D438" s="15"/>
      <c r="E438" s="15"/>
      <c r="F438" s="36"/>
      <c r="G438" s="24" t="str">
        <f>IFERROR(__xludf.DUMMYFUNCTION("iferror(iferror(iferror(index(IMPORTRANGE(""1NK5L1mviMn0j3D3uo53ASkIZOFRlLnqaCTnwzOG2_Wg"",""Direct Link!B2:B""),MATCH($B438,IMPORTRANGE(""1NK5L1mviMn0j3D3uo53ASkIZOFRlLnqaCTnwzOG2_Wg"",""Direct Link!A2:A""),0)),XLOOKUP($B438,IMPORTRANGE(""1NK5L1mviMn0j3D"&amp;"3uo53ASkIZOFRlLnqaCTnwzOG2_Wg"",""Direct links Without Sizes!A2:A""),IMPORTRANGE(""1NK5L1mviMn0j3D3uo53ASkIZOFRlLnqaCTnwzOG2_Wg"",""Direct links Without Sizes!B2:B""))),XLOOKUP($B438,IMPORTRANGE(""1NK5L1mviMn0j3D3uo53ASkIZOFRlLnqaCTnwzOG2_Wg"",""Direct li"&amp;"nks Without Sizes!D2:D""),IMPORTRANGE(""1NK5L1mviMn0j3D3uo53ASkIZOFRlLnqaCTnwzOG2_Wg"",""Direct links Without Sizes!E2:E""))),"""")"),"")</f>
        <v/>
      </c>
      <c r="H438" s="41"/>
      <c r="I438" s="4"/>
      <c r="J438" s="4"/>
      <c r="K438" s="10" t="str">
        <f t="shared" si="1"/>
        <v/>
      </c>
      <c r="L438" s="10"/>
      <c r="M438" s="10" t="str">
        <f t="shared" si="2"/>
        <v/>
      </c>
    </row>
    <row r="439">
      <c r="A439" s="4"/>
      <c r="B439" s="15"/>
      <c r="C439" s="7" t="str">
        <f>IFERROR(__xludf.DUMMYFUNCTION("iferror(iferror(INDEX(IMPORTRANGE(""12vtnxaE_Q1s4tyr10kZQx7ZF_xG0lBFae4jQEUtgsMU"",""All!B2:B""),MATCH($B439,IMPORTRANGE(""12vtnxaE_Q1s4tyr10kZQx7ZF_xG0lBFae4jQEUtgsMU"",""All!A2:A""),0)),INDEX(IMPORTRANGE(""13KC70HngS4DDi8y9E5khtSpQEPG6owaQ9z4E-tR5mnY"","&amp;"""Non-Food!B2:B""),MATCH($B439,IMPORTRANGE(""13KC70HngS4DDi8y9E5khtSpQEPG6owaQ9z4E-tR5mnY"",""Non-Food!A2:A""),0))),"""")"),"")</f>
        <v/>
      </c>
      <c r="D439" s="15"/>
      <c r="E439" s="15"/>
      <c r="F439" s="36"/>
      <c r="G439" s="24" t="str">
        <f>IFERROR(__xludf.DUMMYFUNCTION("iferror(iferror(iferror(index(IMPORTRANGE(""1NK5L1mviMn0j3D3uo53ASkIZOFRlLnqaCTnwzOG2_Wg"",""Direct Link!B2:B""),MATCH($B439,IMPORTRANGE(""1NK5L1mviMn0j3D3uo53ASkIZOFRlLnqaCTnwzOG2_Wg"",""Direct Link!A2:A""),0)),XLOOKUP($B439,IMPORTRANGE(""1NK5L1mviMn0j3D"&amp;"3uo53ASkIZOFRlLnqaCTnwzOG2_Wg"",""Direct links Without Sizes!A2:A""),IMPORTRANGE(""1NK5L1mviMn0j3D3uo53ASkIZOFRlLnqaCTnwzOG2_Wg"",""Direct links Without Sizes!B2:B""))),XLOOKUP($B439,IMPORTRANGE(""1NK5L1mviMn0j3D3uo53ASkIZOFRlLnqaCTnwzOG2_Wg"",""Direct li"&amp;"nks Without Sizes!D2:D""),IMPORTRANGE(""1NK5L1mviMn0j3D3uo53ASkIZOFRlLnqaCTnwzOG2_Wg"",""Direct links Without Sizes!E2:E""))),"""")"),"")</f>
        <v/>
      </c>
      <c r="H439" s="41"/>
      <c r="I439" s="4"/>
      <c r="J439" s="4"/>
      <c r="K439" s="10" t="str">
        <f t="shared" si="1"/>
        <v/>
      </c>
      <c r="L439" s="10"/>
      <c r="M439" s="10" t="str">
        <f t="shared" si="2"/>
        <v/>
      </c>
    </row>
    <row r="440">
      <c r="A440" s="4"/>
      <c r="B440" s="15"/>
      <c r="C440" s="7" t="str">
        <f>IFERROR(__xludf.DUMMYFUNCTION("iferror(iferror(INDEX(IMPORTRANGE(""12vtnxaE_Q1s4tyr10kZQx7ZF_xG0lBFae4jQEUtgsMU"",""All!B2:B""),MATCH($B440,IMPORTRANGE(""12vtnxaE_Q1s4tyr10kZQx7ZF_xG0lBFae4jQEUtgsMU"",""All!A2:A""),0)),INDEX(IMPORTRANGE(""13KC70HngS4DDi8y9E5khtSpQEPG6owaQ9z4E-tR5mnY"","&amp;"""Non-Food!B2:B""),MATCH($B440,IMPORTRANGE(""13KC70HngS4DDi8y9E5khtSpQEPG6owaQ9z4E-tR5mnY"",""Non-Food!A2:A""),0))),"""")"),"")</f>
        <v/>
      </c>
      <c r="D440" s="15"/>
      <c r="E440" s="15"/>
      <c r="F440" s="36"/>
      <c r="G440" s="24" t="str">
        <f>IFERROR(__xludf.DUMMYFUNCTION("iferror(iferror(iferror(index(IMPORTRANGE(""1NK5L1mviMn0j3D3uo53ASkIZOFRlLnqaCTnwzOG2_Wg"",""Direct Link!B2:B""),MATCH($B440,IMPORTRANGE(""1NK5L1mviMn0j3D3uo53ASkIZOFRlLnqaCTnwzOG2_Wg"",""Direct Link!A2:A""),0)),XLOOKUP($B440,IMPORTRANGE(""1NK5L1mviMn0j3D"&amp;"3uo53ASkIZOFRlLnqaCTnwzOG2_Wg"",""Direct links Without Sizes!A2:A""),IMPORTRANGE(""1NK5L1mviMn0j3D3uo53ASkIZOFRlLnqaCTnwzOG2_Wg"",""Direct links Without Sizes!B2:B""))),XLOOKUP($B440,IMPORTRANGE(""1NK5L1mviMn0j3D3uo53ASkIZOFRlLnqaCTnwzOG2_Wg"",""Direct li"&amp;"nks Without Sizes!D2:D""),IMPORTRANGE(""1NK5L1mviMn0j3D3uo53ASkIZOFRlLnqaCTnwzOG2_Wg"",""Direct links Without Sizes!E2:E""))),"""")"),"")</f>
        <v/>
      </c>
      <c r="H440" s="41"/>
      <c r="I440" s="4"/>
      <c r="J440" s="4"/>
      <c r="K440" s="10" t="str">
        <f t="shared" si="1"/>
        <v/>
      </c>
      <c r="L440" s="10"/>
      <c r="M440" s="10" t="str">
        <f t="shared" si="2"/>
        <v/>
      </c>
    </row>
    <row r="441">
      <c r="A441" s="4"/>
      <c r="B441" s="15"/>
      <c r="C441" s="7" t="str">
        <f>IFERROR(__xludf.DUMMYFUNCTION("iferror(iferror(INDEX(IMPORTRANGE(""12vtnxaE_Q1s4tyr10kZQx7ZF_xG0lBFae4jQEUtgsMU"",""All!B2:B""),MATCH($B441,IMPORTRANGE(""12vtnxaE_Q1s4tyr10kZQx7ZF_xG0lBFae4jQEUtgsMU"",""All!A2:A""),0)),INDEX(IMPORTRANGE(""13KC70HngS4DDi8y9E5khtSpQEPG6owaQ9z4E-tR5mnY"","&amp;"""Non-Food!B2:B""),MATCH($B441,IMPORTRANGE(""13KC70HngS4DDi8y9E5khtSpQEPG6owaQ9z4E-tR5mnY"",""Non-Food!A2:A""),0))),"""")"),"")</f>
        <v/>
      </c>
      <c r="D441" s="15"/>
      <c r="E441" s="15"/>
      <c r="F441" s="36"/>
      <c r="G441" s="24" t="str">
        <f>IFERROR(__xludf.DUMMYFUNCTION("iferror(iferror(iferror(index(IMPORTRANGE(""1NK5L1mviMn0j3D3uo53ASkIZOFRlLnqaCTnwzOG2_Wg"",""Direct Link!B2:B""),MATCH($B441,IMPORTRANGE(""1NK5L1mviMn0j3D3uo53ASkIZOFRlLnqaCTnwzOG2_Wg"",""Direct Link!A2:A""),0)),XLOOKUP($B441,IMPORTRANGE(""1NK5L1mviMn0j3D"&amp;"3uo53ASkIZOFRlLnqaCTnwzOG2_Wg"",""Direct links Without Sizes!A2:A""),IMPORTRANGE(""1NK5L1mviMn0j3D3uo53ASkIZOFRlLnqaCTnwzOG2_Wg"",""Direct links Without Sizes!B2:B""))),XLOOKUP($B441,IMPORTRANGE(""1NK5L1mviMn0j3D3uo53ASkIZOFRlLnqaCTnwzOG2_Wg"",""Direct li"&amp;"nks Without Sizes!D2:D""),IMPORTRANGE(""1NK5L1mviMn0j3D3uo53ASkIZOFRlLnqaCTnwzOG2_Wg"",""Direct links Without Sizes!E2:E""))),"""")"),"")</f>
        <v/>
      </c>
      <c r="H441" s="41"/>
      <c r="I441" s="4"/>
      <c r="J441" s="4"/>
      <c r="K441" s="10" t="str">
        <f t="shared" si="1"/>
        <v/>
      </c>
      <c r="L441" s="10"/>
      <c r="M441" s="10" t="str">
        <f t="shared" si="2"/>
        <v/>
      </c>
    </row>
    <row r="442">
      <c r="A442" s="4"/>
      <c r="B442" s="15"/>
      <c r="C442" s="7" t="str">
        <f>IFERROR(__xludf.DUMMYFUNCTION("iferror(iferror(INDEX(IMPORTRANGE(""12vtnxaE_Q1s4tyr10kZQx7ZF_xG0lBFae4jQEUtgsMU"",""All!B2:B""),MATCH($B442,IMPORTRANGE(""12vtnxaE_Q1s4tyr10kZQx7ZF_xG0lBFae4jQEUtgsMU"",""All!A2:A""),0)),INDEX(IMPORTRANGE(""13KC70HngS4DDi8y9E5khtSpQEPG6owaQ9z4E-tR5mnY"","&amp;"""Non-Food!B2:B""),MATCH($B442,IMPORTRANGE(""13KC70HngS4DDi8y9E5khtSpQEPG6owaQ9z4E-tR5mnY"",""Non-Food!A2:A""),0))),"""")"),"")</f>
        <v/>
      </c>
      <c r="D442" s="15"/>
      <c r="E442" s="15"/>
      <c r="F442" s="36"/>
      <c r="G442" s="24" t="str">
        <f>IFERROR(__xludf.DUMMYFUNCTION("iferror(iferror(iferror(index(IMPORTRANGE(""1NK5L1mviMn0j3D3uo53ASkIZOFRlLnqaCTnwzOG2_Wg"",""Direct Link!B2:B""),MATCH($B442,IMPORTRANGE(""1NK5L1mviMn0j3D3uo53ASkIZOFRlLnqaCTnwzOG2_Wg"",""Direct Link!A2:A""),0)),XLOOKUP($B442,IMPORTRANGE(""1NK5L1mviMn0j3D"&amp;"3uo53ASkIZOFRlLnqaCTnwzOG2_Wg"",""Direct links Without Sizes!A2:A""),IMPORTRANGE(""1NK5L1mviMn0j3D3uo53ASkIZOFRlLnqaCTnwzOG2_Wg"",""Direct links Without Sizes!B2:B""))),XLOOKUP($B442,IMPORTRANGE(""1NK5L1mviMn0j3D3uo53ASkIZOFRlLnqaCTnwzOG2_Wg"",""Direct li"&amp;"nks Without Sizes!D2:D""),IMPORTRANGE(""1NK5L1mviMn0j3D3uo53ASkIZOFRlLnqaCTnwzOG2_Wg"",""Direct links Without Sizes!E2:E""))),"""")"),"")</f>
        <v/>
      </c>
      <c r="H442" s="41"/>
      <c r="I442" s="4"/>
      <c r="J442" s="4"/>
      <c r="K442" s="10" t="str">
        <f t="shared" si="1"/>
        <v/>
      </c>
      <c r="L442" s="10"/>
      <c r="M442" s="10" t="str">
        <f t="shared" si="2"/>
        <v/>
      </c>
    </row>
    <row r="443">
      <c r="A443" s="4"/>
      <c r="B443" s="15"/>
      <c r="C443" s="7" t="str">
        <f>IFERROR(__xludf.DUMMYFUNCTION("iferror(iferror(INDEX(IMPORTRANGE(""12vtnxaE_Q1s4tyr10kZQx7ZF_xG0lBFae4jQEUtgsMU"",""All!B2:B""),MATCH($B443,IMPORTRANGE(""12vtnxaE_Q1s4tyr10kZQx7ZF_xG0lBFae4jQEUtgsMU"",""All!A2:A""),0)),INDEX(IMPORTRANGE(""13KC70HngS4DDi8y9E5khtSpQEPG6owaQ9z4E-tR5mnY"","&amp;"""Non-Food!B2:B""),MATCH($B443,IMPORTRANGE(""13KC70HngS4DDi8y9E5khtSpQEPG6owaQ9z4E-tR5mnY"",""Non-Food!A2:A""),0))),"""")"),"")</f>
        <v/>
      </c>
      <c r="D443" s="15"/>
      <c r="E443" s="15"/>
      <c r="F443" s="36"/>
      <c r="G443" s="24" t="str">
        <f>IFERROR(__xludf.DUMMYFUNCTION("iferror(iferror(iferror(index(IMPORTRANGE(""1NK5L1mviMn0j3D3uo53ASkIZOFRlLnqaCTnwzOG2_Wg"",""Direct Link!B2:B""),MATCH($B443,IMPORTRANGE(""1NK5L1mviMn0j3D3uo53ASkIZOFRlLnqaCTnwzOG2_Wg"",""Direct Link!A2:A""),0)),XLOOKUP($B443,IMPORTRANGE(""1NK5L1mviMn0j3D"&amp;"3uo53ASkIZOFRlLnqaCTnwzOG2_Wg"",""Direct links Without Sizes!A2:A""),IMPORTRANGE(""1NK5L1mviMn0j3D3uo53ASkIZOFRlLnqaCTnwzOG2_Wg"",""Direct links Without Sizes!B2:B""))),XLOOKUP($B443,IMPORTRANGE(""1NK5L1mviMn0j3D3uo53ASkIZOFRlLnqaCTnwzOG2_Wg"",""Direct li"&amp;"nks Without Sizes!D2:D""),IMPORTRANGE(""1NK5L1mviMn0j3D3uo53ASkIZOFRlLnqaCTnwzOG2_Wg"",""Direct links Without Sizes!E2:E""))),"""")"),"")</f>
        <v/>
      </c>
      <c r="H443" s="41"/>
      <c r="I443" s="4"/>
      <c r="J443" s="4"/>
      <c r="K443" s="10" t="str">
        <f t="shared" si="1"/>
        <v/>
      </c>
      <c r="L443" s="10"/>
      <c r="M443" s="10" t="str">
        <f t="shared" si="2"/>
        <v/>
      </c>
    </row>
    <row r="444">
      <c r="A444" s="4"/>
      <c r="B444" s="15"/>
      <c r="C444" s="7" t="str">
        <f>IFERROR(__xludf.DUMMYFUNCTION("iferror(iferror(INDEX(IMPORTRANGE(""12vtnxaE_Q1s4tyr10kZQx7ZF_xG0lBFae4jQEUtgsMU"",""All!B2:B""),MATCH($B444,IMPORTRANGE(""12vtnxaE_Q1s4tyr10kZQx7ZF_xG0lBFae4jQEUtgsMU"",""All!A2:A""),0)),INDEX(IMPORTRANGE(""13KC70HngS4DDi8y9E5khtSpQEPG6owaQ9z4E-tR5mnY"","&amp;"""Non-Food!B2:B""),MATCH($B444,IMPORTRANGE(""13KC70HngS4DDi8y9E5khtSpQEPG6owaQ9z4E-tR5mnY"",""Non-Food!A2:A""),0))),"""")"),"")</f>
        <v/>
      </c>
      <c r="D444" s="15"/>
      <c r="E444" s="15"/>
      <c r="F444" s="36"/>
      <c r="G444" s="24" t="str">
        <f>IFERROR(__xludf.DUMMYFUNCTION("iferror(iferror(iferror(index(IMPORTRANGE(""1NK5L1mviMn0j3D3uo53ASkIZOFRlLnqaCTnwzOG2_Wg"",""Direct Link!B2:B""),MATCH($B444,IMPORTRANGE(""1NK5L1mviMn0j3D3uo53ASkIZOFRlLnqaCTnwzOG2_Wg"",""Direct Link!A2:A""),0)),XLOOKUP($B444,IMPORTRANGE(""1NK5L1mviMn0j3D"&amp;"3uo53ASkIZOFRlLnqaCTnwzOG2_Wg"",""Direct links Without Sizes!A2:A""),IMPORTRANGE(""1NK5L1mviMn0j3D3uo53ASkIZOFRlLnqaCTnwzOG2_Wg"",""Direct links Without Sizes!B2:B""))),XLOOKUP($B444,IMPORTRANGE(""1NK5L1mviMn0j3D3uo53ASkIZOFRlLnqaCTnwzOG2_Wg"",""Direct li"&amp;"nks Without Sizes!D2:D""),IMPORTRANGE(""1NK5L1mviMn0j3D3uo53ASkIZOFRlLnqaCTnwzOG2_Wg"",""Direct links Without Sizes!E2:E""))),"""")"),"")</f>
        <v/>
      </c>
      <c r="H444" s="41"/>
      <c r="I444" s="4"/>
      <c r="J444" s="4"/>
      <c r="K444" s="10" t="str">
        <f t="shared" si="1"/>
        <v/>
      </c>
      <c r="L444" s="10"/>
      <c r="M444" s="10" t="str">
        <f t="shared" si="2"/>
        <v/>
      </c>
    </row>
    <row r="445">
      <c r="A445" s="4"/>
      <c r="B445" s="15"/>
      <c r="C445" s="7" t="str">
        <f>IFERROR(__xludf.DUMMYFUNCTION("iferror(iferror(INDEX(IMPORTRANGE(""12vtnxaE_Q1s4tyr10kZQx7ZF_xG0lBFae4jQEUtgsMU"",""All!B2:B""),MATCH($B445,IMPORTRANGE(""12vtnxaE_Q1s4tyr10kZQx7ZF_xG0lBFae4jQEUtgsMU"",""All!A2:A""),0)),INDEX(IMPORTRANGE(""13KC70HngS4DDi8y9E5khtSpQEPG6owaQ9z4E-tR5mnY"","&amp;"""Non-Food!B2:B""),MATCH($B445,IMPORTRANGE(""13KC70HngS4DDi8y9E5khtSpQEPG6owaQ9z4E-tR5mnY"",""Non-Food!A2:A""),0))),"""")"),"")</f>
        <v/>
      </c>
      <c r="D445" s="15"/>
      <c r="E445" s="15"/>
      <c r="F445" s="36"/>
      <c r="G445" s="24" t="str">
        <f>IFERROR(__xludf.DUMMYFUNCTION("iferror(iferror(iferror(index(IMPORTRANGE(""1NK5L1mviMn0j3D3uo53ASkIZOFRlLnqaCTnwzOG2_Wg"",""Direct Link!B2:B""),MATCH($B445,IMPORTRANGE(""1NK5L1mviMn0j3D3uo53ASkIZOFRlLnqaCTnwzOG2_Wg"",""Direct Link!A2:A""),0)),XLOOKUP($B445,IMPORTRANGE(""1NK5L1mviMn0j3D"&amp;"3uo53ASkIZOFRlLnqaCTnwzOG2_Wg"",""Direct links Without Sizes!A2:A""),IMPORTRANGE(""1NK5L1mviMn0j3D3uo53ASkIZOFRlLnqaCTnwzOG2_Wg"",""Direct links Without Sizes!B2:B""))),XLOOKUP($B445,IMPORTRANGE(""1NK5L1mviMn0j3D3uo53ASkIZOFRlLnqaCTnwzOG2_Wg"",""Direct li"&amp;"nks Without Sizes!D2:D""),IMPORTRANGE(""1NK5L1mviMn0j3D3uo53ASkIZOFRlLnqaCTnwzOG2_Wg"",""Direct links Without Sizes!E2:E""))),"""")"),"")</f>
        <v/>
      </c>
      <c r="H445" s="41"/>
      <c r="I445" s="4"/>
      <c r="J445" s="4"/>
      <c r="K445" s="10" t="str">
        <f t="shared" si="1"/>
        <v/>
      </c>
      <c r="L445" s="10"/>
      <c r="M445" s="10" t="str">
        <f t="shared" si="2"/>
        <v/>
      </c>
    </row>
    <row r="446">
      <c r="A446" s="4"/>
      <c r="B446" s="15"/>
      <c r="C446" s="7" t="str">
        <f>IFERROR(__xludf.DUMMYFUNCTION("iferror(iferror(INDEX(IMPORTRANGE(""12vtnxaE_Q1s4tyr10kZQx7ZF_xG0lBFae4jQEUtgsMU"",""All!B2:B""),MATCH($B446,IMPORTRANGE(""12vtnxaE_Q1s4tyr10kZQx7ZF_xG0lBFae4jQEUtgsMU"",""All!A2:A""),0)),INDEX(IMPORTRANGE(""13KC70HngS4DDi8y9E5khtSpQEPG6owaQ9z4E-tR5mnY"","&amp;"""Non-Food!B2:B""),MATCH($B446,IMPORTRANGE(""13KC70HngS4DDi8y9E5khtSpQEPG6owaQ9z4E-tR5mnY"",""Non-Food!A2:A""),0))),"""")"),"")</f>
        <v/>
      </c>
      <c r="D446" s="15"/>
      <c r="E446" s="15"/>
      <c r="F446" s="36"/>
      <c r="G446" s="24" t="str">
        <f>IFERROR(__xludf.DUMMYFUNCTION("iferror(iferror(iferror(index(IMPORTRANGE(""1NK5L1mviMn0j3D3uo53ASkIZOFRlLnqaCTnwzOG2_Wg"",""Direct Link!B2:B""),MATCH($B446,IMPORTRANGE(""1NK5L1mviMn0j3D3uo53ASkIZOFRlLnqaCTnwzOG2_Wg"",""Direct Link!A2:A""),0)),XLOOKUP($B446,IMPORTRANGE(""1NK5L1mviMn0j3D"&amp;"3uo53ASkIZOFRlLnqaCTnwzOG2_Wg"",""Direct links Without Sizes!A2:A""),IMPORTRANGE(""1NK5L1mviMn0j3D3uo53ASkIZOFRlLnqaCTnwzOG2_Wg"",""Direct links Without Sizes!B2:B""))),XLOOKUP($B446,IMPORTRANGE(""1NK5L1mviMn0j3D3uo53ASkIZOFRlLnqaCTnwzOG2_Wg"",""Direct li"&amp;"nks Without Sizes!D2:D""),IMPORTRANGE(""1NK5L1mviMn0j3D3uo53ASkIZOFRlLnqaCTnwzOG2_Wg"",""Direct links Without Sizes!E2:E""))),"""")"),"")</f>
        <v/>
      </c>
      <c r="H446" s="41"/>
      <c r="I446" s="4"/>
      <c r="J446" s="4"/>
      <c r="K446" s="10" t="str">
        <f t="shared" si="1"/>
        <v/>
      </c>
      <c r="L446" s="10"/>
      <c r="M446" s="10" t="str">
        <f t="shared" si="2"/>
        <v/>
      </c>
    </row>
    <row r="447">
      <c r="A447" s="4"/>
      <c r="B447" s="15"/>
      <c r="C447" s="7" t="str">
        <f>IFERROR(__xludf.DUMMYFUNCTION("iferror(iferror(INDEX(IMPORTRANGE(""12vtnxaE_Q1s4tyr10kZQx7ZF_xG0lBFae4jQEUtgsMU"",""All!B2:B""),MATCH($B447,IMPORTRANGE(""12vtnxaE_Q1s4tyr10kZQx7ZF_xG0lBFae4jQEUtgsMU"",""All!A2:A""),0)),INDEX(IMPORTRANGE(""13KC70HngS4DDi8y9E5khtSpQEPG6owaQ9z4E-tR5mnY"","&amp;"""Non-Food!B2:B""),MATCH($B447,IMPORTRANGE(""13KC70HngS4DDi8y9E5khtSpQEPG6owaQ9z4E-tR5mnY"",""Non-Food!A2:A""),0))),"""")"),"")</f>
        <v/>
      </c>
      <c r="D447" s="15"/>
      <c r="E447" s="15"/>
      <c r="F447" s="36"/>
      <c r="G447" s="24" t="str">
        <f>IFERROR(__xludf.DUMMYFUNCTION("iferror(iferror(iferror(index(IMPORTRANGE(""1NK5L1mviMn0j3D3uo53ASkIZOFRlLnqaCTnwzOG2_Wg"",""Direct Link!B2:B""),MATCH($B447,IMPORTRANGE(""1NK5L1mviMn0j3D3uo53ASkIZOFRlLnqaCTnwzOG2_Wg"",""Direct Link!A2:A""),0)),XLOOKUP($B447,IMPORTRANGE(""1NK5L1mviMn0j3D"&amp;"3uo53ASkIZOFRlLnqaCTnwzOG2_Wg"",""Direct links Without Sizes!A2:A""),IMPORTRANGE(""1NK5L1mviMn0j3D3uo53ASkIZOFRlLnqaCTnwzOG2_Wg"",""Direct links Without Sizes!B2:B""))),XLOOKUP($B447,IMPORTRANGE(""1NK5L1mviMn0j3D3uo53ASkIZOFRlLnqaCTnwzOG2_Wg"",""Direct li"&amp;"nks Without Sizes!D2:D""),IMPORTRANGE(""1NK5L1mviMn0j3D3uo53ASkIZOFRlLnqaCTnwzOG2_Wg"",""Direct links Without Sizes!E2:E""))),"""")"),"")</f>
        <v/>
      </c>
      <c r="H447" s="41"/>
      <c r="I447" s="4"/>
      <c r="J447" s="4"/>
      <c r="K447" s="10" t="str">
        <f t="shared" si="1"/>
        <v/>
      </c>
      <c r="L447" s="10"/>
      <c r="M447" s="10" t="str">
        <f t="shared" si="2"/>
        <v/>
      </c>
    </row>
    <row r="448">
      <c r="A448" s="4"/>
      <c r="B448" s="15"/>
      <c r="C448" s="7" t="str">
        <f>IFERROR(__xludf.DUMMYFUNCTION("iferror(iferror(INDEX(IMPORTRANGE(""12vtnxaE_Q1s4tyr10kZQx7ZF_xG0lBFae4jQEUtgsMU"",""All!B2:B""),MATCH($B448,IMPORTRANGE(""12vtnxaE_Q1s4tyr10kZQx7ZF_xG0lBFae4jQEUtgsMU"",""All!A2:A""),0)),INDEX(IMPORTRANGE(""13KC70HngS4DDi8y9E5khtSpQEPG6owaQ9z4E-tR5mnY"","&amp;"""Non-Food!B2:B""),MATCH($B448,IMPORTRANGE(""13KC70HngS4DDi8y9E5khtSpQEPG6owaQ9z4E-tR5mnY"",""Non-Food!A2:A""),0))),"""")"),"")</f>
        <v/>
      </c>
      <c r="D448" s="15"/>
      <c r="E448" s="15"/>
      <c r="F448" s="36"/>
      <c r="G448" s="24" t="str">
        <f>IFERROR(__xludf.DUMMYFUNCTION("iferror(iferror(iferror(index(IMPORTRANGE(""1NK5L1mviMn0j3D3uo53ASkIZOFRlLnqaCTnwzOG2_Wg"",""Direct Link!B2:B""),MATCH($B448,IMPORTRANGE(""1NK5L1mviMn0j3D3uo53ASkIZOFRlLnqaCTnwzOG2_Wg"",""Direct Link!A2:A""),0)),XLOOKUP($B448,IMPORTRANGE(""1NK5L1mviMn0j3D"&amp;"3uo53ASkIZOFRlLnqaCTnwzOG2_Wg"",""Direct links Without Sizes!A2:A""),IMPORTRANGE(""1NK5L1mviMn0j3D3uo53ASkIZOFRlLnqaCTnwzOG2_Wg"",""Direct links Without Sizes!B2:B""))),XLOOKUP($B448,IMPORTRANGE(""1NK5L1mviMn0j3D3uo53ASkIZOFRlLnqaCTnwzOG2_Wg"",""Direct li"&amp;"nks Without Sizes!D2:D""),IMPORTRANGE(""1NK5L1mviMn0j3D3uo53ASkIZOFRlLnqaCTnwzOG2_Wg"",""Direct links Without Sizes!E2:E""))),"""")"),"")</f>
        <v/>
      </c>
      <c r="H448" s="41"/>
      <c r="I448" s="4"/>
      <c r="J448" s="4"/>
      <c r="K448" s="10" t="str">
        <f t="shared" si="1"/>
        <v/>
      </c>
      <c r="L448" s="10"/>
      <c r="M448" s="10" t="str">
        <f t="shared" si="2"/>
        <v/>
      </c>
    </row>
    <row r="449">
      <c r="A449" s="4"/>
      <c r="B449" s="15"/>
      <c r="C449" s="7" t="str">
        <f>IFERROR(__xludf.DUMMYFUNCTION("iferror(iferror(INDEX(IMPORTRANGE(""12vtnxaE_Q1s4tyr10kZQx7ZF_xG0lBFae4jQEUtgsMU"",""All!B2:B""),MATCH($B449,IMPORTRANGE(""12vtnxaE_Q1s4tyr10kZQx7ZF_xG0lBFae4jQEUtgsMU"",""All!A2:A""),0)),INDEX(IMPORTRANGE(""13KC70HngS4DDi8y9E5khtSpQEPG6owaQ9z4E-tR5mnY"","&amp;"""Non-Food!B2:B""),MATCH($B449,IMPORTRANGE(""13KC70HngS4DDi8y9E5khtSpQEPG6owaQ9z4E-tR5mnY"",""Non-Food!A2:A""),0))),"""")"),"")</f>
        <v/>
      </c>
      <c r="D449" s="15"/>
      <c r="E449" s="15"/>
      <c r="F449" s="36"/>
      <c r="G449" s="24" t="str">
        <f>IFERROR(__xludf.DUMMYFUNCTION("iferror(iferror(iferror(index(IMPORTRANGE(""1NK5L1mviMn0j3D3uo53ASkIZOFRlLnqaCTnwzOG2_Wg"",""Direct Link!B2:B""),MATCH($B449,IMPORTRANGE(""1NK5L1mviMn0j3D3uo53ASkIZOFRlLnqaCTnwzOG2_Wg"",""Direct Link!A2:A""),0)),XLOOKUP($B449,IMPORTRANGE(""1NK5L1mviMn0j3D"&amp;"3uo53ASkIZOFRlLnqaCTnwzOG2_Wg"",""Direct links Without Sizes!A2:A""),IMPORTRANGE(""1NK5L1mviMn0j3D3uo53ASkIZOFRlLnqaCTnwzOG2_Wg"",""Direct links Without Sizes!B2:B""))),XLOOKUP($B449,IMPORTRANGE(""1NK5L1mviMn0j3D3uo53ASkIZOFRlLnqaCTnwzOG2_Wg"",""Direct li"&amp;"nks Without Sizes!D2:D""),IMPORTRANGE(""1NK5L1mviMn0j3D3uo53ASkIZOFRlLnqaCTnwzOG2_Wg"",""Direct links Without Sizes!E2:E""))),"""")"),"")</f>
        <v/>
      </c>
      <c r="H449" s="41"/>
      <c r="I449" s="4"/>
      <c r="J449" s="4"/>
      <c r="K449" s="10" t="str">
        <f t="shared" si="1"/>
        <v/>
      </c>
      <c r="L449" s="10"/>
      <c r="M449" s="10" t="str">
        <f t="shared" si="2"/>
        <v/>
      </c>
    </row>
    <row r="450">
      <c r="A450" s="4"/>
      <c r="B450" s="15"/>
      <c r="C450" s="7" t="str">
        <f>IFERROR(__xludf.DUMMYFUNCTION("iferror(iferror(INDEX(IMPORTRANGE(""12vtnxaE_Q1s4tyr10kZQx7ZF_xG0lBFae4jQEUtgsMU"",""All!B2:B""),MATCH($B450,IMPORTRANGE(""12vtnxaE_Q1s4tyr10kZQx7ZF_xG0lBFae4jQEUtgsMU"",""All!A2:A""),0)),INDEX(IMPORTRANGE(""13KC70HngS4DDi8y9E5khtSpQEPG6owaQ9z4E-tR5mnY"","&amp;"""Non-Food!B2:B""),MATCH($B450,IMPORTRANGE(""13KC70HngS4DDi8y9E5khtSpQEPG6owaQ9z4E-tR5mnY"",""Non-Food!A2:A""),0))),"""")"),"")</f>
        <v/>
      </c>
      <c r="D450" s="15"/>
      <c r="E450" s="15"/>
      <c r="F450" s="36"/>
      <c r="G450" s="24" t="str">
        <f>IFERROR(__xludf.DUMMYFUNCTION("iferror(iferror(iferror(index(IMPORTRANGE(""1NK5L1mviMn0j3D3uo53ASkIZOFRlLnqaCTnwzOG2_Wg"",""Direct Link!B2:B""),MATCH($B450,IMPORTRANGE(""1NK5L1mviMn0j3D3uo53ASkIZOFRlLnqaCTnwzOG2_Wg"",""Direct Link!A2:A""),0)),XLOOKUP($B450,IMPORTRANGE(""1NK5L1mviMn0j3D"&amp;"3uo53ASkIZOFRlLnqaCTnwzOG2_Wg"",""Direct links Without Sizes!A2:A""),IMPORTRANGE(""1NK5L1mviMn0j3D3uo53ASkIZOFRlLnqaCTnwzOG2_Wg"",""Direct links Without Sizes!B2:B""))),XLOOKUP($B450,IMPORTRANGE(""1NK5L1mviMn0j3D3uo53ASkIZOFRlLnqaCTnwzOG2_Wg"",""Direct li"&amp;"nks Without Sizes!D2:D""),IMPORTRANGE(""1NK5L1mviMn0j3D3uo53ASkIZOFRlLnqaCTnwzOG2_Wg"",""Direct links Without Sizes!E2:E""))),"""")"),"")</f>
        <v/>
      </c>
      <c r="H450" s="41"/>
      <c r="I450" s="4"/>
      <c r="J450" s="4"/>
      <c r="K450" s="10" t="str">
        <f t="shared" si="1"/>
        <v/>
      </c>
      <c r="L450" s="10"/>
      <c r="M450" s="10" t="str">
        <f t="shared" si="2"/>
        <v/>
      </c>
    </row>
    <row r="451">
      <c r="A451" s="4"/>
      <c r="B451" s="15"/>
      <c r="C451" s="7" t="str">
        <f>IFERROR(__xludf.DUMMYFUNCTION("iferror(iferror(INDEX(IMPORTRANGE(""12vtnxaE_Q1s4tyr10kZQx7ZF_xG0lBFae4jQEUtgsMU"",""All!B2:B""),MATCH($B451,IMPORTRANGE(""12vtnxaE_Q1s4tyr10kZQx7ZF_xG0lBFae4jQEUtgsMU"",""All!A2:A""),0)),INDEX(IMPORTRANGE(""13KC70HngS4DDi8y9E5khtSpQEPG6owaQ9z4E-tR5mnY"","&amp;"""Non-Food!B2:B""),MATCH($B451,IMPORTRANGE(""13KC70HngS4DDi8y9E5khtSpQEPG6owaQ9z4E-tR5mnY"",""Non-Food!A2:A""),0))),"""")"),"")</f>
        <v/>
      </c>
      <c r="D451" s="15"/>
      <c r="E451" s="15"/>
      <c r="F451" s="36"/>
      <c r="G451" s="24" t="str">
        <f>IFERROR(__xludf.DUMMYFUNCTION("iferror(iferror(iferror(index(IMPORTRANGE(""1NK5L1mviMn0j3D3uo53ASkIZOFRlLnqaCTnwzOG2_Wg"",""Direct Link!B2:B""),MATCH($B451,IMPORTRANGE(""1NK5L1mviMn0j3D3uo53ASkIZOFRlLnqaCTnwzOG2_Wg"",""Direct Link!A2:A""),0)),XLOOKUP($B451,IMPORTRANGE(""1NK5L1mviMn0j3D"&amp;"3uo53ASkIZOFRlLnqaCTnwzOG2_Wg"",""Direct links Without Sizes!A2:A""),IMPORTRANGE(""1NK5L1mviMn0j3D3uo53ASkIZOFRlLnqaCTnwzOG2_Wg"",""Direct links Without Sizes!B2:B""))),XLOOKUP($B451,IMPORTRANGE(""1NK5L1mviMn0j3D3uo53ASkIZOFRlLnqaCTnwzOG2_Wg"",""Direct li"&amp;"nks Without Sizes!D2:D""),IMPORTRANGE(""1NK5L1mviMn0j3D3uo53ASkIZOFRlLnqaCTnwzOG2_Wg"",""Direct links Without Sizes!E2:E""))),"""")"),"")</f>
        <v/>
      </c>
      <c r="H451" s="41"/>
      <c r="I451" s="4"/>
      <c r="J451" s="4"/>
      <c r="K451" s="10" t="str">
        <f t="shared" si="1"/>
        <v/>
      </c>
      <c r="L451" s="10"/>
      <c r="M451" s="10" t="str">
        <f t="shared" si="2"/>
        <v/>
      </c>
    </row>
    <row r="452">
      <c r="A452" s="4"/>
      <c r="B452" s="15"/>
      <c r="C452" s="7" t="str">
        <f>IFERROR(__xludf.DUMMYFUNCTION("iferror(iferror(INDEX(IMPORTRANGE(""12vtnxaE_Q1s4tyr10kZQx7ZF_xG0lBFae4jQEUtgsMU"",""All!B2:B""),MATCH($B452,IMPORTRANGE(""12vtnxaE_Q1s4tyr10kZQx7ZF_xG0lBFae4jQEUtgsMU"",""All!A2:A""),0)),INDEX(IMPORTRANGE(""13KC70HngS4DDi8y9E5khtSpQEPG6owaQ9z4E-tR5mnY"","&amp;"""Non-Food!B2:B""),MATCH($B452,IMPORTRANGE(""13KC70HngS4DDi8y9E5khtSpQEPG6owaQ9z4E-tR5mnY"",""Non-Food!A2:A""),0))),"""")"),"")</f>
        <v/>
      </c>
      <c r="D452" s="15"/>
      <c r="E452" s="15"/>
      <c r="F452" s="36"/>
      <c r="G452" s="24" t="str">
        <f>IFERROR(__xludf.DUMMYFUNCTION("iferror(iferror(iferror(index(IMPORTRANGE(""1NK5L1mviMn0j3D3uo53ASkIZOFRlLnqaCTnwzOG2_Wg"",""Direct Link!B2:B""),MATCH($B452,IMPORTRANGE(""1NK5L1mviMn0j3D3uo53ASkIZOFRlLnqaCTnwzOG2_Wg"",""Direct Link!A2:A""),0)),XLOOKUP($B452,IMPORTRANGE(""1NK5L1mviMn0j3D"&amp;"3uo53ASkIZOFRlLnqaCTnwzOG2_Wg"",""Direct links Without Sizes!A2:A""),IMPORTRANGE(""1NK5L1mviMn0j3D3uo53ASkIZOFRlLnqaCTnwzOG2_Wg"",""Direct links Without Sizes!B2:B""))),XLOOKUP($B452,IMPORTRANGE(""1NK5L1mviMn0j3D3uo53ASkIZOFRlLnqaCTnwzOG2_Wg"",""Direct li"&amp;"nks Without Sizes!D2:D""),IMPORTRANGE(""1NK5L1mviMn0j3D3uo53ASkIZOFRlLnqaCTnwzOG2_Wg"",""Direct links Without Sizes!E2:E""))),"""")"),"")</f>
        <v/>
      </c>
      <c r="H452" s="41"/>
      <c r="I452" s="4"/>
      <c r="J452" s="4"/>
      <c r="K452" s="10" t="str">
        <f t="shared" si="1"/>
        <v/>
      </c>
      <c r="L452" s="10"/>
      <c r="M452" s="10" t="str">
        <f t="shared" si="2"/>
        <v/>
      </c>
    </row>
    <row r="453">
      <c r="A453" s="4"/>
      <c r="B453" s="15"/>
      <c r="C453" s="7" t="str">
        <f>IFERROR(__xludf.DUMMYFUNCTION("iferror(iferror(INDEX(IMPORTRANGE(""12vtnxaE_Q1s4tyr10kZQx7ZF_xG0lBFae4jQEUtgsMU"",""All!B2:B""),MATCH($B453,IMPORTRANGE(""12vtnxaE_Q1s4tyr10kZQx7ZF_xG0lBFae4jQEUtgsMU"",""All!A2:A""),0)),INDEX(IMPORTRANGE(""13KC70HngS4DDi8y9E5khtSpQEPG6owaQ9z4E-tR5mnY"","&amp;"""Non-Food!B2:B""),MATCH($B453,IMPORTRANGE(""13KC70HngS4DDi8y9E5khtSpQEPG6owaQ9z4E-tR5mnY"",""Non-Food!A2:A""),0))),"""")"),"")</f>
        <v/>
      </c>
      <c r="D453" s="15"/>
      <c r="E453" s="15"/>
      <c r="F453" s="36"/>
      <c r="G453" s="24" t="str">
        <f>IFERROR(__xludf.DUMMYFUNCTION("iferror(iferror(iferror(index(IMPORTRANGE(""1NK5L1mviMn0j3D3uo53ASkIZOFRlLnqaCTnwzOG2_Wg"",""Direct Link!B2:B""),MATCH($B453,IMPORTRANGE(""1NK5L1mviMn0j3D3uo53ASkIZOFRlLnqaCTnwzOG2_Wg"",""Direct Link!A2:A""),0)),XLOOKUP($B453,IMPORTRANGE(""1NK5L1mviMn0j3D"&amp;"3uo53ASkIZOFRlLnqaCTnwzOG2_Wg"",""Direct links Without Sizes!A2:A""),IMPORTRANGE(""1NK5L1mviMn0j3D3uo53ASkIZOFRlLnqaCTnwzOG2_Wg"",""Direct links Without Sizes!B2:B""))),XLOOKUP($B453,IMPORTRANGE(""1NK5L1mviMn0j3D3uo53ASkIZOFRlLnqaCTnwzOG2_Wg"",""Direct li"&amp;"nks Without Sizes!D2:D""),IMPORTRANGE(""1NK5L1mviMn0j3D3uo53ASkIZOFRlLnqaCTnwzOG2_Wg"",""Direct links Without Sizes!E2:E""))),"""")"),"")</f>
        <v/>
      </c>
      <c r="H453" s="41"/>
      <c r="I453" s="4"/>
      <c r="J453" s="4"/>
      <c r="K453" s="10" t="str">
        <f t="shared" si="1"/>
        <v/>
      </c>
      <c r="L453" s="10"/>
      <c r="M453" s="10" t="str">
        <f t="shared" si="2"/>
        <v/>
      </c>
    </row>
    <row r="454">
      <c r="A454" s="4"/>
      <c r="B454" s="15"/>
      <c r="C454" s="7" t="str">
        <f>IFERROR(__xludf.DUMMYFUNCTION("iferror(iferror(INDEX(IMPORTRANGE(""12vtnxaE_Q1s4tyr10kZQx7ZF_xG0lBFae4jQEUtgsMU"",""All!B2:B""),MATCH($B454,IMPORTRANGE(""12vtnxaE_Q1s4tyr10kZQx7ZF_xG0lBFae4jQEUtgsMU"",""All!A2:A""),0)),INDEX(IMPORTRANGE(""13KC70HngS4DDi8y9E5khtSpQEPG6owaQ9z4E-tR5mnY"","&amp;"""Non-Food!B2:B""),MATCH($B454,IMPORTRANGE(""13KC70HngS4DDi8y9E5khtSpQEPG6owaQ9z4E-tR5mnY"",""Non-Food!A2:A""),0))),"""")"),"")</f>
        <v/>
      </c>
      <c r="D454" s="15"/>
      <c r="E454" s="15"/>
      <c r="F454" s="36"/>
      <c r="G454" s="24" t="str">
        <f>IFERROR(__xludf.DUMMYFUNCTION("iferror(iferror(iferror(index(IMPORTRANGE(""1NK5L1mviMn0j3D3uo53ASkIZOFRlLnqaCTnwzOG2_Wg"",""Direct Link!B2:B""),MATCH($B454,IMPORTRANGE(""1NK5L1mviMn0j3D3uo53ASkIZOFRlLnqaCTnwzOG2_Wg"",""Direct Link!A2:A""),0)),XLOOKUP($B454,IMPORTRANGE(""1NK5L1mviMn0j3D"&amp;"3uo53ASkIZOFRlLnqaCTnwzOG2_Wg"",""Direct links Without Sizes!A2:A""),IMPORTRANGE(""1NK5L1mviMn0j3D3uo53ASkIZOFRlLnqaCTnwzOG2_Wg"",""Direct links Without Sizes!B2:B""))),XLOOKUP($B454,IMPORTRANGE(""1NK5L1mviMn0j3D3uo53ASkIZOFRlLnqaCTnwzOG2_Wg"",""Direct li"&amp;"nks Without Sizes!D2:D""),IMPORTRANGE(""1NK5L1mviMn0j3D3uo53ASkIZOFRlLnqaCTnwzOG2_Wg"",""Direct links Without Sizes!E2:E""))),"""")"),"")</f>
        <v/>
      </c>
      <c r="H454" s="41"/>
      <c r="I454" s="4"/>
      <c r="J454" s="4"/>
      <c r="K454" s="10" t="str">
        <f t="shared" si="1"/>
        <v/>
      </c>
      <c r="L454" s="10"/>
      <c r="M454" s="10" t="str">
        <f t="shared" si="2"/>
        <v/>
      </c>
    </row>
    <row r="455">
      <c r="A455" s="4"/>
      <c r="B455" s="15"/>
      <c r="C455" s="7" t="str">
        <f>IFERROR(__xludf.DUMMYFUNCTION("iferror(iferror(INDEX(IMPORTRANGE(""12vtnxaE_Q1s4tyr10kZQx7ZF_xG0lBFae4jQEUtgsMU"",""All!B2:B""),MATCH($B455,IMPORTRANGE(""12vtnxaE_Q1s4tyr10kZQx7ZF_xG0lBFae4jQEUtgsMU"",""All!A2:A""),0)),INDEX(IMPORTRANGE(""13KC70HngS4DDi8y9E5khtSpQEPG6owaQ9z4E-tR5mnY"","&amp;"""Non-Food!B2:B""),MATCH($B455,IMPORTRANGE(""13KC70HngS4DDi8y9E5khtSpQEPG6owaQ9z4E-tR5mnY"",""Non-Food!A2:A""),0))),"""")"),"")</f>
        <v/>
      </c>
      <c r="D455" s="15"/>
      <c r="E455" s="15"/>
      <c r="F455" s="36"/>
      <c r="G455" s="24" t="str">
        <f>IFERROR(__xludf.DUMMYFUNCTION("iferror(iferror(iferror(index(IMPORTRANGE(""1NK5L1mviMn0j3D3uo53ASkIZOFRlLnqaCTnwzOG2_Wg"",""Direct Link!B2:B""),MATCH($B455,IMPORTRANGE(""1NK5L1mviMn0j3D3uo53ASkIZOFRlLnqaCTnwzOG2_Wg"",""Direct Link!A2:A""),0)),XLOOKUP($B455,IMPORTRANGE(""1NK5L1mviMn0j3D"&amp;"3uo53ASkIZOFRlLnqaCTnwzOG2_Wg"",""Direct links Without Sizes!A2:A""),IMPORTRANGE(""1NK5L1mviMn0j3D3uo53ASkIZOFRlLnqaCTnwzOG2_Wg"",""Direct links Without Sizes!B2:B""))),XLOOKUP($B455,IMPORTRANGE(""1NK5L1mviMn0j3D3uo53ASkIZOFRlLnqaCTnwzOG2_Wg"",""Direct li"&amp;"nks Without Sizes!D2:D""),IMPORTRANGE(""1NK5L1mviMn0j3D3uo53ASkIZOFRlLnqaCTnwzOG2_Wg"",""Direct links Without Sizes!E2:E""))),"""")"),"")</f>
        <v/>
      </c>
      <c r="H455" s="41"/>
      <c r="I455" s="4"/>
      <c r="J455" s="4"/>
      <c r="K455" s="10" t="str">
        <f t="shared" si="1"/>
        <v/>
      </c>
      <c r="L455" s="10"/>
      <c r="M455" s="10" t="str">
        <f t="shared" si="2"/>
        <v/>
      </c>
    </row>
    <row r="456">
      <c r="A456" s="4"/>
      <c r="B456" s="15"/>
      <c r="C456" s="7" t="str">
        <f>IFERROR(__xludf.DUMMYFUNCTION("iferror(iferror(INDEX(IMPORTRANGE(""12vtnxaE_Q1s4tyr10kZQx7ZF_xG0lBFae4jQEUtgsMU"",""All!B2:B""),MATCH($B456,IMPORTRANGE(""12vtnxaE_Q1s4tyr10kZQx7ZF_xG0lBFae4jQEUtgsMU"",""All!A2:A""),0)),INDEX(IMPORTRANGE(""13KC70HngS4DDi8y9E5khtSpQEPG6owaQ9z4E-tR5mnY"","&amp;"""Non-Food!B2:B""),MATCH($B456,IMPORTRANGE(""13KC70HngS4DDi8y9E5khtSpQEPG6owaQ9z4E-tR5mnY"",""Non-Food!A2:A""),0))),"""")"),"")</f>
        <v/>
      </c>
      <c r="D456" s="15"/>
      <c r="E456" s="15"/>
      <c r="F456" s="36"/>
      <c r="G456" s="24" t="str">
        <f>IFERROR(__xludf.DUMMYFUNCTION("iferror(iferror(iferror(index(IMPORTRANGE(""1NK5L1mviMn0j3D3uo53ASkIZOFRlLnqaCTnwzOG2_Wg"",""Direct Link!B2:B""),MATCH($B456,IMPORTRANGE(""1NK5L1mviMn0j3D3uo53ASkIZOFRlLnqaCTnwzOG2_Wg"",""Direct Link!A2:A""),0)),XLOOKUP($B456,IMPORTRANGE(""1NK5L1mviMn0j3D"&amp;"3uo53ASkIZOFRlLnqaCTnwzOG2_Wg"",""Direct links Without Sizes!A2:A""),IMPORTRANGE(""1NK5L1mviMn0j3D3uo53ASkIZOFRlLnqaCTnwzOG2_Wg"",""Direct links Without Sizes!B2:B""))),XLOOKUP($B456,IMPORTRANGE(""1NK5L1mviMn0j3D3uo53ASkIZOFRlLnqaCTnwzOG2_Wg"",""Direct li"&amp;"nks Without Sizes!D2:D""),IMPORTRANGE(""1NK5L1mviMn0j3D3uo53ASkIZOFRlLnqaCTnwzOG2_Wg"",""Direct links Without Sizes!E2:E""))),"""")"),"")</f>
        <v/>
      </c>
      <c r="H456" s="41"/>
      <c r="I456" s="4"/>
      <c r="J456" s="4"/>
      <c r="K456" s="10" t="str">
        <f t="shared" si="1"/>
        <v/>
      </c>
      <c r="L456" s="10"/>
      <c r="M456" s="10" t="str">
        <f t="shared" si="2"/>
        <v/>
      </c>
    </row>
    <row r="457">
      <c r="A457" s="4"/>
      <c r="B457" s="15"/>
      <c r="C457" s="7" t="str">
        <f>IFERROR(__xludf.DUMMYFUNCTION("iferror(iferror(INDEX(IMPORTRANGE(""12vtnxaE_Q1s4tyr10kZQx7ZF_xG0lBFae4jQEUtgsMU"",""All!B2:B""),MATCH($B457,IMPORTRANGE(""12vtnxaE_Q1s4tyr10kZQx7ZF_xG0lBFae4jQEUtgsMU"",""All!A2:A""),0)),INDEX(IMPORTRANGE(""13KC70HngS4DDi8y9E5khtSpQEPG6owaQ9z4E-tR5mnY"","&amp;"""Non-Food!B2:B""),MATCH($B457,IMPORTRANGE(""13KC70HngS4DDi8y9E5khtSpQEPG6owaQ9z4E-tR5mnY"",""Non-Food!A2:A""),0))),"""")"),"")</f>
        <v/>
      </c>
      <c r="D457" s="15"/>
      <c r="E457" s="15"/>
      <c r="F457" s="36"/>
      <c r="G457" s="24" t="str">
        <f>IFERROR(__xludf.DUMMYFUNCTION("iferror(iferror(iferror(index(IMPORTRANGE(""1NK5L1mviMn0j3D3uo53ASkIZOFRlLnqaCTnwzOG2_Wg"",""Direct Link!B2:B""),MATCH($B457,IMPORTRANGE(""1NK5L1mviMn0j3D3uo53ASkIZOFRlLnqaCTnwzOG2_Wg"",""Direct Link!A2:A""),0)),XLOOKUP($B457,IMPORTRANGE(""1NK5L1mviMn0j3D"&amp;"3uo53ASkIZOFRlLnqaCTnwzOG2_Wg"",""Direct links Without Sizes!A2:A""),IMPORTRANGE(""1NK5L1mviMn0j3D3uo53ASkIZOFRlLnqaCTnwzOG2_Wg"",""Direct links Without Sizes!B2:B""))),XLOOKUP($B457,IMPORTRANGE(""1NK5L1mviMn0j3D3uo53ASkIZOFRlLnqaCTnwzOG2_Wg"",""Direct li"&amp;"nks Without Sizes!D2:D""),IMPORTRANGE(""1NK5L1mviMn0j3D3uo53ASkIZOFRlLnqaCTnwzOG2_Wg"",""Direct links Without Sizes!E2:E""))),"""")"),"")</f>
        <v/>
      </c>
      <c r="H457" s="41"/>
      <c r="I457" s="4"/>
      <c r="J457" s="4"/>
      <c r="K457" s="10" t="str">
        <f t="shared" si="1"/>
        <v/>
      </c>
      <c r="L457" s="10"/>
      <c r="M457" s="10" t="str">
        <f t="shared" si="2"/>
        <v/>
      </c>
    </row>
    <row r="458">
      <c r="A458" s="4"/>
      <c r="B458" s="15"/>
      <c r="C458" s="7" t="str">
        <f>IFERROR(__xludf.DUMMYFUNCTION("iferror(iferror(INDEX(IMPORTRANGE(""12vtnxaE_Q1s4tyr10kZQx7ZF_xG0lBFae4jQEUtgsMU"",""All!B2:B""),MATCH($B458,IMPORTRANGE(""12vtnxaE_Q1s4tyr10kZQx7ZF_xG0lBFae4jQEUtgsMU"",""All!A2:A""),0)),INDEX(IMPORTRANGE(""13KC70HngS4DDi8y9E5khtSpQEPG6owaQ9z4E-tR5mnY"","&amp;"""Non-Food!B2:B""),MATCH($B458,IMPORTRANGE(""13KC70HngS4DDi8y9E5khtSpQEPG6owaQ9z4E-tR5mnY"",""Non-Food!A2:A""),0))),"""")"),"")</f>
        <v/>
      </c>
      <c r="D458" s="15"/>
      <c r="E458" s="15"/>
      <c r="F458" s="36"/>
      <c r="G458" s="24" t="str">
        <f>IFERROR(__xludf.DUMMYFUNCTION("iferror(iferror(iferror(index(IMPORTRANGE(""1NK5L1mviMn0j3D3uo53ASkIZOFRlLnqaCTnwzOG2_Wg"",""Direct Link!B2:B""),MATCH($B458,IMPORTRANGE(""1NK5L1mviMn0j3D3uo53ASkIZOFRlLnqaCTnwzOG2_Wg"",""Direct Link!A2:A""),0)),XLOOKUP($B458,IMPORTRANGE(""1NK5L1mviMn0j3D"&amp;"3uo53ASkIZOFRlLnqaCTnwzOG2_Wg"",""Direct links Without Sizes!A2:A""),IMPORTRANGE(""1NK5L1mviMn0j3D3uo53ASkIZOFRlLnqaCTnwzOG2_Wg"",""Direct links Without Sizes!B2:B""))),XLOOKUP($B458,IMPORTRANGE(""1NK5L1mviMn0j3D3uo53ASkIZOFRlLnqaCTnwzOG2_Wg"",""Direct li"&amp;"nks Without Sizes!D2:D""),IMPORTRANGE(""1NK5L1mviMn0j3D3uo53ASkIZOFRlLnqaCTnwzOG2_Wg"",""Direct links Without Sizes!E2:E""))),"""")"),"")</f>
        <v/>
      </c>
      <c r="H458" s="41"/>
      <c r="I458" s="4"/>
      <c r="J458" s="4"/>
      <c r="K458" s="10" t="str">
        <f t="shared" si="1"/>
        <v/>
      </c>
      <c r="L458" s="10"/>
      <c r="M458" s="10" t="str">
        <f t="shared" si="2"/>
        <v/>
      </c>
    </row>
    <row r="459">
      <c r="A459" s="4"/>
      <c r="B459" s="15"/>
      <c r="C459" s="7" t="str">
        <f>IFERROR(__xludf.DUMMYFUNCTION("iferror(iferror(INDEX(IMPORTRANGE(""12vtnxaE_Q1s4tyr10kZQx7ZF_xG0lBFae4jQEUtgsMU"",""All!B2:B""),MATCH($B459,IMPORTRANGE(""12vtnxaE_Q1s4tyr10kZQx7ZF_xG0lBFae4jQEUtgsMU"",""All!A2:A""),0)),INDEX(IMPORTRANGE(""13KC70HngS4DDi8y9E5khtSpQEPG6owaQ9z4E-tR5mnY"","&amp;"""Non-Food!B2:B""),MATCH($B459,IMPORTRANGE(""13KC70HngS4DDi8y9E5khtSpQEPG6owaQ9z4E-tR5mnY"",""Non-Food!A2:A""),0))),"""")"),"")</f>
        <v/>
      </c>
      <c r="D459" s="15"/>
      <c r="E459" s="15"/>
      <c r="F459" s="36"/>
      <c r="G459" s="24" t="str">
        <f>IFERROR(__xludf.DUMMYFUNCTION("iferror(iferror(iferror(index(IMPORTRANGE(""1NK5L1mviMn0j3D3uo53ASkIZOFRlLnqaCTnwzOG2_Wg"",""Direct Link!B2:B""),MATCH($B459,IMPORTRANGE(""1NK5L1mviMn0j3D3uo53ASkIZOFRlLnqaCTnwzOG2_Wg"",""Direct Link!A2:A""),0)),XLOOKUP($B459,IMPORTRANGE(""1NK5L1mviMn0j3D"&amp;"3uo53ASkIZOFRlLnqaCTnwzOG2_Wg"",""Direct links Without Sizes!A2:A""),IMPORTRANGE(""1NK5L1mviMn0j3D3uo53ASkIZOFRlLnqaCTnwzOG2_Wg"",""Direct links Without Sizes!B2:B""))),XLOOKUP($B459,IMPORTRANGE(""1NK5L1mviMn0j3D3uo53ASkIZOFRlLnqaCTnwzOG2_Wg"",""Direct li"&amp;"nks Without Sizes!D2:D""),IMPORTRANGE(""1NK5L1mviMn0j3D3uo53ASkIZOFRlLnqaCTnwzOG2_Wg"",""Direct links Without Sizes!E2:E""))),"""")"),"")</f>
        <v/>
      </c>
      <c r="H459" s="41"/>
      <c r="I459" s="4"/>
      <c r="J459" s="4"/>
      <c r="K459" s="10" t="str">
        <f t="shared" si="1"/>
        <v/>
      </c>
      <c r="L459" s="10"/>
      <c r="M459" s="10" t="str">
        <f t="shared" si="2"/>
        <v/>
      </c>
    </row>
    <row r="460">
      <c r="A460" s="4"/>
      <c r="B460" s="15"/>
      <c r="C460" s="7" t="str">
        <f>IFERROR(__xludf.DUMMYFUNCTION("iferror(iferror(INDEX(IMPORTRANGE(""12vtnxaE_Q1s4tyr10kZQx7ZF_xG0lBFae4jQEUtgsMU"",""All!B2:B""),MATCH($B460,IMPORTRANGE(""12vtnxaE_Q1s4tyr10kZQx7ZF_xG0lBFae4jQEUtgsMU"",""All!A2:A""),0)),INDEX(IMPORTRANGE(""13KC70HngS4DDi8y9E5khtSpQEPG6owaQ9z4E-tR5mnY"","&amp;"""Non-Food!B2:B""),MATCH($B460,IMPORTRANGE(""13KC70HngS4DDi8y9E5khtSpQEPG6owaQ9z4E-tR5mnY"",""Non-Food!A2:A""),0))),"""")"),"")</f>
        <v/>
      </c>
      <c r="D460" s="15"/>
      <c r="E460" s="15"/>
      <c r="F460" s="36"/>
      <c r="G460" s="24" t="str">
        <f>IFERROR(__xludf.DUMMYFUNCTION("iferror(iferror(iferror(index(IMPORTRANGE(""1NK5L1mviMn0j3D3uo53ASkIZOFRlLnqaCTnwzOG2_Wg"",""Direct Link!B2:B""),MATCH($B460,IMPORTRANGE(""1NK5L1mviMn0j3D3uo53ASkIZOFRlLnqaCTnwzOG2_Wg"",""Direct Link!A2:A""),0)),XLOOKUP($B460,IMPORTRANGE(""1NK5L1mviMn0j3D"&amp;"3uo53ASkIZOFRlLnqaCTnwzOG2_Wg"",""Direct links Without Sizes!A2:A""),IMPORTRANGE(""1NK5L1mviMn0j3D3uo53ASkIZOFRlLnqaCTnwzOG2_Wg"",""Direct links Without Sizes!B2:B""))),XLOOKUP($B460,IMPORTRANGE(""1NK5L1mviMn0j3D3uo53ASkIZOFRlLnqaCTnwzOG2_Wg"",""Direct li"&amp;"nks Without Sizes!D2:D""),IMPORTRANGE(""1NK5L1mviMn0j3D3uo53ASkIZOFRlLnqaCTnwzOG2_Wg"",""Direct links Without Sizes!E2:E""))),"""")"),"")</f>
        <v/>
      </c>
      <c r="H460" s="41"/>
      <c r="I460" s="4"/>
      <c r="J460" s="4"/>
      <c r="K460" s="10" t="str">
        <f t="shared" si="1"/>
        <v/>
      </c>
      <c r="L460" s="10"/>
      <c r="M460" s="10" t="str">
        <f t="shared" si="2"/>
        <v/>
      </c>
    </row>
    <row r="461">
      <c r="A461" s="4"/>
      <c r="B461" s="15"/>
      <c r="C461" s="7" t="str">
        <f>IFERROR(__xludf.DUMMYFUNCTION("iferror(iferror(INDEX(IMPORTRANGE(""12vtnxaE_Q1s4tyr10kZQx7ZF_xG0lBFae4jQEUtgsMU"",""All!B2:B""),MATCH($B461,IMPORTRANGE(""12vtnxaE_Q1s4tyr10kZQx7ZF_xG0lBFae4jQEUtgsMU"",""All!A2:A""),0)),INDEX(IMPORTRANGE(""13KC70HngS4DDi8y9E5khtSpQEPG6owaQ9z4E-tR5mnY"","&amp;"""Non-Food!B2:B""),MATCH($B461,IMPORTRANGE(""13KC70HngS4DDi8y9E5khtSpQEPG6owaQ9z4E-tR5mnY"",""Non-Food!A2:A""),0))),"""")"),"")</f>
        <v/>
      </c>
      <c r="D461" s="15"/>
      <c r="E461" s="15"/>
      <c r="F461" s="36"/>
      <c r="G461" s="24" t="str">
        <f>IFERROR(__xludf.DUMMYFUNCTION("iferror(iferror(iferror(index(IMPORTRANGE(""1NK5L1mviMn0j3D3uo53ASkIZOFRlLnqaCTnwzOG2_Wg"",""Direct Link!B2:B""),MATCH($B461,IMPORTRANGE(""1NK5L1mviMn0j3D3uo53ASkIZOFRlLnqaCTnwzOG2_Wg"",""Direct Link!A2:A""),0)),XLOOKUP($B461,IMPORTRANGE(""1NK5L1mviMn0j3D"&amp;"3uo53ASkIZOFRlLnqaCTnwzOG2_Wg"",""Direct links Without Sizes!A2:A""),IMPORTRANGE(""1NK5L1mviMn0j3D3uo53ASkIZOFRlLnqaCTnwzOG2_Wg"",""Direct links Without Sizes!B2:B""))),XLOOKUP($B461,IMPORTRANGE(""1NK5L1mviMn0j3D3uo53ASkIZOFRlLnqaCTnwzOG2_Wg"",""Direct li"&amp;"nks Without Sizes!D2:D""),IMPORTRANGE(""1NK5L1mviMn0j3D3uo53ASkIZOFRlLnqaCTnwzOG2_Wg"",""Direct links Without Sizes!E2:E""))),"""")"),"")</f>
        <v/>
      </c>
      <c r="H461" s="41"/>
      <c r="I461" s="4"/>
      <c r="J461" s="4"/>
      <c r="K461" s="10" t="str">
        <f t="shared" si="1"/>
        <v/>
      </c>
      <c r="L461" s="10"/>
      <c r="M461" s="10" t="str">
        <f t="shared" si="2"/>
        <v/>
      </c>
    </row>
    <row r="462">
      <c r="A462" s="4"/>
      <c r="B462" s="15"/>
      <c r="C462" s="7" t="str">
        <f>IFERROR(__xludf.DUMMYFUNCTION("iferror(iferror(INDEX(IMPORTRANGE(""12vtnxaE_Q1s4tyr10kZQx7ZF_xG0lBFae4jQEUtgsMU"",""All!B2:B""),MATCH($B462,IMPORTRANGE(""12vtnxaE_Q1s4tyr10kZQx7ZF_xG0lBFae4jQEUtgsMU"",""All!A2:A""),0)),INDEX(IMPORTRANGE(""13KC70HngS4DDi8y9E5khtSpQEPG6owaQ9z4E-tR5mnY"","&amp;"""Non-Food!B2:B""),MATCH($B462,IMPORTRANGE(""13KC70HngS4DDi8y9E5khtSpQEPG6owaQ9z4E-tR5mnY"",""Non-Food!A2:A""),0))),"""")"),"")</f>
        <v/>
      </c>
      <c r="D462" s="15"/>
      <c r="E462" s="15"/>
      <c r="F462" s="36"/>
      <c r="G462" s="24" t="str">
        <f>IFERROR(__xludf.DUMMYFUNCTION("iferror(iferror(iferror(index(IMPORTRANGE(""1NK5L1mviMn0j3D3uo53ASkIZOFRlLnqaCTnwzOG2_Wg"",""Direct Link!B2:B""),MATCH($B462,IMPORTRANGE(""1NK5L1mviMn0j3D3uo53ASkIZOFRlLnqaCTnwzOG2_Wg"",""Direct Link!A2:A""),0)),XLOOKUP($B462,IMPORTRANGE(""1NK5L1mviMn0j3D"&amp;"3uo53ASkIZOFRlLnqaCTnwzOG2_Wg"",""Direct links Without Sizes!A2:A""),IMPORTRANGE(""1NK5L1mviMn0j3D3uo53ASkIZOFRlLnqaCTnwzOG2_Wg"",""Direct links Without Sizes!B2:B""))),XLOOKUP($B462,IMPORTRANGE(""1NK5L1mviMn0j3D3uo53ASkIZOFRlLnqaCTnwzOG2_Wg"",""Direct li"&amp;"nks Without Sizes!D2:D""),IMPORTRANGE(""1NK5L1mviMn0j3D3uo53ASkIZOFRlLnqaCTnwzOG2_Wg"",""Direct links Without Sizes!E2:E""))),"""")"),"")</f>
        <v/>
      </c>
      <c r="H462" s="41"/>
      <c r="I462" s="4"/>
      <c r="J462" s="4"/>
      <c r="K462" s="10" t="str">
        <f t="shared" si="1"/>
        <v/>
      </c>
      <c r="L462" s="10"/>
      <c r="M462" s="10" t="str">
        <f t="shared" si="2"/>
        <v/>
      </c>
    </row>
    <row r="463">
      <c r="A463" s="4"/>
      <c r="B463" s="15"/>
      <c r="C463" s="7" t="str">
        <f>IFERROR(__xludf.DUMMYFUNCTION("iferror(iferror(INDEX(IMPORTRANGE(""12vtnxaE_Q1s4tyr10kZQx7ZF_xG0lBFae4jQEUtgsMU"",""All!B2:B""),MATCH($B463,IMPORTRANGE(""12vtnxaE_Q1s4tyr10kZQx7ZF_xG0lBFae4jQEUtgsMU"",""All!A2:A""),0)),INDEX(IMPORTRANGE(""13KC70HngS4DDi8y9E5khtSpQEPG6owaQ9z4E-tR5mnY"","&amp;"""Non-Food!B2:B""),MATCH($B463,IMPORTRANGE(""13KC70HngS4DDi8y9E5khtSpQEPG6owaQ9z4E-tR5mnY"",""Non-Food!A2:A""),0))),"""")"),"")</f>
        <v/>
      </c>
      <c r="D463" s="15"/>
      <c r="E463" s="15"/>
      <c r="F463" s="36"/>
      <c r="G463" s="24" t="str">
        <f>IFERROR(__xludf.DUMMYFUNCTION("iferror(iferror(iferror(index(IMPORTRANGE(""1NK5L1mviMn0j3D3uo53ASkIZOFRlLnqaCTnwzOG2_Wg"",""Direct Link!B2:B""),MATCH($B463,IMPORTRANGE(""1NK5L1mviMn0j3D3uo53ASkIZOFRlLnqaCTnwzOG2_Wg"",""Direct Link!A2:A""),0)),XLOOKUP($B463,IMPORTRANGE(""1NK5L1mviMn0j3D"&amp;"3uo53ASkIZOFRlLnqaCTnwzOG2_Wg"",""Direct links Without Sizes!A2:A""),IMPORTRANGE(""1NK5L1mviMn0j3D3uo53ASkIZOFRlLnqaCTnwzOG2_Wg"",""Direct links Without Sizes!B2:B""))),XLOOKUP($B463,IMPORTRANGE(""1NK5L1mviMn0j3D3uo53ASkIZOFRlLnqaCTnwzOG2_Wg"",""Direct li"&amp;"nks Without Sizes!D2:D""),IMPORTRANGE(""1NK5L1mviMn0j3D3uo53ASkIZOFRlLnqaCTnwzOG2_Wg"",""Direct links Without Sizes!E2:E""))),"""")"),"")</f>
        <v/>
      </c>
      <c r="H463" s="41"/>
      <c r="I463" s="4"/>
      <c r="J463" s="4"/>
      <c r="K463" s="10" t="str">
        <f t="shared" si="1"/>
        <v/>
      </c>
      <c r="L463" s="10"/>
      <c r="M463" s="10" t="str">
        <f t="shared" si="2"/>
        <v/>
      </c>
    </row>
    <row r="464">
      <c r="A464" s="4"/>
      <c r="B464" s="15"/>
      <c r="C464" s="7" t="str">
        <f>IFERROR(__xludf.DUMMYFUNCTION("iferror(iferror(INDEX(IMPORTRANGE(""12vtnxaE_Q1s4tyr10kZQx7ZF_xG0lBFae4jQEUtgsMU"",""All!B2:B""),MATCH($B464,IMPORTRANGE(""12vtnxaE_Q1s4tyr10kZQx7ZF_xG0lBFae4jQEUtgsMU"",""All!A2:A""),0)),INDEX(IMPORTRANGE(""13KC70HngS4DDi8y9E5khtSpQEPG6owaQ9z4E-tR5mnY"","&amp;"""Non-Food!B2:B""),MATCH($B464,IMPORTRANGE(""13KC70HngS4DDi8y9E5khtSpQEPG6owaQ9z4E-tR5mnY"",""Non-Food!A2:A""),0))),"""")"),"")</f>
        <v/>
      </c>
      <c r="D464" s="15"/>
      <c r="E464" s="15"/>
      <c r="F464" s="36"/>
      <c r="G464" s="24" t="str">
        <f>IFERROR(__xludf.DUMMYFUNCTION("iferror(iferror(iferror(index(IMPORTRANGE(""1NK5L1mviMn0j3D3uo53ASkIZOFRlLnqaCTnwzOG2_Wg"",""Direct Link!B2:B""),MATCH($B464,IMPORTRANGE(""1NK5L1mviMn0j3D3uo53ASkIZOFRlLnqaCTnwzOG2_Wg"",""Direct Link!A2:A""),0)),XLOOKUP($B464,IMPORTRANGE(""1NK5L1mviMn0j3D"&amp;"3uo53ASkIZOFRlLnqaCTnwzOG2_Wg"",""Direct links Without Sizes!A2:A""),IMPORTRANGE(""1NK5L1mviMn0j3D3uo53ASkIZOFRlLnqaCTnwzOG2_Wg"",""Direct links Without Sizes!B2:B""))),XLOOKUP($B464,IMPORTRANGE(""1NK5L1mviMn0j3D3uo53ASkIZOFRlLnqaCTnwzOG2_Wg"",""Direct li"&amp;"nks Without Sizes!D2:D""),IMPORTRANGE(""1NK5L1mviMn0j3D3uo53ASkIZOFRlLnqaCTnwzOG2_Wg"",""Direct links Without Sizes!E2:E""))),"""")"),"")</f>
        <v/>
      </c>
      <c r="H464" s="41"/>
      <c r="I464" s="4"/>
      <c r="J464" s="4"/>
      <c r="K464" s="10" t="str">
        <f t="shared" si="1"/>
        <v/>
      </c>
      <c r="L464" s="10"/>
      <c r="M464" s="10" t="str">
        <f t="shared" si="2"/>
        <v/>
      </c>
    </row>
    <row r="465">
      <c r="A465" s="4"/>
      <c r="B465" s="15"/>
      <c r="C465" s="7" t="str">
        <f>IFERROR(__xludf.DUMMYFUNCTION("iferror(iferror(INDEX(IMPORTRANGE(""12vtnxaE_Q1s4tyr10kZQx7ZF_xG0lBFae4jQEUtgsMU"",""All!B2:B""),MATCH($B465,IMPORTRANGE(""12vtnxaE_Q1s4tyr10kZQx7ZF_xG0lBFae4jQEUtgsMU"",""All!A2:A""),0)),INDEX(IMPORTRANGE(""13KC70HngS4DDi8y9E5khtSpQEPG6owaQ9z4E-tR5mnY"","&amp;"""Non-Food!B2:B""),MATCH($B465,IMPORTRANGE(""13KC70HngS4DDi8y9E5khtSpQEPG6owaQ9z4E-tR5mnY"",""Non-Food!A2:A""),0))),"""")"),"")</f>
        <v/>
      </c>
      <c r="D465" s="15"/>
      <c r="E465" s="15"/>
      <c r="F465" s="36"/>
      <c r="G465" s="24" t="str">
        <f>IFERROR(__xludf.DUMMYFUNCTION("iferror(iferror(iferror(index(IMPORTRANGE(""1NK5L1mviMn0j3D3uo53ASkIZOFRlLnqaCTnwzOG2_Wg"",""Direct Link!B2:B""),MATCH($B465,IMPORTRANGE(""1NK5L1mviMn0j3D3uo53ASkIZOFRlLnqaCTnwzOG2_Wg"",""Direct Link!A2:A""),0)),XLOOKUP($B465,IMPORTRANGE(""1NK5L1mviMn0j3D"&amp;"3uo53ASkIZOFRlLnqaCTnwzOG2_Wg"",""Direct links Without Sizes!A2:A""),IMPORTRANGE(""1NK5L1mviMn0j3D3uo53ASkIZOFRlLnqaCTnwzOG2_Wg"",""Direct links Without Sizes!B2:B""))),XLOOKUP($B465,IMPORTRANGE(""1NK5L1mviMn0j3D3uo53ASkIZOFRlLnqaCTnwzOG2_Wg"",""Direct li"&amp;"nks Without Sizes!D2:D""),IMPORTRANGE(""1NK5L1mviMn0j3D3uo53ASkIZOFRlLnqaCTnwzOG2_Wg"",""Direct links Without Sizes!E2:E""))),"""")"),"")</f>
        <v/>
      </c>
      <c r="H465" s="41"/>
      <c r="I465" s="4"/>
      <c r="J465" s="4"/>
      <c r="K465" s="10" t="str">
        <f t="shared" si="1"/>
        <v/>
      </c>
      <c r="L465" s="10"/>
      <c r="M465" s="10" t="str">
        <f t="shared" si="2"/>
        <v/>
      </c>
    </row>
    <row r="466">
      <c r="A466" s="4"/>
      <c r="B466" s="15"/>
      <c r="C466" s="7" t="str">
        <f>IFERROR(__xludf.DUMMYFUNCTION("iferror(iferror(INDEX(IMPORTRANGE(""12vtnxaE_Q1s4tyr10kZQx7ZF_xG0lBFae4jQEUtgsMU"",""All!B2:B""),MATCH($B466,IMPORTRANGE(""12vtnxaE_Q1s4tyr10kZQx7ZF_xG0lBFae4jQEUtgsMU"",""All!A2:A""),0)),INDEX(IMPORTRANGE(""13KC70HngS4DDi8y9E5khtSpQEPG6owaQ9z4E-tR5mnY"","&amp;"""Non-Food!B2:B""),MATCH($B466,IMPORTRANGE(""13KC70HngS4DDi8y9E5khtSpQEPG6owaQ9z4E-tR5mnY"",""Non-Food!A2:A""),0))),"""")"),"")</f>
        <v/>
      </c>
      <c r="D466" s="15"/>
      <c r="E466" s="15"/>
      <c r="F466" s="36"/>
      <c r="G466" s="24" t="str">
        <f>IFERROR(__xludf.DUMMYFUNCTION("iferror(iferror(iferror(index(IMPORTRANGE(""1NK5L1mviMn0j3D3uo53ASkIZOFRlLnqaCTnwzOG2_Wg"",""Direct Link!B2:B""),MATCH($B466,IMPORTRANGE(""1NK5L1mviMn0j3D3uo53ASkIZOFRlLnqaCTnwzOG2_Wg"",""Direct Link!A2:A""),0)),XLOOKUP($B466,IMPORTRANGE(""1NK5L1mviMn0j3D"&amp;"3uo53ASkIZOFRlLnqaCTnwzOG2_Wg"",""Direct links Without Sizes!A2:A""),IMPORTRANGE(""1NK5L1mviMn0j3D3uo53ASkIZOFRlLnqaCTnwzOG2_Wg"",""Direct links Without Sizes!B2:B""))),XLOOKUP($B466,IMPORTRANGE(""1NK5L1mviMn0j3D3uo53ASkIZOFRlLnqaCTnwzOG2_Wg"",""Direct li"&amp;"nks Without Sizes!D2:D""),IMPORTRANGE(""1NK5L1mviMn0j3D3uo53ASkIZOFRlLnqaCTnwzOG2_Wg"",""Direct links Without Sizes!E2:E""))),"""")"),"")</f>
        <v/>
      </c>
      <c r="H466" s="41"/>
      <c r="I466" s="4"/>
      <c r="J466" s="4"/>
      <c r="K466" s="10" t="str">
        <f t="shared" si="1"/>
        <v/>
      </c>
      <c r="L466" s="10"/>
      <c r="M466" s="10" t="str">
        <f t="shared" si="2"/>
        <v/>
      </c>
    </row>
    <row r="467">
      <c r="A467" s="4"/>
      <c r="B467" s="15"/>
      <c r="C467" s="7" t="str">
        <f>IFERROR(__xludf.DUMMYFUNCTION("iferror(iferror(INDEX(IMPORTRANGE(""12vtnxaE_Q1s4tyr10kZQx7ZF_xG0lBFae4jQEUtgsMU"",""All!B2:B""),MATCH($B467,IMPORTRANGE(""12vtnxaE_Q1s4tyr10kZQx7ZF_xG0lBFae4jQEUtgsMU"",""All!A2:A""),0)),INDEX(IMPORTRANGE(""13KC70HngS4DDi8y9E5khtSpQEPG6owaQ9z4E-tR5mnY"","&amp;"""Non-Food!B2:B""),MATCH($B467,IMPORTRANGE(""13KC70HngS4DDi8y9E5khtSpQEPG6owaQ9z4E-tR5mnY"",""Non-Food!A2:A""),0))),"""")"),"")</f>
        <v/>
      </c>
      <c r="D467" s="15"/>
      <c r="E467" s="15"/>
      <c r="F467" s="36"/>
      <c r="G467" s="24" t="str">
        <f>IFERROR(__xludf.DUMMYFUNCTION("iferror(iferror(iferror(index(IMPORTRANGE(""1NK5L1mviMn0j3D3uo53ASkIZOFRlLnqaCTnwzOG2_Wg"",""Direct Link!B2:B""),MATCH($B467,IMPORTRANGE(""1NK5L1mviMn0j3D3uo53ASkIZOFRlLnqaCTnwzOG2_Wg"",""Direct Link!A2:A""),0)),XLOOKUP($B467,IMPORTRANGE(""1NK5L1mviMn0j3D"&amp;"3uo53ASkIZOFRlLnqaCTnwzOG2_Wg"",""Direct links Without Sizes!A2:A""),IMPORTRANGE(""1NK5L1mviMn0j3D3uo53ASkIZOFRlLnqaCTnwzOG2_Wg"",""Direct links Without Sizes!B2:B""))),XLOOKUP($B467,IMPORTRANGE(""1NK5L1mviMn0j3D3uo53ASkIZOFRlLnqaCTnwzOG2_Wg"",""Direct li"&amp;"nks Without Sizes!D2:D""),IMPORTRANGE(""1NK5L1mviMn0j3D3uo53ASkIZOFRlLnqaCTnwzOG2_Wg"",""Direct links Without Sizes!E2:E""))),"""")"),"")</f>
        <v/>
      </c>
      <c r="H467" s="41"/>
      <c r="I467" s="4"/>
      <c r="J467" s="4"/>
      <c r="K467" s="10" t="str">
        <f t="shared" si="1"/>
        <v/>
      </c>
      <c r="L467" s="10"/>
      <c r="M467" s="10" t="str">
        <f t="shared" si="2"/>
        <v/>
      </c>
    </row>
    <row r="468">
      <c r="A468" s="4"/>
      <c r="B468" s="15"/>
      <c r="C468" s="7" t="str">
        <f>IFERROR(__xludf.DUMMYFUNCTION("iferror(iferror(INDEX(IMPORTRANGE(""12vtnxaE_Q1s4tyr10kZQx7ZF_xG0lBFae4jQEUtgsMU"",""All!B2:B""),MATCH($B468,IMPORTRANGE(""12vtnxaE_Q1s4tyr10kZQx7ZF_xG0lBFae4jQEUtgsMU"",""All!A2:A""),0)),INDEX(IMPORTRANGE(""13KC70HngS4DDi8y9E5khtSpQEPG6owaQ9z4E-tR5mnY"","&amp;"""Non-Food!B2:B""),MATCH($B468,IMPORTRANGE(""13KC70HngS4DDi8y9E5khtSpQEPG6owaQ9z4E-tR5mnY"",""Non-Food!A2:A""),0))),"""")"),"")</f>
        <v/>
      </c>
      <c r="D468" s="15"/>
      <c r="E468" s="15"/>
      <c r="F468" s="36"/>
      <c r="G468" s="24" t="str">
        <f>IFERROR(__xludf.DUMMYFUNCTION("iferror(iferror(iferror(index(IMPORTRANGE(""1NK5L1mviMn0j3D3uo53ASkIZOFRlLnqaCTnwzOG2_Wg"",""Direct Link!B2:B""),MATCH($B468,IMPORTRANGE(""1NK5L1mviMn0j3D3uo53ASkIZOFRlLnqaCTnwzOG2_Wg"",""Direct Link!A2:A""),0)),XLOOKUP($B468,IMPORTRANGE(""1NK5L1mviMn0j3D"&amp;"3uo53ASkIZOFRlLnqaCTnwzOG2_Wg"",""Direct links Without Sizes!A2:A""),IMPORTRANGE(""1NK5L1mviMn0j3D3uo53ASkIZOFRlLnqaCTnwzOG2_Wg"",""Direct links Without Sizes!B2:B""))),XLOOKUP($B468,IMPORTRANGE(""1NK5L1mviMn0j3D3uo53ASkIZOFRlLnqaCTnwzOG2_Wg"",""Direct li"&amp;"nks Without Sizes!D2:D""),IMPORTRANGE(""1NK5L1mviMn0j3D3uo53ASkIZOFRlLnqaCTnwzOG2_Wg"",""Direct links Without Sizes!E2:E""))),"""")"),"")</f>
        <v/>
      </c>
      <c r="H468" s="41"/>
      <c r="I468" s="4"/>
      <c r="J468" s="4"/>
      <c r="K468" s="10" t="str">
        <f t="shared" si="1"/>
        <v/>
      </c>
      <c r="L468" s="10"/>
      <c r="M468" s="10" t="str">
        <f t="shared" si="2"/>
        <v/>
      </c>
    </row>
    <row r="469">
      <c r="A469" s="4"/>
      <c r="B469" s="15"/>
      <c r="C469" s="7" t="str">
        <f>IFERROR(__xludf.DUMMYFUNCTION("iferror(iferror(INDEX(IMPORTRANGE(""12vtnxaE_Q1s4tyr10kZQx7ZF_xG0lBFae4jQEUtgsMU"",""All!B2:B""),MATCH($B469,IMPORTRANGE(""12vtnxaE_Q1s4tyr10kZQx7ZF_xG0lBFae4jQEUtgsMU"",""All!A2:A""),0)),INDEX(IMPORTRANGE(""13KC70HngS4DDi8y9E5khtSpQEPG6owaQ9z4E-tR5mnY"","&amp;"""Non-Food!B2:B""),MATCH($B469,IMPORTRANGE(""13KC70HngS4DDi8y9E5khtSpQEPG6owaQ9z4E-tR5mnY"",""Non-Food!A2:A""),0))),"""")"),"")</f>
        <v/>
      </c>
      <c r="D469" s="15"/>
      <c r="E469" s="15"/>
      <c r="F469" s="36"/>
      <c r="G469" s="24" t="str">
        <f>IFERROR(__xludf.DUMMYFUNCTION("iferror(iferror(iferror(index(IMPORTRANGE(""1NK5L1mviMn0j3D3uo53ASkIZOFRlLnqaCTnwzOG2_Wg"",""Direct Link!B2:B""),MATCH($B469,IMPORTRANGE(""1NK5L1mviMn0j3D3uo53ASkIZOFRlLnqaCTnwzOG2_Wg"",""Direct Link!A2:A""),0)),XLOOKUP($B469,IMPORTRANGE(""1NK5L1mviMn0j3D"&amp;"3uo53ASkIZOFRlLnqaCTnwzOG2_Wg"",""Direct links Without Sizes!A2:A""),IMPORTRANGE(""1NK5L1mviMn0j3D3uo53ASkIZOFRlLnqaCTnwzOG2_Wg"",""Direct links Without Sizes!B2:B""))),XLOOKUP($B469,IMPORTRANGE(""1NK5L1mviMn0j3D3uo53ASkIZOFRlLnqaCTnwzOG2_Wg"",""Direct li"&amp;"nks Without Sizes!D2:D""),IMPORTRANGE(""1NK5L1mviMn0j3D3uo53ASkIZOFRlLnqaCTnwzOG2_Wg"",""Direct links Without Sizes!E2:E""))),"""")"),"")</f>
        <v/>
      </c>
      <c r="H469" s="41"/>
      <c r="I469" s="4"/>
      <c r="J469" s="4"/>
      <c r="K469" s="10" t="str">
        <f t="shared" si="1"/>
        <v/>
      </c>
      <c r="L469" s="10"/>
      <c r="M469" s="10" t="str">
        <f t="shared" si="2"/>
        <v/>
      </c>
    </row>
    <row r="470">
      <c r="A470" s="4"/>
      <c r="B470" s="15"/>
      <c r="C470" s="7" t="str">
        <f>IFERROR(__xludf.DUMMYFUNCTION("iferror(iferror(INDEX(IMPORTRANGE(""12vtnxaE_Q1s4tyr10kZQx7ZF_xG0lBFae4jQEUtgsMU"",""All!B2:B""),MATCH($B470,IMPORTRANGE(""12vtnxaE_Q1s4tyr10kZQx7ZF_xG0lBFae4jQEUtgsMU"",""All!A2:A""),0)),INDEX(IMPORTRANGE(""13KC70HngS4DDi8y9E5khtSpQEPG6owaQ9z4E-tR5mnY"","&amp;"""Non-Food!B2:B""),MATCH($B470,IMPORTRANGE(""13KC70HngS4DDi8y9E5khtSpQEPG6owaQ9z4E-tR5mnY"",""Non-Food!A2:A""),0))),"""")"),"")</f>
        <v/>
      </c>
      <c r="D470" s="15"/>
      <c r="E470" s="15"/>
      <c r="F470" s="36"/>
      <c r="G470" s="24" t="str">
        <f>IFERROR(__xludf.DUMMYFUNCTION("iferror(iferror(iferror(index(IMPORTRANGE(""1NK5L1mviMn0j3D3uo53ASkIZOFRlLnqaCTnwzOG2_Wg"",""Direct Link!B2:B""),MATCH($B470,IMPORTRANGE(""1NK5L1mviMn0j3D3uo53ASkIZOFRlLnqaCTnwzOG2_Wg"",""Direct Link!A2:A""),0)),XLOOKUP($B470,IMPORTRANGE(""1NK5L1mviMn0j3D"&amp;"3uo53ASkIZOFRlLnqaCTnwzOG2_Wg"",""Direct links Without Sizes!A2:A""),IMPORTRANGE(""1NK5L1mviMn0j3D3uo53ASkIZOFRlLnqaCTnwzOG2_Wg"",""Direct links Without Sizes!B2:B""))),XLOOKUP($B470,IMPORTRANGE(""1NK5L1mviMn0j3D3uo53ASkIZOFRlLnqaCTnwzOG2_Wg"",""Direct li"&amp;"nks Without Sizes!D2:D""),IMPORTRANGE(""1NK5L1mviMn0j3D3uo53ASkIZOFRlLnqaCTnwzOG2_Wg"",""Direct links Without Sizes!E2:E""))),"""")"),"")</f>
        <v/>
      </c>
      <c r="H470" s="41"/>
      <c r="I470" s="4"/>
      <c r="J470" s="4"/>
      <c r="K470" s="10" t="str">
        <f t="shared" si="1"/>
        <v/>
      </c>
      <c r="L470" s="10"/>
      <c r="M470" s="10" t="str">
        <f t="shared" si="2"/>
        <v/>
      </c>
    </row>
    <row r="471">
      <c r="A471" s="4"/>
      <c r="B471" s="15"/>
      <c r="C471" s="7" t="str">
        <f>IFERROR(__xludf.DUMMYFUNCTION("iferror(iferror(INDEX(IMPORTRANGE(""12vtnxaE_Q1s4tyr10kZQx7ZF_xG0lBFae4jQEUtgsMU"",""All!B2:B""),MATCH($B471,IMPORTRANGE(""12vtnxaE_Q1s4tyr10kZQx7ZF_xG0lBFae4jQEUtgsMU"",""All!A2:A""),0)),INDEX(IMPORTRANGE(""13KC70HngS4DDi8y9E5khtSpQEPG6owaQ9z4E-tR5mnY"","&amp;"""Non-Food!B2:B""),MATCH($B471,IMPORTRANGE(""13KC70HngS4DDi8y9E5khtSpQEPG6owaQ9z4E-tR5mnY"",""Non-Food!A2:A""),0))),"""")"),"")</f>
        <v/>
      </c>
      <c r="D471" s="15"/>
      <c r="E471" s="15"/>
      <c r="F471" s="36"/>
      <c r="G471" s="24" t="str">
        <f>IFERROR(__xludf.DUMMYFUNCTION("iferror(iferror(iferror(index(IMPORTRANGE(""1NK5L1mviMn0j3D3uo53ASkIZOFRlLnqaCTnwzOG2_Wg"",""Direct Link!B2:B""),MATCH($B471,IMPORTRANGE(""1NK5L1mviMn0j3D3uo53ASkIZOFRlLnqaCTnwzOG2_Wg"",""Direct Link!A2:A""),0)),XLOOKUP($B471,IMPORTRANGE(""1NK5L1mviMn0j3D"&amp;"3uo53ASkIZOFRlLnqaCTnwzOG2_Wg"",""Direct links Without Sizes!A2:A""),IMPORTRANGE(""1NK5L1mviMn0j3D3uo53ASkIZOFRlLnqaCTnwzOG2_Wg"",""Direct links Without Sizes!B2:B""))),XLOOKUP($B471,IMPORTRANGE(""1NK5L1mviMn0j3D3uo53ASkIZOFRlLnqaCTnwzOG2_Wg"",""Direct li"&amp;"nks Without Sizes!D2:D""),IMPORTRANGE(""1NK5L1mviMn0j3D3uo53ASkIZOFRlLnqaCTnwzOG2_Wg"",""Direct links Without Sizes!E2:E""))),"""")"),"")</f>
        <v/>
      </c>
      <c r="H471" s="41"/>
      <c r="I471" s="4"/>
      <c r="J471" s="4"/>
      <c r="K471" s="10" t="str">
        <f t="shared" si="1"/>
        <v/>
      </c>
      <c r="L471" s="10"/>
      <c r="M471" s="10" t="str">
        <f t="shared" si="2"/>
        <v/>
      </c>
    </row>
    <row r="472">
      <c r="A472" s="4"/>
      <c r="B472" s="15"/>
      <c r="C472" s="7" t="str">
        <f>IFERROR(__xludf.DUMMYFUNCTION("iferror(iferror(INDEX(IMPORTRANGE(""12vtnxaE_Q1s4tyr10kZQx7ZF_xG0lBFae4jQEUtgsMU"",""All!B2:B""),MATCH($B472,IMPORTRANGE(""12vtnxaE_Q1s4tyr10kZQx7ZF_xG0lBFae4jQEUtgsMU"",""All!A2:A""),0)),INDEX(IMPORTRANGE(""13KC70HngS4DDi8y9E5khtSpQEPG6owaQ9z4E-tR5mnY"","&amp;"""Non-Food!B2:B""),MATCH($B472,IMPORTRANGE(""13KC70HngS4DDi8y9E5khtSpQEPG6owaQ9z4E-tR5mnY"",""Non-Food!A2:A""),0))),"""")"),"")</f>
        <v/>
      </c>
      <c r="D472" s="15"/>
      <c r="E472" s="15"/>
      <c r="F472" s="36"/>
      <c r="G472" s="24" t="str">
        <f>IFERROR(__xludf.DUMMYFUNCTION("iferror(iferror(iferror(index(IMPORTRANGE(""1NK5L1mviMn0j3D3uo53ASkIZOFRlLnqaCTnwzOG2_Wg"",""Direct Link!B2:B""),MATCH($B472,IMPORTRANGE(""1NK5L1mviMn0j3D3uo53ASkIZOFRlLnqaCTnwzOG2_Wg"",""Direct Link!A2:A""),0)),XLOOKUP($B472,IMPORTRANGE(""1NK5L1mviMn0j3D"&amp;"3uo53ASkIZOFRlLnqaCTnwzOG2_Wg"",""Direct links Without Sizes!A2:A""),IMPORTRANGE(""1NK5L1mviMn0j3D3uo53ASkIZOFRlLnqaCTnwzOG2_Wg"",""Direct links Without Sizes!B2:B""))),XLOOKUP($B472,IMPORTRANGE(""1NK5L1mviMn0j3D3uo53ASkIZOFRlLnqaCTnwzOG2_Wg"",""Direct li"&amp;"nks Without Sizes!D2:D""),IMPORTRANGE(""1NK5L1mviMn0j3D3uo53ASkIZOFRlLnqaCTnwzOG2_Wg"",""Direct links Without Sizes!E2:E""))),"""")"),"")</f>
        <v/>
      </c>
      <c r="H472" s="41"/>
      <c r="I472" s="4"/>
      <c r="J472" s="4"/>
      <c r="K472" s="10" t="str">
        <f t="shared" si="1"/>
        <v/>
      </c>
      <c r="L472" s="10"/>
      <c r="M472" s="10" t="str">
        <f t="shared" si="2"/>
        <v/>
      </c>
    </row>
    <row r="473">
      <c r="A473" s="4"/>
      <c r="B473" s="15"/>
      <c r="C473" s="7" t="str">
        <f>IFERROR(__xludf.DUMMYFUNCTION("iferror(iferror(INDEX(IMPORTRANGE(""12vtnxaE_Q1s4tyr10kZQx7ZF_xG0lBFae4jQEUtgsMU"",""All!B2:B""),MATCH($B473,IMPORTRANGE(""12vtnxaE_Q1s4tyr10kZQx7ZF_xG0lBFae4jQEUtgsMU"",""All!A2:A""),0)),INDEX(IMPORTRANGE(""13KC70HngS4DDi8y9E5khtSpQEPG6owaQ9z4E-tR5mnY"","&amp;"""Non-Food!B2:B""),MATCH($B473,IMPORTRANGE(""13KC70HngS4DDi8y9E5khtSpQEPG6owaQ9z4E-tR5mnY"",""Non-Food!A2:A""),0))),"""")"),"")</f>
        <v/>
      </c>
      <c r="D473" s="15"/>
      <c r="E473" s="15"/>
      <c r="F473" s="36"/>
      <c r="G473" s="24" t="str">
        <f>IFERROR(__xludf.DUMMYFUNCTION("iferror(iferror(iferror(index(IMPORTRANGE(""1NK5L1mviMn0j3D3uo53ASkIZOFRlLnqaCTnwzOG2_Wg"",""Direct Link!B2:B""),MATCH($B473,IMPORTRANGE(""1NK5L1mviMn0j3D3uo53ASkIZOFRlLnqaCTnwzOG2_Wg"",""Direct Link!A2:A""),0)),XLOOKUP($B473,IMPORTRANGE(""1NK5L1mviMn0j3D"&amp;"3uo53ASkIZOFRlLnqaCTnwzOG2_Wg"",""Direct links Without Sizes!A2:A""),IMPORTRANGE(""1NK5L1mviMn0j3D3uo53ASkIZOFRlLnqaCTnwzOG2_Wg"",""Direct links Without Sizes!B2:B""))),XLOOKUP($B473,IMPORTRANGE(""1NK5L1mviMn0j3D3uo53ASkIZOFRlLnqaCTnwzOG2_Wg"",""Direct li"&amp;"nks Without Sizes!D2:D""),IMPORTRANGE(""1NK5L1mviMn0j3D3uo53ASkIZOFRlLnqaCTnwzOG2_Wg"",""Direct links Without Sizes!E2:E""))),"""")"),"")</f>
        <v/>
      </c>
      <c r="H473" s="41"/>
      <c r="I473" s="4"/>
      <c r="J473" s="4"/>
      <c r="K473" s="10" t="str">
        <f t="shared" si="1"/>
        <v/>
      </c>
      <c r="L473" s="10"/>
      <c r="M473" s="10" t="str">
        <f t="shared" si="2"/>
        <v/>
      </c>
    </row>
    <row r="474">
      <c r="A474" s="4"/>
      <c r="B474" s="15"/>
      <c r="C474" s="7" t="str">
        <f>IFERROR(__xludf.DUMMYFUNCTION("iferror(iferror(INDEX(IMPORTRANGE(""12vtnxaE_Q1s4tyr10kZQx7ZF_xG0lBFae4jQEUtgsMU"",""All!B2:B""),MATCH($B474,IMPORTRANGE(""12vtnxaE_Q1s4tyr10kZQx7ZF_xG0lBFae4jQEUtgsMU"",""All!A2:A""),0)),INDEX(IMPORTRANGE(""13KC70HngS4DDi8y9E5khtSpQEPG6owaQ9z4E-tR5mnY"","&amp;"""Non-Food!B2:B""),MATCH($B474,IMPORTRANGE(""13KC70HngS4DDi8y9E5khtSpQEPG6owaQ9z4E-tR5mnY"",""Non-Food!A2:A""),0))),"""")"),"")</f>
        <v/>
      </c>
      <c r="D474" s="15"/>
      <c r="E474" s="15"/>
      <c r="F474" s="36"/>
      <c r="G474" s="24" t="str">
        <f>IFERROR(__xludf.DUMMYFUNCTION("iferror(iferror(iferror(index(IMPORTRANGE(""1NK5L1mviMn0j3D3uo53ASkIZOFRlLnqaCTnwzOG2_Wg"",""Direct Link!B2:B""),MATCH($B474,IMPORTRANGE(""1NK5L1mviMn0j3D3uo53ASkIZOFRlLnqaCTnwzOG2_Wg"",""Direct Link!A2:A""),0)),XLOOKUP($B474,IMPORTRANGE(""1NK5L1mviMn0j3D"&amp;"3uo53ASkIZOFRlLnqaCTnwzOG2_Wg"",""Direct links Without Sizes!A2:A""),IMPORTRANGE(""1NK5L1mviMn0j3D3uo53ASkIZOFRlLnqaCTnwzOG2_Wg"",""Direct links Without Sizes!B2:B""))),XLOOKUP($B474,IMPORTRANGE(""1NK5L1mviMn0j3D3uo53ASkIZOFRlLnqaCTnwzOG2_Wg"",""Direct li"&amp;"nks Without Sizes!D2:D""),IMPORTRANGE(""1NK5L1mviMn0j3D3uo53ASkIZOFRlLnqaCTnwzOG2_Wg"",""Direct links Without Sizes!E2:E""))),"""")"),"")</f>
        <v/>
      </c>
      <c r="H474" s="41"/>
      <c r="I474" s="4"/>
      <c r="J474" s="4"/>
      <c r="K474" s="10" t="str">
        <f t="shared" si="1"/>
        <v/>
      </c>
      <c r="L474" s="10"/>
      <c r="M474" s="10" t="str">
        <f t="shared" si="2"/>
        <v/>
      </c>
    </row>
    <row r="475">
      <c r="A475" s="4"/>
      <c r="B475" s="15"/>
      <c r="C475" s="7" t="str">
        <f>IFERROR(__xludf.DUMMYFUNCTION("iferror(iferror(INDEX(IMPORTRANGE(""12vtnxaE_Q1s4tyr10kZQx7ZF_xG0lBFae4jQEUtgsMU"",""All!B2:B""),MATCH($B475,IMPORTRANGE(""12vtnxaE_Q1s4tyr10kZQx7ZF_xG0lBFae4jQEUtgsMU"",""All!A2:A""),0)),INDEX(IMPORTRANGE(""13KC70HngS4DDi8y9E5khtSpQEPG6owaQ9z4E-tR5mnY"","&amp;"""Non-Food!B2:B""),MATCH($B475,IMPORTRANGE(""13KC70HngS4DDi8y9E5khtSpQEPG6owaQ9z4E-tR5mnY"",""Non-Food!A2:A""),0))),"""")"),"")</f>
        <v/>
      </c>
      <c r="D475" s="15"/>
      <c r="E475" s="15"/>
      <c r="F475" s="36"/>
      <c r="G475" s="24" t="str">
        <f>IFERROR(__xludf.DUMMYFUNCTION("iferror(iferror(iferror(index(IMPORTRANGE(""1NK5L1mviMn0j3D3uo53ASkIZOFRlLnqaCTnwzOG2_Wg"",""Direct Link!B2:B""),MATCH($B475,IMPORTRANGE(""1NK5L1mviMn0j3D3uo53ASkIZOFRlLnqaCTnwzOG2_Wg"",""Direct Link!A2:A""),0)),XLOOKUP($B475,IMPORTRANGE(""1NK5L1mviMn0j3D"&amp;"3uo53ASkIZOFRlLnqaCTnwzOG2_Wg"",""Direct links Without Sizes!A2:A""),IMPORTRANGE(""1NK5L1mviMn0j3D3uo53ASkIZOFRlLnqaCTnwzOG2_Wg"",""Direct links Without Sizes!B2:B""))),XLOOKUP($B475,IMPORTRANGE(""1NK5L1mviMn0j3D3uo53ASkIZOFRlLnqaCTnwzOG2_Wg"",""Direct li"&amp;"nks Without Sizes!D2:D""),IMPORTRANGE(""1NK5L1mviMn0j3D3uo53ASkIZOFRlLnqaCTnwzOG2_Wg"",""Direct links Without Sizes!E2:E""))),"""")"),"")</f>
        <v/>
      </c>
      <c r="H475" s="41"/>
      <c r="I475" s="4"/>
      <c r="J475" s="4"/>
      <c r="K475" s="10" t="str">
        <f t="shared" si="1"/>
        <v/>
      </c>
      <c r="L475" s="10"/>
      <c r="M475" s="10" t="str">
        <f t="shared" si="2"/>
        <v/>
      </c>
    </row>
    <row r="476">
      <c r="A476" s="4"/>
      <c r="B476" s="15"/>
      <c r="C476" s="7" t="str">
        <f>IFERROR(__xludf.DUMMYFUNCTION("iferror(iferror(INDEX(IMPORTRANGE(""12vtnxaE_Q1s4tyr10kZQx7ZF_xG0lBFae4jQEUtgsMU"",""All!B2:B""),MATCH($B476,IMPORTRANGE(""12vtnxaE_Q1s4tyr10kZQx7ZF_xG0lBFae4jQEUtgsMU"",""All!A2:A""),0)),INDEX(IMPORTRANGE(""13KC70HngS4DDi8y9E5khtSpQEPG6owaQ9z4E-tR5mnY"","&amp;"""Non-Food!B2:B""),MATCH($B476,IMPORTRANGE(""13KC70HngS4DDi8y9E5khtSpQEPG6owaQ9z4E-tR5mnY"",""Non-Food!A2:A""),0))),"""")"),"")</f>
        <v/>
      </c>
      <c r="D476" s="15"/>
      <c r="E476" s="15"/>
      <c r="F476" s="36"/>
      <c r="G476" s="24" t="str">
        <f>IFERROR(__xludf.DUMMYFUNCTION("iferror(iferror(iferror(index(IMPORTRANGE(""1NK5L1mviMn0j3D3uo53ASkIZOFRlLnqaCTnwzOG2_Wg"",""Direct Link!B2:B""),MATCH($B476,IMPORTRANGE(""1NK5L1mviMn0j3D3uo53ASkIZOFRlLnqaCTnwzOG2_Wg"",""Direct Link!A2:A""),0)),XLOOKUP($B476,IMPORTRANGE(""1NK5L1mviMn0j3D"&amp;"3uo53ASkIZOFRlLnqaCTnwzOG2_Wg"",""Direct links Without Sizes!A2:A""),IMPORTRANGE(""1NK5L1mviMn0j3D3uo53ASkIZOFRlLnqaCTnwzOG2_Wg"",""Direct links Without Sizes!B2:B""))),XLOOKUP($B476,IMPORTRANGE(""1NK5L1mviMn0j3D3uo53ASkIZOFRlLnqaCTnwzOG2_Wg"",""Direct li"&amp;"nks Without Sizes!D2:D""),IMPORTRANGE(""1NK5L1mviMn0j3D3uo53ASkIZOFRlLnqaCTnwzOG2_Wg"",""Direct links Without Sizes!E2:E""))),"""")"),"")</f>
        <v/>
      </c>
      <c r="H476" s="41"/>
      <c r="I476" s="4"/>
      <c r="J476" s="4"/>
      <c r="K476" s="10" t="str">
        <f t="shared" si="1"/>
        <v/>
      </c>
      <c r="L476" s="10"/>
      <c r="M476" s="10" t="str">
        <f t="shared" si="2"/>
        <v/>
      </c>
    </row>
    <row r="477">
      <c r="A477" s="4"/>
      <c r="B477" s="15"/>
      <c r="C477" s="7" t="str">
        <f>IFERROR(__xludf.DUMMYFUNCTION("iferror(iferror(INDEX(IMPORTRANGE(""12vtnxaE_Q1s4tyr10kZQx7ZF_xG0lBFae4jQEUtgsMU"",""All!B2:B""),MATCH($B477,IMPORTRANGE(""12vtnxaE_Q1s4tyr10kZQx7ZF_xG0lBFae4jQEUtgsMU"",""All!A2:A""),0)),INDEX(IMPORTRANGE(""13KC70HngS4DDi8y9E5khtSpQEPG6owaQ9z4E-tR5mnY"","&amp;"""Non-Food!B2:B""),MATCH($B477,IMPORTRANGE(""13KC70HngS4DDi8y9E5khtSpQEPG6owaQ9z4E-tR5mnY"",""Non-Food!A2:A""),0))),"""")"),"")</f>
        <v/>
      </c>
      <c r="D477" s="15"/>
      <c r="E477" s="15"/>
      <c r="F477" s="36"/>
      <c r="G477" s="24" t="str">
        <f>IFERROR(__xludf.DUMMYFUNCTION("iferror(iferror(iferror(index(IMPORTRANGE(""1NK5L1mviMn0j3D3uo53ASkIZOFRlLnqaCTnwzOG2_Wg"",""Direct Link!B2:B""),MATCH($B477,IMPORTRANGE(""1NK5L1mviMn0j3D3uo53ASkIZOFRlLnqaCTnwzOG2_Wg"",""Direct Link!A2:A""),0)),XLOOKUP($B477,IMPORTRANGE(""1NK5L1mviMn0j3D"&amp;"3uo53ASkIZOFRlLnqaCTnwzOG2_Wg"",""Direct links Without Sizes!A2:A""),IMPORTRANGE(""1NK5L1mviMn0j3D3uo53ASkIZOFRlLnqaCTnwzOG2_Wg"",""Direct links Without Sizes!B2:B""))),XLOOKUP($B477,IMPORTRANGE(""1NK5L1mviMn0j3D3uo53ASkIZOFRlLnqaCTnwzOG2_Wg"",""Direct li"&amp;"nks Without Sizes!D2:D""),IMPORTRANGE(""1NK5L1mviMn0j3D3uo53ASkIZOFRlLnqaCTnwzOG2_Wg"",""Direct links Without Sizes!E2:E""))),"""")"),"")</f>
        <v/>
      </c>
      <c r="H477" s="41"/>
      <c r="I477" s="4"/>
      <c r="J477" s="4"/>
      <c r="K477" s="10" t="str">
        <f t="shared" si="1"/>
        <v/>
      </c>
      <c r="L477" s="10"/>
      <c r="M477" s="10" t="str">
        <f t="shared" si="2"/>
        <v/>
      </c>
    </row>
    <row r="478">
      <c r="A478" s="4"/>
      <c r="B478" s="15"/>
      <c r="C478" s="7" t="str">
        <f>IFERROR(__xludf.DUMMYFUNCTION("iferror(iferror(INDEX(IMPORTRANGE(""12vtnxaE_Q1s4tyr10kZQx7ZF_xG0lBFae4jQEUtgsMU"",""All!B2:B""),MATCH($B478,IMPORTRANGE(""12vtnxaE_Q1s4tyr10kZQx7ZF_xG0lBFae4jQEUtgsMU"",""All!A2:A""),0)),INDEX(IMPORTRANGE(""13KC70HngS4DDi8y9E5khtSpQEPG6owaQ9z4E-tR5mnY"","&amp;"""Non-Food!B2:B""),MATCH($B478,IMPORTRANGE(""13KC70HngS4DDi8y9E5khtSpQEPG6owaQ9z4E-tR5mnY"",""Non-Food!A2:A""),0))),"""")"),"")</f>
        <v/>
      </c>
      <c r="D478" s="15"/>
      <c r="E478" s="15"/>
      <c r="F478" s="36"/>
      <c r="G478" s="24" t="str">
        <f>IFERROR(__xludf.DUMMYFUNCTION("iferror(iferror(iferror(index(IMPORTRANGE(""1NK5L1mviMn0j3D3uo53ASkIZOFRlLnqaCTnwzOG2_Wg"",""Direct Link!B2:B""),MATCH($B478,IMPORTRANGE(""1NK5L1mviMn0j3D3uo53ASkIZOFRlLnqaCTnwzOG2_Wg"",""Direct Link!A2:A""),0)),XLOOKUP($B478,IMPORTRANGE(""1NK5L1mviMn0j3D"&amp;"3uo53ASkIZOFRlLnqaCTnwzOG2_Wg"",""Direct links Without Sizes!A2:A""),IMPORTRANGE(""1NK5L1mviMn0j3D3uo53ASkIZOFRlLnqaCTnwzOG2_Wg"",""Direct links Without Sizes!B2:B""))),XLOOKUP($B478,IMPORTRANGE(""1NK5L1mviMn0j3D3uo53ASkIZOFRlLnqaCTnwzOG2_Wg"",""Direct li"&amp;"nks Without Sizes!D2:D""),IMPORTRANGE(""1NK5L1mviMn0j3D3uo53ASkIZOFRlLnqaCTnwzOG2_Wg"",""Direct links Without Sizes!E2:E""))),"""")"),"")</f>
        <v/>
      </c>
      <c r="H478" s="41"/>
      <c r="I478" s="4"/>
      <c r="J478" s="4"/>
      <c r="K478" s="10" t="str">
        <f t="shared" si="1"/>
        <v/>
      </c>
      <c r="L478" s="10"/>
      <c r="M478" s="10" t="str">
        <f t="shared" si="2"/>
        <v/>
      </c>
    </row>
    <row r="479">
      <c r="A479" s="4"/>
      <c r="B479" s="15"/>
      <c r="C479" s="7" t="str">
        <f>IFERROR(__xludf.DUMMYFUNCTION("iferror(iferror(INDEX(IMPORTRANGE(""12vtnxaE_Q1s4tyr10kZQx7ZF_xG0lBFae4jQEUtgsMU"",""All!B2:B""),MATCH($B479,IMPORTRANGE(""12vtnxaE_Q1s4tyr10kZQx7ZF_xG0lBFae4jQEUtgsMU"",""All!A2:A""),0)),INDEX(IMPORTRANGE(""13KC70HngS4DDi8y9E5khtSpQEPG6owaQ9z4E-tR5mnY"","&amp;"""Non-Food!B2:B""),MATCH($B479,IMPORTRANGE(""13KC70HngS4DDi8y9E5khtSpQEPG6owaQ9z4E-tR5mnY"",""Non-Food!A2:A""),0))),"""")"),"")</f>
        <v/>
      </c>
      <c r="D479" s="15"/>
      <c r="E479" s="15"/>
      <c r="F479" s="36"/>
      <c r="G479" s="24" t="str">
        <f>IFERROR(__xludf.DUMMYFUNCTION("iferror(iferror(iferror(index(IMPORTRANGE(""1NK5L1mviMn0j3D3uo53ASkIZOFRlLnqaCTnwzOG2_Wg"",""Direct Link!B2:B""),MATCH($B479,IMPORTRANGE(""1NK5L1mviMn0j3D3uo53ASkIZOFRlLnqaCTnwzOG2_Wg"",""Direct Link!A2:A""),0)),XLOOKUP($B479,IMPORTRANGE(""1NK5L1mviMn0j3D"&amp;"3uo53ASkIZOFRlLnqaCTnwzOG2_Wg"",""Direct links Without Sizes!A2:A""),IMPORTRANGE(""1NK5L1mviMn0j3D3uo53ASkIZOFRlLnqaCTnwzOG2_Wg"",""Direct links Without Sizes!B2:B""))),XLOOKUP($B479,IMPORTRANGE(""1NK5L1mviMn0j3D3uo53ASkIZOFRlLnqaCTnwzOG2_Wg"",""Direct li"&amp;"nks Without Sizes!D2:D""),IMPORTRANGE(""1NK5L1mviMn0j3D3uo53ASkIZOFRlLnqaCTnwzOG2_Wg"",""Direct links Without Sizes!E2:E""))),"""")"),"")</f>
        <v/>
      </c>
      <c r="H479" s="41"/>
      <c r="I479" s="4"/>
      <c r="J479" s="4"/>
      <c r="K479" s="10" t="str">
        <f t="shared" si="1"/>
        <v/>
      </c>
      <c r="L479" s="10"/>
      <c r="M479" s="10" t="str">
        <f t="shared" si="2"/>
        <v/>
      </c>
    </row>
    <row r="480">
      <c r="A480" s="4"/>
      <c r="B480" s="15"/>
      <c r="C480" s="7" t="str">
        <f>IFERROR(__xludf.DUMMYFUNCTION("iferror(iferror(INDEX(IMPORTRANGE(""12vtnxaE_Q1s4tyr10kZQx7ZF_xG0lBFae4jQEUtgsMU"",""All!B2:B""),MATCH($B480,IMPORTRANGE(""12vtnxaE_Q1s4tyr10kZQx7ZF_xG0lBFae4jQEUtgsMU"",""All!A2:A""),0)),INDEX(IMPORTRANGE(""13KC70HngS4DDi8y9E5khtSpQEPG6owaQ9z4E-tR5mnY"","&amp;"""Non-Food!B2:B""),MATCH($B480,IMPORTRANGE(""13KC70HngS4DDi8y9E5khtSpQEPG6owaQ9z4E-tR5mnY"",""Non-Food!A2:A""),0))),"""")"),"")</f>
        <v/>
      </c>
      <c r="D480" s="15"/>
      <c r="E480" s="15"/>
      <c r="F480" s="36"/>
      <c r="G480" s="24" t="str">
        <f>IFERROR(__xludf.DUMMYFUNCTION("iferror(iferror(iferror(index(IMPORTRANGE(""1NK5L1mviMn0j3D3uo53ASkIZOFRlLnqaCTnwzOG2_Wg"",""Direct Link!B2:B""),MATCH($B480,IMPORTRANGE(""1NK5L1mviMn0j3D3uo53ASkIZOFRlLnqaCTnwzOG2_Wg"",""Direct Link!A2:A""),0)),XLOOKUP($B480,IMPORTRANGE(""1NK5L1mviMn0j3D"&amp;"3uo53ASkIZOFRlLnqaCTnwzOG2_Wg"",""Direct links Without Sizes!A2:A""),IMPORTRANGE(""1NK5L1mviMn0j3D3uo53ASkIZOFRlLnqaCTnwzOG2_Wg"",""Direct links Without Sizes!B2:B""))),XLOOKUP($B480,IMPORTRANGE(""1NK5L1mviMn0j3D3uo53ASkIZOFRlLnqaCTnwzOG2_Wg"",""Direct li"&amp;"nks Without Sizes!D2:D""),IMPORTRANGE(""1NK5L1mviMn0j3D3uo53ASkIZOFRlLnqaCTnwzOG2_Wg"",""Direct links Without Sizes!E2:E""))),"""")"),"")</f>
        <v/>
      </c>
      <c r="H480" s="41"/>
      <c r="I480" s="4"/>
      <c r="J480" s="4"/>
      <c r="K480" s="10" t="str">
        <f t="shared" si="1"/>
        <v/>
      </c>
      <c r="L480" s="10"/>
      <c r="M480" s="10" t="str">
        <f t="shared" si="2"/>
        <v/>
      </c>
    </row>
    <row r="481">
      <c r="A481" s="4"/>
      <c r="B481" s="15"/>
      <c r="C481" s="7" t="str">
        <f>IFERROR(__xludf.DUMMYFUNCTION("iferror(iferror(INDEX(IMPORTRANGE(""12vtnxaE_Q1s4tyr10kZQx7ZF_xG0lBFae4jQEUtgsMU"",""All!B2:B""),MATCH($B481,IMPORTRANGE(""12vtnxaE_Q1s4tyr10kZQx7ZF_xG0lBFae4jQEUtgsMU"",""All!A2:A""),0)),INDEX(IMPORTRANGE(""13KC70HngS4DDi8y9E5khtSpQEPG6owaQ9z4E-tR5mnY"","&amp;"""Non-Food!B2:B""),MATCH($B481,IMPORTRANGE(""13KC70HngS4DDi8y9E5khtSpQEPG6owaQ9z4E-tR5mnY"",""Non-Food!A2:A""),0))),"""")"),"")</f>
        <v/>
      </c>
      <c r="D481" s="15"/>
      <c r="E481" s="15"/>
      <c r="F481" s="36"/>
      <c r="G481" s="24" t="str">
        <f>IFERROR(__xludf.DUMMYFUNCTION("iferror(iferror(iferror(index(IMPORTRANGE(""1NK5L1mviMn0j3D3uo53ASkIZOFRlLnqaCTnwzOG2_Wg"",""Direct Link!B2:B""),MATCH($B481,IMPORTRANGE(""1NK5L1mviMn0j3D3uo53ASkIZOFRlLnqaCTnwzOG2_Wg"",""Direct Link!A2:A""),0)),XLOOKUP($B481,IMPORTRANGE(""1NK5L1mviMn0j3D"&amp;"3uo53ASkIZOFRlLnqaCTnwzOG2_Wg"",""Direct links Without Sizes!A2:A""),IMPORTRANGE(""1NK5L1mviMn0j3D3uo53ASkIZOFRlLnqaCTnwzOG2_Wg"",""Direct links Without Sizes!B2:B""))),XLOOKUP($B481,IMPORTRANGE(""1NK5L1mviMn0j3D3uo53ASkIZOFRlLnqaCTnwzOG2_Wg"",""Direct li"&amp;"nks Without Sizes!D2:D""),IMPORTRANGE(""1NK5L1mviMn0j3D3uo53ASkIZOFRlLnqaCTnwzOG2_Wg"",""Direct links Without Sizes!E2:E""))),"""")"),"")</f>
        <v/>
      </c>
      <c r="H481" s="41"/>
      <c r="I481" s="4"/>
      <c r="J481" s="4"/>
      <c r="K481" s="10" t="str">
        <f t="shared" si="1"/>
        <v/>
      </c>
      <c r="L481" s="10"/>
      <c r="M481" s="10" t="str">
        <f t="shared" si="2"/>
        <v/>
      </c>
    </row>
    <row r="482">
      <c r="A482" s="4"/>
      <c r="B482" s="15"/>
      <c r="C482" s="7" t="str">
        <f>IFERROR(__xludf.DUMMYFUNCTION("iferror(iferror(INDEX(IMPORTRANGE(""12vtnxaE_Q1s4tyr10kZQx7ZF_xG0lBFae4jQEUtgsMU"",""All!B2:B""),MATCH($B482,IMPORTRANGE(""12vtnxaE_Q1s4tyr10kZQx7ZF_xG0lBFae4jQEUtgsMU"",""All!A2:A""),0)),INDEX(IMPORTRANGE(""13KC70HngS4DDi8y9E5khtSpQEPG6owaQ9z4E-tR5mnY"","&amp;"""Non-Food!B2:B""),MATCH($B482,IMPORTRANGE(""13KC70HngS4DDi8y9E5khtSpQEPG6owaQ9z4E-tR5mnY"",""Non-Food!A2:A""),0))),"""")"),"")</f>
        <v/>
      </c>
      <c r="D482" s="15"/>
      <c r="E482" s="15"/>
      <c r="F482" s="36"/>
      <c r="G482" s="24" t="str">
        <f>IFERROR(__xludf.DUMMYFUNCTION("iferror(iferror(iferror(index(IMPORTRANGE(""1NK5L1mviMn0j3D3uo53ASkIZOFRlLnqaCTnwzOG2_Wg"",""Direct Link!B2:B""),MATCH($B482,IMPORTRANGE(""1NK5L1mviMn0j3D3uo53ASkIZOFRlLnqaCTnwzOG2_Wg"",""Direct Link!A2:A""),0)),XLOOKUP($B482,IMPORTRANGE(""1NK5L1mviMn0j3D"&amp;"3uo53ASkIZOFRlLnqaCTnwzOG2_Wg"",""Direct links Without Sizes!A2:A""),IMPORTRANGE(""1NK5L1mviMn0j3D3uo53ASkIZOFRlLnqaCTnwzOG2_Wg"",""Direct links Without Sizes!B2:B""))),XLOOKUP($B482,IMPORTRANGE(""1NK5L1mviMn0j3D3uo53ASkIZOFRlLnqaCTnwzOG2_Wg"",""Direct li"&amp;"nks Without Sizes!D2:D""),IMPORTRANGE(""1NK5L1mviMn0j3D3uo53ASkIZOFRlLnqaCTnwzOG2_Wg"",""Direct links Without Sizes!E2:E""))),"""")"),"")</f>
        <v/>
      </c>
      <c r="H482" s="41"/>
      <c r="I482" s="4"/>
      <c r="J482" s="4"/>
      <c r="K482" s="10" t="str">
        <f t="shared" si="1"/>
        <v/>
      </c>
      <c r="L482" s="10"/>
      <c r="M482" s="10" t="str">
        <f t="shared" si="2"/>
        <v/>
      </c>
    </row>
    <row r="483">
      <c r="A483" s="4"/>
      <c r="B483" s="15"/>
      <c r="C483" s="7" t="str">
        <f>IFERROR(__xludf.DUMMYFUNCTION("iferror(iferror(INDEX(IMPORTRANGE(""12vtnxaE_Q1s4tyr10kZQx7ZF_xG0lBFae4jQEUtgsMU"",""All!B2:B""),MATCH($B483,IMPORTRANGE(""12vtnxaE_Q1s4tyr10kZQx7ZF_xG0lBFae4jQEUtgsMU"",""All!A2:A""),0)),INDEX(IMPORTRANGE(""13KC70HngS4DDi8y9E5khtSpQEPG6owaQ9z4E-tR5mnY"","&amp;"""Non-Food!B2:B""),MATCH($B483,IMPORTRANGE(""13KC70HngS4DDi8y9E5khtSpQEPG6owaQ9z4E-tR5mnY"",""Non-Food!A2:A""),0))),"""")"),"")</f>
        <v/>
      </c>
      <c r="D483" s="15"/>
      <c r="E483" s="15"/>
      <c r="F483" s="36"/>
      <c r="G483" s="24" t="str">
        <f>IFERROR(__xludf.DUMMYFUNCTION("iferror(iferror(iferror(index(IMPORTRANGE(""1NK5L1mviMn0j3D3uo53ASkIZOFRlLnqaCTnwzOG2_Wg"",""Direct Link!B2:B""),MATCH($B483,IMPORTRANGE(""1NK5L1mviMn0j3D3uo53ASkIZOFRlLnqaCTnwzOG2_Wg"",""Direct Link!A2:A""),0)),XLOOKUP($B483,IMPORTRANGE(""1NK5L1mviMn0j3D"&amp;"3uo53ASkIZOFRlLnqaCTnwzOG2_Wg"",""Direct links Without Sizes!A2:A""),IMPORTRANGE(""1NK5L1mviMn0j3D3uo53ASkIZOFRlLnqaCTnwzOG2_Wg"",""Direct links Without Sizes!B2:B""))),XLOOKUP($B483,IMPORTRANGE(""1NK5L1mviMn0j3D3uo53ASkIZOFRlLnqaCTnwzOG2_Wg"",""Direct li"&amp;"nks Without Sizes!D2:D""),IMPORTRANGE(""1NK5L1mviMn0j3D3uo53ASkIZOFRlLnqaCTnwzOG2_Wg"",""Direct links Without Sizes!E2:E""))),"""")"),"")</f>
        <v/>
      </c>
      <c r="H483" s="41"/>
      <c r="I483" s="4"/>
      <c r="J483" s="4"/>
      <c r="K483" s="10" t="str">
        <f t="shared" si="1"/>
        <v/>
      </c>
      <c r="L483" s="10"/>
      <c r="M483" s="10" t="str">
        <f t="shared" si="2"/>
        <v/>
      </c>
    </row>
    <row r="484">
      <c r="A484" s="4"/>
      <c r="B484" s="15"/>
      <c r="C484" s="7" t="str">
        <f>IFERROR(__xludf.DUMMYFUNCTION("iferror(iferror(INDEX(IMPORTRANGE(""12vtnxaE_Q1s4tyr10kZQx7ZF_xG0lBFae4jQEUtgsMU"",""All!B2:B""),MATCH($B484,IMPORTRANGE(""12vtnxaE_Q1s4tyr10kZQx7ZF_xG0lBFae4jQEUtgsMU"",""All!A2:A""),0)),INDEX(IMPORTRANGE(""13KC70HngS4DDi8y9E5khtSpQEPG6owaQ9z4E-tR5mnY"","&amp;"""Non-Food!B2:B""),MATCH($B484,IMPORTRANGE(""13KC70HngS4DDi8y9E5khtSpQEPG6owaQ9z4E-tR5mnY"",""Non-Food!A2:A""),0))),"""")"),"")</f>
        <v/>
      </c>
      <c r="D484" s="15"/>
      <c r="E484" s="15"/>
      <c r="F484" s="36"/>
      <c r="G484" s="24" t="str">
        <f>IFERROR(__xludf.DUMMYFUNCTION("iferror(iferror(iferror(index(IMPORTRANGE(""1NK5L1mviMn0j3D3uo53ASkIZOFRlLnqaCTnwzOG2_Wg"",""Direct Link!B2:B""),MATCH($B484,IMPORTRANGE(""1NK5L1mviMn0j3D3uo53ASkIZOFRlLnqaCTnwzOG2_Wg"",""Direct Link!A2:A""),0)),XLOOKUP($B484,IMPORTRANGE(""1NK5L1mviMn0j3D"&amp;"3uo53ASkIZOFRlLnqaCTnwzOG2_Wg"",""Direct links Without Sizes!A2:A""),IMPORTRANGE(""1NK5L1mviMn0j3D3uo53ASkIZOFRlLnqaCTnwzOG2_Wg"",""Direct links Without Sizes!B2:B""))),XLOOKUP($B484,IMPORTRANGE(""1NK5L1mviMn0j3D3uo53ASkIZOFRlLnqaCTnwzOG2_Wg"",""Direct li"&amp;"nks Without Sizes!D2:D""),IMPORTRANGE(""1NK5L1mviMn0j3D3uo53ASkIZOFRlLnqaCTnwzOG2_Wg"",""Direct links Without Sizes!E2:E""))),"""")"),"")</f>
        <v/>
      </c>
      <c r="H484" s="41"/>
      <c r="I484" s="4"/>
      <c r="J484" s="4"/>
      <c r="K484" s="10" t="str">
        <f t="shared" si="1"/>
        <v/>
      </c>
      <c r="L484" s="10"/>
      <c r="M484" s="10" t="str">
        <f t="shared" si="2"/>
        <v/>
      </c>
    </row>
    <row r="485">
      <c r="A485" s="4"/>
      <c r="B485" s="15"/>
      <c r="C485" s="7" t="str">
        <f>IFERROR(__xludf.DUMMYFUNCTION("iferror(iferror(INDEX(IMPORTRANGE(""12vtnxaE_Q1s4tyr10kZQx7ZF_xG0lBFae4jQEUtgsMU"",""All!B2:B""),MATCH($B485,IMPORTRANGE(""12vtnxaE_Q1s4tyr10kZQx7ZF_xG0lBFae4jQEUtgsMU"",""All!A2:A""),0)),INDEX(IMPORTRANGE(""13KC70HngS4DDi8y9E5khtSpQEPG6owaQ9z4E-tR5mnY"","&amp;"""Non-Food!B2:B""),MATCH($B485,IMPORTRANGE(""13KC70HngS4DDi8y9E5khtSpQEPG6owaQ9z4E-tR5mnY"",""Non-Food!A2:A""),0))),"""")"),"")</f>
        <v/>
      </c>
      <c r="D485" s="15"/>
      <c r="E485" s="15"/>
      <c r="F485" s="36"/>
      <c r="G485" s="24" t="str">
        <f>IFERROR(__xludf.DUMMYFUNCTION("iferror(iferror(iferror(index(IMPORTRANGE(""1NK5L1mviMn0j3D3uo53ASkIZOFRlLnqaCTnwzOG2_Wg"",""Direct Link!B2:B""),MATCH($B485,IMPORTRANGE(""1NK5L1mviMn0j3D3uo53ASkIZOFRlLnqaCTnwzOG2_Wg"",""Direct Link!A2:A""),0)),XLOOKUP($B485,IMPORTRANGE(""1NK5L1mviMn0j3D"&amp;"3uo53ASkIZOFRlLnqaCTnwzOG2_Wg"",""Direct links Without Sizes!A2:A""),IMPORTRANGE(""1NK5L1mviMn0j3D3uo53ASkIZOFRlLnqaCTnwzOG2_Wg"",""Direct links Without Sizes!B2:B""))),XLOOKUP($B485,IMPORTRANGE(""1NK5L1mviMn0j3D3uo53ASkIZOFRlLnqaCTnwzOG2_Wg"",""Direct li"&amp;"nks Without Sizes!D2:D""),IMPORTRANGE(""1NK5L1mviMn0j3D3uo53ASkIZOFRlLnqaCTnwzOG2_Wg"",""Direct links Without Sizes!E2:E""))),"""")"),"")</f>
        <v/>
      </c>
      <c r="H485" s="41"/>
      <c r="I485" s="4"/>
      <c r="J485" s="4"/>
      <c r="K485" s="10" t="str">
        <f t="shared" si="1"/>
        <v/>
      </c>
      <c r="L485" s="10"/>
      <c r="M485" s="10" t="str">
        <f t="shared" si="2"/>
        <v/>
      </c>
    </row>
    <row r="486">
      <c r="A486" s="4"/>
      <c r="B486" s="15"/>
      <c r="C486" s="7" t="str">
        <f>IFERROR(__xludf.DUMMYFUNCTION("iferror(iferror(INDEX(IMPORTRANGE(""12vtnxaE_Q1s4tyr10kZQx7ZF_xG0lBFae4jQEUtgsMU"",""All!B2:B""),MATCH($B486,IMPORTRANGE(""12vtnxaE_Q1s4tyr10kZQx7ZF_xG0lBFae4jQEUtgsMU"",""All!A2:A""),0)),INDEX(IMPORTRANGE(""13KC70HngS4DDi8y9E5khtSpQEPG6owaQ9z4E-tR5mnY"","&amp;"""Non-Food!B2:B""),MATCH($B486,IMPORTRANGE(""13KC70HngS4DDi8y9E5khtSpQEPG6owaQ9z4E-tR5mnY"",""Non-Food!A2:A""),0))),"""")"),"")</f>
        <v/>
      </c>
      <c r="D486" s="15"/>
      <c r="E486" s="15"/>
      <c r="F486" s="36"/>
      <c r="G486" s="24" t="str">
        <f>IFERROR(__xludf.DUMMYFUNCTION("iferror(iferror(iferror(index(IMPORTRANGE(""1NK5L1mviMn0j3D3uo53ASkIZOFRlLnqaCTnwzOG2_Wg"",""Direct Link!B2:B""),MATCH($B486,IMPORTRANGE(""1NK5L1mviMn0j3D3uo53ASkIZOFRlLnqaCTnwzOG2_Wg"",""Direct Link!A2:A""),0)),XLOOKUP($B486,IMPORTRANGE(""1NK5L1mviMn0j3D"&amp;"3uo53ASkIZOFRlLnqaCTnwzOG2_Wg"",""Direct links Without Sizes!A2:A""),IMPORTRANGE(""1NK5L1mviMn0j3D3uo53ASkIZOFRlLnqaCTnwzOG2_Wg"",""Direct links Without Sizes!B2:B""))),XLOOKUP($B486,IMPORTRANGE(""1NK5L1mviMn0j3D3uo53ASkIZOFRlLnqaCTnwzOG2_Wg"",""Direct li"&amp;"nks Without Sizes!D2:D""),IMPORTRANGE(""1NK5L1mviMn0j3D3uo53ASkIZOFRlLnqaCTnwzOG2_Wg"",""Direct links Without Sizes!E2:E""))),"""")"),"")</f>
        <v/>
      </c>
      <c r="H486" s="41"/>
      <c r="I486" s="4"/>
      <c r="J486" s="4"/>
      <c r="K486" s="10" t="str">
        <f t="shared" si="1"/>
        <v/>
      </c>
      <c r="L486" s="10"/>
      <c r="M486" s="10" t="str">
        <f t="shared" si="2"/>
        <v/>
      </c>
    </row>
    <row r="487">
      <c r="A487" s="4"/>
      <c r="B487" s="15"/>
      <c r="C487" s="7" t="str">
        <f>IFERROR(__xludf.DUMMYFUNCTION("iferror(iferror(INDEX(IMPORTRANGE(""12vtnxaE_Q1s4tyr10kZQx7ZF_xG0lBFae4jQEUtgsMU"",""All!B2:B""),MATCH($B487,IMPORTRANGE(""12vtnxaE_Q1s4tyr10kZQx7ZF_xG0lBFae4jQEUtgsMU"",""All!A2:A""),0)),INDEX(IMPORTRANGE(""13KC70HngS4DDi8y9E5khtSpQEPG6owaQ9z4E-tR5mnY"","&amp;"""Non-Food!B2:B""),MATCH($B487,IMPORTRANGE(""13KC70HngS4DDi8y9E5khtSpQEPG6owaQ9z4E-tR5mnY"",""Non-Food!A2:A""),0))),"""")"),"")</f>
        <v/>
      </c>
      <c r="D487" s="15"/>
      <c r="E487" s="15"/>
      <c r="F487" s="36"/>
      <c r="G487" s="24" t="str">
        <f>IFERROR(__xludf.DUMMYFUNCTION("iferror(iferror(iferror(index(IMPORTRANGE(""1NK5L1mviMn0j3D3uo53ASkIZOFRlLnqaCTnwzOG2_Wg"",""Direct Link!B2:B""),MATCH($B487,IMPORTRANGE(""1NK5L1mviMn0j3D3uo53ASkIZOFRlLnqaCTnwzOG2_Wg"",""Direct Link!A2:A""),0)),XLOOKUP($B487,IMPORTRANGE(""1NK5L1mviMn0j3D"&amp;"3uo53ASkIZOFRlLnqaCTnwzOG2_Wg"",""Direct links Without Sizes!A2:A""),IMPORTRANGE(""1NK5L1mviMn0j3D3uo53ASkIZOFRlLnqaCTnwzOG2_Wg"",""Direct links Without Sizes!B2:B""))),XLOOKUP($B487,IMPORTRANGE(""1NK5L1mviMn0j3D3uo53ASkIZOFRlLnqaCTnwzOG2_Wg"",""Direct li"&amp;"nks Without Sizes!D2:D""),IMPORTRANGE(""1NK5L1mviMn0j3D3uo53ASkIZOFRlLnqaCTnwzOG2_Wg"",""Direct links Without Sizes!E2:E""))),"""")"),"")</f>
        <v/>
      </c>
      <c r="H487" s="41"/>
      <c r="I487" s="4"/>
      <c r="J487" s="4"/>
      <c r="K487" s="10" t="str">
        <f t="shared" si="1"/>
        <v/>
      </c>
      <c r="L487" s="10"/>
      <c r="M487" s="10" t="str">
        <f t="shared" si="2"/>
        <v/>
      </c>
    </row>
    <row r="488">
      <c r="A488" s="4"/>
      <c r="B488" s="15"/>
      <c r="C488" s="7" t="str">
        <f>IFERROR(__xludf.DUMMYFUNCTION("iferror(iferror(INDEX(IMPORTRANGE(""12vtnxaE_Q1s4tyr10kZQx7ZF_xG0lBFae4jQEUtgsMU"",""All!B2:B""),MATCH($B488,IMPORTRANGE(""12vtnxaE_Q1s4tyr10kZQx7ZF_xG0lBFae4jQEUtgsMU"",""All!A2:A""),0)),INDEX(IMPORTRANGE(""13KC70HngS4DDi8y9E5khtSpQEPG6owaQ9z4E-tR5mnY"","&amp;"""Non-Food!B2:B""),MATCH($B488,IMPORTRANGE(""13KC70HngS4DDi8y9E5khtSpQEPG6owaQ9z4E-tR5mnY"",""Non-Food!A2:A""),0))),"""")"),"")</f>
        <v/>
      </c>
      <c r="D488" s="15"/>
      <c r="E488" s="15"/>
      <c r="F488" s="36"/>
      <c r="G488" s="24" t="str">
        <f>IFERROR(__xludf.DUMMYFUNCTION("iferror(iferror(iferror(index(IMPORTRANGE(""1NK5L1mviMn0j3D3uo53ASkIZOFRlLnqaCTnwzOG2_Wg"",""Direct Link!B2:B""),MATCH($B488,IMPORTRANGE(""1NK5L1mviMn0j3D3uo53ASkIZOFRlLnqaCTnwzOG2_Wg"",""Direct Link!A2:A""),0)),XLOOKUP($B488,IMPORTRANGE(""1NK5L1mviMn0j3D"&amp;"3uo53ASkIZOFRlLnqaCTnwzOG2_Wg"",""Direct links Without Sizes!A2:A""),IMPORTRANGE(""1NK5L1mviMn0j3D3uo53ASkIZOFRlLnqaCTnwzOG2_Wg"",""Direct links Without Sizes!B2:B""))),XLOOKUP($B488,IMPORTRANGE(""1NK5L1mviMn0j3D3uo53ASkIZOFRlLnqaCTnwzOG2_Wg"",""Direct li"&amp;"nks Without Sizes!D2:D""),IMPORTRANGE(""1NK5L1mviMn0j3D3uo53ASkIZOFRlLnqaCTnwzOG2_Wg"",""Direct links Without Sizes!E2:E""))),"""")"),"")</f>
        <v/>
      </c>
      <c r="H488" s="41"/>
      <c r="I488" s="4"/>
      <c r="J488" s="4"/>
      <c r="K488" s="10" t="str">
        <f t="shared" si="1"/>
        <v/>
      </c>
      <c r="L488" s="10"/>
      <c r="M488" s="10" t="str">
        <f t="shared" si="2"/>
        <v/>
      </c>
    </row>
    <row r="489">
      <c r="A489" s="4"/>
      <c r="B489" s="15"/>
      <c r="C489" s="7" t="str">
        <f>IFERROR(__xludf.DUMMYFUNCTION("iferror(iferror(INDEX(IMPORTRANGE(""12vtnxaE_Q1s4tyr10kZQx7ZF_xG0lBFae4jQEUtgsMU"",""All!B2:B""),MATCH($B489,IMPORTRANGE(""12vtnxaE_Q1s4tyr10kZQx7ZF_xG0lBFae4jQEUtgsMU"",""All!A2:A""),0)),INDEX(IMPORTRANGE(""13KC70HngS4DDi8y9E5khtSpQEPG6owaQ9z4E-tR5mnY"","&amp;"""Non-Food!B2:B""),MATCH($B489,IMPORTRANGE(""13KC70HngS4DDi8y9E5khtSpQEPG6owaQ9z4E-tR5mnY"",""Non-Food!A2:A""),0))),"""")"),"")</f>
        <v/>
      </c>
      <c r="D489" s="15"/>
      <c r="E489" s="15"/>
      <c r="F489" s="36"/>
      <c r="G489" s="24" t="str">
        <f>IFERROR(__xludf.DUMMYFUNCTION("iferror(iferror(iferror(index(IMPORTRANGE(""1NK5L1mviMn0j3D3uo53ASkIZOFRlLnqaCTnwzOG2_Wg"",""Direct Link!B2:B""),MATCH($B489,IMPORTRANGE(""1NK5L1mviMn0j3D3uo53ASkIZOFRlLnqaCTnwzOG2_Wg"",""Direct Link!A2:A""),0)),XLOOKUP($B489,IMPORTRANGE(""1NK5L1mviMn0j3D"&amp;"3uo53ASkIZOFRlLnqaCTnwzOG2_Wg"",""Direct links Without Sizes!A2:A""),IMPORTRANGE(""1NK5L1mviMn0j3D3uo53ASkIZOFRlLnqaCTnwzOG2_Wg"",""Direct links Without Sizes!B2:B""))),XLOOKUP($B489,IMPORTRANGE(""1NK5L1mviMn0j3D3uo53ASkIZOFRlLnqaCTnwzOG2_Wg"",""Direct li"&amp;"nks Without Sizes!D2:D""),IMPORTRANGE(""1NK5L1mviMn0j3D3uo53ASkIZOFRlLnqaCTnwzOG2_Wg"",""Direct links Without Sizes!E2:E""))),"""")"),"")</f>
        <v/>
      </c>
      <c r="H489" s="41"/>
      <c r="I489" s="4"/>
      <c r="J489" s="4"/>
      <c r="K489" s="10" t="str">
        <f t="shared" si="1"/>
        <v/>
      </c>
      <c r="L489" s="10"/>
      <c r="M489" s="10" t="str">
        <f t="shared" si="2"/>
        <v/>
      </c>
    </row>
    <row r="490">
      <c r="A490" s="4"/>
      <c r="B490" s="15"/>
      <c r="C490" s="7" t="str">
        <f>IFERROR(__xludf.DUMMYFUNCTION("iferror(iferror(INDEX(IMPORTRANGE(""12vtnxaE_Q1s4tyr10kZQx7ZF_xG0lBFae4jQEUtgsMU"",""All!B2:B""),MATCH($B490,IMPORTRANGE(""12vtnxaE_Q1s4tyr10kZQx7ZF_xG0lBFae4jQEUtgsMU"",""All!A2:A""),0)),INDEX(IMPORTRANGE(""13KC70HngS4DDi8y9E5khtSpQEPG6owaQ9z4E-tR5mnY"","&amp;"""Non-Food!B2:B""),MATCH($B490,IMPORTRANGE(""13KC70HngS4DDi8y9E5khtSpQEPG6owaQ9z4E-tR5mnY"",""Non-Food!A2:A""),0))),"""")"),"")</f>
        <v/>
      </c>
      <c r="D490" s="15"/>
      <c r="E490" s="15"/>
      <c r="F490" s="36"/>
      <c r="G490" s="24" t="str">
        <f>IFERROR(__xludf.DUMMYFUNCTION("iferror(iferror(iferror(index(IMPORTRANGE(""1NK5L1mviMn0j3D3uo53ASkIZOFRlLnqaCTnwzOG2_Wg"",""Direct Link!B2:B""),MATCH($B490,IMPORTRANGE(""1NK5L1mviMn0j3D3uo53ASkIZOFRlLnqaCTnwzOG2_Wg"",""Direct Link!A2:A""),0)),XLOOKUP($B490,IMPORTRANGE(""1NK5L1mviMn0j3D"&amp;"3uo53ASkIZOFRlLnqaCTnwzOG2_Wg"",""Direct links Without Sizes!A2:A""),IMPORTRANGE(""1NK5L1mviMn0j3D3uo53ASkIZOFRlLnqaCTnwzOG2_Wg"",""Direct links Without Sizes!B2:B""))),XLOOKUP($B490,IMPORTRANGE(""1NK5L1mviMn0j3D3uo53ASkIZOFRlLnqaCTnwzOG2_Wg"",""Direct li"&amp;"nks Without Sizes!D2:D""),IMPORTRANGE(""1NK5L1mviMn0j3D3uo53ASkIZOFRlLnqaCTnwzOG2_Wg"",""Direct links Without Sizes!E2:E""))),"""")"),"")</f>
        <v/>
      </c>
      <c r="H490" s="41"/>
      <c r="I490" s="4"/>
      <c r="J490" s="4"/>
      <c r="K490" s="10" t="str">
        <f t="shared" si="1"/>
        <v/>
      </c>
      <c r="L490" s="10"/>
      <c r="M490" s="10" t="str">
        <f t="shared" si="2"/>
        <v/>
      </c>
    </row>
    <row r="491">
      <c r="A491" s="4"/>
      <c r="B491" s="15"/>
      <c r="C491" s="7" t="str">
        <f>IFERROR(__xludf.DUMMYFUNCTION("iferror(iferror(INDEX(IMPORTRANGE(""12vtnxaE_Q1s4tyr10kZQx7ZF_xG0lBFae4jQEUtgsMU"",""All!B2:B""),MATCH($B491,IMPORTRANGE(""12vtnxaE_Q1s4tyr10kZQx7ZF_xG0lBFae4jQEUtgsMU"",""All!A2:A""),0)),INDEX(IMPORTRANGE(""13KC70HngS4DDi8y9E5khtSpQEPG6owaQ9z4E-tR5mnY"","&amp;"""Non-Food!B2:B""),MATCH($B491,IMPORTRANGE(""13KC70HngS4DDi8y9E5khtSpQEPG6owaQ9z4E-tR5mnY"",""Non-Food!A2:A""),0))),"""")"),"")</f>
        <v/>
      </c>
      <c r="D491" s="15"/>
      <c r="E491" s="15"/>
      <c r="F491" s="36"/>
      <c r="G491" s="24" t="str">
        <f>IFERROR(__xludf.DUMMYFUNCTION("iferror(iferror(iferror(index(IMPORTRANGE(""1NK5L1mviMn0j3D3uo53ASkIZOFRlLnqaCTnwzOG2_Wg"",""Direct Link!B2:B""),MATCH($B491,IMPORTRANGE(""1NK5L1mviMn0j3D3uo53ASkIZOFRlLnqaCTnwzOG2_Wg"",""Direct Link!A2:A""),0)),XLOOKUP($B491,IMPORTRANGE(""1NK5L1mviMn0j3D"&amp;"3uo53ASkIZOFRlLnqaCTnwzOG2_Wg"",""Direct links Without Sizes!A2:A""),IMPORTRANGE(""1NK5L1mviMn0j3D3uo53ASkIZOFRlLnqaCTnwzOG2_Wg"",""Direct links Without Sizes!B2:B""))),XLOOKUP($B491,IMPORTRANGE(""1NK5L1mviMn0j3D3uo53ASkIZOFRlLnqaCTnwzOG2_Wg"",""Direct li"&amp;"nks Without Sizes!D2:D""),IMPORTRANGE(""1NK5L1mviMn0j3D3uo53ASkIZOFRlLnqaCTnwzOG2_Wg"",""Direct links Without Sizes!E2:E""))),"""")"),"")</f>
        <v/>
      </c>
      <c r="H491" s="41"/>
      <c r="I491" s="4"/>
      <c r="J491" s="4"/>
      <c r="K491" s="10" t="str">
        <f t="shared" si="1"/>
        <v/>
      </c>
      <c r="L491" s="10"/>
      <c r="M491" s="10" t="str">
        <f t="shared" si="2"/>
        <v/>
      </c>
    </row>
    <row r="492">
      <c r="A492" s="4"/>
      <c r="B492" s="15"/>
      <c r="C492" s="7" t="str">
        <f>IFERROR(__xludf.DUMMYFUNCTION("iferror(iferror(INDEX(IMPORTRANGE(""12vtnxaE_Q1s4tyr10kZQx7ZF_xG0lBFae4jQEUtgsMU"",""All!B2:B""),MATCH($B492,IMPORTRANGE(""12vtnxaE_Q1s4tyr10kZQx7ZF_xG0lBFae4jQEUtgsMU"",""All!A2:A""),0)),INDEX(IMPORTRANGE(""13KC70HngS4DDi8y9E5khtSpQEPG6owaQ9z4E-tR5mnY"","&amp;"""Non-Food!B2:B""),MATCH($B492,IMPORTRANGE(""13KC70HngS4DDi8y9E5khtSpQEPG6owaQ9z4E-tR5mnY"",""Non-Food!A2:A""),0))),"""")"),"")</f>
        <v/>
      </c>
      <c r="D492" s="15"/>
      <c r="E492" s="15"/>
      <c r="F492" s="36"/>
      <c r="G492" s="24" t="str">
        <f>IFERROR(__xludf.DUMMYFUNCTION("iferror(iferror(iferror(index(IMPORTRANGE(""1NK5L1mviMn0j3D3uo53ASkIZOFRlLnqaCTnwzOG2_Wg"",""Direct Link!B2:B""),MATCH($B492,IMPORTRANGE(""1NK5L1mviMn0j3D3uo53ASkIZOFRlLnqaCTnwzOG2_Wg"",""Direct Link!A2:A""),0)),XLOOKUP($B492,IMPORTRANGE(""1NK5L1mviMn0j3D"&amp;"3uo53ASkIZOFRlLnqaCTnwzOG2_Wg"",""Direct links Without Sizes!A2:A""),IMPORTRANGE(""1NK5L1mviMn0j3D3uo53ASkIZOFRlLnqaCTnwzOG2_Wg"",""Direct links Without Sizes!B2:B""))),XLOOKUP($B492,IMPORTRANGE(""1NK5L1mviMn0j3D3uo53ASkIZOFRlLnqaCTnwzOG2_Wg"",""Direct li"&amp;"nks Without Sizes!D2:D""),IMPORTRANGE(""1NK5L1mviMn0j3D3uo53ASkIZOFRlLnqaCTnwzOG2_Wg"",""Direct links Without Sizes!E2:E""))),"""")"),"")</f>
        <v/>
      </c>
      <c r="H492" s="41"/>
      <c r="I492" s="4"/>
      <c r="J492" s="4"/>
      <c r="K492" s="10" t="str">
        <f t="shared" si="1"/>
        <v/>
      </c>
      <c r="L492" s="10"/>
      <c r="M492" s="10" t="str">
        <f t="shared" si="2"/>
        <v/>
      </c>
    </row>
    <row r="493">
      <c r="A493" s="4"/>
      <c r="B493" s="15"/>
      <c r="C493" s="7" t="str">
        <f>IFERROR(__xludf.DUMMYFUNCTION("iferror(iferror(INDEX(IMPORTRANGE(""12vtnxaE_Q1s4tyr10kZQx7ZF_xG0lBFae4jQEUtgsMU"",""All!B2:B""),MATCH($B493,IMPORTRANGE(""12vtnxaE_Q1s4tyr10kZQx7ZF_xG0lBFae4jQEUtgsMU"",""All!A2:A""),0)),INDEX(IMPORTRANGE(""13KC70HngS4DDi8y9E5khtSpQEPG6owaQ9z4E-tR5mnY"","&amp;"""Non-Food!B2:B""),MATCH($B493,IMPORTRANGE(""13KC70HngS4DDi8y9E5khtSpQEPG6owaQ9z4E-tR5mnY"",""Non-Food!A2:A""),0))),"""")"),"")</f>
        <v/>
      </c>
      <c r="D493" s="15"/>
      <c r="E493" s="15"/>
      <c r="F493" s="36"/>
      <c r="G493" s="24" t="str">
        <f>IFERROR(__xludf.DUMMYFUNCTION("iferror(iferror(iferror(index(IMPORTRANGE(""1NK5L1mviMn0j3D3uo53ASkIZOFRlLnqaCTnwzOG2_Wg"",""Direct Link!B2:B""),MATCH($B493,IMPORTRANGE(""1NK5L1mviMn0j3D3uo53ASkIZOFRlLnqaCTnwzOG2_Wg"",""Direct Link!A2:A""),0)),XLOOKUP($B493,IMPORTRANGE(""1NK5L1mviMn0j3D"&amp;"3uo53ASkIZOFRlLnqaCTnwzOG2_Wg"",""Direct links Without Sizes!A2:A""),IMPORTRANGE(""1NK5L1mviMn0j3D3uo53ASkIZOFRlLnqaCTnwzOG2_Wg"",""Direct links Without Sizes!B2:B""))),XLOOKUP($B493,IMPORTRANGE(""1NK5L1mviMn0j3D3uo53ASkIZOFRlLnqaCTnwzOG2_Wg"",""Direct li"&amp;"nks Without Sizes!D2:D""),IMPORTRANGE(""1NK5L1mviMn0j3D3uo53ASkIZOFRlLnqaCTnwzOG2_Wg"",""Direct links Without Sizes!E2:E""))),"""")"),"")</f>
        <v/>
      </c>
      <c r="H493" s="41"/>
      <c r="I493" s="4"/>
      <c r="J493" s="4"/>
      <c r="K493" s="10" t="str">
        <f t="shared" si="1"/>
        <v/>
      </c>
      <c r="L493" s="10"/>
      <c r="M493" s="10" t="str">
        <f t="shared" si="2"/>
        <v/>
      </c>
    </row>
    <row r="494">
      <c r="A494" s="4"/>
      <c r="B494" s="15"/>
      <c r="C494" s="7" t="str">
        <f>IFERROR(__xludf.DUMMYFUNCTION("iferror(iferror(INDEX(IMPORTRANGE(""12vtnxaE_Q1s4tyr10kZQx7ZF_xG0lBFae4jQEUtgsMU"",""All!B2:B""),MATCH($B494,IMPORTRANGE(""12vtnxaE_Q1s4tyr10kZQx7ZF_xG0lBFae4jQEUtgsMU"",""All!A2:A""),0)),INDEX(IMPORTRANGE(""13KC70HngS4DDi8y9E5khtSpQEPG6owaQ9z4E-tR5mnY"","&amp;"""Non-Food!B2:B""),MATCH($B494,IMPORTRANGE(""13KC70HngS4DDi8y9E5khtSpQEPG6owaQ9z4E-tR5mnY"",""Non-Food!A2:A""),0))),"""")"),"")</f>
        <v/>
      </c>
      <c r="D494" s="15"/>
      <c r="E494" s="15"/>
      <c r="F494" s="36"/>
      <c r="G494" s="24" t="str">
        <f>IFERROR(__xludf.DUMMYFUNCTION("iferror(iferror(iferror(index(IMPORTRANGE(""1NK5L1mviMn0j3D3uo53ASkIZOFRlLnqaCTnwzOG2_Wg"",""Direct Link!B2:B""),MATCH($B494,IMPORTRANGE(""1NK5L1mviMn0j3D3uo53ASkIZOFRlLnqaCTnwzOG2_Wg"",""Direct Link!A2:A""),0)),XLOOKUP($B494,IMPORTRANGE(""1NK5L1mviMn0j3D"&amp;"3uo53ASkIZOFRlLnqaCTnwzOG2_Wg"",""Direct links Without Sizes!A2:A""),IMPORTRANGE(""1NK5L1mviMn0j3D3uo53ASkIZOFRlLnqaCTnwzOG2_Wg"",""Direct links Without Sizes!B2:B""))),XLOOKUP($B494,IMPORTRANGE(""1NK5L1mviMn0j3D3uo53ASkIZOFRlLnqaCTnwzOG2_Wg"",""Direct li"&amp;"nks Without Sizes!D2:D""),IMPORTRANGE(""1NK5L1mviMn0j3D3uo53ASkIZOFRlLnqaCTnwzOG2_Wg"",""Direct links Without Sizes!E2:E""))),"""")"),"")</f>
        <v/>
      </c>
      <c r="H494" s="41"/>
      <c r="I494" s="4"/>
      <c r="J494" s="4"/>
      <c r="K494" s="10" t="str">
        <f t="shared" si="1"/>
        <v/>
      </c>
      <c r="L494" s="10"/>
      <c r="M494" s="10" t="str">
        <f t="shared" si="2"/>
        <v/>
      </c>
    </row>
    <row r="495">
      <c r="A495" s="4"/>
      <c r="B495" s="15"/>
      <c r="C495" s="7" t="str">
        <f>IFERROR(__xludf.DUMMYFUNCTION("iferror(iferror(INDEX(IMPORTRANGE(""12vtnxaE_Q1s4tyr10kZQx7ZF_xG0lBFae4jQEUtgsMU"",""All!B2:B""),MATCH($B495,IMPORTRANGE(""12vtnxaE_Q1s4tyr10kZQx7ZF_xG0lBFae4jQEUtgsMU"",""All!A2:A""),0)),INDEX(IMPORTRANGE(""13KC70HngS4DDi8y9E5khtSpQEPG6owaQ9z4E-tR5mnY"","&amp;"""Non-Food!B2:B""),MATCH($B495,IMPORTRANGE(""13KC70HngS4DDi8y9E5khtSpQEPG6owaQ9z4E-tR5mnY"",""Non-Food!A2:A""),0))),"""")"),"")</f>
        <v/>
      </c>
      <c r="D495" s="15"/>
      <c r="E495" s="15"/>
      <c r="F495" s="36"/>
      <c r="G495" s="24" t="str">
        <f>IFERROR(__xludf.DUMMYFUNCTION("iferror(iferror(iferror(index(IMPORTRANGE(""1NK5L1mviMn0j3D3uo53ASkIZOFRlLnqaCTnwzOG2_Wg"",""Direct Link!B2:B""),MATCH($B495,IMPORTRANGE(""1NK5L1mviMn0j3D3uo53ASkIZOFRlLnqaCTnwzOG2_Wg"",""Direct Link!A2:A""),0)),XLOOKUP($B495,IMPORTRANGE(""1NK5L1mviMn0j3D"&amp;"3uo53ASkIZOFRlLnqaCTnwzOG2_Wg"",""Direct links Without Sizes!A2:A""),IMPORTRANGE(""1NK5L1mviMn0j3D3uo53ASkIZOFRlLnqaCTnwzOG2_Wg"",""Direct links Without Sizes!B2:B""))),XLOOKUP($B495,IMPORTRANGE(""1NK5L1mviMn0j3D3uo53ASkIZOFRlLnqaCTnwzOG2_Wg"",""Direct li"&amp;"nks Without Sizes!D2:D""),IMPORTRANGE(""1NK5L1mviMn0j3D3uo53ASkIZOFRlLnqaCTnwzOG2_Wg"",""Direct links Without Sizes!E2:E""))),"""")"),"")</f>
        <v/>
      </c>
      <c r="H495" s="41"/>
      <c r="I495" s="4"/>
      <c r="J495" s="4"/>
      <c r="K495" s="10" t="str">
        <f t="shared" si="1"/>
        <v/>
      </c>
      <c r="L495" s="10"/>
      <c r="M495" s="10" t="str">
        <f t="shared" si="2"/>
        <v/>
      </c>
    </row>
    <row r="496">
      <c r="A496" s="4"/>
      <c r="B496" s="15"/>
      <c r="C496" s="7" t="str">
        <f>IFERROR(__xludf.DUMMYFUNCTION("iferror(iferror(INDEX(IMPORTRANGE(""12vtnxaE_Q1s4tyr10kZQx7ZF_xG0lBFae4jQEUtgsMU"",""All!B2:B""),MATCH($B496,IMPORTRANGE(""12vtnxaE_Q1s4tyr10kZQx7ZF_xG0lBFae4jQEUtgsMU"",""All!A2:A""),0)),INDEX(IMPORTRANGE(""13KC70HngS4DDi8y9E5khtSpQEPG6owaQ9z4E-tR5mnY"","&amp;"""Non-Food!B2:B""),MATCH($B496,IMPORTRANGE(""13KC70HngS4DDi8y9E5khtSpQEPG6owaQ9z4E-tR5mnY"",""Non-Food!A2:A""),0))),"""")"),"")</f>
        <v/>
      </c>
      <c r="D496" s="15"/>
      <c r="E496" s="15"/>
      <c r="F496" s="36"/>
      <c r="G496" s="24" t="str">
        <f>IFERROR(__xludf.DUMMYFUNCTION("iferror(iferror(iferror(index(IMPORTRANGE(""1NK5L1mviMn0j3D3uo53ASkIZOFRlLnqaCTnwzOG2_Wg"",""Direct Link!B2:B""),MATCH($B496,IMPORTRANGE(""1NK5L1mviMn0j3D3uo53ASkIZOFRlLnqaCTnwzOG2_Wg"",""Direct Link!A2:A""),0)),XLOOKUP($B496,IMPORTRANGE(""1NK5L1mviMn0j3D"&amp;"3uo53ASkIZOFRlLnqaCTnwzOG2_Wg"",""Direct links Without Sizes!A2:A""),IMPORTRANGE(""1NK5L1mviMn0j3D3uo53ASkIZOFRlLnqaCTnwzOG2_Wg"",""Direct links Without Sizes!B2:B""))),XLOOKUP($B496,IMPORTRANGE(""1NK5L1mviMn0j3D3uo53ASkIZOFRlLnqaCTnwzOG2_Wg"",""Direct li"&amp;"nks Without Sizes!D2:D""),IMPORTRANGE(""1NK5L1mviMn0j3D3uo53ASkIZOFRlLnqaCTnwzOG2_Wg"",""Direct links Without Sizes!E2:E""))),"""")"),"")</f>
        <v/>
      </c>
      <c r="H496" s="41"/>
      <c r="I496" s="4"/>
      <c r="J496" s="4"/>
      <c r="K496" s="10" t="str">
        <f t="shared" si="1"/>
        <v/>
      </c>
      <c r="L496" s="10"/>
      <c r="M496" s="10" t="str">
        <f t="shared" si="2"/>
        <v/>
      </c>
    </row>
    <row r="497">
      <c r="A497" s="4"/>
      <c r="B497" s="15"/>
      <c r="C497" s="7" t="str">
        <f>IFERROR(__xludf.DUMMYFUNCTION("iferror(iferror(INDEX(IMPORTRANGE(""12vtnxaE_Q1s4tyr10kZQx7ZF_xG0lBFae4jQEUtgsMU"",""All!B2:B""),MATCH($B497,IMPORTRANGE(""12vtnxaE_Q1s4tyr10kZQx7ZF_xG0lBFae4jQEUtgsMU"",""All!A2:A""),0)),INDEX(IMPORTRANGE(""13KC70HngS4DDi8y9E5khtSpQEPG6owaQ9z4E-tR5mnY"","&amp;"""Non-Food!B2:B""),MATCH($B497,IMPORTRANGE(""13KC70HngS4DDi8y9E5khtSpQEPG6owaQ9z4E-tR5mnY"",""Non-Food!A2:A""),0))),"""")"),"")</f>
        <v/>
      </c>
      <c r="D497" s="15"/>
      <c r="E497" s="15"/>
      <c r="F497" s="36"/>
      <c r="G497" s="24" t="str">
        <f>IFERROR(__xludf.DUMMYFUNCTION("iferror(iferror(iferror(index(IMPORTRANGE(""1NK5L1mviMn0j3D3uo53ASkIZOFRlLnqaCTnwzOG2_Wg"",""Direct Link!B2:B""),MATCH($B497,IMPORTRANGE(""1NK5L1mviMn0j3D3uo53ASkIZOFRlLnqaCTnwzOG2_Wg"",""Direct Link!A2:A""),0)),XLOOKUP($B497,IMPORTRANGE(""1NK5L1mviMn0j3D"&amp;"3uo53ASkIZOFRlLnqaCTnwzOG2_Wg"",""Direct links Without Sizes!A2:A""),IMPORTRANGE(""1NK5L1mviMn0j3D3uo53ASkIZOFRlLnqaCTnwzOG2_Wg"",""Direct links Without Sizes!B2:B""))),XLOOKUP($B497,IMPORTRANGE(""1NK5L1mviMn0j3D3uo53ASkIZOFRlLnqaCTnwzOG2_Wg"",""Direct li"&amp;"nks Without Sizes!D2:D""),IMPORTRANGE(""1NK5L1mviMn0j3D3uo53ASkIZOFRlLnqaCTnwzOG2_Wg"",""Direct links Without Sizes!E2:E""))),"""")"),"")</f>
        <v/>
      </c>
      <c r="H497" s="41"/>
      <c r="I497" s="4"/>
      <c r="J497" s="4"/>
      <c r="K497" s="10" t="str">
        <f t="shared" si="1"/>
        <v/>
      </c>
      <c r="L497" s="10"/>
      <c r="M497" s="10" t="str">
        <f t="shared" si="2"/>
        <v/>
      </c>
    </row>
    <row r="498">
      <c r="A498" s="4"/>
      <c r="B498" s="15"/>
      <c r="C498" s="7" t="str">
        <f>IFERROR(__xludf.DUMMYFUNCTION("iferror(iferror(INDEX(IMPORTRANGE(""12vtnxaE_Q1s4tyr10kZQx7ZF_xG0lBFae4jQEUtgsMU"",""All!B2:B""),MATCH($B498,IMPORTRANGE(""12vtnxaE_Q1s4tyr10kZQx7ZF_xG0lBFae4jQEUtgsMU"",""All!A2:A""),0)),INDEX(IMPORTRANGE(""13KC70HngS4DDi8y9E5khtSpQEPG6owaQ9z4E-tR5mnY"","&amp;"""Non-Food!B2:B""),MATCH($B498,IMPORTRANGE(""13KC70HngS4DDi8y9E5khtSpQEPG6owaQ9z4E-tR5mnY"",""Non-Food!A2:A""),0))),"""")"),"")</f>
        <v/>
      </c>
      <c r="D498" s="15"/>
      <c r="E498" s="15"/>
      <c r="F498" s="36"/>
      <c r="G498" s="24" t="str">
        <f>IFERROR(__xludf.DUMMYFUNCTION("iferror(iferror(iferror(index(IMPORTRANGE(""1NK5L1mviMn0j3D3uo53ASkIZOFRlLnqaCTnwzOG2_Wg"",""Direct Link!B2:B""),MATCH($B498,IMPORTRANGE(""1NK5L1mviMn0j3D3uo53ASkIZOFRlLnqaCTnwzOG2_Wg"",""Direct Link!A2:A""),0)),XLOOKUP($B498,IMPORTRANGE(""1NK5L1mviMn0j3D"&amp;"3uo53ASkIZOFRlLnqaCTnwzOG2_Wg"",""Direct links Without Sizes!A2:A""),IMPORTRANGE(""1NK5L1mviMn0j3D3uo53ASkIZOFRlLnqaCTnwzOG2_Wg"",""Direct links Without Sizes!B2:B""))),XLOOKUP($B498,IMPORTRANGE(""1NK5L1mviMn0j3D3uo53ASkIZOFRlLnqaCTnwzOG2_Wg"",""Direct li"&amp;"nks Without Sizes!D2:D""),IMPORTRANGE(""1NK5L1mviMn0j3D3uo53ASkIZOFRlLnqaCTnwzOG2_Wg"",""Direct links Without Sizes!E2:E""))),"""")"),"")</f>
        <v/>
      </c>
      <c r="H498" s="41"/>
      <c r="I498" s="4"/>
      <c r="J498" s="4"/>
      <c r="K498" s="10" t="str">
        <f t="shared" si="1"/>
        <v/>
      </c>
      <c r="L498" s="10"/>
      <c r="M498" s="10" t="str">
        <f t="shared" si="2"/>
        <v/>
      </c>
    </row>
    <row r="499">
      <c r="A499" s="4"/>
      <c r="B499" s="15"/>
      <c r="C499" s="7" t="str">
        <f>IFERROR(__xludf.DUMMYFUNCTION("iferror(iferror(INDEX(IMPORTRANGE(""12vtnxaE_Q1s4tyr10kZQx7ZF_xG0lBFae4jQEUtgsMU"",""All!B2:B""),MATCH($B499,IMPORTRANGE(""12vtnxaE_Q1s4tyr10kZQx7ZF_xG0lBFae4jQEUtgsMU"",""All!A2:A""),0)),INDEX(IMPORTRANGE(""13KC70HngS4DDi8y9E5khtSpQEPG6owaQ9z4E-tR5mnY"","&amp;"""Non-Food!B2:B""),MATCH($B499,IMPORTRANGE(""13KC70HngS4DDi8y9E5khtSpQEPG6owaQ9z4E-tR5mnY"",""Non-Food!A2:A""),0))),"""")"),"")</f>
        <v/>
      </c>
      <c r="D499" s="15"/>
      <c r="E499" s="15"/>
      <c r="F499" s="36"/>
      <c r="G499" s="24" t="str">
        <f>IFERROR(__xludf.DUMMYFUNCTION("iferror(iferror(iferror(index(IMPORTRANGE(""1NK5L1mviMn0j3D3uo53ASkIZOFRlLnqaCTnwzOG2_Wg"",""Direct Link!B2:B""),MATCH($B499,IMPORTRANGE(""1NK5L1mviMn0j3D3uo53ASkIZOFRlLnqaCTnwzOG2_Wg"",""Direct Link!A2:A""),0)),XLOOKUP($B499,IMPORTRANGE(""1NK5L1mviMn0j3D"&amp;"3uo53ASkIZOFRlLnqaCTnwzOG2_Wg"",""Direct links Without Sizes!A2:A""),IMPORTRANGE(""1NK5L1mviMn0j3D3uo53ASkIZOFRlLnqaCTnwzOG2_Wg"",""Direct links Without Sizes!B2:B""))),XLOOKUP($B499,IMPORTRANGE(""1NK5L1mviMn0j3D3uo53ASkIZOFRlLnqaCTnwzOG2_Wg"",""Direct li"&amp;"nks Without Sizes!D2:D""),IMPORTRANGE(""1NK5L1mviMn0j3D3uo53ASkIZOFRlLnqaCTnwzOG2_Wg"",""Direct links Without Sizes!E2:E""))),"""")"),"")</f>
        <v/>
      </c>
      <c r="H499" s="41"/>
      <c r="I499" s="4"/>
      <c r="J499" s="4"/>
      <c r="K499" s="10" t="str">
        <f t="shared" si="1"/>
        <v/>
      </c>
      <c r="L499" s="10"/>
      <c r="M499" s="10" t="str">
        <f t="shared" si="2"/>
        <v/>
      </c>
    </row>
    <row r="500">
      <c r="A500" s="4"/>
      <c r="B500" s="15"/>
      <c r="C500" s="7" t="str">
        <f>IFERROR(__xludf.DUMMYFUNCTION("iferror(iferror(INDEX(IMPORTRANGE(""12vtnxaE_Q1s4tyr10kZQx7ZF_xG0lBFae4jQEUtgsMU"",""All!B2:B""),MATCH($B500,IMPORTRANGE(""12vtnxaE_Q1s4tyr10kZQx7ZF_xG0lBFae4jQEUtgsMU"",""All!A2:A""),0)),INDEX(IMPORTRANGE(""13KC70HngS4DDi8y9E5khtSpQEPG6owaQ9z4E-tR5mnY"","&amp;"""Non-Food!B2:B""),MATCH($B500,IMPORTRANGE(""13KC70HngS4DDi8y9E5khtSpQEPG6owaQ9z4E-tR5mnY"",""Non-Food!A2:A""),0))),"""")"),"")</f>
        <v/>
      </c>
      <c r="D500" s="15"/>
      <c r="E500" s="15"/>
      <c r="F500" s="36"/>
      <c r="G500" s="24" t="str">
        <f>IFERROR(__xludf.DUMMYFUNCTION("iferror(iferror(iferror(index(IMPORTRANGE(""1NK5L1mviMn0j3D3uo53ASkIZOFRlLnqaCTnwzOG2_Wg"",""Direct Link!B2:B""),MATCH($B500,IMPORTRANGE(""1NK5L1mviMn0j3D3uo53ASkIZOFRlLnqaCTnwzOG2_Wg"",""Direct Link!A2:A""),0)),XLOOKUP($B500,IMPORTRANGE(""1NK5L1mviMn0j3D"&amp;"3uo53ASkIZOFRlLnqaCTnwzOG2_Wg"",""Direct links Without Sizes!A2:A""),IMPORTRANGE(""1NK5L1mviMn0j3D3uo53ASkIZOFRlLnqaCTnwzOG2_Wg"",""Direct links Without Sizes!B2:B""))),XLOOKUP($B500,IMPORTRANGE(""1NK5L1mviMn0j3D3uo53ASkIZOFRlLnqaCTnwzOG2_Wg"",""Direct li"&amp;"nks Without Sizes!D2:D""),IMPORTRANGE(""1NK5L1mviMn0j3D3uo53ASkIZOFRlLnqaCTnwzOG2_Wg"",""Direct links Without Sizes!E2:E""))),"""")"),"")</f>
        <v/>
      </c>
      <c r="H500" s="41"/>
      <c r="I500" s="4"/>
      <c r="J500" s="4"/>
      <c r="K500" s="10" t="str">
        <f t="shared" si="1"/>
        <v/>
      </c>
      <c r="L500" s="10"/>
      <c r="M500" s="10" t="str">
        <f t="shared" si="2"/>
        <v/>
      </c>
    </row>
    <row r="501">
      <c r="A501" s="4"/>
      <c r="B501" s="15"/>
      <c r="C501" s="7" t="str">
        <f>IFERROR(__xludf.DUMMYFUNCTION("iferror(iferror(INDEX(IMPORTRANGE(""12vtnxaE_Q1s4tyr10kZQx7ZF_xG0lBFae4jQEUtgsMU"",""All!B2:B""),MATCH($B501,IMPORTRANGE(""12vtnxaE_Q1s4tyr10kZQx7ZF_xG0lBFae4jQEUtgsMU"",""All!A2:A""),0)),INDEX(IMPORTRANGE(""13KC70HngS4DDi8y9E5khtSpQEPG6owaQ9z4E-tR5mnY"","&amp;"""Non-Food!B2:B""),MATCH($B501,IMPORTRANGE(""13KC70HngS4DDi8y9E5khtSpQEPG6owaQ9z4E-tR5mnY"",""Non-Food!A2:A""),0))),"""")"),"")</f>
        <v/>
      </c>
      <c r="D501" s="15"/>
      <c r="E501" s="15"/>
      <c r="F501" s="36"/>
      <c r="G501" s="24" t="str">
        <f>IFERROR(__xludf.DUMMYFUNCTION("iferror(iferror(iferror(index(IMPORTRANGE(""1NK5L1mviMn0j3D3uo53ASkIZOFRlLnqaCTnwzOG2_Wg"",""Direct Link!B2:B""),MATCH($B501,IMPORTRANGE(""1NK5L1mviMn0j3D3uo53ASkIZOFRlLnqaCTnwzOG2_Wg"",""Direct Link!A2:A""),0)),XLOOKUP($B501,IMPORTRANGE(""1NK5L1mviMn0j3D"&amp;"3uo53ASkIZOFRlLnqaCTnwzOG2_Wg"",""Direct links Without Sizes!A2:A""),IMPORTRANGE(""1NK5L1mviMn0j3D3uo53ASkIZOFRlLnqaCTnwzOG2_Wg"",""Direct links Without Sizes!B2:B""))),XLOOKUP($B501,IMPORTRANGE(""1NK5L1mviMn0j3D3uo53ASkIZOFRlLnqaCTnwzOG2_Wg"",""Direct li"&amp;"nks Without Sizes!D2:D""),IMPORTRANGE(""1NK5L1mviMn0j3D3uo53ASkIZOFRlLnqaCTnwzOG2_Wg"",""Direct links Without Sizes!E2:E""))),"""")"),"")</f>
        <v/>
      </c>
      <c r="H501" s="41"/>
      <c r="I501" s="4"/>
      <c r="J501" s="4"/>
      <c r="K501" s="10" t="str">
        <f t="shared" si="1"/>
        <v/>
      </c>
      <c r="L501" s="10"/>
      <c r="M501" s="10" t="str">
        <f t="shared" si="2"/>
        <v/>
      </c>
    </row>
    <row r="502">
      <c r="A502" s="4"/>
      <c r="B502" s="15"/>
      <c r="C502" s="7" t="str">
        <f>IFERROR(__xludf.DUMMYFUNCTION("iferror(iferror(INDEX(IMPORTRANGE(""12vtnxaE_Q1s4tyr10kZQx7ZF_xG0lBFae4jQEUtgsMU"",""All!B2:B""),MATCH($B502,IMPORTRANGE(""12vtnxaE_Q1s4tyr10kZQx7ZF_xG0lBFae4jQEUtgsMU"",""All!A2:A""),0)),INDEX(IMPORTRANGE(""13KC70HngS4DDi8y9E5khtSpQEPG6owaQ9z4E-tR5mnY"","&amp;"""Non-Food!B2:B""),MATCH($B502,IMPORTRANGE(""13KC70HngS4DDi8y9E5khtSpQEPG6owaQ9z4E-tR5mnY"",""Non-Food!A2:A""),0))),"""")"),"")</f>
        <v/>
      </c>
      <c r="D502" s="15"/>
      <c r="E502" s="15"/>
      <c r="F502" s="36"/>
      <c r="G502" s="24" t="str">
        <f>IFERROR(__xludf.DUMMYFUNCTION("iferror(iferror(iferror(index(IMPORTRANGE(""1NK5L1mviMn0j3D3uo53ASkIZOFRlLnqaCTnwzOG2_Wg"",""Direct Link!B2:B""),MATCH($B502,IMPORTRANGE(""1NK5L1mviMn0j3D3uo53ASkIZOFRlLnqaCTnwzOG2_Wg"",""Direct Link!A2:A""),0)),XLOOKUP($B502,IMPORTRANGE(""1NK5L1mviMn0j3D"&amp;"3uo53ASkIZOFRlLnqaCTnwzOG2_Wg"",""Direct links Without Sizes!A2:A""),IMPORTRANGE(""1NK5L1mviMn0j3D3uo53ASkIZOFRlLnqaCTnwzOG2_Wg"",""Direct links Without Sizes!B2:B""))),XLOOKUP($B502,IMPORTRANGE(""1NK5L1mviMn0j3D3uo53ASkIZOFRlLnqaCTnwzOG2_Wg"",""Direct li"&amp;"nks Without Sizes!D2:D""),IMPORTRANGE(""1NK5L1mviMn0j3D3uo53ASkIZOFRlLnqaCTnwzOG2_Wg"",""Direct links Without Sizes!E2:E""))),"""")"),"")</f>
        <v/>
      </c>
      <c r="H502" s="41"/>
      <c r="I502" s="4"/>
      <c r="J502" s="4"/>
      <c r="K502" s="10" t="str">
        <f t="shared" si="1"/>
        <v/>
      </c>
      <c r="L502" s="10"/>
      <c r="M502" s="10" t="str">
        <f t="shared" si="2"/>
        <v/>
      </c>
    </row>
    <row r="503">
      <c r="A503" s="4"/>
      <c r="B503" s="15"/>
      <c r="C503" s="7" t="str">
        <f>IFERROR(__xludf.DUMMYFUNCTION("iferror(iferror(INDEX(IMPORTRANGE(""12vtnxaE_Q1s4tyr10kZQx7ZF_xG0lBFae4jQEUtgsMU"",""All!B2:B""),MATCH($B503,IMPORTRANGE(""12vtnxaE_Q1s4tyr10kZQx7ZF_xG0lBFae4jQEUtgsMU"",""All!A2:A""),0)),INDEX(IMPORTRANGE(""13KC70HngS4DDi8y9E5khtSpQEPG6owaQ9z4E-tR5mnY"","&amp;"""Non-Food!B2:B""),MATCH($B503,IMPORTRANGE(""13KC70HngS4DDi8y9E5khtSpQEPG6owaQ9z4E-tR5mnY"",""Non-Food!A2:A""),0))),"""")"),"")</f>
        <v/>
      </c>
      <c r="D503" s="15"/>
      <c r="E503" s="15"/>
      <c r="F503" s="36"/>
      <c r="G503" s="24" t="str">
        <f>IFERROR(__xludf.DUMMYFUNCTION("iferror(iferror(iferror(index(IMPORTRANGE(""1NK5L1mviMn0j3D3uo53ASkIZOFRlLnqaCTnwzOG2_Wg"",""Direct Link!B2:B""),MATCH($B503,IMPORTRANGE(""1NK5L1mviMn0j3D3uo53ASkIZOFRlLnqaCTnwzOG2_Wg"",""Direct Link!A2:A""),0)),XLOOKUP($B503,IMPORTRANGE(""1NK5L1mviMn0j3D"&amp;"3uo53ASkIZOFRlLnqaCTnwzOG2_Wg"",""Direct links Without Sizes!A2:A""),IMPORTRANGE(""1NK5L1mviMn0j3D3uo53ASkIZOFRlLnqaCTnwzOG2_Wg"",""Direct links Without Sizes!B2:B""))),XLOOKUP($B503,IMPORTRANGE(""1NK5L1mviMn0j3D3uo53ASkIZOFRlLnqaCTnwzOG2_Wg"",""Direct li"&amp;"nks Without Sizes!D2:D""),IMPORTRANGE(""1NK5L1mviMn0j3D3uo53ASkIZOFRlLnqaCTnwzOG2_Wg"",""Direct links Without Sizes!E2:E""))),"""")"),"")</f>
        <v/>
      </c>
      <c r="H503" s="41"/>
      <c r="I503" s="4"/>
      <c r="J503" s="4"/>
      <c r="K503" s="10" t="str">
        <f t="shared" si="1"/>
        <v/>
      </c>
      <c r="L503" s="10"/>
      <c r="M503" s="10" t="str">
        <f t="shared" si="2"/>
        <v/>
      </c>
    </row>
    <row r="504">
      <c r="A504" s="4"/>
      <c r="B504" s="15"/>
      <c r="C504" s="7" t="str">
        <f>IFERROR(__xludf.DUMMYFUNCTION("iferror(iferror(INDEX(IMPORTRANGE(""12vtnxaE_Q1s4tyr10kZQx7ZF_xG0lBFae4jQEUtgsMU"",""All!B2:B""),MATCH($B504,IMPORTRANGE(""12vtnxaE_Q1s4tyr10kZQx7ZF_xG0lBFae4jQEUtgsMU"",""All!A2:A""),0)),INDEX(IMPORTRANGE(""13KC70HngS4DDi8y9E5khtSpQEPG6owaQ9z4E-tR5mnY"","&amp;"""Non-Food!B2:B""),MATCH($B504,IMPORTRANGE(""13KC70HngS4DDi8y9E5khtSpQEPG6owaQ9z4E-tR5mnY"",""Non-Food!A2:A""),0))),"""")"),"")</f>
        <v/>
      </c>
      <c r="D504" s="15"/>
      <c r="E504" s="15"/>
      <c r="F504" s="36"/>
      <c r="G504" s="24" t="str">
        <f>IFERROR(__xludf.DUMMYFUNCTION("iferror(iferror(iferror(index(IMPORTRANGE(""1NK5L1mviMn0j3D3uo53ASkIZOFRlLnqaCTnwzOG2_Wg"",""Direct Link!B2:B""),MATCH($B504,IMPORTRANGE(""1NK5L1mviMn0j3D3uo53ASkIZOFRlLnqaCTnwzOG2_Wg"",""Direct Link!A2:A""),0)),XLOOKUP($B504,IMPORTRANGE(""1NK5L1mviMn0j3D"&amp;"3uo53ASkIZOFRlLnqaCTnwzOG2_Wg"",""Direct links Without Sizes!A2:A""),IMPORTRANGE(""1NK5L1mviMn0j3D3uo53ASkIZOFRlLnqaCTnwzOG2_Wg"",""Direct links Without Sizes!B2:B""))),XLOOKUP($B504,IMPORTRANGE(""1NK5L1mviMn0j3D3uo53ASkIZOFRlLnqaCTnwzOG2_Wg"",""Direct li"&amp;"nks Without Sizes!D2:D""),IMPORTRANGE(""1NK5L1mviMn0j3D3uo53ASkIZOFRlLnqaCTnwzOG2_Wg"",""Direct links Without Sizes!E2:E""))),"""")"),"")</f>
        <v/>
      </c>
      <c r="H504" s="41"/>
      <c r="I504" s="4"/>
      <c r="J504" s="4"/>
      <c r="K504" s="10" t="str">
        <f t="shared" si="1"/>
        <v/>
      </c>
      <c r="L504" s="10"/>
      <c r="M504" s="10" t="str">
        <f t="shared" si="2"/>
        <v/>
      </c>
    </row>
    <row r="505">
      <c r="A505" s="4"/>
      <c r="B505" s="15"/>
      <c r="C505" s="7" t="str">
        <f>IFERROR(__xludf.DUMMYFUNCTION("iferror(iferror(INDEX(IMPORTRANGE(""12vtnxaE_Q1s4tyr10kZQx7ZF_xG0lBFae4jQEUtgsMU"",""All!B2:B""),MATCH($B505,IMPORTRANGE(""12vtnxaE_Q1s4tyr10kZQx7ZF_xG0lBFae4jQEUtgsMU"",""All!A2:A""),0)),INDEX(IMPORTRANGE(""13KC70HngS4DDi8y9E5khtSpQEPG6owaQ9z4E-tR5mnY"","&amp;"""Non-Food!B2:B""),MATCH($B505,IMPORTRANGE(""13KC70HngS4DDi8y9E5khtSpQEPG6owaQ9z4E-tR5mnY"",""Non-Food!A2:A""),0))),"""")"),"")</f>
        <v/>
      </c>
      <c r="D505" s="15"/>
      <c r="E505" s="15"/>
      <c r="F505" s="36"/>
      <c r="G505" s="24" t="str">
        <f>IFERROR(__xludf.DUMMYFUNCTION("iferror(iferror(iferror(index(IMPORTRANGE(""1NK5L1mviMn0j3D3uo53ASkIZOFRlLnqaCTnwzOG2_Wg"",""Direct Link!B2:B""),MATCH($B505,IMPORTRANGE(""1NK5L1mviMn0j3D3uo53ASkIZOFRlLnqaCTnwzOG2_Wg"",""Direct Link!A2:A""),0)),XLOOKUP($B505,IMPORTRANGE(""1NK5L1mviMn0j3D"&amp;"3uo53ASkIZOFRlLnqaCTnwzOG2_Wg"",""Direct links Without Sizes!A2:A""),IMPORTRANGE(""1NK5L1mviMn0j3D3uo53ASkIZOFRlLnqaCTnwzOG2_Wg"",""Direct links Without Sizes!B2:B""))),XLOOKUP($B505,IMPORTRANGE(""1NK5L1mviMn0j3D3uo53ASkIZOFRlLnqaCTnwzOG2_Wg"",""Direct li"&amp;"nks Without Sizes!D2:D""),IMPORTRANGE(""1NK5L1mviMn0j3D3uo53ASkIZOFRlLnqaCTnwzOG2_Wg"",""Direct links Without Sizes!E2:E""))),"""")"),"")</f>
        <v/>
      </c>
      <c r="H505" s="41"/>
      <c r="I505" s="4"/>
      <c r="J505" s="4"/>
      <c r="K505" s="10" t="str">
        <f t="shared" si="1"/>
        <v/>
      </c>
      <c r="L505" s="10"/>
      <c r="M505" s="10" t="str">
        <f t="shared" si="2"/>
        <v/>
      </c>
    </row>
    <row r="506">
      <c r="A506" s="4"/>
      <c r="B506" s="15"/>
      <c r="C506" s="7" t="str">
        <f>IFERROR(__xludf.DUMMYFUNCTION("iferror(iferror(INDEX(IMPORTRANGE(""12vtnxaE_Q1s4tyr10kZQx7ZF_xG0lBFae4jQEUtgsMU"",""All!B2:B""),MATCH($B506,IMPORTRANGE(""12vtnxaE_Q1s4tyr10kZQx7ZF_xG0lBFae4jQEUtgsMU"",""All!A2:A""),0)),INDEX(IMPORTRANGE(""13KC70HngS4DDi8y9E5khtSpQEPG6owaQ9z4E-tR5mnY"","&amp;"""Non-Food!B2:B""),MATCH($B506,IMPORTRANGE(""13KC70HngS4DDi8y9E5khtSpQEPG6owaQ9z4E-tR5mnY"",""Non-Food!A2:A""),0))),"""")"),"")</f>
        <v/>
      </c>
      <c r="D506" s="15"/>
      <c r="E506" s="15"/>
      <c r="F506" s="36"/>
      <c r="G506" s="24" t="str">
        <f>IFERROR(__xludf.DUMMYFUNCTION("iferror(iferror(iferror(index(IMPORTRANGE(""1NK5L1mviMn0j3D3uo53ASkIZOFRlLnqaCTnwzOG2_Wg"",""Direct Link!B2:B""),MATCH($B506,IMPORTRANGE(""1NK5L1mviMn0j3D3uo53ASkIZOFRlLnqaCTnwzOG2_Wg"",""Direct Link!A2:A""),0)),XLOOKUP($B506,IMPORTRANGE(""1NK5L1mviMn0j3D"&amp;"3uo53ASkIZOFRlLnqaCTnwzOG2_Wg"",""Direct links Without Sizes!A2:A""),IMPORTRANGE(""1NK5L1mviMn0j3D3uo53ASkIZOFRlLnqaCTnwzOG2_Wg"",""Direct links Without Sizes!B2:B""))),XLOOKUP($B506,IMPORTRANGE(""1NK5L1mviMn0j3D3uo53ASkIZOFRlLnqaCTnwzOG2_Wg"",""Direct li"&amp;"nks Without Sizes!D2:D""),IMPORTRANGE(""1NK5L1mviMn0j3D3uo53ASkIZOFRlLnqaCTnwzOG2_Wg"",""Direct links Without Sizes!E2:E""))),"""")"),"")</f>
        <v/>
      </c>
      <c r="H506" s="41"/>
      <c r="I506" s="4"/>
      <c r="J506" s="4"/>
      <c r="K506" s="10" t="str">
        <f t="shared" si="1"/>
        <v/>
      </c>
      <c r="L506" s="10"/>
      <c r="M506" s="10" t="str">
        <f t="shared" si="2"/>
        <v/>
      </c>
    </row>
    <row r="507">
      <c r="A507" s="4"/>
      <c r="B507" s="15"/>
      <c r="C507" s="7" t="str">
        <f>IFERROR(__xludf.DUMMYFUNCTION("iferror(iferror(INDEX(IMPORTRANGE(""12vtnxaE_Q1s4tyr10kZQx7ZF_xG0lBFae4jQEUtgsMU"",""All!B2:B""),MATCH($B507,IMPORTRANGE(""12vtnxaE_Q1s4tyr10kZQx7ZF_xG0lBFae4jQEUtgsMU"",""All!A2:A""),0)),INDEX(IMPORTRANGE(""13KC70HngS4DDi8y9E5khtSpQEPG6owaQ9z4E-tR5mnY"","&amp;"""Non-Food!B2:B""),MATCH($B507,IMPORTRANGE(""13KC70HngS4DDi8y9E5khtSpQEPG6owaQ9z4E-tR5mnY"",""Non-Food!A2:A""),0))),"""")"),"")</f>
        <v/>
      </c>
      <c r="D507" s="15"/>
      <c r="E507" s="15"/>
      <c r="F507" s="36"/>
      <c r="G507" s="24" t="str">
        <f>IFERROR(__xludf.DUMMYFUNCTION("iferror(iferror(iferror(index(IMPORTRANGE(""1NK5L1mviMn0j3D3uo53ASkIZOFRlLnqaCTnwzOG2_Wg"",""Direct Link!B2:B""),MATCH($B507,IMPORTRANGE(""1NK5L1mviMn0j3D3uo53ASkIZOFRlLnqaCTnwzOG2_Wg"",""Direct Link!A2:A""),0)),XLOOKUP($B507,IMPORTRANGE(""1NK5L1mviMn0j3D"&amp;"3uo53ASkIZOFRlLnqaCTnwzOG2_Wg"",""Direct links Without Sizes!A2:A""),IMPORTRANGE(""1NK5L1mviMn0j3D3uo53ASkIZOFRlLnqaCTnwzOG2_Wg"",""Direct links Without Sizes!B2:B""))),XLOOKUP($B507,IMPORTRANGE(""1NK5L1mviMn0j3D3uo53ASkIZOFRlLnqaCTnwzOG2_Wg"",""Direct li"&amp;"nks Without Sizes!D2:D""),IMPORTRANGE(""1NK5L1mviMn0j3D3uo53ASkIZOFRlLnqaCTnwzOG2_Wg"",""Direct links Without Sizes!E2:E""))),"""")"),"")</f>
        <v/>
      </c>
      <c r="H507" s="41"/>
      <c r="I507" s="4"/>
      <c r="J507" s="4"/>
      <c r="K507" s="10" t="str">
        <f t="shared" si="1"/>
        <v/>
      </c>
      <c r="L507" s="10"/>
      <c r="M507" s="10" t="str">
        <f t="shared" si="2"/>
        <v/>
      </c>
    </row>
    <row r="508">
      <c r="A508" s="4"/>
      <c r="B508" s="15"/>
      <c r="C508" s="7" t="str">
        <f>IFERROR(__xludf.DUMMYFUNCTION("iferror(iferror(INDEX(IMPORTRANGE(""12vtnxaE_Q1s4tyr10kZQx7ZF_xG0lBFae4jQEUtgsMU"",""All!B2:B""),MATCH($B508,IMPORTRANGE(""12vtnxaE_Q1s4tyr10kZQx7ZF_xG0lBFae4jQEUtgsMU"",""All!A2:A""),0)),INDEX(IMPORTRANGE(""13KC70HngS4DDi8y9E5khtSpQEPG6owaQ9z4E-tR5mnY"","&amp;"""Non-Food!B2:B""),MATCH($B508,IMPORTRANGE(""13KC70HngS4DDi8y9E5khtSpQEPG6owaQ9z4E-tR5mnY"",""Non-Food!A2:A""),0))),"""")"),"")</f>
        <v/>
      </c>
      <c r="D508" s="15"/>
      <c r="E508" s="15"/>
      <c r="F508" s="36"/>
      <c r="G508" s="24" t="str">
        <f>IFERROR(__xludf.DUMMYFUNCTION("iferror(iferror(iferror(index(IMPORTRANGE(""1NK5L1mviMn0j3D3uo53ASkIZOFRlLnqaCTnwzOG2_Wg"",""Direct Link!B2:B""),MATCH($B508,IMPORTRANGE(""1NK5L1mviMn0j3D3uo53ASkIZOFRlLnqaCTnwzOG2_Wg"",""Direct Link!A2:A""),0)),XLOOKUP($B508,IMPORTRANGE(""1NK5L1mviMn0j3D"&amp;"3uo53ASkIZOFRlLnqaCTnwzOG2_Wg"",""Direct links Without Sizes!A2:A""),IMPORTRANGE(""1NK5L1mviMn0j3D3uo53ASkIZOFRlLnqaCTnwzOG2_Wg"",""Direct links Without Sizes!B2:B""))),XLOOKUP($B508,IMPORTRANGE(""1NK5L1mviMn0j3D3uo53ASkIZOFRlLnqaCTnwzOG2_Wg"",""Direct li"&amp;"nks Without Sizes!D2:D""),IMPORTRANGE(""1NK5L1mviMn0j3D3uo53ASkIZOFRlLnqaCTnwzOG2_Wg"",""Direct links Without Sizes!E2:E""))),"""")"),"")</f>
        <v/>
      </c>
      <c r="H508" s="41"/>
      <c r="I508" s="4"/>
      <c r="J508" s="4"/>
      <c r="K508" s="10" t="str">
        <f t="shared" si="1"/>
        <v/>
      </c>
      <c r="L508" s="10"/>
      <c r="M508" s="10" t="str">
        <f t="shared" si="2"/>
        <v/>
      </c>
    </row>
    <row r="509">
      <c r="A509" s="4"/>
      <c r="B509" s="15"/>
      <c r="C509" s="7" t="str">
        <f>IFERROR(__xludf.DUMMYFUNCTION("iferror(iferror(INDEX(IMPORTRANGE(""12vtnxaE_Q1s4tyr10kZQx7ZF_xG0lBFae4jQEUtgsMU"",""All!B2:B""),MATCH($B509,IMPORTRANGE(""12vtnxaE_Q1s4tyr10kZQx7ZF_xG0lBFae4jQEUtgsMU"",""All!A2:A""),0)),INDEX(IMPORTRANGE(""13KC70HngS4DDi8y9E5khtSpQEPG6owaQ9z4E-tR5mnY"","&amp;"""Non-Food!B2:B""),MATCH($B509,IMPORTRANGE(""13KC70HngS4DDi8y9E5khtSpQEPG6owaQ9z4E-tR5mnY"",""Non-Food!A2:A""),0))),"""")"),"")</f>
        <v/>
      </c>
      <c r="D509" s="15"/>
      <c r="E509" s="15"/>
      <c r="F509" s="36"/>
      <c r="G509" s="24" t="str">
        <f>IFERROR(__xludf.DUMMYFUNCTION("iferror(iferror(iferror(index(IMPORTRANGE(""1NK5L1mviMn0j3D3uo53ASkIZOFRlLnqaCTnwzOG2_Wg"",""Direct Link!B2:B""),MATCH($B509,IMPORTRANGE(""1NK5L1mviMn0j3D3uo53ASkIZOFRlLnqaCTnwzOG2_Wg"",""Direct Link!A2:A""),0)),XLOOKUP($B509,IMPORTRANGE(""1NK5L1mviMn0j3D"&amp;"3uo53ASkIZOFRlLnqaCTnwzOG2_Wg"",""Direct links Without Sizes!A2:A""),IMPORTRANGE(""1NK5L1mviMn0j3D3uo53ASkIZOFRlLnqaCTnwzOG2_Wg"",""Direct links Without Sizes!B2:B""))),XLOOKUP($B509,IMPORTRANGE(""1NK5L1mviMn0j3D3uo53ASkIZOFRlLnqaCTnwzOG2_Wg"",""Direct li"&amp;"nks Without Sizes!D2:D""),IMPORTRANGE(""1NK5L1mviMn0j3D3uo53ASkIZOFRlLnqaCTnwzOG2_Wg"",""Direct links Without Sizes!E2:E""))),"""")"),"")</f>
        <v/>
      </c>
      <c r="H509" s="41"/>
      <c r="I509" s="4"/>
      <c r="J509" s="4"/>
      <c r="K509" s="10" t="str">
        <f t="shared" si="1"/>
        <v/>
      </c>
      <c r="L509" s="10"/>
      <c r="M509" s="10" t="str">
        <f t="shared" si="2"/>
        <v/>
      </c>
    </row>
    <row r="510">
      <c r="A510" s="4"/>
      <c r="B510" s="15"/>
      <c r="C510" s="7" t="str">
        <f>IFERROR(__xludf.DUMMYFUNCTION("iferror(iferror(INDEX(IMPORTRANGE(""12vtnxaE_Q1s4tyr10kZQx7ZF_xG0lBFae4jQEUtgsMU"",""All!B2:B""),MATCH($B510,IMPORTRANGE(""12vtnxaE_Q1s4tyr10kZQx7ZF_xG0lBFae4jQEUtgsMU"",""All!A2:A""),0)),INDEX(IMPORTRANGE(""13KC70HngS4DDi8y9E5khtSpQEPG6owaQ9z4E-tR5mnY"","&amp;"""Non-Food!B2:B""),MATCH($B510,IMPORTRANGE(""13KC70HngS4DDi8y9E5khtSpQEPG6owaQ9z4E-tR5mnY"",""Non-Food!A2:A""),0))),"""")"),"")</f>
        <v/>
      </c>
      <c r="D510" s="15"/>
      <c r="E510" s="15"/>
      <c r="F510" s="36"/>
      <c r="G510" s="24" t="str">
        <f>IFERROR(__xludf.DUMMYFUNCTION("iferror(iferror(iferror(index(IMPORTRANGE(""1NK5L1mviMn0j3D3uo53ASkIZOFRlLnqaCTnwzOG2_Wg"",""Direct Link!B2:B""),MATCH($B510,IMPORTRANGE(""1NK5L1mviMn0j3D3uo53ASkIZOFRlLnqaCTnwzOG2_Wg"",""Direct Link!A2:A""),0)),XLOOKUP($B510,IMPORTRANGE(""1NK5L1mviMn0j3D"&amp;"3uo53ASkIZOFRlLnqaCTnwzOG2_Wg"",""Direct links Without Sizes!A2:A""),IMPORTRANGE(""1NK5L1mviMn0j3D3uo53ASkIZOFRlLnqaCTnwzOG2_Wg"",""Direct links Without Sizes!B2:B""))),XLOOKUP($B510,IMPORTRANGE(""1NK5L1mviMn0j3D3uo53ASkIZOFRlLnqaCTnwzOG2_Wg"",""Direct li"&amp;"nks Without Sizes!D2:D""),IMPORTRANGE(""1NK5L1mviMn0j3D3uo53ASkIZOFRlLnqaCTnwzOG2_Wg"",""Direct links Without Sizes!E2:E""))),"""")"),"")</f>
        <v/>
      </c>
      <c r="H510" s="41"/>
      <c r="I510" s="4"/>
      <c r="J510" s="4"/>
      <c r="K510" s="10" t="str">
        <f t="shared" si="1"/>
        <v/>
      </c>
      <c r="L510" s="10"/>
      <c r="M510" s="10" t="str">
        <f t="shared" si="2"/>
        <v/>
      </c>
    </row>
    <row r="511">
      <c r="A511" s="4"/>
      <c r="B511" s="15"/>
      <c r="C511" s="7" t="str">
        <f>IFERROR(__xludf.DUMMYFUNCTION("iferror(iferror(INDEX(IMPORTRANGE(""12vtnxaE_Q1s4tyr10kZQx7ZF_xG0lBFae4jQEUtgsMU"",""All!B2:B""),MATCH($B511,IMPORTRANGE(""12vtnxaE_Q1s4tyr10kZQx7ZF_xG0lBFae4jQEUtgsMU"",""All!A2:A""),0)),INDEX(IMPORTRANGE(""13KC70HngS4DDi8y9E5khtSpQEPG6owaQ9z4E-tR5mnY"","&amp;"""Non-Food!B2:B""),MATCH($B511,IMPORTRANGE(""13KC70HngS4DDi8y9E5khtSpQEPG6owaQ9z4E-tR5mnY"",""Non-Food!A2:A""),0))),"""")"),"")</f>
        <v/>
      </c>
      <c r="D511" s="15"/>
      <c r="E511" s="15"/>
      <c r="F511" s="36"/>
      <c r="G511" s="24" t="str">
        <f>IFERROR(__xludf.DUMMYFUNCTION("iferror(iferror(iferror(index(IMPORTRANGE(""1NK5L1mviMn0j3D3uo53ASkIZOFRlLnqaCTnwzOG2_Wg"",""Direct Link!B2:B""),MATCH($B511,IMPORTRANGE(""1NK5L1mviMn0j3D3uo53ASkIZOFRlLnqaCTnwzOG2_Wg"",""Direct Link!A2:A""),0)),XLOOKUP($B511,IMPORTRANGE(""1NK5L1mviMn0j3D"&amp;"3uo53ASkIZOFRlLnqaCTnwzOG2_Wg"",""Direct links Without Sizes!A2:A""),IMPORTRANGE(""1NK5L1mviMn0j3D3uo53ASkIZOFRlLnqaCTnwzOG2_Wg"",""Direct links Without Sizes!B2:B""))),XLOOKUP($B511,IMPORTRANGE(""1NK5L1mviMn0j3D3uo53ASkIZOFRlLnqaCTnwzOG2_Wg"",""Direct li"&amp;"nks Without Sizes!D2:D""),IMPORTRANGE(""1NK5L1mviMn0j3D3uo53ASkIZOFRlLnqaCTnwzOG2_Wg"",""Direct links Without Sizes!E2:E""))),"""")"),"")</f>
        <v/>
      </c>
      <c r="H511" s="41"/>
      <c r="I511" s="4"/>
      <c r="J511" s="4"/>
      <c r="K511" s="10" t="str">
        <f t="shared" si="1"/>
        <v/>
      </c>
      <c r="L511" s="10"/>
      <c r="M511" s="10" t="str">
        <f t="shared" si="2"/>
        <v/>
      </c>
    </row>
    <row r="512">
      <c r="A512" s="4"/>
      <c r="B512" s="15"/>
      <c r="C512" s="7" t="str">
        <f>IFERROR(__xludf.DUMMYFUNCTION("iferror(iferror(INDEX(IMPORTRANGE(""12vtnxaE_Q1s4tyr10kZQx7ZF_xG0lBFae4jQEUtgsMU"",""All!B2:B""),MATCH($B512,IMPORTRANGE(""12vtnxaE_Q1s4tyr10kZQx7ZF_xG0lBFae4jQEUtgsMU"",""All!A2:A""),0)),INDEX(IMPORTRANGE(""13KC70HngS4DDi8y9E5khtSpQEPG6owaQ9z4E-tR5mnY"","&amp;"""Non-Food!B2:B""),MATCH($B512,IMPORTRANGE(""13KC70HngS4DDi8y9E5khtSpQEPG6owaQ9z4E-tR5mnY"",""Non-Food!A2:A""),0))),"""")"),"")</f>
        <v/>
      </c>
      <c r="D512" s="15"/>
      <c r="E512" s="15"/>
      <c r="F512" s="36"/>
      <c r="G512" s="24" t="str">
        <f>IFERROR(__xludf.DUMMYFUNCTION("iferror(iferror(iferror(index(IMPORTRANGE(""1NK5L1mviMn0j3D3uo53ASkIZOFRlLnqaCTnwzOG2_Wg"",""Direct Link!B2:B""),MATCH($B512,IMPORTRANGE(""1NK5L1mviMn0j3D3uo53ASkIZOFRlLnqaCTnwzOG2_Wg"",""Direct Link!A2:A""),0)),XLOOKUP($B512,IMPORTRANGE(""1NK5L1mviMn0j3D"&amp;"3uo53ASkIZOFRlLnqaCTnwzOG2_Wg"",""Direct links Without Sizes!A2:A""),IMPORTRANGE(""1NK5L1mviMn0j3D3uo53ASkIZOFRlLnqaCTnwzOG2_Wg"",""Direct links Without Sizes!B2:B""))),XLOOKUP($B512,IMPORTRANGE(""1NK5L1mviMn0j3D3uo53ASkIZOFRlLnqaCTnwzOG2_Wg"",""Direct li"&amp;"nks Without Sizes!D2:D""),IMPORTRANGE(""1NK5L1mviMn0j3D3uo53ASkIZOFRlLnqaCTnwzOG2_Wg"",""Direct links Without Sizes!E2:E""))),"""")"),"")</f>
        <v/>
      </c>
      <c r="H512" s="41"/>
      <c r="I512" s="4"/>
      <c r="J512" s="4"/>
      <c r="K512" s="10" t="str">
        <f t="shared" si="1"/>
        <v/>
      </c>
      <c r="L512" s="10"/>
      <c r="M512" s="10" t="str">
        <f t="shared" si="2"/>
        <v/>
      </c>
    </row>
    <row r="513">
      <c r="A513" s="4"/>
      <c r="B513" s="15"/>
      <c r="C513" s="7" t="str">
        <f>IFERROR(__xludf.DUMMYFUNCTION("iferror(iferror(INDEX(IMPORTRANGE(""12vtnxaE_Q1s4tyr10kZQx7ZF_xG0lBFae4jQEUtgsMU"",""All!B2:B""),MATCH($B513,IMPORTRANGE(""12vtnxaE_Q1s4tyr10kZQx7ZF_xG0lBFae4jQEUtgsMU"",""All!A2:A""),0)),INDEX(IMPORTRANGE(""13KC70HngS4DDi8y9E5khtSpQEPG6owaQ9z4E-tR5mnY"","&amp;"""Non-Food!B2:B""),MATCH($B513,IMPORTRANGE(""13KC70HngS4DDi8y9E5khtSpQEPG6owaQ9z4E-tR5mnY"",""Non-Food!A2:A""),0))),"""")"),"")</f>
        <v/>
      </c>
      <c r="D513" s="15"/>
      <c r="E513" s="15"/>
      <c r="F513" s="36"/>
      <c r="G513" s="24" t="str">
        <f>IFERROR(__xludf.DUMMYFUNCTION("iferror(iferror(iferror(index(IMPORTRANGE(""1NK5L1mviMn0j3D3uo53ASkIZOFRlLnqaCTnwzOG2_Wg"",""Direct Link!B2:B""),MATCH($B513,IMPORTRANGE(""1NK5L1mviMn0j3D3uo53ASkIZOFRlLnqaCTnwzOG2_Wg"",""Direct Link!A2:A""),0)),XLOOKUP($B513,IMPORTRANGE(""1NK5L1mviMn0j3D"&amp;"3uo53ASkIZOFRlLnqaCTnwzOG2_Wg"",""Direct links Without Sizes!A2:A""),IMPORTRANGE(""1NK5L1mviMn0j3D3uo53ASkIZOFRlLnqaCTnwzOG2_Wg"",""Direct links Without Sizes!B2:B""))),XLOOKUP($B513,IMPORTRANGE(""1NK5L1mviMn0j3D3uo53ASkIZOFRlLnqaCTnwzOG2_Wg"",""Direct li"&amp;"nks Without Sizes!D2:D""),IMPORTRANGE(""1NK5L1mviMn0j3D3uo53ASkIZOFRlLnqaCTnwzOG2_Wg"",""Direct links Without Sizes!E2:E""))),"""")"),"")</f>
        <v/>
      </c>
      <c r="H513" s="41"/>
      <c r="I513" s="4"/>
      <c r="J513" s="4"/>
      <c r="K513" s="10" t="str">
        <f t="shared" si="1"/>
        <v/>
      </c>
      <c r="L513" s="10"/>
      <c r="M513" s="10" t="str">
        <f t="shared" si="2"/>
        <v/>
      </c>
    </row>
    <row r="514">
      <c r="A514" s="4"/>
      <c r="B514" s="15"/>
      <c r="C514" s="7" t="str">
        <f>IFERROR(__xludf.DUMMYFUNCTION("iferror(iferror(INDEX(IMPORTRANGE(""12vtnxaE_Q1s4tyr10kZQx7ZF_xG0lBFae4jQEUtgsMU"",""All!B2:B""),MATCH($B514,IMPORTRANGE(""12vtnxaE_Q1s4tyr10kZQx7ZF_xG0lBFae4jQEUtgsMU"",""All!A2:A""),0)),INDEX(IMPORTRANGE(""13KC70HngS4DDi8y9E5khtSpQEPG6owaQ9z4E-tR5mnY"","&amp;"""Non-Food!B2:B""),MATCH($B514,IMPORTRANGE(""13KC70HngS4DDi8y9E5khtSpQEPG6owaQ9z4E-tR5mnY"",""Non-Food!A2:A""),0))),"""")"),"")</f>
        <v/>
      </c>
      <c r="D514" s="15"/>
      <c r="E514" s="15"/>
      <c r="F514" s="36"/>
      <c r="G514" s="24" t="str">
        <f>IFERROR(__xludf.DUMMYFUNCTION("iferror(iferror(iferror(index(IMPORTRANGE(""1NK5L1mviMn0j3D3uo53ASkIZOFRlLnqaCTnwzOG2_Wg"",""Direct Link!B2:B""),MATCH($B514,IMPORTRANGE(""1NK5L1mviMn0j3D3uo53ASkIZOFRlLnqaCTnwzOG2_Wg"",""Direct Link!A2:A""),0)),XLOOKUP($B514,IMPORTRANGE(""1NK5L1mviMn0j3D"&amp;"3uo53ASkIZOFRlLnqaCTnwzOG2_Wg"",""Direct links Without Sizes!A2:A""),IMPORTRANGE(""1NK5L1mviMn0j3D3uo53ASkIZOFRlLnqaCTnwzOG2_Wg"",""Direct links Without Sizes!B2:B""))),XLOOKUP($B514,IMPORTRANGE(""1NK5L1mviMn0j3D3uo53ASkIZOFRlLnqaCTnwzOG2_Wg"",""Direct li"&amp;"nks Without Sizes!D2:D""),IMPORTRANGE(""1NK5L1mviMn0j3D3uo53ASkIZOFRlLnqaCTnwzOG2_Wg"",""Direct links Without Sizes!E2:E""))),"""")"),"")</f>
        <v/>
      </c>
      <c r="H514" s="41"/>
      <c r="I514" s="4"/>
      <c r="J514" s="4"/>
      <c r="K514" s="10" t="str">
        <f t="shared" si="1"/>
        <v/>
      </c>
      <c r="L514" s="10"/>
      <c r="M514" s="10" t="str">
        <f t="shared" si="2"/>
        <v/>
      </c>
    </row>
    <row r="515">
      <c r="A515" s="4"/>
      <c r="B515" s="15"/>
      <c r="C515" s="7" t="str">
        <f>IFERROR(__xludf.DUMMYFUNCTION("iferror(iferror(INDEX(IMPORTRANGE(""12vtnxaE_Q1s4tyr10kZQx7ZF_xG0lBFae4jQEUtgsMU"",""All!B2:B""),MATCH($B515,IMPORTRANGE(""12vtnxaE_Q1s4tyr10kZQx7ZF_xG0lBFae4jQEUtgsMU"",""All!A2:A""),0)),INDEX(IMPORTRANGE(""13KC70HngS4DDi8y9E5khtSpQEPG6owaQ9z4E-tR5mnY"","&amp;"""Non-Food!B2:B""),MATCH($B515,IMPORTRANGE(""13KC70HngS4DDi8y9E5khtSpQEPG6owaQ9z4E-tR5mnY"",""Non-Food!A2:A""),0))),"""")"),"")</f>
        <v/>
      </c>
      <c r="D515" s="15"/>
      <c r="E515" s="15"/>
      <c r="F515" s="36"/>
      <c r="G515" s="24" t="str">
        <f>IFERROR(__xludf.DUMMYFUNCTION("iferror(iferror(iferror(index(IMPORTRANGE(""1NK5L1mviMn0j3D3uo53ASkIZOFRlLnqaCTnwzOG2_Wg"",""Direct Link!B2:B""),MATCH($B515,IMPORTRANGE(""1NK5L1mviMn0j3D3uo53ASkIZOFRlLnqaCTnwzOG2_Wg"",""Direct Link!A2:A""),0)),XLOOKUP($B515,IMPORTRANGE(""1NK5L1mviMn0j3D"&amp;"3uo53ASkIZOFRlLnqaCTnwzOG2_Wg"",""Direct links Without Sizes!A2:A""),IMPORTRANGE(""1NK5L1mviMn0j3D3uo53ASkIZOFRlLnqaCTnwzOG2_Wg"",""Direct links Without Sizes!B2:B""))),XLOOKUP($B515,IMPORTRANGE(""1NK5L1mviMn0j3D3uo53ASkIZOFRlLnqaCTnwzOG2_Wg"",""Direct li"&amp;"nks Without Sizes!D2:D""),IMPORTRANGE(""1NK5L1mviMn0j3D3uo53ASkIZOFRlLnqaCTnwzOG2_Wg"",""Direct links Without Sizes!E2:E""))),"""")"),"")</f>
        <v/>
      </c>
      <c r="H515" s="41"/>
      <c r="I515" s="4"/>
      <c r="J515" s="4"/>
      <c r="K515" s="10" t="str">
        <f t="shared" si="1"/>
        <v/>
      </c>
      <c r="L515" s="10"/>
      <c r="M515" s="10" t="str">
        <f t="shared" si="2"/>
        <v/>
      </c>
    </row>
    <row r="516">
      <c r="A516" s="4"/>
      <c r="B516" s="15"/>
      <c r="C516" s="7" t="str">
        <f>IFERROR(__xludf.DUMMYFUNCTION("iferror(iferror(INDEX(IMPORTRANGE(""12vtnxaE_Q1s4tyr10kZQx7ZF_xG0lBFae4jQEUtgsMU"",""All!B2:B""),MATCH($B516,IMPORTRANGE(""12vtnxaE_Q1s4tyr10kZQx7ZF_xG0lBFae4jQEUtgsMU"",""All!A2:A""),0)),INDEX(IMPORTRANGE(""13KC70HngS4DDi8y9E5khtSpQEPG6owaQ9z4E-tR5mnY"","&amp;"""Non-Food!B2:B""),MATCH($B516,IMPORTRANGE(""13KC70HngS4DDi8y9E5khtSpQEPG6owaQ9z4E-tR5mnY"",""Non-Food!A2:A""),0))),"""")"),"")</f>
        <v/>
      </c>
      <c r="D516" s="15"/>
      <c r="E516" s="15"/>
      <c r="F516" s="36"/>
      <c r="G516" s="24" t="str">
        <f>IFERROR(__xludf.DUMMYFUNCTION("iferror(iferror(iferror(index(IMPORTRANGE(""1NK5L1mviMn0j3D3uo53ASkIZOFRlLnqaCTnwzOG2_Wg"",""Direct Link!B2:B""),MATCH($B516,IMPORTRANGE(""1NK5L1mviMn0j3D3uo53ASkIZOFRlLnqaCTnwzOG2_Wg"",""Direct Link!A2:A""),0)),XLOOKUP($B516,IMPORTRANGE(""1NK5L1mviMn0j3D"&amp;"3uo53ASkIZOFRlLnqaCTnwzOG2_Wg"",""Direct links Without Sizes!A2:A""),IMPORTRANGE(""1NK5L1mviMn0j3D3uo53ASkIZOFRlLnqaCTnwzOG2_Wg"",""Direct links Without Sizes!B2:B""))),XLOOKUP($B516,IMPORTRANGE(""1NK5L1mviMn0j3D3uo53ASkIZOFRlLnqaCTnwzOG2_Wg"",""Direct li"&amp;"nks Without Sizes!D2:D""),IMPORTRANGE(""1NK5L1mviMn0j3D3uo53ASkIZOFRlLnqaCTnwzOG2_Wg"",""Direct links Without Sizes!E2:E""))),"""")"),"")</f>
        <v/>
      </c>
      <c r="H516" s="41"/>
      <c r="I516" s="4"/>
      <c r="J516" s="4"/>
      <c r="K516" s="10" t="str">
        <f t="shared" si="1"/>
        <v/>
      </c>
      <c r="L516" s="10"/>
      <c r="M516" s="10" t="str">
        <f t="shared" si="2"/>
        <v/>
      </c>
    </row>
    <row r="517">
      <c r="A517" s="4"/>
      <c r="B517" s="15"/>
      <c r="C517" s="7" t="str">
        <f>IFERROR(__xludf.DUMMYFUNCTION("iferror(iferror(INDEX(IMPORTRANGE(""12vtnxaE_Q1s4tyr10kZQx7ZF_xG0lBFae4jQEUtgsMU"",""All!B2:B""),MATCH($B517,IMPORTRANGE(""12vtnxaE_Q1s4tyr10kZQx7ZF_xG0lBFae4jQEUtgsMU"",""All!A2:A""),0)),INDEX(IMPORTRANGE(""13KC70HngS4DDi8y9E5khtSpQEPG6owaQ9z4E-tR5mnY"","&amp;"""Non-Food!B2:B""),MATCH($B517,IMPORTRANGE(""13KC70HngS4DDi8y9E5khtSpQEPG6owaQ9z4E-tR5mnY"",""Non-Food!A2:A""),0))),"""")"),"")</f>
        <v/>
      </c>
      <c r="D517" s="15"/>
      <c r="E517" s="15"/>
      <c r="F517" s="36"/>
      <c r="G517" s="24" t="str">
        <f>IFERROR(__xludf.DUMMYFUNCTION("iferror(iferror(iferror(index(IMPORTRANGE(""1NK5L1mviMn0j3D3uo53ASkIZOFRlLnqaCTnwzOG2_Wg"",""Direct Link!B2:B""),MATCH($B517,IMPORTRANGE(""1NK5L1mviMn0j3D3uo53ASkIZOFRlLnqaCTnwzOG2_Wg"",""Direct Link!A2:A""),0)),XLOOKUP($B517,IMPORTRANGE(""1NK5L1mviMn0j3D"&amp;"3uo53ASkIZOFRlLnqaCTnwzOG2_Wg"",""Direct links Without Sizes!A2:A""),IMPORTRANGE(""1NK5L1mviMn0j3D3uo53ASkIZOFRlLnqaCTnwzOG2_Wg"",""Direct links Without Sizes!B2:B""))),XLOOKUP($B517,IMPORTRANGE(""1NK5L1mviMn0j3D3uo53ASkIZOFRlLnqaCTnwzOG2_Wg"",""Direct li"&amp;"nks Without Sizes!D2:D""),IMPORTRANGE(""1NK5L1mviMn0j3D3uo53ASkIZOFRlLnqaCTnwzOG2_Wg"",""Direct links Without Sizes!E2:E""))),"""")"),"")</f>
        <v/>
      </c>
      <c r="H517" s="41"/>
      <c r="I517" s="4"/>
      <c r="J517" s="4"/>
      <c r="K517" s="10" t="str">
        <f t="shared" si="1"/>
        <v/>
      </c>
      <c r="L517" s="10"/>
      <c r="M517" s="10" t="str">
        <f t="shared" si="2"/>
        <v/>
      </c>
    </row>
    <row r="518">
      <c r="A518" s="4"/>
      <c r="B518" s="15"/>
      <c r="C518" s="7" t="str">
        <f>IFERROR(__xludf.DUMMYFUNCTION("iferror(iferror(INDEX(IMPORTRANGE(""12vtnxaE_Q1s4tyr10kZQx7ZF_xG0lBFae4jQEUtgsMU"",""All!B2:B""),MATCH($B518,IMPORTRANGE(""12vtnxaE_Q1s4tyr10kZQx7ZF_xG0lBFae4jQEUtgsMU"",""All!A2:A""),0)),INDEX(IMPORTRANGE(""13KC70HngS4DDi8y9E5khtSpQEPG6owaQ9z4E-tR5mnY"","&amp;"""Non-Food!B2:B""),MATCH($B518,IMPORTRANGE(""13KC70HngS4DDi8y9E5khtSpQEPG6owaQ9z4E-tR5mnY"",""Non-Food!A2:A""),0))),"""")"),"")</f>
        <v/>
      </c>
      <c r="D518" s="15"/>
      <c r="E518" s="15"/>
      <c r="F518" s="36"/>
      <c r="G518" s="24" t="str">
        <f>IFERROR(__xludf.DUMMYFUNCTION("iferror(iferror(iferror(index(IMPORTRANGE(""1NK5L1mviMn0j3D3uo53ASkIZOFRlLnqaCTnwzOG2_Wg"",""Direct Link!B2:B""),MATCH($B518,IMPORTRANGE(""1NK5L1mviMn0j3D3uo53ASkIZOFRlLnqaCTnwzOG2_Wg"",""Direct Link!A2:A""),0)),XLOOKUP($B518,IMPORTRANGE(""1NK5L1mviMn0j3D"&amp;"3uo53ASkIZOFRlLnqaCTnwzOG2_Wg"",""Direct links Without Sizes!A2:A""),IMPORTRANGE(""1NK5L1mviMn0j3D3uo53ASkIZOFRlLnqaCTnwzOG2_Wg"",""Direct links Without Sizes!B2:B""))),XLOOKUP($B518,IMPORTRANGE(""1NK5L1mviMn0j3D3uo53ASkIZOFRlLnqaCTnwzOG2_Wg"",""Direct li"&amp;"nks Without Sizes!D2:D""),IMPORTRANGE(""1NK5L1mviMn0j3D3uo53ASkIZOFRlLnqaCTnwzOG2_Wg"",""Direct links Without Sizes!E2:E""))),"""")"),"")</f>
        <v/>
      </c>
      <c r="H518" s="41"/>
      <c r="I518" s="4"/>
      <c r="J518" s="4"/>
      <c r="K518" s="10" t="str">
        <f t="shared" si="1"/>
        <v/>
      </c>
      <c r="L518" s="10"/>
      <c r="M518" s="10" t="str">
        <f t="shared" si="2"/>
        <v/>
      </c>
    </row>
    <row r="519">
      <c r="A519" s="4"/>
      <c r="B519" s="15"/>
      <c r="C519" s="7" t="str">
        <f>IFERROR(__xludf.DUMMYFUNCTION("iferror(iferror(INDEX(IMPORTRANGE(""12vtnxaE_Q1s4tyr10kZQx7ZF_xG0lBFae4jQEUtgsMU"",""All!B2:B""),MATCH($B519,IMPORTRANGE(""12vtnxaE_Q1s4tyr10kZQx7ZF_xG0lBFae4jQEUtgsMU"",""All!A2:A""),0)),INDEX(IMPORTRANGE(""13KC70HngS4DDi8y9E5khtSpQEPG6owaQ9z4E-tR5mnY"","&amp;"""Non-Food!B2:B""),MATCH($B519,IMPORTRANGE(""13KC70HngS4DDi8y9E5khtSpQEPG6owaQ9z4E-tR5mnY"",""Non-Food!A2:A""),0))),"""")"),"")</f>
        <v/>
      </c>
      <c r="D519" s="15"/>
      <c r="E519" s="15"/>
      <c r="F519" s="36"/>
      <c r="G519" s="24" t="str">
        <f>IFERROR(__xludf.DUMMYFUNCTION("iferror(iferror(iferror(index(IMPORTRANGE(""1NK5L1mviMn0j3D3uo53ASkIZOFRlLnqaCTnwzOG2_Wg"",""Direct Link!B2:B""),MATCH($B519,IMPORTRANGE(""1NK5L1mviMn0j3D3uo53ASkIZOFRlLnqaCTnwzOG2_Wg"",""Direct Link!A2:A""),0)),XLOOKUP($B519,IMPORTRANGE(""1NK5L1mviMn0j3D"&amp;"3uo53ASkIZOFRlLnqaCTnwzOG2_Wg"",""Direct links Without Sizes!A2:A""),IMPORTRANGE(""1NK5L1mviMn0j3D3uo53ASkIZOFRlLnqaCTnwzOG2_Wg"",""Direct links Without Sizes!B2:B""))),XLOOKUP($B519,IMPORTRANGE(""1NK5L1mviMn0j3D3uo53ASkIZOFRlLnqaCTnwzOG2_Wg"",""Direct li"&amp;"nks Without Sizes!D2:D""),IMPORTRANGE(""1NK5L1mviMn0j3D3uo53ASkIZOFRlLnqaCTnwzOG2_Wg"",""Direct links Without Sizes!E2:E""))),"""")"),"")</f>
        <v/>
      </c>
      <c r="H519" s="41"/>
      <c r="I519" s="4"/>
      <c r="J519" s="4"/>
      <c r="K519" s="10" t="str">
        <f t="shared" si="1"/>
        <v/>
      </c>
      <c r="L519" s="10"/>
      <c r="M519" s="10" t="str">
        <f t="shared" si="2"/>
        <v/>
      </c>
    </row>
    <row r="520">
      <c r="A520" s="4"/>
      <c r="B520" s="15"/>
      <c r="C520" s="7" t="str">
        <f>IFERROR(__xludf.DUMMYFUNCTION("iferror(iferror(INDEX(IMPORTRANGE(""12vtnxaE_Q1s4tyr10kZQx7ZF_xG0lBFae4jQEUtgsMU"",""All!B2:B""),MATCH($B520,IMPORTRANGE(""12vtnxaE_Q1s4tyr10kZQx7ZF_xG0lBFae4jQEUtgsMU"",""All!A2:A""),0)),INDEX(IMPORTRANGE(""13KC70HngS4DDi8y9E5khtSpQEPG6owaQ9z4E-tR5mnY"","&amp;"""Non-Food!B2:B""),MATCH($B520,IMPORTRANGE(""13KC70HngS4DDi8y9E5khtSpQEPG6owaQ9z4E-tR5mnY"",""Non-Food!A2:A""),0))),"""")"),"")</f>
        <v/>
      </c>
      <c r="D520" s="15"/>
      <c r="E520" s="15"/>
      <c r="F520" s="36"/>
      <c r="G520" s="24" t="str">
        <f>IFERROR(__xludf.DUMMYFUNCTION("iferror(iferror(iferror(index(IMPORTRANGE(""1NK5L1mviMn0j3D3uo53ASkIZOFRlLnqaCTnwzOG2_Wg"",""Direct Link!B2:B""),MATCH($B520,IMPORTRANGE(""1NK5L1mviMn0j3D3uo53ASkIZOFRlLnqaCTnwzOG2_Wg"",""Direct Link!A2:A""),0)),XLOOKUP($B520,IMPORTRANGE(""1NK5L1mviMn0j3D"&amp;"3uo53ASkIZOFRlLnqaCTnwzOG2_Wg"",""Direct links Without Sizes!A2:A""),IMPORTRANGE(""1NK5L1mviMn0j3D3uo53ASkIZOFRlLnqaCTnwzOG2_Wg"",""Direct links Without Sizes!B2:B""))),XLOOKUP($B520,IMPORTRANGE(""1NK5L1mviMn0j3D3uo53ASkIZOFRlLnqaCTnwzOG2_Wg"",""Direct li"&amp;"nks Without Sizes!D2:D""),IMPORTRANGE(""1NK5L1mviMn0j3D3uo53ASkIZOFRlLnqaCTnwzOG2_Wg"",""Direct links Without Sizes!E2:E""))),"""")"),"")</f>
        <v/>
      </c>
      <c r="H520" s="41"/>
      <c r="I520" s="4"/>
      <c r="J520" s="4"/>
      <c r="K520" s="10" t="str">
        <f t="shared" si="1"/>
        <v/>
      </c>
      <c r="L520" s="10"/>
      <c r="M520" s="10" t="str">
        <f t="shared" si="2"/>
        <v/>
      </c>
    </row>
    <row r="521">
      <c r="A521" s="4"/>
      <c r="B521" s="15"/>
      <c r="C521" s="7" t="str">
        <f>IFERROR(__xludf.DUMMYFUNCTION("iferror(iferror(INDEX(IMPORTRANGE(""12vtnxaE_Q1s4tyr10kZQx7ZF_xG0lBFae4jQEUtgsMU"",""All!B2:B""),MATCH($B521,IMPORTRANGE(""12vtnxaE_Q1s4tyr10kZQx7ZF_xG0lBFae4jQEUtgsMU"",""All!A2:A""),0)),INDEX(IMPORTRANGE(""13KC70HngS4DDi8y9E5khtSpQEPG6owaQ9z4E-tR5mnY"","&amp;"""Non-Food!B2:B""),MATCH($B521,IMPORTRANGE(""13KC70HngS4DDi8y9E5khtSpQEPG6owaQ9z4E-tR5mnY"",""Non-Food!A2:A""),0))),"""")"),"")</f>
        <v/>
      </c>
      <c r="D521" s="15"/>
      <c r="E521" s="15"/>
      <c r="F521" s="36"/>
      <c r="G521" s="24" t="str">
        <f>IFERROR(__xludf.DUMMYFUNCTION("iferror(iferror(iferror(index(IMPORTRANGE(""1NK5L1mviMn0j3D3uo53ASkIZOFRlLnqaCTnwzOG2_Wg"",""Direct Link!B2:B""),MATCH($B521,IMPORTRANGE(""1NK5L1mviMn0j3D3uo53ASkIZOFRlLnqaCTnwzOG2_Wg"",""Direct Link!A2:A""),0)),XLOOKUP($B521,IMPORTRANGE(""1NK5L1mviMn0j3D"&amp;"3uo53ASkIZOFRlLnqaCTnwzOG2_Wg"",""Direct links Without Sizes!A2:A""),IMPORTRANGE(""1NK5L1mviMn0j3D3uo53ASkIZOFRlLnqaCTnwzOG2_Wg"",""Direct links Without Sizes!B2:B""))),XLOOKUP($B521,IMPORTRANGE(""1NK5L1mviMn0j3D3uo53ASkIZOFRlLnqaCTnwzOG2_Wg"",""Direct li"&amp;"nks Without Sizes!D2:D""),IMPORTRANGE(""1NK5L1mviMn0j3D3uo53ASkIZOFRlLnqaCTnwzOG2_Wg"",""Direct links Without Sizes!E2:E""))),"""")"),"")</f>
        <v/>
      </c>
      <c r="H521" s="41"/>
      <c r="I521" s="4"/>
      <c r="J521" s="4"/>
      <c r="K521" s="10" t="str">
        <f t="shared" si="1"/>
        <v/>
      </c>
      <c r="L521" s="10"/>
      <c r="M521" s="10" t="str">
        <f t="shared" si="2"/>
        <v/>
      </c>
    </row>
    <row r="522">
      <c r="A522" s="4"/>
      <c r="B522" s="15"/>
      <c r="C522" s="7" t="str">
        <f>IFERROR(__xludf.DUMMYFUNCTION("iferror(iferror(INDEX(IMPORTRANGE(""12vtnxaE_Q1s4tyr10kZQx7ZF_xG0lBFae4jQEUtgsMU"",""All!B2:B""),MATCH($B522,IMPORTRANGE(""12vtnxaE_Q1s4tyr10kZQx7ZF_xG0lBFae4jQEUtgsMU"",""All!A2:A""),0)),INDEX(IMPORTRANGE(""13KC70HngS4DDi8y9E5khtSpQEPG6owaQ9z4E-tR5mnY"","&amp;"""Non-Food!B2:B""),MATCH($B522,IMPORTRANGE(""13KC70HngS4DDi8y9E5khtSpQEPG6owaQ9z4E-tR5mnY"",""Non-Food!A2:A""),0))),"""")"),"")</f>
        <v/>
      </c>
      <c r="D522" s="15"/>
      <c r="E522" s="15"/>
      <c r="F522" s="36"/>
      <c r="G522" s="24" t="str">
        <f>IFERROR(__xludf.DUMMYFUNCTION("iferror(iferror(iferror(index(IMPORTRANGE(""1NK5L1mviMn0j3D3uo53ASkIZOFRlLnqaCTnwzOG2_Wg"",""Direct Link!B2:B""),MATCH($B522,IMPORTRANGE(""1NK5L1mviMn0j3D3uo53ASkIZOFRlLnqaCTnwzOG2_Wg"",""Direct Link!A2:A""),0)),XLOOKUP($B522,IMPORTRANGE(""1NK5L1mviMn0j3D"&amp;"3uo53ASkIZOFRlLnqaCTnwzOG2_Wg"",""Direct links Without Sizes!A2:A""),IMPORTRANGE(""1NK5L1mviMn0j3D3uo53ASkIZOFRlLnqaCTnwzOG2_Wg"",""Direct links Without Sizes!B2:B""))),XLOOKUP($B522,IMPORTRANGE(""1NK5L1mviMn0j3D3uo53ASkIZOFRlLnqaCTnwzOG2_Wg"",""Direct li"&amp;"nks Without Sizes!D2:D""),IMPORTRANGE(""1NK5L1mviMn0j3D3uo53ASkIZOFRlLnqaCTnwzOG2_Wg"",""Direct links Without Sizes!E2:E""))),"""")"),"")</f>
        <v/>
      </c>
      <c r="H522" s="41"/>
      <c r="I522" s="4"/>
      <c r="J522" s="4"/>
      <c r="K522" s="10" t="str">
        <f t="shared" si="1"/>
        <v/>
      </c>
      <c r="L522" s="10"/>
      <c r="M522" s="10" t="str">
        <f t="shared" si="2"/>
        <v/>
      </c>
    </row>
    <row r="523">
      <c r="A523" s="4"/>
      <c r="B523" s="15"/>
      <c r="C523" s="7" t="str">
        <f>IFERROR(__xludf.DUMMYFUNCTION("iferror(iferror(INDEX(IMPORTRANGE(""12vtnxaE_Q1s4tyr10kZQx7ZF_xG0lBFae4jQEUtgsMU"",""All!B2:B""),MATCH($B523,IMPORTRANGE(""12vtnxaE_Q1s4tyr10kZQx7ZF_xG0lBFae4jQEUtgsMU"",""All!A2:A""),0)),INDEX(IMPORTRANGE(""13KC70HngS4DDi8y9E5khtSpQEPG6owaQ9z4E-tR5mnY"","&amp;"""Non-Food!B2:B""),MATCH($B523,IMPORTRANGE(""13KC70HngS4DDi8y9E5khtSpQEPG6owaQ9z4E-tR5mnY"",""Non-Food!A2:A""),0))),"""")"),"")</f>
        <v/>
      </c>
      <c r="D523" s="15"/>
      <c r="E523" s="15"/>
      <c r="F523" s="36"/>
      <c r="G523" s="24" t="str">
        <f>IFERROR(__xludf.DUMMYFUNCTION("iferror(iferror(iferror(index(IMPORTRANGE(""1NK5L1mviMn0j3D3uo53ASkIZOFRlLnqaCTnwzOG2_Wg"",""Direct Link!B2:B""),MATCH($B523,IMPORTRANGE(""1NK5L1mviMn0j3D3uo53ASkIZOFRlLnqaCTnwzOG2_Wg"",""Direct Link!A2:A""),0)),XLOOKUP($B523,IMPORTRANGE(""1NK5L1mviMn0j3D"&amp;"3uo53ASkIZOFRlLnqaCTnwzOG2_Wg"",""Direct links Without Sizes!A2:A""),IMPORTRANGE(""1NK5L1mviMn0j3D3uo53ASkIZOFRlLnqaCTnwzOG2_Wg"",""Direct links Without Sizes!B2:B""))),XLOOKUP($B523,IMPORTRANGE(""1NK5L1mviMn0j3D3uo53ASkIZOFRlLnqaCTnwzOG2_Wg"",""Direct li"&amp;"nks Without Sizes!D2:D""),IMPORTRANGE(""1NK5L1mviMn0j3D3uo53ASkIZOFRlLnqaCTnwzOG2_Wg"",""Direct links Without Sizes!E2:E""))),"""")"),"")</f>
        <v/>
      </c>
      <c r="H523" s="41"/>
      <c r="I523" s="4"/>
      <c r="J523" s="4"/>
      <c r="K523" s="10" t="str">
        <f t="shared" si="1"/>
        <v/>
      </c>
      <c r="L523" s="10"/>
      <c r="M523" s="10" t="str">
        <f t="shared" si="2"/>
        <v/>
      </c>
    </row>
    <row r="524">
      <c r="A524" s="4"/>
      <c r="B524" s="15"/>
      <c r="C524" s="7" t="str">
        <f>IFERROR(__xludf.DUMMYFUNCTION("iferror(iferror(INDEX(IMPORTRANGE(""12vtnxaE_Q1s4tyr10kZQx7ZF_xG0lBFae4jQEUtgsMU"",""All!B2:B""),MATCH($B524,IMPORTRANGE(""12vtnxaE_Q1s4tyr10kZQx7ZF_xG0lBFae4jQEUtgsMU"",""All!A2:A""),0)),INDEX(IMPORTRANGE(""13KC70HngS4DDi8y9E5khtSpQEPG6owaQ9z4E-tR5mnY"","&amp;"""Non-Food!B2:B""),MATCH($B524,IMPORTRANGE(""13KC70HngS4DDi8y9E5khtSpQEPG6owaQ9z4E-tR5mnY"",""Non-Food!A2:A""),0))),"""")"),"")</f>
        <v/>
      </c>
      <c r="D524" s="15"/>
      <c r="E524" s="15"/>
      <c r="F524" s="36"/>
      <c r="G524" s="24" t="str">
        <f>IFERROR(__xludf.DUMMYFUNCTION("iferror(iferror(iferror(index(IMPORTRANGE(""1NK5L1mviMn0j3D3uo53ASkIZOFRlLnqaCTnwzOG2_Wg"",""Direct Link!B2:B""),MATCH($B524,IMPORTRANGE(""1NK5L1mviMn0j3D3uo53ASkIZOFRlLnqaCTnwzOG2_Wg"",""Direct Link!A2:A""),0)),XLOOKUP($B524,IMPORTRANGE(""1NK5L1mviMn0j3D"&amp;"3uo53ASkIZOFRlLnqaCTnwzOG2_Wg"",""Direct links Without Sizes!A2:A""),IMPORTRANGE(""1NK5L1mviMn0j3D3uo53ASkIZOFRlLnqaCTnwzOG2_Wg"",""Direct links Without Sizes!B2:B""))),XLOOKUP($B524,IMPORTRANGE(""1NK5L1mviMn0j3D3uo53ASkIZOFRlLnqaCTnwzOG2_Wg"",""Direct li"&amp;"nks Without Sizes!D2:D""),IMPORTRANGE(""1NK5L1mviMn0j3D3uo53ASkIZOFRlLnqaCTnwzOG2_Wg"",""Direct links Without Sizes!E2:E""))),"""")"),"")</f>
        <v/>
      </c>
      <c r="H524" s="41"/>
      <c r="I524" s="4"/>
      <c r="J524" s="4"/>
      <c r="K524" s="10" t="str">
        <f t="shared" si="1"/>
        <v/>
      </c>
      <c r="L524" s="10"/>
      <c r="M524" s="10" t="str">
        <f t="shared" si="2"/>
        <v/>
      </c>
    </row>
    <row r="525">
      <c r="A525" s="4"/>
      <c r="B525" s="15"/>
      <c r="C525" s="7" t="str">
        <f>IFERROR(__xludf.DUMMYFUNCTION("iferror(iferror(INDEX(IMPORTRANGE(""12vtnxaE_Q1s4tyr10kZQx7ZF_xG0lBFae4jQEUtgsMU"",""All!B2:B""),MATCH($B525,IMPORTRANGE(""12vtnxaE_Q1s4tyr10kZQx7ZF_xG0lBFae4jQEUtgsMU"",""All!A2:A""),0)),INDEX(IMPORTRANGE(""13KC70HngS4DDi8y9E5khtSpQEPG6owaQ9z4E-tR5mnY"","&amp;"""Non-Food!B2:B""),MATCH($B525,IMPORTRANGE(""13KC70HngS4DDi8y9E5khtSpQEPG6owaQ9z4E-tR5mnY"",""Non-Food!A2:A""),0))),"""")"),"")</f>
        <v/>
      </c>
      <c r="D525" s="15"/>
      <c r="E525" s="15"/>
      <c r="F525" s="36"/>
      <c r="G525" s="24" t="str">
        <f>IFERROR(__xludf.DUMMYFUNCTION("iferror(iferror(iferror(index(IMPORTRANGE(""1NK5L1mviMn0j3D3uo53ASkIZOFRlLnqaCTnwzOG2_Wg"",""Direct Link!B2:B""),MATCH($B525,IMPORTRANGE(""1NK5L1mviMn0j3D3uo53ASkIZOFRlLnqaCTnwzOG2_Wg"",""Direct Link!A2:A""),0)),XLOOKUP($B525,IMPORTRANGE(""1NK5L1mviMn0j3D"&amp;"3uo53ASkIZOFRlLnqaCTnwzOG2_Wg"",""Direct links Without Sizes!A2:A""),IMPORTRANGE(""1NK5L1mviMn0j3D3uo53ASkIZOFRlLnqaCTnwzOG2_Wg"",""Direct links Without Sizes!B2:B""))),XLOOKUP($B525,IMPORTRANGE(""1NK5L1mviMn0j3D3uo53ASkIZOFRlLnqaCTnwzOG2_Wg"",""Direct li"&amp;"nks Without Sizes!D2:D""),IMPORTRANGE(""1NK5L1mviMn0j3D3uo53ASkIZOFRlLnqaCTnwzOG2_Wg"",""Direct links Without Sizes!E2:E""))),"""")"),"")</f>
        <v/>
      </c>
      <c r="H525" s="41"/>
      <c r="I525" s="4"/>
      <c r="J525" s="4"/>
      <c r="K525" s="10" t="str">
        <f t="shared" si="1"/>
        <v/>
      </c>
      <c r="L525" s="10"/>
      <c r="M525" s="10" t="str">
        <f t="shared" si="2"/>
        <v/>
      </c>
    </row>
    <row r="526">
      <c r="A526" s="4"/>
      <c r="B526" s="15"/>
      <c r="C526" s="7" t="str">
        <f>IFERROR(__xludf.DUMMYFUNCTION("iferror(iferror(INDEX(IMPORTRANGE(""12vtnxaE_Q1s4tyr10kZQx7ZF_xG0lBFae4jQEUtgsMU"",""All!B2:B""),MATCH($B526,IMPORTRANGE(""12vtnxaE_Q1s4tyr10kZQx7ZF_xG0lBFae4jQEUtgsMU"",""All!A2:A""),0)),INDEX(IMPORTRANGE(""13KC70HngS4DDi8y9E5khtSpQEPG6owaQ9z4E-tR5mnY"","&amp;"""Non-Food!B2:B""),MATCH($B526,IMPORTRANGE(""13KC70HngS4DDi8y9E5khtSpQEPG6owaQ9z4E-tR5mnY"",""Non-Food!A2:A""),0))),"""")"),"")</f>
        <v/>
      </c>
      <c r="D526" s="15"/>
      <c r="E526" s="15"/>
      <c r="F526" s="36"/>
      <c r="G526" s="24" t="str">
        <f>IFERROR(__xludf.DUMMYFUNCTION("iferror(iferror(iferror(index(IMPORTRANGE(""1NK5L1mviMn0j3D3uo53ASkIZOFRlLnqaCTnwzOG2_Wg"",""Direct Link!B2:B""),MATCH($B526,IMPORTRANGE(""1NK5L1mviMn0j3D3uo53ASkIZOFRlLnqaCTnwzOG2_Wg"",""Direct Link!A2:A""),0)),XLOOKUP($B526,IMPORTRANGE(""1NK5L1mviMn0j3D"&amp;"3uo53ASkIZOFRlLnqaCTnwzOG2_Wg"",""Direct links Without Sizes!A2:A""),IMPORTRANGE(""1NK5L1mviMn0j3D3uo53ASkIZOFRlLnqaCTnwzOG2_Wg"",""Direct links Without Sizes!B2:B""))),XLOOKUP($B526,IMPORTRANGE(""1NK5L1mviMn0j3D3uo53ASkIZOFRlLnqaCTnwzOG2_Wg"",""Direct li"&amp;"nks Without Sizes!D2:D""),IMPORTRANGE(""1NK5L1mviMn0j3D3uo53ASkIZOFRlLnqaCTnwzOG2_Wg"",""Direct links Without Sizes!E2:E""))),"""")"),"")</f>
        <v/>
      </c>
      <c r="H526" s="41"/>
      <c r="I526" s="4"/>
      <c r="J526" s="4"/>
      <c r="K526" s="10" t="str">
        <f t="shared" si="1"/>
        <v/>
      </c>
      <c r="L526" s="10"/>
      <c r="M526" s="10" t="str">
        <f t="shared" si="2"/>
        <v/>
      </c>
    </row>
    <row r="527">
      <c r="A527" s="4"/>
      <c r="B527" s="15"/>
      <c r="C527" s="7" t="str">
        <f>IFERROR(__xludf.DUMMYFUNCTION("iferror(iferror(INDEX(IMPORTRANGE(""12vtnxaE_Q1s4tyr10kZQx7ZF_xG0lBFae4jQEUtgsMU"",""All!B2:B""),MATCH($B527,IMPORTRANGE(""12vtnxaE_Q1s4tyr10kZQx7ZF_xG0lBFae4jQEUtgsMU"",""All!A2:A""),0)),INDEX(IMPORTRANGE(""13KC70HngS4DDi8y9E5khtSpQEPG6owaQ9z4E-tR5mnY"","&amp;"""Non-Food!B2:B""),MATCH($B527,IMPORTRANGE(""13KC70HngS4DDi8y9E5khtSpQEPG6owaQ9z4E-tR5mnY"",""Non-Food!A2:A""),0))),"""")"),"")</f>
        <v/>
      </c>
      <c r="D527" s="15"/>
      <c r="E527" s="15"/>
      <c r="F527" s="36"/>
      <c r="G527" s="24" t="str">
        <f>IFERROR(__xludf.DUMMYFUNCTION("iferror(iferror(iferror(index(IMPORTRANGE(""1NK5L1mviMn0j3D3uo53ASkIZOFRlLnqaCTnwzOG2_Wg"",""Direct Link!B2:B""),MATCH($B527,IMPORTRANGE(""1NK5L1mviMn0j3D3uo53ASkIZOFRlLnqaCTnwzOG2_Wg"",""Direct Link!A2:A""),0)),XLOOKUP($B527,IMPORTRANGE(""1NK5L1mviMn0j3D"&amp;"3uo53ASkIZOFRlLnqaCTnwzOG2_Wg"",""Direct links Without Sizes!A2:A""),IMPORTRANGE(""1NK5L1mviMn0j3D3uo53ASkIZOFRlLnqaCTnwzOG2_Wg"",""Direct links Without Sizes!B2:B""))),XLOOKUP($B527,IMPORTRANGE(""1NK5L1mviMn0j3D3uo53ASkIZOFRlLnqaCTnwzOG2_Wg"",""Direct li"&amp;"nks Without Sizes!D2:D""),IMPORTRANGE(""1NK5L1mviMn0j3D3uo53ASkIZOFRlLnqaCTnwzOG2_Wg"",""Direct links Without Sizes!E2:E""))),"""")"),"")</f>
        <v/>
      </c>
      <c r="H527" s="41"/>
      <c r="I527" s="4"/>
      <c r="J527" s="4"/>
      <c r="K527" s="10" t="str">
        <f t="shared" si="1"/>
        <v/>
      </c>
      <c r="L527" s="10"/>
      <c r="M527" s="10" t="str">
        <f t="shared" si="2"/>
        <v/>
      </c>
    </row>
    <row r="528">
      <c r="A528" s="4"/>
      <c r="B528" s="15"/>
      <c r="C528" s="7" t="str">
        <f>IFERROR(__xludf.DUMMYFUNCTION("iferror(iferror(INDEX(IMPORTRANGE(""12vtnxaE_Q1s4tyr10kZQx7ZF_xG0lBFae4jQEUtgsMU"",""All!B2:B""),MATCH($B528,IMPORTRANGE(""12vtnxaE_Q1s4tyr10kZQx7ZF_xG0lBFae4jQEUtgsMU"",""All!A2:A""),0)),INDEX(IMPORTRANGE(""13KC70HngS4DDi8y9E5khtSpQEPG6owaQ9z4E-tR5mnY"","&amp;"""Non-Food!B2:B""),MATCH($B528,IMPORTRANGE(""13KC70HngS4DDi8y9E5khtSpQEPG6owaQ9z4E-tR5mnY"",""Non-Food!A2:A""),0))),"""")"),"")</f>
        <v/>
      </c>
      <c r="D528" s="15"/>
      <c r="E528" s="15"/>
      <c r="F528" s="36"/>
      <c r="G528" s="24" t="str">
        <f>IFERROR(__xludf.DUMMYFUNCTION("iferror(iferror(iferror(index(IMPORTRANGE(""1NK5L1mviMn0j3D3uo53ASkIZOFRlLnqaCTnwzOG2_Wg"",""Direct Link!B2:B""),MATCH($B528,IMPORTRANGE(""1NK5L1mviMn0j3D3uo53ASkIZOFRlLnqaCTnwzOG2_Wg"",""Direct Link!A2:A""),0)),XLOOKUP($B528,IMPORTRANGE(""1NK5L1mviMn0j3D"&amp;"3uo53ASkIZOFRlLnqaCTnwzOG2_Wg"",""Direct links Without Sizes!A2:A""),IMPORTRANGE(""1NK5L1mviMn0j3D3uo53ASkIZOFRlLnqaCTnwzOG2_Wg"",""Direct links Without Sizes!B2:B""))),XLOOKUP($B528,IMPORTRANGE(""1NK5L1mviMn0j3D3uo53ASkIZOFRlLnqaCTnwzOG2_Wg"",""Direct li"&amp;"nks Without Sizes!D2:D""),IMPORTRANGE(""1NK5L1mviMn0j3D3uo53ASkIZOFRlLnqaCTnwzOG2_Wg"",""Direct links Without Sizes!E2:E""))),"""")"),"")</f>
        <v/>
      </c>
      <c r="H528" s="41"/>
      <c r="I528" s="4"/>
      <c r="J528" s="4"/>
      <c r="K528" s="10" t="str">
        <f t="shared" si="1"/>
        <v/>
      </c>
      <c r="L528" s="10"/>
      <c r="M528" s="10" t="str">
        <f t="shared" si="2"/>
        <v/>
      </c>
    </row>
    <row r="529">
      <c r="A529" s="4"/>
      <c r="B529" s="15"/>
      <c r="C529" s="7" t="str">
        <f>IFERROR(__xludf.DUMMYFUNCTION("iferror(iferror(INDEX(IMPORTRANGE(""12vtnxaE_Q1s4tyr10kZQx7ZF_xG0lBFae4jQEUtgsMU"",""All!B2:B""),MATCH($B529,IMPORTRANGE(""12vtnxaE_Q1s4tyr10kZQx7ZF_xG0lBFae4jQEUtgsMU"",""All!A2:A""),0)),INDEX(IMPORTRANGE(""13KC70HngS4DDi8y9E5khtSpQEPG6owaQ9z4E-tR5mnY"","&amp;"""Non-Food!B2:B""),MATCH($B529,IMPORTRANGE(""13KC70HngS4DDi8y9E5khtSpQEPG6owaQ9z4E-tR5mnY"",""Non-Food!A2:A""),0))),"""")"),"")</f>
        <v/>
      </c>
      <c r="D529" s="15"/>
      <c r="E529" s="15"/>
      <c r="F529" s="36"/>
      <c r="G529" s="24" t="str">
        <f>IFERROR(__xludf.DUMMYFUNCTION("iferror(iferror(iferror(index(IMPORTRANGE(""1NK5L1mviMn0j3D3uo53ASkIZOFRlLnqaCTnwzOG2_Wg"",""Direct Link!B2:B""),MATCH($B529,IMPORTRANGE(""1NK5L1mviMn0j3D3uo53ASkIZOFRlLnqaCTnwzOG2_Wg"",""Direct Link!A2:A""),0)),XLOOKUP($B529,IMPORTRANGE(""1NK5L1mviMn0j3D"&amp;"3uo53ASkIZOFRlLnqaCTnwzOG2_Wg"",""Direct links Without Sizes!A2:A""),IMPORTRANGE(""1NK5L1mviMn0j3D3uo53ASkIZOFRlLnqaCTnwzOG2_Wg"",""Direct links Without Sizes!B2:B""))),XLOOKUP($B529,IMPORTRANGE(""1NK5L1mviMn0j3D3uo53ASkIZOFRlLnqaCTnwzOG2_Wg"",""Direct li"&amp;"nks Without Sizes!D2:D""),IMPORTRANGE(""1NK5L1mviMn0j3D3uo53ASkIZOFRlLnqaCTnwzOG2_Wg"",""Direct links Without Sizes!E2:E""))),"""")"),"")</f>
        <v/>
      </c>
      <c r="H529" s="41"/>
      <c r="I529" s="4"/>
      <c r="J529" s="4"/>
      <c r="K529" s="10" t="str">
        <f t="shared" si="1"/>
        <v/>
      </c>
      <c r="L529" s="10"/>
      <c r="M529" s="10" t="str">
        <f t="shared" si="2"/>
        <v/>
      </c>
    </row>
    <row r="530">
      <c r="A530" s="4"/>
      <c r="B530" s="15"/>
      <c r="C530" s="7" t="str">
        <f>IFERROR(__xludf.DUMMYFUNCTION("iferror(iferror(INDEX(IMPORTRANGE(""12vtnxaE_Q1s4tyr10kZQx7ZF_xG0lBFae4jQEUtgsMU"",""All!B2:B""),MATCH($B530,IMPORTRANGE(""12vtnxaE_Q1s4tyr10kZQx7ZF_xG0lBFae4jQEUtgsMU"",""All!A2:A""),0)),INDEX(IMPORTRANGE(""13KC70HngS4DDi8y9E5khtSpQEPG6owaQ9z4E-tR5mnY"","&amp;"""Non-Food!B2:B""),MATCH($B530,IMPORTRANGE(""13KC70HngS4DDi8y9E5khtSpQEPG6owaQ9z4E-tR5mnY"",""Non-Food!A2:A""),0))),"""")"),"")</f>
        <v/>
      </c>
      <c r="D530" s="15"/>
      <c r="E530" s="15"/>
      <c r="F530" s="36"/>
      <c r="G530" s="24" t="str">
        <f>IFERROR(__xludf.DUMMYFUNCTION("iferror(iferror(iferror(index(IMPORTRANGE(""1NK5L1mviMn0j3D3uo53ASkIZOFRlLnqaCTnwzOG2_Wg"",""Direct Link!B2:B""),MATCH($B530,IMPORTRANGE(""1NK5L1mviMn0j3D3uo53ASkIZOFRlLnqaCTnwzOG2_Wg"",""Direct Link!A2:A""),0)),XLOOKUP($B530,IMPORTRANGE(""1NK5L1mviMn0j3D"&amp;"3uo53ASkIZOFRlLnqaCTnwzOG2_Wg"",""Direct links Without Sizes!A2:A""),IMPORTRANGE(""1NK5L1mviMn0j3D3uo53ASkIZOFRlLnqaCTnwzOG2_Wg"",""Direct links Without Sizes!B2:B""))),XLOOKUP($B530,IMPORTRANGE(""1NK5L1mviMn0j3D3uo53ASkIZOFRlLnqaCTnwzOG2_Wg"",""Direct li"&amp;"nks Without Sizes!D2:D""),IMPORTRANGE(""1NK5L1mviMn0j3D3uo53ASkIZOFRlLnqaCTnwzOG2_Wg"",""Direct links Without Sizes!E2:E""))),"""")"),"")</f>
        <v/>
      </c>
      <c r="H530" s="41"/>
      <c r="I530" s="4"/>
      <c r="J530" s="4"/>
      <c r="K530" s="10" t="str">
        <f t="shared" si="1"/>
        <v/>
      </c>
      <c r="L530" s="10"/>
      <c r="M530" s="10" t="str">
        <f t="shared" si="2"/>
        <v/>
      </c>
    </row>
    <row r="531">
      <c r="A531" s="4"/>
      <c r="B531" s="15"/>
      <c r="C531" s="7" t="str">
        <f>IFERROR(__xludf.DUMMYFUNCTION("iferror(iferror(INDEX(IMPORTRANGE(""12vtnxaE_Q1s4tyr10kZQx7ZF_xG0lBFae4jQEUtgsMU"",""All!B2:B""),MATCH($B531,IMPORTRANGE(""12vtnxaE_Q1s4tyr10kZQx7ZF_xG0lBFae4jQEUtgsMU"",""All!A2:A""),0)),INDEX(IMPORTRANGE(""13KC70HngS4DDi8y9E5khtSpQEPG6owaQ9z4E-tR5mnY"","&amp;"""Non-Food!B2:B""),MATCH($B531,IMPORTRANGE(""13KC70HngS4DDi8y9E5khtSpQEPG6owaQ9z4E-tR5mnY"",""Non-Food!A2:A""),0))),"""")"),"")</f>
        <v/>
      </c>
      <c r="D531" s="15"/>
      <c r="E531" s="15"/>
      <c r="F531" s="36"/>
      <c r="G531" s="24" t="str">
        <f>IFERROR(__xludf.DUMMYFUNCTION("iferror(iferror(iferror(index(IMPORTRANGE(""1NK5L1mviMn0j3D3uo53ASkIZOFRlLnqaCTnwzOG2_Wg"",""Direct Link!B2:B""),MATCH($B531,IMPORTRANGE(""1NK5L1mviMn0j3D3uo53ASkIZOFRlLnqaCTnwzOG2_Wg"",""Direct Link!A2:A""),0)),XLOOKUP($B531,IMPORTRANGE(""1NK5L1mviMn0j3D"&amp;"3uo53ASkIZOFRlLnqaCTnwzOG2_Wg"",""Direct links Without Sizes!A2:A""),IMPORTRANGE(""1NK5L1mviMn0j3D3uo53ASkIZOFRlLnqaCTnwzOG2_Wg"",""Direct links Without Sizes!B2:B""))),XLOOKUP($B531,IMPORTRANGE(""1NK5L1mviMn0j3D3uo53ASkIZOFRlLnqaCTnwzOG2_Wg"",""Direct li"&amp;"nks Without Sizes!D2:D""),IMPORTRANGE(""1NK5L1mviMn0j3D3uo53ASkIZOFRlLnqaCTnwzOG2_Wg"",""Direct links Without Sizes!E2:E""))),"""")"),"")</f>
        <v/>
      </c>
      <c r="H531" s="41"/>
      <c r="I531" s="4"/>
      <c r="J531" s="4"/>
      <c r="K531" s="10" t="str">
        <f t="shared" si="1"/>
        <v/>
      </c>
      <c r="L531" s="10"/>
      <c r="M531" s="10" t="str">
        <f t="shared" si="2"/>
        <v/>
      </c>
    </row>
    <row r="532">
      <c r="A532" s="4"/>
      <c r="B532" s="15"/>
      <c r="C532" s="7" t="str">
        <f>IFERROR(__xludf.DUMMYFUNCTION("iferror(iferror(INDEX(IMPORTRANGE(""12vtnxaE_Q1s4tyr10kZQx7ZF_xG0lBFae4jQEUtgsMU"",""All!B2:B""),MATCH($B532,IMPORTRANGE(""12vtnxaE_Q1s4tyr10kZQx7ZF_xG0lBFae4jQEUtgsMU"",""All!A2:A""),0)),INDEX(IMPORTRANGE(""13KC70HngS4DDi8y9E5khtSpQEPG6owaQ9z4E-tR5mnY"","&amp;"""Non-Food!B2:B""),MATCH($B532,IMPORTRANGE(""13KC70HngS4DDi8y9E5khtSpQEPG6owaQ9z4E-tR5mnY"",""Non-Food!A2:A""),0))),"""")"),"")</f>
        <v/>
      </c>
      <c r="D532" s="15"/>
      <c r="E532" s="15"/>
      <c r="F532" s="36"/>
      <c r="G532" s="24" t="str">
        <f>IFERROR(__xludf.DUMMYFUNCTION("iferror(iferror(iferror(index(IMPORTRANGE(""1NK5L1mviMn0j3D3uo53ASkIZOFRlLnqaCTnwzOG2_Wg"",""Direct Link!B2:B""),MATCH($B532,IMPORTRANGE(""1NK5L1mviMn0j3D3uo53ASkIZOFRlLnqaCTnwzOG2_Wg"",""Direct Link!A2:A""),0)),XLOOKUP($B532,IMPORTRANGE(""1NK5L1mviMn0j3D"&amp;"3uo53ASkIZOFRlLnqaCTnwzOG2_Wg"",""Direct links Without Sizes!A2:A""),IMPORTRANGE(""1NK5L1mviMn0j3D3uo53ASkIZOFRlLnqaCTnwzOG2_Wg"",""Direct links Without Sizes!B2:B""))),XLOOKUP($B532,IMPORTRANGE(""1NK5L1mviMn0j3D3uo53ASkIZOFRlLnqaCTnwzOG2_Wg"",""Direct li"&amp;"nks Without Sizes!D2:D""),IMPORTRANGE(""1NK5L1mviMn0j3D3uo53ASkIZOFRlLnqaCTnwzOG2_Wg"",""Direct links Without Sizes!E2:E""))),"""")"),"")</f>
        <v/>
      </c>
      <c r="H532" s="41"/>
      <c r="I532" s="4"/>
      <c r="J532" s="4"/>
      <c r="K532" s="10" t="str">
        <f t="shared" si="1"/>
        <v/>
      </c>
      <c r="L532" s="10"/>
      <c r="M532" s="10" t="str">
        <f t="shared" si="2"/>
        <v/>
      </c>
    </row>
    <row r="533">
      <c r="A533" s="4"/>
      <c r="B533" s="15"/>
      <c r="C533" s="7" t="str">
        <f>IFERROR(__xludf.DUMMYFUNCTION("iferror(iferror(INDEX(IMPORTRANGE(""12vtnxaE_Q1s4tyr10kZQx7ZF_xG0lBFae4jQEUtgsMU"",""All!B2:B""),MATCH($B533,IMPORTRANGE(""12vtnxaE_Q1s4tyr10kZQx7ZF_xG0lBFae4jQEUtgsMU"",""All!A2:A""),0)),INDEX(IMPORTRANGE(""13KC70HngS4DDi8y9E5khtSpQEPG6owaQ9z4E-tR5mnY"","&amp;"""Non-Food!B2:B""),MATCH($B533,IMPORTRANGE(""13KC70HngS4DDi8y9E5khtSpQEPG6owaQ9z4E-tR5mnY"",""Non-Food!A2:A""),0))),"""")"),"")</f>
        <v/>
      </c>
      <c r="D533" s="15"/>
      <c r="E533" s="15"/>
      <c r="F533" s="36"/>
      <c r="G533" s="24" t="str">
        <f>IFERROR(__xludf.DUMMYFUNCTION("iferror(iferror(iferror(index(IMPORTRANGE(""1NK5L1mviMn0j3D3uo53ASkIZOFRlLnqaCTnwzOG2_Wg"",""Direct Link!B2:B""),MATCH($B533,IMPORTRANGE(""1NK5L1mviMn0j3D3uo53ASkIZOFRlLnqaCTnwzOG2_Wg"",""Direct Link!A2:A""),0)),XLOOKUP($B533,IMPORTRANGE(""1NK5L1mviMn0j3D"&amp;"3uo53ASkIZOFRlLnqaCTnwzOG2_Wg"",""Direct links Without Sizes!A2:A""),IMPORTRANGE(""1NK5L1mviMn0j3D3uo53ASkIZOFRlLnqaCTnwzOG2_Wg"",""Direct links Without Sizes!B2:B""))),XLOOKUP($B533,IMPORTRANGE(""1NK5L1mviMn0j3D3uo53ASkIZOFRlLnqaCTnwzOG2_Wg"",""Direct li"&amp;"nks Without Sizes!D2:D""),IMPORTRANGE(""1NK5L1mviMn0j3D3uo53ASkIZOFRlLnqaCTnwzOG2_Wg"",""Direct links Without Sizes!E2:E""))),"""")"),"")</f>
        <v/>
      </c>
      <c r="H533" s="41"/>
      <c r="I533" s="4"/>
      <c r="J533" s="4"/>
      <c r="K533" s="10" t="str">
        <f t="shared" si="1"/>
        <v/>
      </c>
      <c r="L533" s="10"/>
      <c r="M533" s="10" t="str">
        <f t="shared" si="2"/>
        <v/>
      </c>
    </row>
    <row r="534">
      <c r="A534" s="4"/>
      <c r="B534" s="15"/>
      <c r="C534" s="7" t="str">
        <f>IFERROR(__xludf.DUMMYFUNCTION("iferror(iferror(INDEX(IMPORTRANGE(""12vtnxaE_Q1s4tyr10kZQx7ZF_xG0lBFae4jQEUtgsMU"",""All!B2:B""),MATCH($B534,IMPORTRANGE(""12vtnxaE_Q1s4tyr10kZQx7ZF_xG0lBFae4jQEUtgsMU"",""All!A2:A""),0)),INDEX(IMPORTRANGE(""13KC70HngS4DDi8y9E5khtSpQEPG6owaQ9z4E-tR5mnY"","&amp;"""Non-Food!B2:B""),MATCH($B534,IMPORTRANGE(""13KC70HngS4DDi8y9E5khtSpQEPG6owaQ9z4E-tR5mnY"",""Non-Food!A2:A""),0))),"""")"),"")</f>
        <v/>
      </c>
      <c r="D534" s="15"/>
      <c r="E534" s="15"/>
      <c r="F534" s="36"/>
      <c r="G534" s="24" t="str">
        <f>IFERROR(__xludf.DUMMYFUNCTION("iferror(iferror(iferror(index(IMPORTRANGE(""1NK5L1mviMn0j3D3uo53ASkIZOFRlLnqaCTnwzOG2_Wg"",""Direct Link!B2:B""),MATCH($B534,IMPORTRANGE(""1NK5L1mviMn0j3D3uo53ASkIZOFRlLnqaCTnwzOG2_Wg"",""Direct Link!A2:A""),0)),XLOOKUP($B534,IMPORTRANGE(""1NK5L1mviMn0j3D"&amp;"3uo53ASkIZOFRlLnqaCTnwzOG2_Wg"",""Direct links Without Sizes!A2:A""),IMPORTRANGE(""1NK5L1mviMn0j3D3uo53ASkIZOFRlLnqaCTnwzOG2_Wg"",""Direct links Without Sizes!B2:B""))),XLOOKUP($B534,IMPORTRANGE(""1NK5L1mviMn0j3D3uo53ASkIZOFRlLnqaCTnwzOG2_Wg"",""Direct li"&amp;"nks Without Sizes!D2:D""),IMPORTRANGE(""1NK5L1mviMn0j3D3uo53ASkIZOFRlLnqaCTnwzOG2_Wg"",""Direct links Without Sizes!E2:E""))),"""")"),"")</f>
        <v/>
      </c>
      <c r="H534" s="41"/>
      <c r="I534" s="4"/>
      <c r="J534" s="4"/>
      <c r="K534" s="10" t="str">
        <f t="shared" si="1"/>
        <v/>
      </c>
      <c r="L534" s="10"/>
      <c r="M534" s="10" t="str">
        <f t="shared" si="2"/>
        <v/>
      </c>
    </row>
    <row r="535">
      <c r="A535" s="4"/>
      <c r="B535" s="15"/>
      <c r="C535" s="7" t="str">
        <f>IFERROR(__xludf.DUMMYFUNCTION("iferror(iferror(INDEX(IMPORTRANGE(""12vtnxaE_Q1s4tyr10kZQx7ZF_xG0lBFae4jQEUtgsMU"",""All!B2:B""),MATCH($B535,IMPORTRANGE(""12vtnxaE_Q1s4tyr10kZQx7ZF_xG0lBFae4jQEUtgsMU"",""All!A2:A""),0)),INDEX(IMPORTRANGE(""13KC70HngS4DDi8y9E5khtSpQEPG6owaQ9z4E-tR5mnY"","&amp;"""Non-Food!B2:B""),MATCH($B535,IMPORTRANGE(""13KC70HngS4DDi8y9E5khtSpQEPG6owaQ9z4E-tR5mnY"",""Non-Food!A2:A""),0))),"""")"),"")</f>
        <v/>
      </c>
      <c r="D535" s="15"/>
      <c r="E535" s="15"/>
      <c r="F535" s="36"/>
      <c r="G535" s="24" t="str">
        <f>IFERROR(__xludf.DUMMYFUNCTION("iferror(iferror(iferror(index(IMPORTRANGE(""1NK5L1mviMn0j3D3uo53ASkIZOFRlLnqaCTnwzOG2_Wg"",""Direct Link!B2:B""),MATCH($B535,IMPORTRANGE(""1NK5L1mviMn0j3D3uo53ASkIZOFRlLnqaCTnwzOG2_Wg"",""Direct Link!A2:A""),0)),XLOOKUP($B535,IMPORTRANGE(""1NK5L1mviMn0j3D"&amp;"3uo53ASkIZOFRlLnqaCTnwzOG2_Wg"",""Direct links Without Sizes!A2:A""),IMPORTRANGE(""1NK5L1mviMn0j3D3uo53ASkIZOFRlLnqaCTnwzOG2_Wg"",""Direct links Without Sizes!B2:B""))),XLOOKUP($B535,IMPORTRANGE(""1NK5L1mviMn0j3D3uo53ASkIZOFRlLnqaCTnwzOG2_Wg"",""Direct li"&amp;"nks Without Sizes!D2:D""),IMPORTRANGE(""1NK5L1mviMn0j3D3uo53ASkIZOFRlLnqaCTnwzOG2_Wg"",""Direct links Without Sizes!E2:E""))),"""")"),"")</f>
        <v/>
      </c>
      <c r="H535" s="41"/>
      <c r="I535" s="4"/>
      <c r="J535" s="4"/>
      <c r="K535" s="10" t="str">
        <f t="shared" si="1"/>
        <v/>
      </c>
      <c r="L535" s="10"/>
      <c r="M535" s="10" t="str">
        <f t="shared" si="2"/>
        <v/>
      </c>
    </row>
    <row r="536">
      <c r="A536" s="4"/>
      <c r="B536" s="15"/>
      <c r="C536" s="7" t="str">
        <f>IFERROR(__xludf.DUMMYFUNCTION("iferror(iferror(INDEX(IMPORTRANGE(""12vtnxaE_Q1s4tyr10kZQx7ZF_xG0lBFae4jQEUtgsMU"",""All!B2:B""),MATCH($B536,IMPORTRANGE(""12vtnxaE_Q1s4tyr10kZQx7ZF_xG0lBFae4jQEUtgsMU"",""All!A2:A""),0)),INDEX(IMPORTRANGE(""13KC70HngS4DDi8y9E5khtSpQEPG6owaQ9z4E-tR5mnY"","&amp;"""Non-Food!B2:B""),MATCH($B536,IMPORTRANGE(""13KC70HngS4DDi8y9E5khtSpQEPG6owaQ9z4E-tR5mnY"",""Non-Food!A2:A""),0))),"""")"),"")</f>
        <v/>
      </c>
      <c r="D536" s="15"/>
      <c r="E536" s="15"/>
      <c r="F536" s="36"/>
      <c r="G536" s="24" t="str">
        <f>IFERROR(__xludf.DUMMYFUNCTION("iferror(iferror(iferror(index(IMPORTRANGE(""1NK5L1mviMn0j3D3uo53ASkIZOFRlLnqaCTnwzOG2_Wg"",""Direct Link!B2:B""),MATCH($B536,IMPORTRANGE(""1NK5L1mviMn0j3D3uo53ASkIZOFRlLnqaCTnwzOG2_Wg"",""Direct Link!A2:A""),0)),XLOOKUP($B536,IMPORTRANGE(""1NK5L1mviMn0j3D"&amp;"3uo53ASkIZOFRlLnqaCTnwzOG2_Wg"",""Direct links Without Sizes!A2:A""),IMPORTRANGE(""1NK5L1mviMn0j3D3uo53ASkIZOFRlLnqaCTnwzOG2_Wg"",""Direct links Without Sizes!B2:B""))),XLOOKUP($B536,IMPORTRANGE(""1NK5L1mviMn0j3D3uo53ASkIZOFRlLnqaCTnwzOG2_Wg"",""Direct li"&amp;"nks Without Sizes!D2:D""),IMPORTRANGE(""1NK5L1mviMn0j3D3uo53ASkIZOFRlLnqaCTnwzOG2_Wg"",""Direct links Without Sizes!E2:E""))),"""")"),"")</f>
        <v/>
      </c>
      <c r="H536" s="41"/>
      <c r="I536" s="4"/>
      <c r="J536" s="4"/>
      <c r="K536" s="10" t="str">
        <f t="shared" si="1"/>
        <v/>
      </c>
      <c r="L536" s="10"/>
      <c r="M536" s="10" t="str">
        <f t="shared" si="2"/>
        <v/>
      </c>
    </row>
    <row r="537">
      <c r="A537" s="4"/>
      <c r="B537" s="15"/>
      <c r="C537" s="7" t="str">
        <f>IFERROR(__xludf.DUMMYFUNCTION("iferror(iferror(INDEX(IMPORTRANGE(""12vtnxaE_Q1s4tyr10kZQx7ZF_xG0lBFae4jQEUtgsMU"",""All!B2:B""),MATCH($B537,IMPORTRANGE(""12vtnxaE_Q1s4tyr10kZQx7ZF_xG0lBFae4jQEUtgsMU"",""All!A2:A""),0)),INDEX(IMPORTRANGE(""13KC70HngS4DDi8y9E5khtSpQEPG6owaQ9z4E-tR5mnY"","&amp;"""Non-Food!B2:B""),MATCH($B537,IMPORTRANGE(""13KC70HngS4DDi8y9E5khtSpQEPG6owaQ9z4E-tR5mnY"",""Non-Food!A2:A""),0))),"""")"),"")</f>
        <v/>
      </c>
      <c r="D537" s="15"/>
      <c r="E537" s="15"/>
      <c r="F537" s="36"/>
      <c r="G537" s="24" t="str">
        <f>IFERROR(__xludf.DUMMYFUNCTION("iferror(iferror(iferror(index(IMPORTRANGE(""1NK5L1mviMn0j3D3uo53ASkIZOFRlLnqaCTnwzOG2_Wg"",""Direct Link!B2:B""),MATCH($B537,IMPORTRANGE(""1NK5L1mviMn0j3D3uo53ASkIZOFRlLnqaCTnwzOG2_Wg"",""Direct Link!A2:A""),0)),XLOOKUP($B537,IMPORTRANGE(""1NK5L1mviMn0j3D"&amp;"3uo53ASkIZOFRlLnqaCTnwzOG2_Wg"",""Direct links Without Sizes!A2:A""),IMPORTRANGE(""1NK5L1mviMn0j3D3uo53ASkIZOFRlLnqaCTnwzOG2_Wg"",""Direct links Without Sizes!B2:B""))),XLOOKUP($B537,IMPORTRANGE(""1NK5L1mviMn0j3D3uo53ASkIZOFRlLnqaCTnwzOG2_Wg"",""Direct li"&amp;"nks Without Sizes!D2:D""),IMPORTRANGE(""1NK5L1mviMn0j3D3uo53ASkIZOFRlLnqaCTnwzOG2_Wg"",""Direct links Without Sizes!E2:E""))),"""")"),"")</f>
        <v/>
      </c>
      <c r="H537" s="41"/>
      <c r="I537" s="4"/>
      <c r="J537" s="4"/>
      <c r="K537" s="10" t="str">
        <f t="shared" si="1"/>
        <v/>
      </c>
      <c r="L537" s="10"/>
      <c r="M537" s="10" t="str">
        <f t="shared" si="2"/>
        <v/>
      </c>
    </row>
    <row r="538">
      <c r="A538" s="4"/>
      <c r="B538" s="15"/>
      <c r="C538" s="7" t="str">
        <f>IFERROR(__xludf.DUMMYFUNCTION("iferror(iferror(INDEX(IMPORTRANGE(""12vtnxaE_Q1s4tyr10kZQx7ZF_xG0lBFae4jQEUtgsMU"",""All!B2:B""),MATCH($B538,IMPORTRANGE(""12vtnxaE_Q1s4tyr10kZQx7ZF_xG0lBFae4jQEUtgsMU"",""All!A2:A""),0)),INDEX(IMPORTRANGE(""13KC70HngS4DDi8y9E5khtSpQEPG6owaQ9z4E-tR5mnY"","&amp;"""Non-Food!B2:B""),MATCH($B538,IMPORTRANGE(""13KC70HngS4DDi8y9E5khtSpQEPG6owaQ9z4E-tR5mnY"",""Non-Food!A2:A""),0))),"""")"),"")</f>
        <v/>
      </c>
      <c r="D538" s="15"/>
      <c r="E538" s="15"/>
      <c r="F538" s="36"/>
      <c r="G538" s="24" t="str">
        <f>IFERROR(__xludf.DUMMYFUNCTION("iferror(iferror(iferror(index(IMPORTRANGE(""1NK5L1mviMn0j3D3uo53ASkIZOFRlLnqaCTnwzOG2_Wg"",""Direct Link!B2:B""),MATCH($B538,IMPORTRANGE(""1NK5L1mviMn0j3D3uo53ASkIZOFRlLnqaCTnwzOG2_Wg"",""Direct Link!A2:A""),0)),XLOOKUP($B538,IMPORTRANGE(""1NK5L1mviMn0j3D"&amp;"3uo53ASkIZOFRlLnqaCTnwzOG2_Wg"",""Direct links Without Sizes!A2:A""),IMPORTRANGE(""1NK5L1mviMn0j3D3uo53ASkIZOFRlLnqaCTnwzOG2_Wg"",""Direct links Without Sizes!B2:B""))),XLOOKUP($B538,IMPORTRANGE(""1NK5L1mviMn0j3D3uo53ASkIZOFRlLnqaCTnwzOG2_Wg"",""Direct li"&amp;"nks Without Sizes!D2:D""),IMPORTRANGE(""1NK5L1mviMn0j3D3uo53ASkIZOFRlLnqaCTnwzOG2_Wg"",""Direct links Without Sizes!E2:E""))),"""")"),"")</f>
        <v/>
      </c>
      <c r="H538" s="41"/>
      <c r="I538" s="4"/>
      <c r="J538" s="4"/>
      <c r="K538" s="10" t="str">
        <f t="shared" si="1"/>
        <v/>
      </c>
      <c r="L538" s="10"/>
      <c r="M538" s="10" t="str">
        <f t="shared" si="2"/>
        <v/>
      </c>
    </row>
    <row r="539">
      <c r="A539" s="4"/>
      <c r="B539" s="15"/>
      <c r="C539" s="7" t="str">
        <f>IFERROR(__xludf.DUMMYFUNCTION("iferror(iferror(INDEX(IMPORTRANGE(""12vtnxaE_Q1s4tyr10kZQx7ZF_xG0lBFae4jQEUtgsMU"",""All!B2:B""),MATCH($B539,IMPORTRANGE(""12vtnxaE_Q1s4tyr10kZQx7ZF_xG0lBFae4jQEUtgsMU"",""All!A2:A""),0)),INDEX(IMPORTRANGE(""13KC70HngS4DDi8y9E5khtSpQEPG6owaQ9z4E-tR5mnY"","&amp;"""Non-Food!B2:B""),MATCH($B539,IMPORTRANGE(""13KC70HngS4DDi8y9E5khtSpQEPG6owaQ9z4E-tR5mnY"",""Non-Food!A2:A""),0))),"""")"),"")</f>
        <v/>
      </c>
      <c r="D539" s="15"/>
      <c r="E539" s="15"/>
      <c r="F539" s="36"/>
      <c r="G539" s="24" t="str">
        <f>IFERROR(__xludf.DUMMYFUNCTION("iferror(iferror(iferror(index(IMPORTRANGE(""1NK5L1mviMn0j3D3uo53ASkIZOFRlLnqaCTnwzOG2_Wg"",""Direct Link!B2:B""),MATCH($B539,IMPORTRANGE(""1NK5L1mviMn0j3D3uo53ASkIZOFRlLnqaCTnwzOG2_Wg"",""Direct Link!A2:A""),0)),XLOOKUP($B539,IMPORTRANGE(""1NK5L1mviMn0j3D"&amp;"3uo53ASkIZOFRlLnqaCTnwzOG2_Wg"",""Direct links Without Sizes!A2:A""),IMPORTRANGE(""1NK5L1mviMn0j3D3uo53ASkIZOFRlLnqaCTnwzOG2_Wg"",""Direct links Without Sizes!B2:B""))),XLOOKUP($B539,IMPORTRANGE(""1NK5L1mviMn0j3D3uo53ASkIZOFRlLnqaCTnwzOG2_Wg"",""Direct li"&amp;"nks Without Sizes!D2:D""),IMPORTRANGE(""1NK5L1mviMn0j3D3uo53ASkIZOFRlLnqaCTnwzOG2_Wg"",""Direct links Without Sizes!E2:E""))),"""")"),"")</f>
        <v/>
      </c>
      <c r="H539" s="41"/>
      <c r="I539" s="4"/>
      <c r="J539" s="4"/>
      <c r="K539" s="10" t="str">
        <f t="shared" si="1"/>
        <v/>
      </c>
      <c r="L539" s="10"/>
      <c r="M539" s="10" t="str">
        <f t="shared" si="2"/>
        <v/>
      </c>
    </row>
    <row r="540">
      <c r="A540" s="4"/>
      <c r="B540" s="15"/>
      <c r="C540" s="7" t="str">
        <f>IFERROR(__xludf.DUMMYFUNCTION("iferror(iferror(INDEX(IMPORTRANGE(""12vtnxaE_Q1s4tyr10kZQx7ZF_xG0lBFae4jQEUtgsMU"",""All!B2:B""),MATCH($B540,IMPORTRANGE(""12vtnxaE_Q1s4tyr10kZQx7ZF_xG0lBFae4jQEUtgsMU"",""All!A2:A""),0)),INDEX(IMPORTRANGE(""13KC70HngS4DDi8y9E5khtSpQEPG6owaQ9z4E-tR5mnY"","&amp;"""Non-Food!B2:B""),MATCH($B540,IMPORTRANGE(""13KC70HngS4DDi8y9E5khtSpQEPG6owaQ9z4E-tR5mnY"",""Non-Food!A2:A""),0))),"""")"),"")</f>
        <v/>
      </c>
      <c r="D540" s="15"/>
      <c r="E540" s="15"/>
      <c r="F540" s="36"/>
      <c r="G540" s="24" t="str">
        <f>IFERROR(__xludf.DUMMYFUNCTION("iferror(iferror(iferror(index(IMPORTRANGE(""1NK5L1mviMn0j3D3uo53ASkIZOFRlLnqaCTnwzOG2_Wg"",""Direct Link!B2:B""),MATCH($B540,IMPORTRANGE(""1NK5L1mviMn0j3D3uo53ASkIZOFRlLnqaCTnwzOG2_Wg"",""Direct Link!A2:A""),0)),XLOOKUP($B540,IMPORTRANGE(""1NK5L1mviMn0j3D"&amp;"3uo53ASkIZOFRlLnqaCTnwzOG2_Wg"",""Direct links Without Sizes!A2:A""),IMPORTRANGE(""1NK5L1mviMn0j3D3uo53ASkIZOFRlLnqaCTnwzOG2_Wg"",""Direct links Without Sizes!B2:B""))),XLOOKUP($B540,IMPORTRANGE(""1NK5L1mviMn0j3D3uo53ASkIZOFRlLnqaCTnwzOG2_Wg"",""Direct li"&amp;"nks Without Sizes!D2:D""),IMPORTRANGE(""1NK5L1mviMn0j3D3uo53ASkIZOFRlLnqaCTnwzOG2_Wg"",""Direct links Without Sizes!E2:E""))),"""")"),"")</f>
        <v/>
      </c>
      <c r="H540" s="41"/>
      <c r="I540" s="4"/>
      <c r="J540" s="4"/>
      <c r="K540" s="10" t="str">
        <f t="shared" si="1"/>
        <v/>
      </c>
      <c r="L540" s="10"/>
      <c r="M540" s="10" t="str">
        <f t="shared" si="2"/>
        <v/>
      </c>
    </row>
    <row r="541">
      <c r="A541" s="4"/>
      <c r="B541" s="15"/>
      <c r="C541" s="7" t="str">
        <f>IFERROR(__xludf.DUMMYFUNCTION("iferror(iferror(INDEX(IMPORTRANGE(""12vtnxaE_Q1s4tyr10kZQx7ZF_xG0lBFae4jQEUtgsMU"",""All!B2:B""),MATCH($B541,IMPORTRANGE(""12vtnxaE_Q1s4tyr10kZQx7ZF_xG0lBFae4jQEUtgsMU"",""All!A2:A""),0)),INDEX(IMPORTRANGE(""13KC70HngS4DDi8y9E5khtSpQEPG6owaQ9z4E-tR5mnY"","&amp;"""Non-Food!B2:B""),MATCH($B541,IMPORTRANGE(""13KC70HngS4DDi8y9E5khtSpQEPG6owaQ9z4E-tR5mnY"",""Non-Food!A2:A""),0))),"""")"),"")</f>
        <v/>
      </c>
      <c r="D541" s="15"/>
      <c r="E541" s="15"/>
      <c r="F541" s="36"/>
      <c r="G541" s="24" t="str">
        <f>IFERROR(__xludf.DUMMYFUNCTION("iferror(iferror(iferror(index(IMPORTRANGE(""1NK5L1mviMn0j3D3uo53ASkIZOFRlLnqaCTnwzOG2_Wg"",""Direct Link!B2:B""),MATCH($B541,IMPORTRANGE(""1NK5L1mviMn0j3D3uo53ASkIZOFRlLnqaCTnwzOG2_Wg"",""Direct Link!A2:A""),0)),XLOOKUP($B541,IMPORTRANGE(""1NK5L1mviMn0j3D"&amp;"3uo53ASkIZOFRlLnqaCTnwzOG2_Wg"",""Direct links Without Sizes!A2:A""),IMPORTRANGE(""1NK5L1mviMn0j3D3uo53ASkIZOFRlLnqaCTnwzOG2_Wg"",""Direct links Without Sizes!B2:B""))),XLOOKUP($B541,IMPORTRANGE(""1NK5L1mviMn0j3D3uo53ASkIZOFRlLnqaCTnwzOG2_Wg"",""Direct li"&amp;"nks Without Sizes!D2:D""),IMPORTRANGE(""1NK5L1mviMn0j3D3uo53ASkIZOFRlLnqaCTnwzOG2_Wg"",""Direct links Without Sizes!E2:E""))),"""")"),"")</f>
        <v/>
      </c>
      <c r="H541" s="41"/>
      <c r="I541" s="4"/>
      <c r="J541" s="4"/>
      <c r="K541" s="10" t="str">
        <f t="shared" si="1"/>
        <v/>
      </c>
      <c r="L541" s="10"/>
      <c r="M541" s="10" t="str">
        <f t="shared" si="2"/>
        <v/>
      </c>
    </row>
    <row r="542">
      <c r="A542" s="4"/>
      <c r="B542" s="15"/>
      <c r="C542" s="7" t="str">
        <f>IFERROR(__xludf.DUMMYFUNCTION("iferror(iferror(INDEX(IMPORTRANGE(""12vtnxaE_Q1s4tyr10kZQx7ZF_xG0lBFae4jQEUtgsMU"",""All!B2:B""),MATCH($B542,IMPORTRANGE(""12vtnxaE_Q1s4tyr10kZQx7ZF_xG0lBFae4jQEUtgsMU"",""All!A2:A""),0)),INDEX(IMPORTRANGE(""13KC70HngS4DDi8y9E5khtSpQEPG6owaQ9z4E-tR5mnY"","&amp;"""Non-Food!B2:B""),MATCH($B542,IMPORTRANGE(""13KC70HngS4DDi8y9E5khtSpQEPG6owaQ9z4E-tR5mnY"",""Non-Food!A2:A""),0))),"""")"),"")</f>
        <v/>
      </c>
      <c r="D542" s="15"/>
      <c r="E542" s="15"/>
      <c r="F542" s="36"/>
      <c r="G542" s="24" t="str">
        <f>IFERROR(__xludf.DUMMYFUNCTION("iferror(iferror(iferror(index(IMPORTRANGE(""1NK5L1mviMn0j3D3uo53ASkIZOFRlLnqaCTnwzOG2_Wg"",""Direct Link!B2:B""),MATCH($B542,IMPORTRANGE(""1NK5L1mviMn0j3D3uo53ASkIZOFRlLnqaCTnwzOG2_Wg"",""Direct Link!A2:A""),0)),XLOOKUP($B542,IMPORTRANGE(""1NK5L1mviMn0j3D"&amp;"3uo53ASkIZOFRlLnqaCTnwzOG2_Wg"",""Direct links Without Sizes!A2:A""),IMPORTRANGE(""1NK5L1mviMn0j3D3uo53ASkIZOFRlLnqaCTnwzOG2_Wg"",""Direct links Without Sizes!B2:B""))),XLOOKUP($B542,IMPORTRANGE(""1NK5L1mviMn0j3D3uo53ASkIZOFRlLnqaCTnwzOG2_Wg"",""Direct li"&amp;"nks Without Sizes!D2:D""),IMPORTRANGE(""1NK5L1mviMn0j3D3uo53ASkIZOFRlLnqaCTnwzOG2_Wg"",""Direct links Without Sizes!E2:E""))),"""")"),"")</f>
        <v/>
      </c>
      <c r="H542" s="41"/>
      <c r="I542" s="4"/>
      <c r="J542" s="4"/>
      <c r="K542" s="10" t="str">
        <f t="shared" si="1"/>
        <v/>
      </c>
      <c r="L542" s="10"/>
      <c r="M542" s="10" t="str">
        <f t="shared" si="2"/>
        <v/>
      </c>
    </row>
    <row r="543">
      <c r="A543" s="4"/>
      <c r="B543" s="15"/>
      <c r="C543" s="7" t="str">
        <f>IFERROR(__xludf.DUMMYFUNCTION("iferror(iferror(INDEX(IMPORTRANGE(""12vtnxaE_Q1s4tyr10kZQx7ZF_xG0lBFae4jQEUtgsMU"",""All!B2:B""),MATCH($B543,IMPORTRANGE(""12vtnxaE_Q1s4tyr10kZQx7ZF_xG0lBFae4jQEUtgsMU"",""All!A2:A""),0)),INDEX(IMPORTRANGE(""13KC70HngS4DDi8y9E5khtSpQEPG6owaQ9z4E-tR5mnY"","&amp;"""Non-Food!B2:B""),MATCH($B543,IMPORTRANGE(""13KC70HngS4DDi8y9E5khtSpQEPG6owaQ9z4E-tR5mnY"",""Non-Food!A2:A""),0))),"""")"),"")</f>
        <v/>
      </c>
      <c r="D543" s="15"/>
      <c r="E543" s="15"/>
      <c r="F543" s="36"/>
      <c r="G543" s="24" t="str">
        <f>IFERROR(__xludf.DUMMYFUNCTION("iferror(iferror(iferror(index(IMPORTRANGE(""1NK5L1mviMn0j3D3uo53ASkIZOFRlLnqaCTnwzOG2_Wg"",""Direct Link!B2:B""),MATCH($B543,IMPORTRANGE(""1NK5L1mviMn0j3D3uo53ASkIZOFRlLnqaCTnwzOG2_Wg"",""Direct Link!A2:A""),0)),XLOOKUP($B543,IMPORTRANGE(""1NK5L1mviMn0j3D"&amp;"3uo53ASkIZOFRlLnqaCTnwzOG2_Wg"",""Direct links Without Sizes!A2:A""),IMPORTRANGE(""1NK5L1mviMn0j3D3uo53ASkIZOFRlLnqaCTnwzOG2_Wg"",""Direct links Without Sizes!B2:B""))),XLOOKUP($B543,IMPORTRANGE(""1NK5L1mviMn0j3D3uo53ASkIZOFRlLnqaCTnwzOG2_Wg"",""Direct li"&amp;"nks Without Sizes!D2:D""),IMPORTRANGE(""1NK5L1mviMn0j3D3uo53ASkIZOFRlLnqaCTnwzOG2_Wg"",""Direct links Without Sizes!E2:E""))),"""")"),"")</f>
        <v/>
      </c>
      <c r="H543" s="41"/>
      <c r="I543" s="4"/>
      <c r="J543" s="4"/>
      <c r="K543" s="10" t="str">
        <f t="shared" si="1"/>
        <v/>
      </c>
      <c r="L543" s="10"/>
      <c r="M543" s="10" t="str">
        <f t="shared" si="2"/>
        <v/>
      </c>
    </row>
    <row r="544">
      <c r="A544" s="4"/>
      <c r="B544" s="15"/>
      <c r="C544" s="7" t="str">
        <f>IFERROR(__xludf.DUMMYFUNCTION("iferror(iferror(INDEX(IMPORTRANGE(""12vtnxaE_Q1s4tyr10kZQx7ZF_xG0lBFae4jQEUtgsMU"",""All!B2:B""),MATCH($B544,IMPORTRANGE(""12vtnxaE_Q1s4tyr10kZQx7ZF_xG0lBFae4jQEUtgsMU"",""All!A2:A""),0)),INDEX(IMPORTRANGE(""13KC70HngS4DDi8y9E5khtSpQEPG6owaQ9z4E-tR5mnY"","&amp;"""Non-Food!B2:B""),MATCH($B544,IMPORTRANGE(""13KC70HngS4DDi8y9E5khtSpQEPG6owaQ9z4E-tR5mnY"",""Non-Food!A2:A""),0))),"""")"),"")</f>
        <v/>
      </c>
      <c r="D544" s="15"/>
      <c r="E544" s="15"/>
      <c r="F544" s="36"/>
      <c r="G544" s="24" t="str">
        <f>IFERROR(__xludf.DUMMYFUNCTION("iferror(iferror(iferror(index(IMPORTRANGE(""1NK5L1mviMn0j3D3uo53ASkIZOFRlLnqaCTnwzOG2_Wg"",""Direct Link!B2:B""),MATCH($B544,IMPORTRANGE(""1NK5L1mviMn0j3D3uo53ASkIZOFRlLnqaCTnwzOG2_Wg"",""Direct Link!A2:A""),0)),XLOOKUP($B544,IMPORTRANGE(""1NK5L1mviMn0j3D"&amp;"3uo53ASkIZOFRlLnqaCTnwzOG2_Wg"",""Direct links Without Sizes!A2:A""),IMPORTRANGE(""1NK5L1mviMn0j3D3uo53ASkIZOFRlLnqaCTnwzOG2_Wg"",""Direct links Without Sizes!B2:B""))),XLOOKUP($B544,IMPORTRANGE(""1NK5L1mviMn0j3D3uo53ASkIZOFRlLnqaCTnwzOG2_Wg"",""Direct li"&amp;"nks Without Sizes!D2:D""),IMPORTRANGE(""1NK5L1mviMn0j3D3uo53ASkIZOFRlLnqaCTnwzOG2_Wg"",""Direct links Without Sizes!E2:E""))),"""")"),"")</f>
        <v/>
      </c>
      <c r="H544" s="41"/>
      <c r="I544" s="4"/>
      <c r="J544" s="4"/>
      <c r="K544" s="10" t="str">
        <f t="shared" si="1"/>
        <v/>
      </c>
      <c r="L544" s="10"/>
      <c r="M544" s="10" t="str">
        <f t="shared" si="2"/>
        <v/>
      </c>
    </row>
    <row r="545">
      <c r="A545" s="4"/>
      <c r="B545" s="15"/>
      <c r="C545" s="7" t="str">
        <f>IFERROR(__xludf.DUMMYFUNCTION("iferror(iferror(INDEX(IMPORTRANGE(""12vtnxaE_Q1s4tyr10kZQx7ZF_xG0lBFae4jQEUtgsMU"",""All!B2:B""),MATCH($B545,IMPORTRANGE(""12vtnxaE_Q1s4tyr10kZQx7ZF_xG0lBFae4jQEUtgsMU"",""All!A2:A""),0)),INDEX(IMPORTRANGE(""13KC70HngS4DDi8y9E5khtSpQEPG6owaQ9z4E-tR5mnY"","&amp;"""Non-Food!B2:B""),MATCH($B545,IMPORTRANGE(""13KC70HngS4DDi8y9E5khtSpQEPG6owaQ9z4E-tR5mnY"",""Non-Food!A2:A""),0))),"""")"),"")</f>
        <v/>
      </c>
      <c r="D545" s="15"/>
      <c r="E545" s="15"/>
      <c r="F545" s="36"/>
      <c r="G545" s="24" t="str">
        <f>IFERROR(__xludf.DUMMYFUNCTION("iferror(iferror(iferror(index(IMPORTRANGE(""1NK5L1mviMn0j3D3uo53ASkIZOFRlLnqaCTnwzOG2_Wg"",""Direct Link!B2:B""),MATCH($B545,IMPORTRANGE(""1NK5L1mviMn0j3D3uo53ASkIZOFRlLnqaCTnwzOG2_Wg"",""Direct Link!A2:A""),0)),XLOOKUP($B545,IMPORTRANGE(""1NK5L1mviMn0j3D"&amp;"3uo53ASkIZOFRlLnqaCTnwzOG2_Wg"",""Direct links Without Sizes!A2:A""),IMPORTRANGE(""1NK5L1mviMn0j3D3uo53ASkIZOFRlLnqaCTnwzOG2_Wg"",""Direct links Without Sizes!B2:B""))),XLOOKUP($B545,IMPORTRANGE(""1NK5L1mviMn0j3D3uo53ASkIZOFRlLnqaCTnwzOG2_Wg"",""Direct li"&amp;"nks Without Sizes!D2:D""),IMPORTRANGE(""1NK5L1mviMn0j3D3uo53ASkIZOFRlLnqaCTnwzOG2_Wg"",""Direct links Without Sizes!E2:E""))),"""")"),"")</f>
        <v/>
      </c>
      <c r="H545" s="41"/>
      <c r="I545" s="4"/>
      <c r="J545" s="4"/>
      <c r="K545" s="10" t="str">
        <f t="shared" si="1"/>
        <v/>
      </c>
      <c r="L545" s="10"/>
      <c r="M545" s="10" t="str">
        <f t="shared" si="2"/>
        <v/>
      </c>
    </row>
    <row r="546">
      <c r="A546" s="4"/>
      <c r="B546" s="15"/>
      <c r="C546" s="7" t="str">
        <f>IFERROR(__xludf.DUMMYFUNCTION("iferror(iferror(INDEX(IMPORTRANGE(""12vtnxaE_Q1s4tyr10kZQx7ZF_xG0lBFae4jQEUtgsMU"",""All!B2:B""),MATCH($B546,IMPORTRANGE(""12vtnxaE_Q1s4tyr10kZQx7ZF_xG0lBFae4jQEUtgsMU"",""All!A2:A""),0)),INDEX(IMPORTRANGE(""13KC70HngS4DDi8y9E5khtSpQEPG6owaQ9z4E-tR5mnY"","&amp;"""Non-Food!B2:B""),MATCH($B546,IMPORTRANGE(""13KC70HngS4DDi8y9E5khtSpQEPG6owaQ9z4E-tR5mnY"",""Non-Food!A2:A""),0))),"""")"),"")</f>
        <v/>
      </c>
      <c r="D546" s="15"/>
      <c r="E546" s="15"/>
      <c r="F546" s="36"/>
      <c r="G546" s="24" t="str">
        <f>IFERROR(__xludf.DUMMYFUNCTION("iferror(iferror(iferror(index(IMPORTRANGE(""1NK5L1mviMn0j3D3uo53ASkIZOFRlLnqaCTnwzOG2_Wg"",""Direct Link!B2:B""),MATCH($B546,IMPORTRANGE(""1NK5L1mviMn0j3D3uo53ASkIZOFRlLnqaCTnwzOG2_Wg"",""Direct Link!A2:A""),0)),XLOOKUP($B546,IMPORTRANGE(""1NK5L1mviMn0j3D"&amp;"3uo53ASkIZOFRlLnqaCTnwzOG2_Wg"",""Direct links Without Sizes!A2:A""),IMPORTRANGE(""1NK5L1mviMn0j3D3uo53ASkIZOFRlLnqaCTnwzOG2_Wg"",""Direct links Without Sizes!B2:B""))),XLOOKUP($B546,IMPORTRANGE(""1NK5L1mviMn0j3D3uo53ASkIZOFRlLnqaCTnwzOG2_Wg"",""Direct li"&amp;"nks Without Sizes!D2:D""),IMPORTRANGE(""1NK5L1mviMn0j3D3uo53ASkIZOFRlLnqaCTnwzOG2_Wg"",""Direct links Without Sizes!E2:E""))),"""")"),"")</f>
        <v/>
      </c>
      <c r="H546" s="41"/>
      <c r="I546" s="4"/>
      <c r="J546" s="4"/>
      <c r="K546" s="10" t="str">
        <f t="shared" si="1"/>
        <v/>
      </c>
      <c r="L546" s="10"/>
      <c r="M546" s="10" t="str">
        <f t="shared" si="2"/>
        <v/>
      </c>
    </row>
    <row r="547">
      <c r="A547" s="4"/>
      <c r="B547" s="15"/>
      <c r="C547" s="7" t="str">
        <f>IFERROR(__xludf.DUMMYFUNCTION("iferror(iferror(INDEX(IMPORTRANGE(""12vtnxaE_Q1s4tyr10kZQx7ZF_xG0lBFae4jQEUtgsMU"",""All!B2:B""),MATCH($B547,IMPORTRANGE(""12vtnxaE_Q1s4tyr10kZQx7ZF_xG0lBFae4jQEUtgsMU"",""All!A2:A""),0)),INDEX(IMPORTRANGE(""13KC70HngS4DDi8y9E5khtSpQEPG6owaQ9z4E-tR5mnY"","&amp;"""Non-Food!B2:B""),MATCH($B547,IMPORTRANGE(""13KC70HngS4DDi8y9E5khtSpQEPG6owaQ9z4E-tR5mnY"",""Non-Food!A2:A""),0))),"""")"),"")</f>
        <v/>
      </c>
      <c r="D547" s="15"/>
      <c r="E547" s="15"/>
      <c r="F547" s="36"/>
      <c r="G547" s="24" t="str">
        <f>IFERROR(__xludf.DUMMYFUNCTION("iferror(iferror(iferror(index(IMPORTRANGE(""1NK5L1mviMn0j3D3uo53ASkIZOFRlLnqaCTnwzOG2_Wg"",""Direct Link!B2:B""),MATCH($B547,IMPORTRANGE(""1NK5L1mviMn0j3D3uo53ASkIZOFRlLnqaCTnwzOG2_Wg"",""Direct Link!A2:A""),0)),XLOOKUP($B547,IMPORTRANGE(""1NK5L1mviMn0j3D"&amp;"3uo53ASkIZOFRlLnqaCTnwzOG2_Wg"",""Direct links Without Sizes!A2:A""),IMPORTRANGE(""1NK5L1mviMn0j3D3uo53ASkIZOFRlLnqaCTnwzOG2_Wg"",""Direct links Without Sizes!B2:B""))),XLOOKUP($B547,IMPORTRANGE(""1NK5L1mviMn0j3D3uo53ASkIZOFRlLnqaCTnwzOG2_Wg"",""Direct li"&amp;"nks Without Sizes!D2:D""),IMPORTRANGE(""1NK5L1mviMn0j3D3uo53ASkIZOFRlLnqaCTnwzOG2_Wg"",""Direct links Without Sizes!E2:E""))),"""")"),"")</f>
        <v/>
      </c>
      <c r="H547" s="41"/>
      <c r="I547" s="4"/>
      <c r="J547" s="4"/>
      <c r="K547" s="10" t="str">
        <f t="shared" si="1"/>
        <v/>
      </c>
      <c r="L547" s="10"/>
      <c r="M547" s="10" t="str">
        <f t="shared" si="2"/>
        <v/>
      </c>
    </row>
    <row r="548">
      <c r="A548" s="4"/>
      <c r="B548" s="15"/>
      <c r="C548" s="7" t="str">
        <f>IFERROR(__xludf.DUMMYFUNCTION("iferror(iferror(INDEX(IMPORTRANGE(""12vtnxaE_Q1s4tyr10kZQx7ZF_xG0lBFae4jQEUtgsMU"",""All!B2:B""),MATCH($B548,IMPORTRANGE(""12vtnxaE_Q1s4tyr10kZQx7ZF_xG0lBFae4jQEUtgsMU"",""All!A2:A""),0)),INDEX(IMPORTRANGE(""13KC70HngS4DDi8y9E5khtSpQEPG6owaQ9z4E-tR5mnY"","&amp;"""Non-Food!B2:B""),MATCH($B548,IMPORTRANGE(""13KC70HngS4DDi8y9E5khtSpQEPG6owaQ9z4E-tR5mnY"",""Non-Food!A2:A""),0))),"""")"),"")</f>
        <v/>
      </c>
      <c r="D548" s="15"/>
      <c r="E548" s="15"/>
      <c r="F548" s="36"/>
      <c r="G548" s="24" t="str">
        <f>IFERROR(__xludf.DUMMYFUNCTION("iferror(iferror(iferror(index(IMPORTRANGE(""1NK5L1mviMn0j3D3uo53ASkIZOFRlLnqaCTnwzOG2_Wg"",""Direct Link!B2:B""),MATCH($B548,IMPORTRANGE(""1NK5L1mviMn0j3D3uo53ASkIZOFRlLnqaCTnwzOG2_Wg"",""Direct Link!A2:A""),0)),XLOOKUP($B548,IMPORTRANGE(""1NK5L1mviMn0j3D"&amp;"3uo53ASkIZOFRlLnqaCTnwzOG2_Wg"",""Direct links Without Sizes!A2:A""),IMPORTRANGE(""1NK5L1mviMn0j3D3uo53ASkIZOFRlLnqaCTnwzOG2_Wg"",""Direct links Without Sizes!B2:B""))),XLOOKUP($B548,IMPORTRANGE(""1NK5L1mviMn0j3D3uo53ASkIZOFRlLnqaCTnwzOG2_Wg"",""Direct li"&amp;"nks Without Sizes!D2:D""),IMPORTRANGE(""1NK5L1mviMn0j3D3uo53ASkIZOFRlLnqaCTnwzOG2_Wg"",""Direct links Without Sizes!E2:E""))),"""")"),"")</f>
        <v/>
      </c>
      <c r="H548" s="41"/>
      <c r="I548" s="4"/>
      <c r="J548" s="4"/>
      <c r="K548" s="10" t="str">
        <f t="shared" si="1"/>
        <v/>
      </c>
      <c r="L548" s="10"/>
      <c r="M548" s="10" t="str">
        <f t="shared" si="2"/>
        <v/>
      </c>
    </row>
    <row r="549">
      <c r="A549" s="4"/>
      <c r="B549" s="15"/>
      <c r="C549" s="7" t="str">
        <f>IFERROR(__xludf.DUMMYFUNCTION("iferror(iferror(INDEX(IMPORTRANGE(""12vtnxaE_Q1s4tyr10kZQx7ZF_xG0lBFae4jQEUtgsMU"",""All!B2:B""),MATCH($B549,IMPORTRANGE(""12vtnxaE_Q1s4tyr10kZQx7ZF_xG0lBFae4jQEUtgsMU"",""All!A2:A""),0)),INDEX(IMPORTRANGE(""13KC70HngS4DDi8y9E5khtSpQEPG6owaQ9z4E-tR5mnY"","&amp;"""Non-Food!B2:B""),MATCH($B549,IMPORTRANGE(""13KC70HngS4DDi8y9E5khtSpQEPG6owaQ9z4E-tR5mnY"",""Non-Food!A2:A""),0))),"""")"),"")</f>
        <v/>
      </c>
      <c r="D549" s="15"/>
      <c r="E549" s="15"/>
      <c r="F549" s="36"/>
      <c r="G549" s="24" t="str">
        <f>IFERROR(__xludf.DUMMYFUNCTION("iferror(iferror(iferror(index(IMPORTRANGE(""1NK5L1mviMn0j3D3uo53ASkIZOFRlLnqaCTnwzOG2_Wg"",""Direct Link!B2:B""),MATCH($B549,IMPORTRANGE(""1NK5L1mviMn0j3D3uo53ASkIZOFRlLnqaCTnwzOG2_Wg"",""Direct Link!A2:A""),0)),XLOOKUP($B549,IMPORTRANGE(""1NK5L1mviMn0j3D"&amp;"3uo53ASkIZOFRlLnqaCTnwzOG2_Wg"",""Direct links Without Sizes!A2:A""),IMPORTRANGE(""1NK5L1mviMn0j3D3uo53ASkIZOFRlLnqaCTnwzOG2_Wg"",""Direct links Without Sizes!B2:B""))),XLOOKUP($B549,IMPORTRANGE(""1NK5L1mviMn0j3D3uo53ASkIZOFRlLnqaCTnwzOG2_Wg"",""Direct li"&amp;"nks Without Sizes!D2:D""),IMPORTRANGE(""1NK5L1mviMn0j3D3uo53ASkIZOFRlLnqaCTnwzOG2_Wg"",""Direct links Without Sizes!E2:E""))),"""")"),"")</f>
        <v/>
      </c>
      <c r="H549" s="41"/>
      <c r="I549" s="4"/>
      <c r="J549" s="4"/>
      <c r="K549" s="10" t="str">
        <f t="shared" si="1"/>
        <v/>
      </c>
      <c r="L549" s="10"/>
      <c r="M549" s="10" t="str">
        <f t="shared" si="2"/>
        <v/>
      </c>
    </row>
    <row r="550">
      <c r="A550" s="4"/>
      <c r="B550" s="15"/>
      <c r="C550" s="7" t="str">
        <f>IFERROR(__xludf.DUMMYFUNCTION("iferror(iferror(INDEX(IMPORTRANGE(""12vtnxaE_Q1s4tyr10kZQx7ZF_xG0lBFae4jQEUtgsMU"",""All!B2:B""),MATCH($B550,IMPORTRANGE(""12vtnxaE_Q1s4tyr10kZQx7ZF_xG0lBFae4jQEUtgsMU"",""All!A2:A""),0)),INDEX(IMPORTRANGE(""13KC70HngS4DDi8y9E5khtSpQEPG6owaQ9z4E-tR5mnY"","&amp;"""Non-Food!B2:B""),MATCH($B550,IMPORTRANGE(""13KC70HngS4DDi8y9E5khtSpQEPG6owaQ9z4E-tR5mnY"",""Non-Food!A2:A""),0))),"""")"),"")</f>
        <v/>
      </c>
      <c r="D550" s="15"/>
      <c r="E550" s="15"/>
      <c r="F550" s="36"/>
      <c r="G550" s="24" t="str">
        <f>IFERROR(__xludf.DUMMYFUNCTION("iferror(iferror(iferror(index(IMPORTRANGE(""1NK5L1mviMn0j3D3uo53ASkIZOFRlLnqaCTnwzOG2_Wg"",""Direct Link!B2:B""),MATCH($B550,IMPORTRANGE(""1NK5L1mviMn0j3D3uo53ASkIZOFRlLnqaCTnwzOG2_Wg"",""Direct Link!A2:A""),0)),XLOOKUP($B550,IMPORTRANGE(""1NK5L1mviMn0j3D"&amp;"3uo53ASkIZOFRlLnqaCTnwzOG2_Wg"",""Direct links Without Sizes!A2:A""),IMPORTRANGE(""1NK5L1mviMn0j3D3uo53ASkIZOFRlLnqaCTnwzOG2_Wg"",""Direct links Without Sizes!B2:B""))),XLOOKUP($B550,IMPORTRANGE(""1NK5L1mviMn0j3D3uo53ASkIZOFRlLnqaCTnwzOG2_Wg"",""Direct li"&amp;"nks Without Sizes!D2:D""),IMPORTRANGE(""1NK5L1mviMn0j3D3uo53ASkIZOFRlLnqaCTnwzOG2_Wg"",""Direct links Without Sizes!E2:E""))),"""")"),"")</f>
        <v/>
      </c>
      <c r="H550" s="41"/>
      <c r="I550" s="4"/>
      <c r="J550" s="4"/>
      <c r="K550" s="10" t="str">
        <f t="shared" si="1"/>
        <v/>
      </c>
      <c r="L550" s="10"/>
      <c r="M550" s="10" t="str">
        <f t="shared" si="2"/>
        <v/>
      </c>
    </row>
    <row r="551">
      <c r="A551" s="4"/>
      <c r="B551" s="15"/>
      <c r="C551" s="7" t="str">
        <f>IFERROR(__xludf.DUMMYFUNCTION("iferror(iferror(INDEX(IMPORTRANGE(""12vtnxaE_Q1s4tyr10kZQx7ZF_xG0lBFae4jQEUtgsMU"",""All!B2:B""),MATCH($B551,IMPORTRANGE(""12vtnxaE_Q1s4tyr10kZQx7ZF_xG0lBFae4jQEUtgsMU"",""All!A2:A""),0)),INDEX(IMPORTRANGE(""13KC70HngS4DDi8y9E5khtSpQEPG6owaQ9z4E-tR5mnY"","&amp;"""Non-Food!B2:B""),MATCH($B551,IMPORTRANGE(""13KC70HngS4DDi8y9E5khtSpQEPG6owaQ9z4E-tR5mnY"",""Non-Food!A2:A""),0))),"""")"),"")</f>
        <v/>
      </c>
      <c r="D551" s="15"/>
      <c r="E551" s="15"/>
      <c r="F551" s="36"/>
      <c r="G551" s="24" t="str">
        <f>IFERROR(__xludf.DUMMYFUNCTION("iferror(iferror(iferror(index(IMPORTRANGE(""1NK5L1mviMn0j3D3uo53ASkIZOFRlLnqaCTnwzOG2_Wg"",""Direct Link!B2:B""),MATCH($B551,IMPORTRANGE(""1NK5L1mviMn0j3D3uo53ASkIZOFRlLnqaCTnwzOG2_Wg"",""Direct Link!A2:A""),0)),XLOOKUP($B551,IMPORTRANGE(""1NK5L1mviMn0j3D"&amp;"3uo53ASkIZOFRlLnqaCTnwzOG2_Wg"",""Direct links Without Sizes!A2:A""),IMPORTRANGE(""1NK5L1mviMn0j3D3uo53ASkIZOFRlLnqaCTnwzOG2_Wg"",""Direct links Without Sizes!B2:B""))),XLOOKUP($B551,IMPORTRANGE(""1NK5L1mviMn0j3D3uo53ASkIZOFRlLnqaCTnwzOG2_Wg"",""Direct li"&amp;"nks Without Sizes!D2:D""),IMPORTRANGE(""1NK5L1mviMn0j3D3uo53ASkIZOFRlLnqaCTnwzOG2_Wg"",""Direct links Without Sizes!E2:E""))),"""")"),"")</f>
        <v/>
      </c>
      <c r="H551" s="41"/>
      <c r="I551" s="4"/>
      <c r="J551" s="4"/>
      <c r="K551" s="10" t="str">
        <f t="shared" si="1"/>
        <v/>
      </c>
      <c r="L551" s="10"/>
      <c r="M551" s="10" t="str">
        <f t="shared" si="2"/>
        <v/>
      </c>
    </row>
    <row r="552">
      <c r="A552" s="4"/>
      <c r="B552" s="15"/>
      <c r="C552" s="7" t="str">
        <f>IFERROR(__xludf.DUMMYFUNCTION("iferror(iferror(INDEX(IMPORTRANGE(""12vtnxaE_Q1s4tyr10kZQx7ZF_xG0lBFae4jQEUtgsMU"",""All!B2:B""),MATCH($B552,IMPORTRANGE(""12vtnxaE_Q1s4tyr10kZQx7ZF_xG0lBFae4jQEUtgsMU"",""All!A2:A""),0)),INDEX(IMPORTRANGE(""13KC70HngS4DDi8y9E5khtSpQEPG6owaQ9z4E-tR5mnY"","&amp;"""Non-Food!B2:B""),MATCH($B552,IMPORTRANGE(""13KC70HngS4DDi8y9E5khtSpQEPG6owaQ9z4E-tR5mnY"",""Non-Food!A2:A""),0))),"""")"),"")</f>
        <v/>
      </c>
      <c r="D552" s="15"/>
      <c r="E552" s="15"/>
      <c r="F552" s="36"/>
      <c r="G552" s="24" t="str">
        <f>IFERROR(__xludf.DUMMYFUNCTION("iferror(iferror(iferror(index(IMPORTRANGE(""1NK5L1mviMn0j3D3uo53ASkIZOFRlLnqaCTnwzOG2_Wg"",""Direct Link!B2:B""),MATCH($B552,IMPORTRANGE(""1NK5L1mviMn0j3D3uo53ASkIZOFRlLnqaCTnwzOG2_Wg"",""Direct Link!A2:A""),0)),XLOOKUP($B552,IMPORTRANGE(""1NK5L1mviMn0j3D"&amp;"3uo53ASkIZOFRlLnqaCTnwzOG2_Wg"",""Direct links Without Sizes!A2:A""),IMPORTRANGE(""1NK5L1mviMn0j3D3uo53ASkIZOFRlLnqaCTnwzOG2_Wg"",""Direct links Without Sizes!B2:B""))),XLOOKUP($B552,IMPORTRANGE(""1NK5L1mviMn0j3D3uo53ASkIZOFRlLnqaCTnwzOG2_Wg"",""Direct li"&amp;"nks Without Sizes!D2:D""),IMPORTRANGE(""1NK5L1mviMn0j3D3uo53ASkIZOFRlLnqaCTnwzOG2_Wg"",""Direct links Without Sizes!E2:E""))),"""")"),"")</f>
        <v/>
      </c>
      <c r="H552" s="41"/>
      <c r="I552" s="4"/>
      <c r="J552" s="4"/>
      <c r="K552" s="10" t="str">
        <f t="shared" si="1"/>
        <v/>
      </c>
      <c r="L552" s="10"/>
      <c r="M552" s="10" t="str">
        <f t="shared" si="2"/>
        <v/>
      </c>
    </row>
    <row r="553">
      <c r="A553" s="4"/>
      <c r="B553" s="15"/>
      <c r="C553" s="7" t="str">
        <f>IFERROR(__xludf.DUMMYFUNCTION("iferror(iferror(INDEX(IMPORTRANGE(""12vtnxaE_Q1s4tyr10kZQx7ZF_xG0lBFae4jQEUtgsMU"",""All!B2:B""),MATCH($B553,IMPORTRANGE(""12vtnxaE_Q1s4tyr10kZQx7ZF_xG0lBFae4jQEUtgsMU"",""All!A2:A""),0)),INDEX(IMPORTRANGE(""13KC70HngS4DDi8y9E5khtSpQEPG6owaQ9z4E-tR5mnY"","&amp;"""Non-Food!B2:B""),MATCH($B553,IMPORTRANGE(""13KC70HngS4DDi8y9E5khtSpQEPG6owaQ9z4E-tR5mnY"",""Non-Food!A2:A""),0))),"""")"),"")</f>
        <v/>
      </c>
      <c r="D553" s="15"/>
      <c r="E553" s="15"/>
      <c r="F553" s="36"/>
      <c r="G553" s="24" t="str">
        <f>IFERROR(__xludf.DUMMYFUNCTION("iferror(iferror(iferror(index(IMPORTRANGE(""1NK5L1mviMn0j3D3uo53ASkIZOFRlLnqaCTnwzOG2_Wg"",""Direct Link!B2:B""),MATCH($B553,IMPORTRANGE(""1NK5L1mviMn0j3D3uo53ASkIZOFRlLnqaCTnwzOG2_Wg"",""Direct Link!A2:A""),0)),XLOOKUP($B553,IMPORTRANGE(""1NK5L1mviMn0j3D"&amp;"3uo53ASkIZOFRlLnqaCTnwzOG2_Wg"",""Direct links Without Sizes!A2:A""),IMPORTRANGE(""1NK5L1mviMn0j3D3uo53ASkIZOFRlLnqaCTnwzOG2_Wg"",""Direct links Without Sizes!B2:B""))),XLOOKUP($B553,IMPORTRANGE(""1NK5L1mviMn0j3D3uo53ASkIZOFRlLnqaCTnwzOG2_Wg"",""Direct li"&amp;"nks Without Sizes!D2:D""),IMPORTRANGE(""1NK5L1mviMn0j3D3uo53ASkIZOFRlLnqaCTnwzOG2_Wg"",""Direct links Without Sizes!E2:E""))),"""")"),"")</f>
        <v/>
      </c>
      <c r="H553" s="41"/>
      <c r="I553" s="4"/>
      <c r="J553" s="4"/>
      <c r="K553" s="10" t="str">
        <f t="shared" si="1"/>
        <v/>
      </c>
      <c r="L553" s="10"/>
      <c r="M553" s="10" t="str">
        <f t="shared" si="2"/>
        <v/>
      </c>
    </row>
    <row r="554">
      <c r="A554" s="4"/>
      <c r="B554" s="15"/>
      <c r="C554" s="7" t="str">
        <f>IFERROR(__xludf.DUMMYFUNCTION("iferror(iferror(INDEX(IMPORTRANGE(""12vtnxaE_Q1s4tyr10kZQx7ZF_xG0lBFae4jQEUtgsMU"",""All!B2:B""),MATCH($B554,IMPORTRANGE(""12vtnxaE_Q1s4tyr10kZQx7ZF_xG0lBFae4jQEUtgsMU"",""All!A2:A""),0)),INDEX(IMPORTRANGE(""13KC70HngS4DDi8y9E5khtSpQEPG6owaQ9z4E-tR5mnY"","&amp;"""Non-Food!B2:B""),MATCH($B554,IMPORTRANGE(""13KC70HngS4DDi8y9E5khtSpQEPG6owaQ9z4E-tR5mnY"",""Non-Food!A2:A""),0))),"""")"),"")</f>
        <v/>
      </c>
      <c r="D554" s="15"/>
      <c r="E554" s="15"/>
      <c r="F554" s="36"/>
      <c r="G554" s="24" t="str">
        <f>IFERROR(__xludf.DUMMYFUNCTION("iferror(iferror(iferror(index(IMPORTRANGE(""1NK5L1mviMn0j3D3uo53ASkIZOFRlLnqaCTnwzOG2_Wg"",""Direct Link!B2:B""),MATCH($B554,IMPORTRANGE(""1NK5L1mviMn0j3D3uo53ASkIZOFRlLnqaCTnwzOG2_Wg"",""Direct Link!A2:A""),0)),XLOOKUP($B554,IMPORTRANGE(""1NK5L1mviMn0j3D"&amp;"3uo53ASkIZOFRlLnqaCTnwzOG2_Wg"",""Direct links Without Sizes!A2:A""),IMPORTRANGE(""1NK5L1mviMn0j3D3uo53ASkIZOFRlLnqaCTnwzOG2_Wg"",""Direct links Without Sizes!B2:B""))),XLOOKUP($B554,IMPORTRANGE(""1NK5L1mviMn0j3D3uo53ASkIZOFRlLnqaCTnwzOG2_Wg"",""Direct li"&amp;"nks Without Sizes!D2:D""),IMPORTRANGE(""1NK5L1mviMn0j3D3uo53ASkIZOFRlLnqaCTnwzOG2_Wg"",""Direct links Without Sizes!E2:E""))),"""")"),"")</f>
        <v/>
      </c>
      <c r="H554" s="41"/>
      <c r="I554" s="4"/>
      <c r="J554" s="4"/>
      <c r="K554" s="10" t="str">
        <f t="shared" si="1"/>
        <v/>
      </c>
      <c r="L554" s="10"/>
      <c r="M554" s="10" t="str">
        <f t="shared" si="2"/>
        <v/>
      </c>
    </row>
    <row r="555">
      <c r="A555" s="4"/>
      <c r="B555" s="15"/>
      <c r="C555" s="7" t="str">
        <f>IFERROR(__xludf.DUMMYFUNCTION("iferror(iferror(INDEX(IMPORTRANGE(""12vtnxaE_Q1s4tyr10kZQx7ZF_xG0lBFae4jQEUtgsMU"",""All!B2:B""),MATCH($B555,IMPORTRANGE(""12vtnxaE_Q1s4tyr10kZQx7ZF_xG0lBFae4jQEUtgsMU"",""All!A2:A""),0)),INDEX(IMPORTRANGE(""13KC70HngS4DDi8y9E5khtSpQEPG6owaQ9z4E-tR5mnY"","&amp;"""Non-Food!B2:B""),MATCH($B555,IMPORTRANGE(""13KC70HngS4DDi8y9E5khtSpQEPG6owaQ9z4E-tR5mnY"",""Non-Food!A2:A""),0))),"""")"),"")</f>
        <v/>
      </c>
      <c r="D555" s="15"/>
      <c r="E555" s="15"/>
      <c r="F555" s="36"/>
      <c r="G555" s="24" t="str">
        <f>IFERROR(__xludf.DUMMYFUNCTION("iferror(iferror(iferror(index(IMPORTRANGE(""1NK5L1mviMn0j3D3uo53ASkIZOFRlLnqaCTnwzOG2_Wg"",""Direct Link!B2:B""),MATCH($B555,IMPORTRANGE(""1NK5L1mviMn0j3D3uo53ASkIZOFRlLnqaCTnwzOG2_Wg"",""Direct Link!A2:A""),0)),XLOOKUP($B555,IMPORTRANGE(""1NK5L1mviMn0j3D"&amp;"3uo53ASkIZOFRlLnqaCTnwzOG2_Wg"",""Direct links Without Sizes!A2:A""),IMPORTRANGE(""1NK5L1mviMn0j3D3uo53ASkIZOFRlLnqaCTnwzOG2_Wg"",""Direct links Without Sizes!B2:B""))),XLOOKUP($B555,IMPORTRANGE(""1NK5L1mviMn0j3D3uo53ASkIZOFRlLnqaCTnwzOG2_Wg"",""Direct li"&amp;"nks Without Sizes!D2:D""),IMPORTRANGE(""1NK5L1mviMn0j3D3uo53ASkIZOFRlLnqaCTnwzOG2_Wg"",""Direct links Without Sizes!E2:E""))),"""")"),"")</f>
        <v/>
      </c>
      <c r="H555" s="41"/>
      <c r="I555" s="4"/>
      <c r="J555" s="4"/>
      <c r="K555" s="10" t="str">
        <f t="shared" si="1"/>
        <v/>
      </c>
      <c r="L555" s="10"/>
      <c r="M555" s="10" t="str">
        <f t="shared" si="2"/>
        <v/>
      </c>
    </row>
    <row r="556">
      <c r="A556" s="4"/>
      <c r="B556" s="15"/>
      <c r="C556" s="7" t="str">
        <f>IFERROR(__xludf.DUMMYFUNCTION("iferror(iferror(INDEX(IMPORTRANGE(""12vtnxaE_Q1s4tyr10kZQx7ZF_xG0lBFae4jQEUtgsMU"",""All!B2:B""),MATCH($B556,IMPORTRANGE(""12vtnxaE_Q1s4tyr10kZQx7ZF_xG0lBFae4jQEUtgsMU"",""All!A2:A""),0)),INDEX(IMPORTRANGE(""13KC70HngS4DDi8y9E5khtSpQEPG6owaQ9z4E-tR5mnY"","&amp;"""Non-Food!B2:B""),MATCH($B556,IMPORTRANGE(""13KC70HngS4DDi8y9E5khtSpQEPG6owaQ9z4E-tR5mnY"",""Non-Food!A2:A""),0))),"""")"),"")</f>
        <v/>
      </c>
      <c r="D556" s="15"/>
      <c r="E556" s="15"/>
      <c r="F556" s="36"/>
      <c r="G556" s="24" t="str">
        <f>IFERROR(__xludf.DUMMYFUNCTION("iferror(iferror(iferror(index(IMPORTRANGE(""1NK5L1mviMn0j3D3uo53ASkIZOFRlLnqaCTnwzOG2_Wg"",""Direct Link!B2:B""),MATCH($B556,IMPORTRANGE(""1NK5L1mviMn0j3D3uo53ASkIZOFRlLnqaCTnwzOG2_Wg"",""Direct Link!A2:A""),0)),XLOOKUP($B556,IMPORTRANGE(""1NK5L1mviMn0j3D"&amp;"3uo53ASkIZOFRlLnqaCTnwzOG2_Wg"",""Direct links Without Sizes!A2:A""),IMPORTRANGE(""1NK5L1mviMn0j3D3uo53ASkIZOFRlLnqaCTnwzOG2_Wg"",""Direct links Without Sizes!B2:B""))),XLOOKUP($B556,IMPORTRANGE(""1NK5L1mviMn0j3D3uo53ASkIZOFRlLnqaCTnwzOG2_Wg"",""Direct li"&amp;"nks Without Sizes!D2:D""),IMPORTRANGE(""1NK5L1mviMn0j3D3uo53ASkIZOFRlLnqaCTnwzOG2_Wg"",""Direct links Without Sizes!E2:E""))),"""")"),"")</f>
        <v/>
      </c>
      <c r="H556" s="41"/>
      <c r="I556" s="4"/>
      <c r="J556" s="4"/>
      <c r="K556" s="10" t="str">
        <f t="shared" si="1"/>
        <v/>
      </c>
      <c r="L556" s="10"/>
      <c r="M556" s="10" t="str">
        <f t="shared" si="2"/>
        <v/>
      </c>
    </row>
    <row r="557">
      <c r="A557" s="4"/>
      <c r="B557" s="15"/>
      <c r="C557" s="7" t="str">
        <f>IFERROR(__xludf.DUMMYFUNCTION("iferror(iferror(INDEX(IMPORTRANGE(""12vtnxaE_Q1s4tyr10kZQx7ZF_xG0lBFae4jQEUtgsMU"",""All!B2:B""),MATCH($B557,IMPORTRANGE(""12vtnxaE_Q1s4tyr10kZQx7ZF_xG0lBFae4jQEUtgsMU"",""All!A2:A""),0)),INDEX(IMPORTRANGE(""13KC70HngS4DDi8y9E5khtSpQEPG6owaQ9z4E-tR5mnY"","&amp;"""Non-Food!B2:B""),MATCH($B557,IMPORTRANGE(""13KC70HngS4DDi8y9E5khtSpQEPG6owaQ9z4E-tR5mnY"",""Non-Food!A2:A""),0))),"""")"),"")</f>
        <v/>
      </c>
      <c r="D557" s="15"/>
      <c r="E557" s="15"/>
      <c r="F557" s="36"/>
      <c r="G557" s="24" t="str">
        <f>IFERROR(__xludf.DUMMYFUNCTION("iferror(iferror(iferror(index(IMPORTRANGE(""1NK5L1mviMn0j3D3uo53ASkIZOFRlLnqaCTnwzOG2_Wg"",""Direct Link!B2:B""),MATCH($B557,IMPORTRANGE(""1NK5L1mviMn0j3D3uo53ASkIZOFRlLnqaCTnwzOG2_Wg"",""Direct Link!A2:A""),0)),XLOOKUP($B557,IMPORTRANGE(""1NK5L1mviMn0j3D"&amp;"3uo53ASkIZOFRlLnqaCTnwzOG2_Wg"",""Direct links Without Sizes!A2:A""),IMPORTRANGE(""1NK5L1mviMn0j3D3uo53ASkIZOFRlLnqaCTnwzOG2_Wg"",""Direct links Without Sizes!B2:B""))),XLOOKUP($B557,IMPORTRANGE(""1NK5L1mviMn0j3D3uo53ASkIZOFRlLnqaCTnwzOG2_Wg"",""Direct li"&amp;"nks Without Sizes!D2:D""),IMPORTRANGE(""1NK5L1mviMn0j3D3uo53ASkIZOFRlLnqaCTnwzOG2_Wg"",""Direct links Without Sizes!E2:E""))),"""")"),"")</f>
        <v/>
      </c>
      <c r="H557" s="41"/>
      <c r="I557" s="4"/>
      <c r="J557" s="4"/>
      <c r="K557" s="10" t="str">
        <f t="shared" si="1"/>
        <v/>
      </c>
      <c r="L557" s="10"/>
      <c r="M557" s="10" t="str">
        <f t="shared" si="2"/>
        <v/>
      </c>
    </row>
    <row r="558">
      <c r="A558" s="4"/>
      <c r="B558" s="15"/>
      <c r="C558" s="7" t="str">
        <f>IFERROR(__xludf.DUMMYFUNCTION("iferror(iferror(INDEX(IMPORTRANGE(""12vtnxaE_Q1s4tyr10kZQx7ZF_xG0lBFae4jQEUtgsMU"",""All!B2:B""),MATCH($B558,IMPORTRANGE(""12vtnxaE_Q1s4tyr10kZQx7ZF_xG0lBFae4jQEUtgsMU"",""All!A2:A""),0)),INDEX(IMPORTRANGE(""13KC70HngS4DDi8y9E5khtSpQEPG6owaQ9z4E-tR5mnY"","&amp;"""Non-Food!B2:B""),MATCH($B558,IMPORTRANGE(""13KC70HngS4DDi8y9E5khtSpQEPG6owaQ9z4E-tR5mnY"",""Non-Food!A2:A""),0))),"""")"),"")</f>
        <v/>
      </c>
      <c r="D558" s="15"/>
      <c r="E558" s="15"/>
      <c r="F558" s="36"/>
      <c r="G558" s="24" t="str">
        <f>IFERROR(__xludf.DUMMYFUNCTION("iferror(iferror(iferror(index(IMPORTRANGE(""1NK5L1mviMn0j3D3uo53ASkIZOFRlLnqaCTnwzOG2_Wg"",""Direct Link!B2:B""),MATCH($B558,IMPORTRANGE(""1NK5L1mviMn0j3D3uo53ASkIZOFRlLnqaCTnwzOG2_Wg"",""Direct Link!A2:A""),0)),XLOOKUP($B558,IMPORTRANGE(""1NK5L1mviMn0j3D"&amp;"3uo53ASkIZOFRlLnqaCTnwzOG2_Wg"",""Direct links Without Sizes!A2:A""),IMPORTRANGE(""1NK5L1mviMn0j3D3uo53ASkIZOFRlLnqaCTnwzOG2_Wg"",""Direct links Without Sizes!B2:B""))),XLOOKUP($B558,IMPORTRANGE(""1NK5L1mviMn0j3D3uo53ASkIZOFRlLnqaCTnwzOG2_Wg"",""Direct li"&amp;"nks Without Sizes!D2:D""),IMPORTRANGE(""1NK5L1mviMn0j3D3uo53ASkIZOFRlLnqaCTnwzOG2_Wg"",""Direct links Without Sizes!E2:E""))),"""")"),"")</f>
        <v/>
      </c>
      <c r="H558" s="41"/>
      <c r="I558" s="4"/>
      <c r="J558" s="4"/>
      <c r="K558" s="10" t="str">
        <f t="shared" si="1"/>
        <v/>
      </c>
      <c r="L558" s="10"/>
      <c r="M558" s="10" t="str">
        <f t="shared" si="2"/>
        <v/>
      </c>
    </row>
    <row r="559">
      <c r="A559" s="4"/>
      <c r="B559" s="15"/>
      <c r="C559" s="7" t="str">
        <f>IFERROR(__xludf.DUMMYFUNCTION("iferror(iferror(INDEX(IMPORTRANGE(""12vtnxaE_Q1s4tyr10kZQx7ZF_xG0lBFae4jQEUtgsMU"",""All!B2:B""),MATCH($B559,IMPORTRANGE(""12vtnxaE_Q1s4tyr10kZQx7ZF_xG0lBFae4jQEUtgsMU"",""All!A2:A""),0)),INDEX(IMPORTRANGE(""13KC70HngS4DDi8y9E5khtSpQEPG6owaQ9z4E-tR5mnY"","&amp;"""Non-Food!B2:B""),MATCH($B559,IMPORTRANGE(""13KC70HngS4DDi8y9E5khtSpQEPG6owaQ9z4E-tR5mnY"",""Non-Food!A2:A""),0))),"""")"),"")</f>
        <v/>
      </c>
      <c r="D559" s="15"/>
      <c r="E559" s="15"/>
      <c r="F559" s="36"/>
      <c r="G559" s="24" t="str">
        <f>IFERROR(__xludf.DUMMYFUNCTION("iferror(iferror(iferror(index(IMPORTRANGE(""1NK5L1mviMn0j3D3uo53ASkIZOFRlLnqaCTnwzOG2_Wg"",""Direct Link!B2:B""),MATCH($B559,IMPORTRANGE(""1NK5L1mviMn0j3D3uo53ASkIZOFRlLnqaCTnwzOG2_Wg"",""Direct Link!A2:A""),0)),XLOOKUP($B559,IMPORTRANGE(""1NK5L1mviMn0j3D"&amp;"3uo53ASkIZOFRlLnqaCTnwzOG2_Wg"",""Direct links Without Sizes!A2:A""),IMPORTRANGE(""1NK5L1mviMn0j3D3uo53ASkIZOFRlLnqaCTnwzOG2_Wg"",""Direct links Without Sizes!B2:B""))),XLOOKUP($B559,IMPORTRANGE(""1NK5L1mviMn0j3D3uo53ASkIZOFRlLnqaCTnwzOG2_Wg"",""Direct li"&amp;"nks Without Sizes!D2:D""),IMPORTRANGE(""1NK5L1mviMn0j3D3uo53ASkIZOFRlLnqaCTnwzOG2_Wg"",""Direct links Without Sizes!E2:E""))),"""")"),"")</f>
        <v/>
      </c>
      <c r="H559" s="41"/>
      <c r="I559" s="4"/>
      <c r="J559" s="4"/>
      <c r="K559" s="10" t="str">
        <f t="shared" si="1"/>
        <v/>
      </c>
      <c r="L559" s="10"/>
      <c r="M559" s="10" t="str">
        <f t="shared" si="2"/>
        <v/>
      </c>
    </row>
    <row r="560">
      <c r="A560" s="4"/>
      <c r="B560" s="15"/>
      <c r="C560" s="7" t="str">
        <f>IFERROR(__xludf.DUMMYFUNCTION("iferror(iferror(INDEX(IMPORTRANGE(""12vtnxaE_Q1s4tyr10kZQx7ZF_xG0lBFae4jQEUtgsMU"",""All!B2:B""),MATCH($B560,IMPORTRANGE(""12vtnxaE_Q1s4tyr10kZQx7ZF_xG0lBFae4jQEUtgsMU"",""All!A2:A""),0)),INDEX(IMPORTRANGE(""13KC70HngS4DDi8y9E5khtSpQEPG6owaQ9z4E-tR5mnY"","&amp;"""Non-Food!B2:B""),MATCH($B560,IMPORTRANGE(""13KC70HngS4DDi8y9E5khtSpQEPG6owaQ9z4E-tR5mnY"",""Non-Food!A2:A""),0))),"""")"),"")</f>
        <v/>
      </c>
      <c r="D560" s="15"/>
      <c r="E560" s="15"/>
      <c r="F560" s="36"/>
      <c r="G560" s="24" t="str">
        <f>IFERROR(__xludf.DUMMYFUNCTION("iferror(iferror(iferror(index(IMPORTRANGE(""1NK5L1mviMn0j3D3uo53ASkIZOFRlLnqaCTnwzOG2_Wg"",""Direct Link!B2:B""),MATCH($B560,IMPORTRANGE(""1NK5L1mviMn0j3D3uo53ASkIZOFRlLnqaCTnwzOG2_Wg"",""Direct Link!A2:A""),0)),XLOOKUP($B560,IMPORTRANGE(""1NK5L1mviMn0j3D"&amp;"3uo53ASkIZOFRlLnqaCTnwzOG2_Wg"",""Direct links Without Sizes!A2:A""),IMPORTRANGE(""1NK5L1mviMn0j3D3uo53ASkIZOFRlLnqaCTnwzOG2_Wg"",""Direct links Without Sizes!B2:B""))),XLOOKUP($B560,IMPORTRANGE(""1NK5L1mviMn0j3D3uo53ASkIZOFRlLnqaCTnwzOG2_Wg"",""Direct li"&amp;"nks Without Sizes!D2:D""),IMPORTRANGE(""1NK5L1mviMn0j3D3uo53ASkIZOFRlLnqaCTnwzOG2_Wg"",""Direct links Without Sizes!E2:E""))),"""")"),"")</f>
        <v/>
      </c>
      <c r="H560" s="41"/>
      <c r="I560" s="4"/>
      <c r="J560" s="4"/>
      <c r="K560" s="10" t="str">
        <f t="shared" si="1"/>
        <v/>
      </c>
      <c r="L560" s="10"/>
      <c r="M560" s="10" t="str">
        <f t="shared" si="2"/>
        <v/>
      </c>
    </row>
    <row r="561">
      <c r="A561" s="4"/>
      <c r="B561" s="15"/>
      <c r="C561" s="7" t="str">
        <f>IFERROR(__xludf.DUMMYFUNCTION("iferror(iferror(INDEX(IMPORTRANGE(""12vtnxaE_Q1s4tyr10kZQx7ZF_xG0lBFae4jQEUtgsMU"",""All!B2:B""),MATCH($B561,IMPORTRANGE(""12vtnxaE_Q1s4tyr10kZQx7ZF_xG0lBFae4jQEUtgsMU"",""All!A2:A""),0)),INDEX(IMPORTRANGE(""13KC70HngS4DDi8y9E5khtSpQEPG6owaQ9z4E-tR5mnY"","&amp;"""Non-Food!B2:B""),MATCH($B561,IMPORTRANGE(""13KC70HngS4DDi8y9E5khtSpQEPG6owaQ9z4E-tR5mnY"",""Non-Food!A2:A""),0))),"""")"),"")</f>
        <v/>
      </c>
      <c r="D561" s="15"/>
      <c r="E561" s="15"/>
      <c r="F561" s="36"/>
      <c r="G561" s="24" t="str">
        <f>IFERROR(__xludf.DUMMYFUNCTION("iferror(iferror(iferror(index(IMPORTRANGE(""1NK5L1mviMn0j3D3uo53ASkIZOFRlLnqaCTnwzOG2_Wg"",""Direct Link!B2:B""),MATCH($B561,IMPORTRANGE(""1NK5L1mviMn0j3D3uo53ASkIZOFRlLnqaCTnwzOG2_Wg"",""Direct Link!A2:A""),0)),XLOOKUP($B561,IMPORTRANGE(""1NK5L1mviMn0j3D"&amp;"3uo53ASkIZOFRlLnqaCTnwzOG2_Wg"",""Direct links Without Sizes!A2:A""),IMPORTRANGE(""1NK5L1mviMn0j3D3uo53ASkIZOFRlLnqaCTnwzOG2_Wg"",""Direct links Without Sizes!B2:B""))),XLOOKUP($B561,IMPORTRANGE(""1NK5L1mviMn0j3D3uo53ASkIZOFRlLnqaCTnwzOG2_Wg"",""Direct li"&amp;"nks Without Sizes!D2:D""),IMPORTRANGE(""1NK5L1mviMn0j3D3uo53ASkIZOFRlLnqaCTnwzOG2_Wg"",""Direct links Without Sizes!E2:E""))),"""")"),"")</f>
        <v/>
      </c>
      <c r="H561" s="41"/>
      <c r="I561" s="4"/>
      <c r="J561" s="4"/>
      <c r="K561" s="10" t="str">
        <f t="shared" si="1"/>
        <v/>
      </c>
      <c r="L561" s="10"/>
      <c r="M561" s="10" t="str">
        <f t="shared" si="2"/>
        <v/>
      </c>
    </row>
    <row r="562">
      <c r="A562" s="4"/>
      <c r="B562" s="15"/>
      <c r="C562" s="7" t="str">
        <f>IFERROR(__xludf.DUMMYFUNCTION("iferror(iferror(INDEX(IMPORTRANGE(""12vtnxaE_Q1s4tyr10kZQx7ZF_xG0lBFae4jQEUtgsMU"",""All!B2:B""),MATCH($B562,IMPORTRANGE(""12vtnxaE_Q1s4tyr10kZQx7ZF_xG0lBFae4jQEUtgsMU"",""All!A2:A""),0)),INDEX(IMPORTRANGE(""13KC70HngS4DDi8y9E5khtSpQEPG6owaQ9z4E-tR5mnY"","&amp;"""Non-Food!B2:B""),MATCH($B562,IMPORTRANGE(""13KC70HngS4DDi8y9E5khtSpQEPG6owaQ9z4E-tR5mnY"",""Non-Food!A2:A""),0))),"""")"),"")</f>
        <v/>
      </c>
      <c r="D562" s="15"/>
      <c r="E562" s="15"/>
      <c r="F562" s="36"/>
      <c r="G562" s="24" t="str">
        <f>IFERROR(__xludf.DUMMYFUNCTION("iferror(iferror(iferror(index(IMPORTRANGE(""1NK5L1mviMn0j3D3uo53ASkIZOFRlLnqaCTnwzOG2_Wg"",""Direct Link!B2:B""),MATCH($B562,IMPORTRANGE(""1NK5L1mviMn0j3D3uo53ASkIZOFRlLnqaCTnwzOG2_Wg"",""Direct Link!A2:A""),0)),XLOOKUP($B562,IMPORTRANGE(""1NK5L1mviMn0j3D"&amp;"3uo53ASkIZOFRlLnqaCTnwzOG2_Wg"",""Direct links Without Sizes!A2:A""),IMPORTRANGE(""1NK5L1mviMn0j3D3uo53ASkIZOFRlLnqaCTnwzOG2_Wg"",""Direct links Without Sizes!B2:B""))),XLOOKUP($B562,IMPORTRANGE(""1NK5L1mviMn0j3D3uo53ASkIZOFRlLnqaCTnwzOG2_Wg"",""Direct li"&amp;"nks Without Sizes!D2:D""),IMPORTRANGE(""1NK5L1mviMn0j3D3uo53ASkIZOFRlLnqaCTnwzOG2_Wg"",""Direct links Without Sizes!E2:E""))),"""")"),"")</f>
        <v/>
      </c>
      <c r="H562" s="41"/>
      <c r="I562" s="4"/>
      <c r="J562" s="4"/>
      <c r="K562" s="10" t="str">
        <f t="shared" si="1"/>
        <v/>
      </c>
      <c r="L562" s="10"/>
      <c r="M562" s="10" t="str">
        <f t="shared" si="2"/>
        <v/>
      </c>
    </row>
    <row r="563">
      <c r="A563" s="4"/>
      <c r="B563" s="15"/>
      <c r="C563" s="7" t="str">
        <f>IFERROR(__xludf.DUMMYFUNCTION("iferror(iferror(INDEX(IMPORTRANGE(""12vtnxaE_Q1s4tyr10kZQx7ZF_xG0lBFae4jQEUtgsMU"",""All!B2:B""),MATCH($B563,IMPORTRANGE(""12vtnxaE_Q1s4tyr10kZQx7ZF_xG0lBFae4jQEUtgsMU"",""All!A2:A""),0)),INDEX(IMPORTRANGE(""13KC70HngS4DDi8y9E5khtSpQEPG6owaQ9z4E-tR5mnY"","&amp;"""Non-Food!B2:B""),MATCH($B563,IMPORTRANGE(""13KC70HngS4DDi8y9E5khtSpQEPG6owaQ9z4E-tR5mnY"",""Non-Food!A2:A""),0))),"""")"),"")</f>
        <v/>
      </c>
      <c r="D563" s="15"/>
      <c r="E563" s="15"/>
      <c r="F563" s="36"/>
      <c r="G563" s="24" t="str">
        <f>IFERROR(__xludf.DUMMYFUNCTION("iferror(iferror(iferror(index(IMPORTRANGE(""1NK5L1mviMn0j3D3uo53ASkIZOFRlLnqaCTnwzOG2_Wg"",""Direct Link!B2:B""),MATCH($B563,IMPORTRANGE(""1NK5L1mviMn0j3D3uo53ASkIZOFRlLnqaCTnwzOG2_Wg"",""Direct Link!A2:A""),0)),XLOOKUP($B563,IMPORTRANGE(""1NK5L1mviMn0j3D"&amp;"3uo53ASkIZOFRlLnqaCTnwzOG2_Wg"",""Direct links Without Sizes!A2:A""),IMPORTRANGE(""1NK5L1mviMn0j3D3uo53ASkIZOFRlLnqaCTnwzOG2_Wg"",""Direct links Without Sizes!B2:B""))),XLOOKUP($B563,IMPORTRANGE(""1NK5L1mviMn0j3D3uo53ASkIZOFRlLnqaCTnwzOG2_Wg"",""Direct li"&amp;"nks Without Sizes!D2:D""),IMPORTRANGE(""1NK5L1mviMn0j3D3uo53ASkIZOFRlLnqaCTnwzOG2_Wg"",""Direct links Without Sizes!E2:E""))),"""")"),"")</f>
        <v/>
      </c>
      <c r="H563" s="41"/>
      <c r="I563" s="4"/>
      <c r="J563" s="4"/>
      <c r="K563" s="10" t="str">
        <f t="shared" si="1"/>
        <v/>
      </c>
      <c r="L563" s="10"/>
      <c r="M563" s="10" t="str">
        <f t="shared" si="2"/>
        <v/>
      </c>
    </row>
    <row r="564">
      <c r="A564" s="4"/>
      <c r="B564" s="15"/>
      <c r="C564" s="7" t="str">
        <f>IFERROR(__xludf.DUMMYFUNCTION("iferror(iferror(INDEX(IMPORTRANGE(""12vtnxaE_Q1s4tyr10kZQx7ZF_xG0lBFae4jQEUtgsMU"",""All!B2:B""),MATCH($B564,IMPORTRANGE(""12vtnxaE_Q1s4tyr10kZQx7ZF_xG0lBFae4jQEUtgsMU"",""All!A2:A""),0)),INDEX(IMPORTRANGE(""13KC70HngS4DDi8y9E5khtSpQEPG6owaQ9z4E-tR5mnY"","&amp;"""Non-Food!B2:B""),MATCH($B564,IMPORTRANGE(""13KC70HngS4DDi8y9E5khtSpQEPG6owaQ9z4E-tR5mnY"",""Non-Food!A2:A""),0))),"""")"),"")</f>
        <v/>
      </c>
      <c r="D564" s="15"/>
      <c r="E564" s="15"/>
      <c r="F564" s="36"/>
      <c r="G564" s="24" t="str">
        <f>IFERROR(__xludf.DUMMYFUNCTION("iferror(iferror(iferror(index(IMPORTRANGE(""1NK5L1mviMn0j3D3uo53ASkIZOFRlLnqaCTnwzOG2_Wg"",""Direct Link!B2:B""),MATCH($B564,IMPORTRANGE(""1NK5L1mviMn0j3D3uo53ASkIZOFRlLnqaCTnwzOG2_Wg"",""Direct Link!A2:A""),0)),XLOOKUP($B564,IMPORTRANGE(""1NK5L1mviMn0j3D"&amp;"3uo53ASkIZOFRlLnqaCTnwzOG2_Wg"",""Direct links Without Sizes!A2:A""),IMPORTRANGE(""1NK5L1mviMn0j3D3uo53ASkIZOFRlLnqaCTnwzOG2_Wg"",""Direct links Without Sizes!B2:B""))),XLOOKUP($B564,IMPORTRANGE(""1NK5L1mviMn0j3D3uo53ASkIZOFRlLnqaCTnwzOG2_Wg"",""Direct li"&amp;"nks Without Sizes!D2:D""),IMPORTRANGE(""1NK5L1mviMn0j3D3uo53ASkIZOFRlLnqaCTnwzOG2_Wg"",""Direct links Without Sizes!E2:E""))),"""")"),"")</f>
        <v/>
      </c>
      <c r="H564" s="41"/>
      <c r="I564" s="4"/>
      <c r="J564" s="4"/>
      <c r="K564" s="10" t="str">
        <f t="shared" si="1"/>
        <v/>
      </c>
      <c r="L564" s="10"/>
      <c r="M564" s="10" t="str">
        <f t="shared" si="2"/>
        <v/>
      </c>
    </row>
    <row r="565">
      <c r="A565" s="4"/>
      <c r="B565" s="15"/>
      <c r="C565" s="7" t="str">
        <f>IFERROR(__xludf.DUMMYFUNCTION("iferror(iferror(INDEX(IMPORTRANGE(""12vtnxaE_Q1s4tyr10kZQx7ZF_xG0lBFae4jQEUtgsMU"",""All!B2:B""),MATCH($B565,IMPORTRANGE(""12vtnxaE_Q1s4tyr10kZQx7ZF_xG0lBFae4jQEUtgsMU"",""All!A2:A""),0)),INDEX(IMPORTRANGE(""13KC70HngS4DDi8y9E5khtSpQEPG6owaQ9z4E-tR5mnY"","&amp;"""Non-Food!B2:B""),MATCH($B565,IMPORTRANGE(""13KC70HngS4DDi8y9E5khtSpQEPG6owaQ9z4E-tR5mnY"",""Non-Food!A2:A""),0))),"""")"),"")</f>
        <v/>
      </c>
      <c r="D565" s="15"/>
      <c r="E565" s="15"/>
      <c r="F565" s="36"/>
      <c r="G565" s="24" t="str">
        <f>IFERROR(__xludf.DUMMYFUNCTION("iferror(iferror(iferror(index(IMPORTRANGE(""1NK5L1mviMn0j3D3uo53ASkIZOFRlLnqaCTnwzOG2_Wg"",""Direct Link!B2:B""),MATCH($B565,IMPORTRANGE(""1NK5L1mviMn0j3D3uo53ASkIZOFRlLnqaCTnwzOG2_Wg"",""Direct Link!A2:A""),0)),XLOOKUP($B565,IMPORTRANGE(""1NK5L1mviMn0j3D"&amp;"3uo53ASkIZOFRlLnqaCTnwzOG2_Wg"",""Direct links Without Sizes!A2:A""),IMPORTRANGE(""1NK5L1mviMn0j3D3uo53ASkIZOFRlLnqaCTnwzOG2_Wg"",""Direct links Without Sizes!B2:B""))),XLOOKUP($B565,IMPORTRANGE(""1NK5L1mviMn0j3D3uo53ASkIZOFRlLnqaCTnwzOG2_Wg"",""Direct li"&amp;"nks Without Sizes!D2:D""),IMPORTRANGE(""1NK5L1mviMn0j3D3uo53ASkIZOFRlLnqaCTnwzOG2_Wg"",""Direct links Without Sizes!E2:E""))),"""")"),"")</f>
        <v/>
      </c>
      <c r="H565" s="41"/>
      <c r="I565" s="4"/>
      <c r="J565" s="4"/>
      <c r="K565" s="10" t="str">
        <f t="shared" si="1"/>
        <v/>
      </c>
      <c r="L565" s="10"/>
      <c r="M565" s="10" t="str">
        <f t="shared" si="2"/>
        <v/>
      </c>
    </row>
    <row r="566">
      <c r="A566" s="4"/>
      <c r="B566" s="15"/>
      <c r="C566" s="7" t="str">
        <f>IFERROR(__xludf.DUMMYFUNCTION("iferror(iferror(INDEX(IMPORTRANGE(""12vtnxaE_Q1s4tyr10kZQx7ZF_xG0lBFae4jQEUtgsMU"",""All!B2:B""),MATCH($B566,IMPORTRANGE(""12vtnxaE_Q1s4tyr10kZQx7ZF_xG0lBFae4jQEUtgsMU"",""All!A2:A""),0)),INDEX(IMPORTRANGE(""13KC70HngS4DDi8y9E5khtSpQEPG6owaQ9z4E-tR5mnY"","&amp;"""Non-Food!B2:B""),MATCH($B566,IMPORTRANGE(""13KC70HngS4DDi8y9E5khtSpQEPG6owaQ9z4E-tR5mnY"",""Non-Food!A2:A""),0))),"""")"),"")</f>
        <v/>
      </c>
      <c r="D566" s="15"/>
      <c r="E566" s="15"/>
      <c r="F566" s="36"/>
      <c r="G566" s="24" t="str">
        <f>IFERROR(__xludf.DUMMYFUNCTION("iferror(iferror(iferror(index(IMPORTRANGE(""1NK5L1mviMn0j3D3uo53ASkIZOFRlLnqaCTnwzOG2_Wg"",""Direct Link!B2:B""),MATCH($B566,IMPORTRANGE(""1NK5L1mviMn0j3D3uo53ASkIZOFRlLnqaCTnwzOG2_Wg"",""Direct Link!A2:A""),0)),XLOOKUP($B566,IMPORTRANGE(""1NK5L1mviMn0j3D"&amp;"3uo53ASkIZOFRlLnqaCTnwzOG2_Wg"",""Direct links Without Sizes!A2:A""),IMPORTRANGE(""1NK5L1mviMn0j3D3uo53ASkIZOFRlLnqaCTnwzOG2_Wg"",""Direct links Without Sizes!B2:B""))),XLOOKUP($B566,IMPORTRANGE(""1NK5L1mviMn0j3D3uo53ASkIZOFRlLnqaCTnwzOG2_Wg"",""Direct li"&amp;"nks Without Sizes!D2:D""),IMPORTRANGE(""1NK5L1mviMn0j3D3uo53ASkIZOFRlLnqaCTnwzOG2_Wg"",""Direct links Without Sizes!E2:E""))),"""")"),"")</f>
        <v/>
      </c>
      <c r="H566" s="41"/>
      <c r="I566" s="4"/>
      <c r="J566" s="4"/>
      <c r="K566" s="10" t="str">
        <f t="shared" si="1"/>
        <v/>
      </c>
      <c r="L566" s="10"/>
      <c r="M566" s="10" t="str">
        <f t="shared" si="2"/>
        <v/>
      </c>
    </row>
    <row r="567">
      <c r="A567" s="4"/>
      <c r="B567" s="15"/>
      <c r="C567" s="7" t="str">
        <f>IFERROR(__xludf.DUMMYFUNCTION("iferror(iferror(INDEX(IMPORTRANGE(""12vtnxaE_Q1s4tyr10kZQx7ZF_xG0lBFae4jQEUtgsMU"",""All!B2:B""),MATCH($B567,IMPORTRANGE(""12vtnxaE_Q1s4tyr10kZQx7ZF_xG0lBFae4jQEUtgsMU"",""All!A2:A""),0)),INDEX(IMPORTRANGE(""13KC70HngS4DDi8y9E5khtSpQEPG6owaQ9z4E-tR5mnY"","&amp;"""Non-Food!B2:B""),MATCH($B567,IMPORTRANGE(""13KC70HngS4DDi8y9E5khtSpQEPG6owaQ9z4E-tR5mnY"",""Non-Food!A2:A""),0))),"""")"),"")</f>
        <v/>
      </c>
      <c r="D567" s="15"/>
      <c r="E567" s="15"/>
      <c r="F567" s="36"/>
      <c r="G567" s="24" t="str">
        <f>IFERROR(__xludf.DUMMYFUNCTION("iferror(iferror(iferror(index(IMPORTRANGE(""1NK5L1mviMn0j3D3uo53ASkIZOFRlLnqaCTnwzOG2_Wg"",""Direct Link!B2:B""),MATCH($B567,IMPORTRANGE(""1NK5L1mviMn0j3D3uo53ASkIZOFRlLnqaCTnwzOG2_Wg"",""Direct Link!A2:A""),0)),XLOOKUP($B567,IMPORTRANGE(""1NK5L1mviMn0j3D"&amp;"3uo53ASkIZOFRlLnqaCTnwzOG2_Wg"",""Direct links Without Sizes!A2:A""),IMPORTRANGE(""1NK5L1mviMn0j3D3uo53ASkIZOFRlLnqaCTnwzOG2_Wg"",""Direct links Without Sizes!B2:B""))),XLOOKUP($B567,IMPORTRANGE(""1NK5L1mviMn0j3D3uo53ASkIZOFRlLnqaCTnwzOG2_Wg"",""Direct li"&amp;"nks Without Sizes!D2:D""),IMPORTRANGE(""1NK5L1mviMn0j3D3uo53ASkIZOFRlLnqaCTnwzOG2_Wg"",""Direct links Without Sizes!E2:E""))),"""")"),"")</f>
        <v/>
      </c>
      <c r="H567" s="41"/>
      <c r="I567" s="4"/>
      <c r="J567" s="4"/>
      <c r="K567" s="10" t="str">
        <f t="shared" si="1"/>
        <v/>
      </c>
      <c r="L567" s="10"/>
      <c r="M567" s="10" t="str">
        <f t="shared" si="2"/>
        <v/>
      </c>
    </row>
    <row r="568">
      <c r="A568" s="4"/>
      <c r="B568" s="15"/>
      <c r="C568" s="7" t="str">
        <f>IFERROR(__xludf.DUMMYFUNCTION("iferror(iferror(INDEX(IMPORTRANGE(""12vtnxaE_Q1s4tyr10kZQx7ZF_xG0lBFae4jQEUtgsMU"",""All!B2:B""),MATCH($B568,IMPORTRANGE(""12vtnxaE_Q1s4tyr10kZQx7ZF_xG0lBFae4jQEUtgsMU"",""All!A2:A""),0)),INDEX(IMPORTRANGE(""13KC70HngS4DDi8y9E5khtSpQEPG6owaQ9z4E-tR5mnY"","&amp;"""Non-Food!B2:B""),MATCH($B568,IMPORTRANGE(""13KC70HngS4DDi8y9E5khtSpQEPG6owaQ9z4E-tR5mnY"",""Non-Food!A2:A""),0))),"""")"),"")</f>
        <v/>
      </c>
      <c r="D568" s="15"/>
      <c r="E568" s="15"/>
      <c r="F568" s="36"/>
      <c r="G568" s="24" t="str">
        <f>IFERROR(__xludf.DUMMYFUNCTION("iferror(iferror(iferror(index(IMPORTRANGE(""1NK5L1mviMn0j3D3uo53ASkIZOFRlLnqaCTnwzOG2_Wg"",""Direct Link!B2:B""),MATCH($B568,IMPORTRANGE(""1NK5L1mviMn0j3D3uo53ASkIZOFRlLnqaCTnwzOG2_Wg"",""Direct Link!A2:A""),0)),XLOOKUP($B568,IMPORTRANGE(""1NK5L1mviMn0j3D"&amp;"3uo53ASkIZOFRlLnqaCTnwzOG2_Wg"",""Direct links Without Sizes!A2:A""),IMPORTRANGE(""1NK5L1mviMn0j3D3uo53ASkIZOFRlLnqaCTnwzOG2_Wg"",""Direct links Without Sizes!B2:B""))),XLOOKUP($B568,IMPORTRANGE(""1NK5L1mviMn0j3D3uo53ASkIZOFRlLnqaCTnwzOG2_Wg"",""Direct li"&amp;"nks Without Sizes!D2:D""),IMPORTRANGE(""1NK5L1mviMn0j3D3uo53ASkIZOFRlLnqaCTnwzOG2_Wg"",""Direct links Without Sizes!E2:E""))),"""")"),"")</f>
        <v/>
      </c>
      <c r="H568" s="41"/>
      <c r="I568" s="4"/>
      <c r="J568" s="4"/>
      <c r="K568" s="10" t="str">
        <f t="shared" si="1"/>
        <v/>
      </c>
      <c r="L568" s="10"/>
      <c r="M568" s="10" t="str">
        <f t="shared" si="2"/>
        <v/>
      </c>
    </row>
    <row r="569">
      <c r="A569" s="4"/>
      <c r="B569" s="15"/>
      <c r="C569" s="7" t="str">
        <f>IFERROR(__xludf.DUMMYFUNCTION("iferror(iferror(INDEX(IMPORTRANGE(""12vtnxaE_Q1s4tyr10kZQx7ZF_xG0lBFae4jQEUtgsMU"",""All!B2:B""),MATCH($B569,IMPORTRANGE(""12vtnxaE_Q1s4tyr10kZQx7ZF_xG0lBFae4jQEUtgsMU"",""All!A2:A""),0)),INDEX(IMPORTRANGE(""13KC70HngS4DDi8y9E5khtSpQEPG6owaQ9z4E-tR5mnY"","&amp;"""Non-Food!B2:B""),MATCH($B569,IMPORTRANGE(""13KC70HngS4DDi8y9E5khtSpQEPG6owaQ9z4E-tR5mnY"",""Non-Food!A2:A""),0))),"""")"),"")</f>
        <v/>
      </c>
      <c r="D569" s="15"/>
      <c r="E569" s="15"/>
      <c r="F569" s="36"/>
      <c r="G569" s="24" t="str">
        <f>IFERROR(__xludf.DUMMYFUNCTION("iferror(iferror(iferror(index(IMPORTRANGE(""1NK5L1mviMn0j3D3uo53ASkIZOFRlLnqaCTnwzOG2_Wg"",""Direct Link!B2:B""),MATCH($B569,IMPORTRANGE(""1NK5L1mviMn0j3D3uo53ASkIZOFRlLnqaCTnwzOG2_Wg"",""Direct Link!A2:A""),0)),XLOOKUP($B569,IMPORTRANGE(""1NK5L1mviMn0j3D"&amp;"3uo53ASkIZOFRlLnqaCTnwzOG2_Wg"",""Direct links Without Sizes!A2:A""),IMPORTRANGE(""1NK5L1mviMn0j3D3uo53ASkIZOFRlLnqaCTnwzOG2_Wg"",""Direct links Without Sizes!B2:B""))),XLOOKUP($B569,IMPORTRANGE(""1NK5L1mviMn0j3D3uo53ASkIZOFRlLnqaCTnwzOG2_Wg"",""Direct li"&amp;"nks Without Sizes!D2:D""),IMPORTRANGE(""1NK5L1mviMn0j3D3uo53ASkIZOFRlLnqaCTnwzOG2_Wg"",""Direct links Without Sizes!E2:E""))),"""")"),"")</f>
        <v/>
      </c>
      <c r="H569" s="41"/>
      <c r="I569" s="4"/>
      <c r="J569" s="4"/>
      <c r="K569" s="10" t="str">
        <f t="shared" si="1"/>
        <v/>
      </c>
      <c r="L569" s="10"/>
      <c r="M569" s="10" t="str">
        <f t="shared" si="2"/>
        <v/>
      </c>
    </row>
    <row r="570">
      <c r="A570" s="4"/>
      <c r="B570" s="15"/>
      <c r="C570" s="7" t="str">
        <f>IFERROR(__xludf.DUMMYFUNCTION("iferror(iferror(INDEX(IMPORTRANGE(""12vtnxaE_Q1s4tyr10kZQx7ZF_xG0lBFae4jQEUtgsMU"",""All!B2:B""),MATCH($B570,IMPORTRANGE(""12vtnxaE_Q1s4tyr10kZQx7ZF_xG0lBFae4jQEUtgsMU"",""All!A2:A""),0)),INDEX(IMPORTRANGE(""13KC70HngS4DDi8y9E5khtSpQEPG6owaQ9z4E-tR5mnY"","&amp;"""Non-Food!B2:B""),MATCH($B570,IMPORTRANGE(""13KC70HngS4DDi8y9E5khtSpQEPG6owaQ9z4E-tR5mnY"",""Non-Food!A2:A""),0))),"""")"),"")</f>
        <v/>
      </c>
      <c r="D570" s="15"/>
      <c r="E570" s="15"/>
      <c r="F570" s="36"/>
      <c r="G570" s="24" t="str">
        <f>IFERROR(__xludf.DUMMYFUNCTION("iferror(iferror(iferror(index(IMPORTRANGE(""1NK5L1mviMn0j3D3uo53ASkIZOFRlLnqaCTnwzOG2_Wg"",""Direct Link!B2:B""),MATCH($B570,IMPORTRANGE(""1NK5L1mviMn0j3D3uo53ASkIZOFRlLnqaCTnwzOG2_Wg"",""Direct Link!A2:A""),0)),XLOOKUP($B570,IMPORTRANGE(""1NK5L1mviMn0j3D"&amp;"3uo53ASkIZOFRlLnqaCTnwzOG2_Wg"",""Direct links Without Sizes!A2:A""),IMPORTRANGE(""1NK5L1mviMn0j3D3uo53ASkIZOFRlLnqaCTnwzOG2_Wg"",""Direct links Without Sizes!B2:B""))),XLOOKUP($B570,IMPORTRANGE(""1NK5L1mviMn0j3D3uo53ASkIZOFRlLnqaCTnwzOG2_Wg"",""Direct li"&amp;"nks Without Sizes!D2:D""),IMPORTRANGE(""1NK5L1mviMn0j3D3uo53ASkIZOFRlLnqaCTnwzOG2_Wg"",""Direct links Without Sizes!E2:E""))),"""")"),"")</f>
        <v/>
      </c>
      <c r="H570" s="41"/>
      <c r="I570" s="4"/>
      <c r="J570" s="4"/>
      <c r="K570" s="10" t="str">
        <f t="shared" si="1"/>
        <v/>
      </c>
      <c r="L570" s="10"/>
      <c r="M570" s="10" t="str">
        <f t="shared" si="2"/>
        <v/>
      </c>
    </row>
    <row r="571">
      <c r="A571" s="4"/>
      <c r="B571" s="15"/>
      <c r="C571" s="7" t="str">
        <f>IFERROR(__xludf.DUMMYFUNCTION("iferror(iferror(INDEX(IMPORTRANGE(""12vtnxaE_Q1s4tyr10kZQx7ZF_xG0lBFae4jQEUtgsMU"",""All!B2:B""),MATCH($B571,IMPORTRANGE(""12vtnxaE_Q1s4tyr10kZQx7ZF_xG0lBFae4jQEUtgsMU"",""All!A2:A""),0)),INDEX(IMPORTRANGE(""13KC70HngS4DDi8y9E5khtSpQEPG6owaQ9z4E-tR5mnY"","&amp;"""Non-Food!B2:B""),MATCH($B571,IMPORTRANGE(""13KC70HngS4DDi8y9E5khtSpQEPG6owaQ9z4E-tR5mnY"",""Non-Food!A2:A""),0))),"""")"),"")</f>
        <v/>
      </c>
      <c r="D571" s="15"/>
      <c r="E571" s="15"/>
      <c r="F571" s="36"/>
      <c r="G571" s="24" t="str">
        <f>IFERROR(__xludf.DUMMYFUNCTION("iferror(iferror(iferror(index(IMPORTRANGE(""1NK5L1mviMn0j3D3uo53ASkIZOFRlLnqaCTnwzOG2_Wg"",""Direct Link!B2:B""),MATCH($B571,IMPORTRANGE(""1NK5L1mviMn0j3D3uo53ASkIZOFRlLnqaCTnwzOG2_Wg"",""Direct Link!A2:A""),0)),XLOOKUP($B571,IMPORTRANGE(""1NK5L1mviMn0j3D"&amp;"3uo53ASkIZOFRlLnqaCTnwzOG2_Wg"",""Direct links Without Sizes!A2:A""),IMPORTRANGE(""1NK5L1mviMn0j3D3uo53ASkIZOFRlLnqaCTnwzOG2_Wg"",""Direct links Without Sizes!B2:B""))),XLOOKUP($B571,IMPORTRANGE(""1NK5L1mviMn0j3D3uo53ASkIZOFRlLnqaCTnwzOG2_Wg"",""Direct li"&amp;"nks Without Sizes!D2:D""),IMPORTRANGE(""1NK5L1mviMn0j3D3uo53ASkIZOFRlLnqaCTnwzOG2_Wg"",""Direct links Without Sizes!E2:E""))),"""")"),"")</f>
        <v/>
      </c>
      <c r="H571" s="41"/>
      <c r="I571" s="4"/>
      <c r="J571" s="4"/>
      <c r="K571" s="10" t="str">
        <f t="shared" si="1"/>
        <v/>
      </c>
      <c r="L571" s="10"/>
      <c r="M571" s="10" t="str">
        <f t="shared" si="2"/>
        <v/>
      </c>
    </row>
    <row r="572">
      <c r="A572" s="4"/>
      <c r="B572" s="15"/>
      <c r="C572" s="7" t="str">
        <f>IFERROR(__xludf.DUMMYFUNCTION("iferror(iferror(INDEX(IMPORTRANGE(""12vtnxaE_Q1s4tyr10kZQx7ZF_xG0lBFae4jQEUtgsMU"",""All!B2:B""),MATCH($B572,IMPORTRANGE(""12vtnxaE_Q1s4tyr10kZQx7ZF_xG0lBFae4jQEUtgsMU"",""All!A2:A""),0)),INDEX(IMPORTRANGE(""13KC70HngS4DDi8y9E5khtSpQEPG6owaQ9z4E-tR5mnY"","&amp;"""Non-Food!B2:B""),MATCH($B572,IMPORTRANGE(""13KC70HngS4DDi8y9E5khtSpQEPG6owaQ9z4E-tR5mnY"",""Non-Food!A2:A""),0))),"""")"),"")</f>
        <v/>
      </c>
      <c r="D572" s="15"/>
      <c r="E572" s="15"/>
      <c r="F572" s="36"/>
      <c r="G572" s="24" t="str">
        <f>IFERROR(__xludf.DUMMYFUNCTION("iferror(iferror(iferror(index(IMPORTRANGE(""1NK5L1mviMn0j3D3uo53ASkIZOFRlLnqaCTnwzOG2_Wg"",""Direct Link!B2:B""),MATCH($B572,IMPORTRANGE(""1NK5L1mviMn0j3D3uo53ASkIZOFRlLnqaCTnwzOG2_Wg"",""Direct Link!A2:A""),0)),XLOOKUP($B572,IMPORTRANGE(""1NK5L1mviMn0j3D"&amp;"3uo53ASkIZOFRlLnqaCTnwzOG2_Wg"",""Direct links Without Sizes!A2:A""),IMPORTRANGE(""1NK5L1mviMn0j3D3uo53ASkIZOFRlLnqaCTnwzOG2_Wg"",""Direct links Without Sizes!B2:B""))),XLOOKUP($B572,IMPORTRANGE(""1NK5L1mviMn0j3D3uo53ASkIZOFRlLnqaCTnwzOG2_Wg"",""Direct li"&amp;"nks Without Sizes!D2:D""),IMPORTRANGE(""1NK5L1mviMn0j3D3uo53ASkIZOFRlLnqaCTnwzOG2_Wg"",""Direct links Without Sizes!E2:E""))),"""")"),"")</f>
        <v/>
      </c>
      <c r="H572" s="41"/>
      <c r="I572" s="4"/>
      <c r="J572" s="4"/>
      <c r="K572" s="10" t="str">
        <f t="shared" si="1"/>
        <v/>
      </c>
      <c r="L572" s="10"/>
      <c r="M572" s="10" t="str">
        <f t="shared" si="2"/>
        <v/>
      </c>
    </row>
    <row r="573">
      <c r="A573" s="4"/>
      <c r="B573" s="15"/>
      <c r="C573" s="7" t="str">
        <f>IFERROR(__xludf.DUMMYFUNCTION("iferror(iferror(INDEX(IMPORTRANGE(""12vtnxaE_Q1s4tyr10kZQx7ZF_xG0lBFae4jQEUtgsMU"",""All!B2:B""),MATCH($B573,IMPORTRANGE(""12vtnxaE_Q1s4tyr10kZQx7ZF_xG0lBFae4jQEUtgsMU"",""All!A2:A""),0)),INDEX(IMPORTRANGE(""13KC70HngS4DDi8y9E5khtSpQEPG6owaQ9z4E-tR5mnY"","&amp;"""Non-Food!B2:B""),MATCH($B573,IMPORTRANGE(""13KC70HngS4DDi8y9E5khtSpQEPG6owaQ9z4E-tR5mnY"",""Non-Food!A2:A""),0))),"""")"),"")</f>
        <v/>
      </c>
      <c r="D573" s="15"/>
      <c r="E573" s="15"/>
      <c r="F573" s="36"/>
      <c r="G573" s="24" t="str">
        <f>IFERROR(__xludf.DUMMYFUNCTION("iferror(iferror(iferror(index(IMPORTRANGE(""1NK5L1mviMn0j3D3uo53ASkIZOFRlLnqaCTnwzOG2_Wg"",""Direct Link!B2:B""),MATCH($B573,IMPORTRANGE(""1NK5L1mviMn0j3D3uo53ASkIZOFRlLnqaCTnwzOG2_Wg"",""Direct Link!A2:A""),0)),XLOOKUP($B573,IMPORTRANGE(""1NK5L1mviMn0j3D"&amp;"3uo53ASkIZOFRlLnqaCTnwzOG2_Wg"",""Direct links Without Sizes!A2:A""),IMPORTRANGE(""1NK5L1mviMn0j3D3uo53ASkIZOFRlLnqaCTnwzOG2_Wg"",""Direct links Without Sizes!B2:B""))),XLOOKUP($B573,IMPORTRANGE(""1NK5L1mviMn0j3D3uo53ASkIZOFRlLnqaCTnwzOG2_Wg"",""Direct li"&amp;"nks Without Sizes!D2:D""),IMPORTRANGE(""1NK5L1mviMn0j3D3uo53ASkIZOFRlLnqaCTnwzOG2_Wg"",""Direct links Without Sizes!E2:E""))),"""")"),"")</f>
        <v/>
      </c>
      <c r="H573" s="41"/>
      <c r="I573" s="4"/>
      <c r="J573" s="4"/>
      <c r="K573" s="10" t="str">
        <f t="shared" si="1"/>
        <v/>
      </c>
      <c r="L573" s="10"/>
      <c r="M573" s="10" t="str">
        <f t="shared" si="2"/>
        <v/>
      </c>
    </row>
    <row r="574">
      <c r="A574" s="4"/>
      <c r="B574" s="15"/>
      <c r="C574" s="7" t="str">
        <f>IFERROR(__xludf.DUMMYFUNCTION("iferror(iferror(INDEX(IMPORTRANGE(""12vtnxaE_Q1s4tyr10kZQx7ZF_xG0lBFae4jQEUtgsMU"",""All!B2:B""),MATCH($B574,IMPORTRANGE(""12vtnxaE_Q1s4tyr10kZQx7ZF_xG0lBFae4jQEUtgsMU"",""All!A2:A""),0)),INDEX(IMPORTRANGE(""13KC70HngS4DDi8y9E5khtSpQEPG6owaQ9z4E-tR5mnY"","&amp;"""Non-Food!B2:B""),MATCH($B574,IMPORTRANGE(""13KC70HngS4DDi8y9E5khtSpQEPG6owaQ9z4E-tR5mnY"",""Non-Food!A2:A""),0))),"""")"),"")</f>
        <v/>
      </c>
      <c r="D574" s="15"/>
      <c r="E574" s="15"/>
      <c r="F574" s="36"/>
      <c r="G574" s="24" t="str">
        <f>IFERROR(__xludf.DUMMYFUNCTION("iferror(iferror(iferror(index(IMPORTRANGE(""1NK5L1mviMn0j3D3uo53ASkIZOFRlLnqaCTnwzOG2_Wg"",""Direct Link!B2:B""),MATCH($B574,IMPORTRANGE(""1NK5L1mviMn0j3D3uo53ASkIZOFRlLnqaCTnwzOG2_Wg"",""Direct Link!A2:A""),0)),XLOOKUP($B574,IMPORTRANGE(""1NK5L1mviMn0j3D"&amp;"3uo53ASkIZOFRlLnqaCTnwzOG2_Wg"",""Direct links Without Sizes!A2:A""),IMPORTRANGE(""1NK5L1mviMn0j3D3uo53ASkIZOFRlLnqaCTnwzOG2_Wg"",""Direct links Without Sizes!B2:B""))),XLOOKUP($B574,IMPORTRANGE(""1NK5L1mviMn0j3D3uo53ASkIZOFRlLnqaCTnwzOG2_Wg"",""Direct li"&amp;"nks Without Sizes!D2:D""),IMPORTRANGE(""1NK5L1mviMn0j3D3uo53ASkIZOFRlLnqaCTnwzOG2_Wg"",""Direct links Without Sizes!E2:E""))),"""")"),"")</f>
        <v/>
      </c>
      <c r="H574" s="41"/>
      <c r="I574" s="4"/>
      <c r="J574" s="4"/>
      <c r="K574" s="10" t="str">
        <f t="shared" si="1"/>
        <v/>
      </c>
      <c r="L574" s="10"/>
      <c r="M574" s="10" t="str">
        <f t="shared" si="2"/>
        <v/>
      </c>
    </row>
    <row r="575">
      <c r="A575" s="4"/>
      <c r="B575" s="15"/>
      <c r="C575" s="7" t="str">
        <f>IFERROR(__xludf.DUMMYFUNCTION("iferror(iferror(INDEX(IMPORTRANGE(""12vtnxaE_Q1s4tyr10kZQx7ZF_xG0lBFae4jQEUtgsMU"",""All!B2:B""),MATCH($B575,IMPORTRANGE(""12vtnxaE_Q1s4tyr10kZQx7ZF_xG0lBFae4jQEUtgsMU"",""All!A2:A""),0)),INDEX(IMPORTRANGE(""13KC70HngS4DDi8y9E5khtSpQEPG6owaQ9z4E-tR5mnY"","&amp;"""Non-Food!B2:B""),MATCH($B575,IMPORTRANGE(""13KC70HngS4DDi8y9E5khtSpQEPG6owaQ9z4E-tR5mnY"",""Non-Food!A2:A""),0))),"""")"),"")</f>
        <v/>
      </c>
      <c r="D575" s="15"/>
      <c r="E575" s="15"/>
      <c r="F575" s="36"/>
      <c r="G575" s="24" t="str">
        <f>IFERROR(__xludf.DUMMYFUNCTION("iferror(iferror(iferror(index(IMPORTRANGE(""1NK5L1mviMn0j3D3uo53ASkIZOFRlLnqaCTnwzOG2_Wg"",""Direct Link!B2:B""),MATCH($B575,IMPORTRANGE(""1NK5L1mviMn0j3D3uo53ASkIZOFRlLnqaCTnwzOG2_Wg"",""Direct Link!A2:A""),0)),XLOOKUP($B575,IMPORTRANGE(""1NK5L1mviMn0j3D"&amp;"3uo53ASkIZOFRlLnqaCTnwzOG2_Wg"",""Direct links Without Sizes!A2:A""),IMPORTRANGE(""1NK5L1mviMn0j3D3uo53ASkIZOFRlLnqaCTnwzOG2_Wg"",""Direct links Without Sizes!B2:B""))),XLOOKUP($B575,IMPORTRANGE(""1NK5L1mviMn0j3D3uo53ASkIZOFRlLnqaCTnwzOG2_Wg"",""Direct li"&amp;"nks Without Sizes!D2:D""),IMPORTRANGE(""1NK5L1mviMn0j3D3uo53ASkIZOFRlLnqaCTnwzOG2_Wg"",""Direct links Without Sizes!E2:E""))),"""")"),"")</f>
        <v/>
      </c>
      <c r="H575" s="41"/>
      <c r="I575" s="4"/>
      <c r="J575" s="4"/>
      <c r="K575" s="10" t="str">
        <f t="shared" si="1"/>
        <v/>
      </c>
      <c r="L575" s="10"/>
      <c r="M575" s="10" t="str">
        <f t="shared" si="2"/>
        <v/>
      </c>
    </row>
    <row r="576">
      <c r="A576" s="4"/>
      <c r="B576" s="15"/>
      <c r="C576" s="7" t="str">
        <f>IFERROR(__xludf.DUMMYFUNCTION("iferror(iferror(INDEX(IMPORTRANGE(""12vtnxaE_Q1s4tyr10kZQx7ZF_xG0lBFae4jQEUtgsMU"",""All!B2:B""),MATCH($B576,IMPORTRANGE(""12vtnxaE_Q1s4tyr10kZQx7ZF_xG0lBFae4jQEUtgsMU"",""All!A2:A""),0)),INDEX(IMPORTRANGE(""13KC70HngS4DDi8y9E5khtSpQEPG6owaQ9z4E-tR5mnY"","&amp;"""Non-Food!B2:B""),MATCH($B576,IMPORTRANGE(""13KC70HngS4DDi8y9E5khtSpQEPG6owaQ9z4E-tR5mnY"",""Non-Food!A2:A""),0))),"""")"),"")</f>
        <v/>
      </c>
      <c r="D576" s="15"/>
      <c r="E576" s="15"/>
      <c r="F576" s="36"/>
      <c r="G576" s="24" t="str">
        <f>IFERROR(__xludf.DUMMYFUNCTION("iferror(iferror(iferror(index(IMPORTRANGE(""1NK5L1mviMn0j3D3uo53ASkIZOFRlLnqaCTnwzOG2_Wg"",""Direct Link!B2:B""),MATCH($B576,IMPORTRANGE(""1NK5L1mviMn0j3D3uo53ASkIZOFRlLnqaCTnwzOG2_Wg"",""Direct Link!A2:A""),0)),XLOOKUP($B576,IMPORTRANGE(""1NK5L1mviMn0j3D"&amp;"3uo53ASkIZOFRlLnqaCTnwzOG2_Wg"",""Direct links Without Sizes!A2:A""),IMPORTRANGE(""1NK5L1mviMn0j3D3uo53ASkIZOFRlLnqaCTnwzOG2_Wg"",""Direct links Without Sizes!B2:B""))),XLOOKUP($B576,IMPORTRANGE(""1NK5L1mviMn0j3D3uo53ASkIZOFRlLnqaCTnwzOG2_Wg"",""Direct li"&amp;"nks Without Sizes!D2:D""),IMPORTRANGE(""1NK5L1mviMn0j3D3uo53ASkIZOFRlLnqaCTnwzOG2_Wg"",""Direct links Without Sizes!E2:E""))),"""")"),"")</f>
        <v/>
      </c>
      <c r="H576" s="41"/>
      <c r="I576" s="4"/>
      <c r="J576" s="4"/>
      <c r="K576" s="10" t="str">
        <f t="shared" si="1"/>
        <v/>
      </c>
      <c r="L576" s="10"/>
      <c r="M576" s="10" t="str">
        <f t="shared" si="2"/>
        <v/>
      </c>
    </row>
    <row r="577">
      <c r="A577" s="4"/>
      <c r="B577" s="15"/>
      <c r="C577" s="7" t="str">
        <f>IFERROR(__xludf.DUMMYFUNCTION("iferror(iferror(INDEX(IMPORTRANGE(""12vtnxaE_Q1s4tyr10kZQx7ZF_xG0lBFae4jQEUtgsMU"",""All!B2:B""),MATCH($B577,IMPORTRANGE(""12vtnxaE_Q1s4tyr10kZQx7ZF_xG0lBFae4jQEUtgsMU"",""All!A2:A""),0)),INDEX(IMPORTRANGE(""13KC70HngS4DDi8y9E5khtSpQEPG6owaQ9z4E-tR5mnY"","&amp;"""Non-Food!B2:B""),MATCH($B577,IMPORTRANGE(""13KC70HngS4DDi8y9E5khtSpQEPG6owaQ9z4E-tR5mnY"",""Non-Food!A2:A""),0))),"""")"),"")</f>
        <v/>
      </c>
      <c r="D577" s="15"/>
      <c r="E577" s="15"/>
      <c r="F577" s="36"/>
      <c r="G577" s="24" t="str">
        <f>IFERROR(__xludf.DUMMYFUNCTION("iferror(iferror(iferror(index(IMPORTRANGE(""1NK5L1mviMn0j3D3uo53ASkIZOFRlLnqaCTnwzOG2_Wg"",""Direct Link!B2:B""),MATCH($B577,IMPORTRANGE(""1NK5L1mviMn0j3D3uo53ASkIZOFRlLnqaCTnwzOG2_Wg"",""Direct Link!A2:A""),0)),XLOOKUP($B577,IMPORTRANGE(""1NK5L1mviMn0j3D"&amp;"3uo53ASkIZOFRlLnqaCTnwzOG2_Wg"",""Direct links Without Sizes!A2:A""),IMPORTRANGE(""1NK5L1mviMn0j3D3uo53ASkIZOFRlLnqaCTnwzOG2_Wg"",""Direct links Without Sizes!B2:B""))),XLOOKUP($B577,IMPORTRANGE(""1NK5L1mviMn0j3D3uo53ASkIZOFRlLnqaCTnwzOG2_Wg"",""Direct li"&amp;"nks Without Sizes!D2:D""),IMPORTRANGE(""1NK5L1mviMn0j3D3uo53ASkIZOFRlLnqaCTnwzOG2_Wg"",""Direct links Without Sizes!E2:E""))),"""")"),"")</f>
        <v/>
      </c>
      <c r="H577" s="41"/>
      <c r="I577" s="4"/>
      <c r="J577" s="4"/>
      <c r="K577" s="10" t="str">
        <f t="shared" si="1"/>
        <v/>
      </c>
      <c r="L577" s="10"/>
      <c r="M577" s="10" t="str">
        <f t="shared" si="2"/>
        <v/>
      </c>
    </row>
    <row r="578">
      <c r="A578" s="4"/>
      <c r="B578" s="15"/>
      <c r="C578" s="7" t="str">
        <f>IFERROR(__xludf.DUMMYFUNCTION("iferror(iferror(INDEX(IMPORTRANGE(""12vtnxaE_Q1s4tyr10kZQx7ZF_xG0lBFae4jQEUtgsMU"",""All!B2:B""),MATCH($B578,IMPORTRANGE(""12vtnxaE_Q1s4tyr10kZQx7ZF_xG0lBFae4jQEUtgsMU"",""All!A2:A""),0)),INDEX(IMPORTRANGE(""13KC70HngS4DDi8y9E5khtSpQEPG6owaQ9z4E-tR5mnY"","&amp;"""Non-Food!B2:B""),MATCH($B578,IMPORTRANGE(""13KC70HngS4DDi8y9E5khtSpQEPG6owaQ9z4E-tR5mnY"",""Non-Food!A2:A""),0))),"""")"),"")</f>
        <v/>
      </c>
      <c r="D578" s="15"/>
      <c r="E578" s="15"/>
      <c r="F578" s="36"/>
      <c r="G578" s="24" t="str">
        <f>IFERROR(__xludf.DUMMYFUNCTION("iferror(iferror(iferror(index(IMPORTRANGE(""1NK5L1mviMn0j3D3uo53ASkIZOFRlLnqaCTnwzOG2_Wg"",""Direct Link!B2:B""),MATCH($B578,IMPORTRANGE(""1NK5L1mviMn0j3D3uo53ASkIZOFRlLnqaCTnwzOG2_Wg"",""Direct Link!A2:A""),0)),XLOOKUP($B578,IMPORTRANGE(""1NK5L1mviMn0j3D"&amp;"3uo53ASkIZOFRlLnqaCTnwzOG2_Wg"",""Direct links Without Sizes!A2:A""),IMPORTRANGE(""1NK5L1mviMn0j3D3uo53ASkIZOFRlLnqaCTnwzOG2_Wg"",""Direct links Without Sizes!B2:B""))),XLOOKUP($B578,IMPORTRANGE(""1NK5L1mviMn0j3D3uo53ASkIZOFRlLnqaCTnwzOG2_Wg"",""Direct li"&amp;"nks Without Sizes!D2:D""),IMPORTRANGE(""1NK5L1mviMn0j3D3uo53ASkIZOFRlLnqaCTnwzOG2_Wg"",""Direct links Without Sizes!E2:E""))),"""")"),"")</f>
        <v/>
      </c>
      <c r="H578" s="41"/>
      <c r="I578" s="4"/>
      <c r="J578" s="4"/>
      <c r="K578" s="10" t="str">
        <f t="shared" si="1"/>
        <v/>
      </c>
      <c r="L578" s="10"/>
      <c r="M578" s="10" t="str">
        <f t="shared" si="2"/>
        <v/>
      </c>
    </row>
    <row r="579">
      <c r="A579" s="4"/>
      <c r="B579" s="15"/>
      <c r="C579" s="7" t="str">
        <f>IFERROR(__xludf.DUMMYFUNCTION("iferror(iferror(INDEX(IMPORTRANGE(""12vtnxaE_Q1s4tyr10kZQx7ZF_xG0lBFae4jQEUtgsMU"",""All!B2:B""),MATCH($B579,IMPORTRANGE(""12vtnxaE_Q1s4tyr10kZQx7ZF_xG0lBFae4jQEUtgsMU"",""All!A2:A""),0)),INDEX(IMPORTRANGE(""13KC70HngS4DDi8y9E5khtSpQEPG6owaQ9z4E-tR5mnY"","&amp;"""Non-Food!B2:B""),MATCH($B579,IMPORTRANGE(""13KC70HngS4DDi8y9E5khtSpQEPG6owaQ9z4E-tR5mnY"",""Non-Food!A2:A""),0))),"""")"),"")</f>
        <v/>
      </c>
      <c r="D579" s="15"/>
      <c r="E579" s="15"/>
      <c r="F579" s="36"/>
      <c r="G579" s="24" t="str">
        <f>IFERROR(__xludf.DUMMYFUNCTION("iferror(iferror(iferror(index(IMPORTRANGE(""1NK5L1mviMn0j3D3uo53ASkIZOFRlLnqaCTnwzOG2_Wg"",""Direct Link!B2:B""),MATCH($B579,IMPORTRANGE(""1NK5L1mviMn0j3D3uo53ASkIZOFRlLnqaCTnwzOG2_Wg"",""Direct Link!A2:A""),0)),XLOOKUP($B579,IMPORTRANGE(""1NK5L1mviMn0j3D"&amp;"3uo53ASkIZOFRlLnqaCTnwzOG2_Wg"",""Direct links Without Sizes!A2:A""),IMPORTRANGE(""1NK5L1mviMn0j3D3uo53ASkIZOFRlLnqaCTnwzOG2_Wg"",""Direct links Without Sizes!B2:B""))),XLOOKUP($B579,IMPORTRANGE(""1NK5L1mviMn0j3D3uo53ASkIZOFRlLnqaCTnwzOG2_Wg"",""Direct li"&amp;"nks Without Sizes!D2:D""),IMPORTRANGE(""1NK5L1mviMn0j3D3uo53ASkIZOFRlLnqaCTnwzOG2_Wg"",""Direct links Without Sizes!E2:E""))),"""")"),"")</f>
        <v/>
      </c>
      <c r="H579" s="41"/>
      <c r="I579" s="4"/>
      <c r="J579" s="4"/>
      <c r="K579" s="10" t="str">
        <f t="shared" si="1"/>
        <v/>
      </c>
      <c r="L579" s="10"/>
      <c r="M579" s="10" t="str">
        <f t="shared" si="2"/>
        <v/>
      </c>
    </row>
    <row r="580">
      <c r="A580" s="4"/>
      <c r="B580" s="15"/>
      <c r="C580" s="7" t="str">
        <f>IFERROR(__xludf.DUMMYFUNCTION("iferror(iferror(INDEX(IMPORTRANGE(""12vtnxaE_Q1s4tyr10kZQx7ZF_xG0lBFae4jQEUtgsMU"",""All!B2:B""),MATCH($B580,IMPORTRANGE(""12vtnxaE_Q1s4tyr10kZQx7ZF_xG0lBFae4jQEUtgsMU"",""All!A2:A""),0)),INDEX(IMPORTRANGE(""13KC70HngS4DDi8y9E5khtSpQEPG6owaQ9z4E-tR5mnY"","&amp;"""Non-Food!B2:B""),MATCH($B580,IMPORTRANGE(""13KC70HngS4DDi8y9E5khtSpQEPG6owaQ9z4E-tR5mnY"",""Non-Food!A2:A""),0))),"""")"),"")</f>
        <v/>
      </c>
      <c r="D580" s="15"/>
      <c r="E580" s="15"/>
      <c r="F580" s="36"/>
      <c r="G580" s="24" t="str">
        <f>IFERROR(__xludf.DUMMYFUNCTION("iferror(iferror(iferror(index(IMPORTRANGE(""1NK5L1mviMn0j3D3uo53ASkIZOFRlLnqaCTnwzOG2_Wg"",""Direct Link!B2:B""),MATCH($B580,IMPORTRANGE(""1NK5L1mviMn0j3D3uo53ASkIZOFRlLnqaCTnwzOG2_Wg"",""Direct Link!A2:A""),0)),XLOOKUP($B580,IMPORTRANGE(""1NK5L1mviMn0j3D"&amp;"3uo53ASkIZOFRlLnqaCTnwzOG2_Wg"",""Direct links Without Sizes!A2:A""),IMPORTRANGE(""1NK5L1mviMn0j3D3uo53ASkIZOFRlLnqaCTnwzOG2_Wg"",""Direct links Without Sizes!B2:B""))),XLOOKUP($B580,IMPORTRANGE(""1NK5L1mviMn0j3D3uo53ASkIZOFRlLnqaCTnwzOG2_Wg"",""Direct li"&amp;"nks Without Sizes!D2:D""),IMPORTRANGE(""1NK5L1mviMn0j3D3uo53ASkIZOFRlLnqaCTnwzOG2_Wg"",""Direct links Without Sizes!E2:E""))),"""")"),"")</f>
        <v/>
      </c>
      <c r="H580" s="41"/>
      <c r="I580" s="4"/>
      <c r="J580" s="4"/>
      <c r="K580" s="10" t="str">
        <f t="shared" si="1"/>
        <v/>
      </c>
      <c r="L580" s="10"/>
      <c r="M580" s="10" t="str">
        <f t="shared" si="2"/>
        <v/>
      </c>
    </row>
    <row r="581">
      <c r="A581" s="4"/>
      <c r="B581" s="15"/>
      <c r="C581" s="7" t="str">
        <f>IFERROR(__xludf.DUMMYFUNCTION("iferror(iferror(INDEX(IMPORTRANGE(""12vtnxaE_Q1s4tyr10kZQx7ZF_xG0lBFae4jQEUtgsMU"",""All!B2:B""),MATCH($B581,IMPORTRANGE(""12vtnxaE_Q1s4tyr10kZQx7ZF_xG0lBFae4jQEUtgsMU"",""All!A2:A""),0)),INDEX(IMPORTRANGE(""13KC70HngS4DDi8y9E5khtSpQEPG6owaQ9z4E-tR5mnY"","&amp;"""Non-Food!B2:B""),MATCH($B581,IMPORTRANGE(""13KC70HngS4DDi8y9E5khtSpQEPG6owaQ9z4E-tR5mnY"",""Non-Food!A2:A""),0))),"""")"),"")</f>
        <v/>
      </c>
      <c r="D581" s="15"/>
      <c r="E581" s="15"/>
      <c r="F581" s="36"/>
      <c r="G581" s="24" t="str">
        <f>IFERROR(__xludf.DUMMYFUNCTION("iferror(iferror(iferror(index(IMPORTRANGE(""1NK5L1mviMn0j3D3uo53ASkIZOFRlLnqaCTnwzOG2_Wg"",""Direct Link!B2:B""),MATCH($B581,IMPORTRANGE(""1NK5L1mviMn0j3D3uo53ASkIZOFRlLnqaCTnwzOG2_Wg"",""Direct Link!A2:A""),0)),XLOOKUP($B581,IMPORTRANGE(""1NK5L1mviMn0j3D"&amp;"3uo53ASkIZOFRlLnqaCTnwzOG2_Wg"",""Direct links Without Sizes!A2:A""),IMPORTRANGE(""1NK5L1mviMn0j3D3uo53ASkIZOFRlLnqaCTnwzOG2_Wg"",""Direct links Without Sizes!B2:B""))),XLOOKUP($B581,IMPORTRANGE(""1NK5L1mviMn0j3D3uo53ASkIZOFRlLnqaCTnwzOG2_Wg"",""Direct li"&amp;"nks Without Sizes!D2:D""),IMPORTRANGE(""1NK5L1mviMn0j3D3uo53ASkIZOFRlLnqaCTnwzOG2_Wg"",""Direct links Without Sizes!E2:E""))),"""")"),"")</f>
        <v/>
      </c>
      <c r="H581" s="41"/>
      <c r="I581" s="4"/>
      <c r="J581" s="4"/>
      <c r="K581" s="10" t="str">
        <f t="shared" si="1"/>
        <v/>
      </c>
      <c r="L581" s="10"/>
      <c r="M581" s="10" t="str">
        <f t="shared" si="2"/>
        <v/>
      </c>
    </row>
    <row r="582">
      <c r="A582" s="4"/>
      <c r="B582" s="15"/>
      <c r="C582" s="7" t="str">
        <f>IFERROR(__xludf.DUMMYFUNCTION("iferror(iferror(INDEX(IMPORTRANGE(""12vtnxaE_Q1s4tyr10kZQx7ZF_xG0lBFae4jQEUtgsMU"",""All!B2:B""),MATCH($B582,IMPORTRANGE(""12vtnxaE_Q1s4tyr10kZQx7ZF_xG0lBFae4jQEUtgsMU"",""All!A2:A""),0)),INDEX(IMPORTRANGE(""13KC70HngS4DDi8y9E5khtSpQEPG6owaQ9z4E-tR5mnY"","&amp;"""Non-Food!B2:B""),MATCH($B582,IMPORTRANGE(""13KC70HngS4DDi8y9E5khtSpQEPG6owaQ9z4E-tR5mnY"",""Non-Food!A2:A""),0))),"""")"),"")</f>
        <v/>
      </c>
      <c r="D582" s="15"/>
      <c r="E582" s="15"/>
      <c r="F582" s="36"/>
      <c r="G582" s="24" t="str">
        <f>IFERROR(__xludf.DUMMYFUNCTION("iferror(iferror(iferror(index(IMPORTRANGE(""1NK5L1mviMn0j3D3uo53ASkIZOFRlLnqaCTnwzOG2_Wg"",""Direct Link!B2:B""),MATCH($B582,IMPORTRANGE(""1NK5L1mviMn0j3D3uo53ASkIZOFRlLnqaCTnwzOG2_Wg"",""Direct Link!A2:A""),0)),XLOOKUP($B582,IMPORTRANGE(""1NK5L1mviMn0j3D"&amp;"3uo53ASkIZOFRlLnqaCTnwzOG2_Wg"",""Direct links Without Sizes!A2:A""),IMPORTRANGE(""1NK5L1mviMn0j3D3uo53ASkIZOFRlLnqaCTnwzOG2_Wg"",""Direct links Without Sizes!B2:B""))),XLOOKUP($B582,IMPORTRANGE(""1NK5L1mviMn0j3D3uo53ASkIZOFRlLnqaCTnwzOG2_Wg"",""Direct li"&amp;"nks Without Sizes!D2:D""),IMPORTRANGE(""1NK5L1mviMn0j3D3uo53ASkIZOFRlLnqaCTnwzOG2_Wg"",""Direct links Without Sizes!E2:E""))),"""")"),"")</f>
        <v/>
      </c>
      <c r="H582" s="41"/>
      <c r="I582" s="4"/>
      <c r="J582" s="4"/>
      <c r="K582" s="10" t="str">
        <f t="shared" si="1"/>
        <v/>
      </c>
      <c r="L582" s="10"/>
      <c r="M582" s="10" t="str">
        <f t="shared" si="2"/>
        <v/>
      </c>
    </row>
    <row r="583">
      <c r="A583" s="4"/>
      <c r="B583" s="15"/>
      <c r="C583" s="7" t="str">
        <f>IFERROR(__xludf.DUMMYFUNCTION("iferror(iferror(INDEX(IMPORTRANGE(""12vtnxaE_Q1s4tyr10kZQx7ZF_xG0lBFae4jQEUtgsMU"",""All!B2:B""),MATCH($B583,IMPORTRANGE(""12vtnxaE_Q1s4tyr10kZQx7ZF_xG0lBFae4jQEUtgsMU"",""All!A2:A""),0)),INDEX(IMPORTRANGE(""13KC70HngS4DDi8y9E5khtSpQEPG6owaQ9z4E-tR5mnY"","&amp;"""Non-Food!B2:B""),MATCH($B583,IMPORTRANGE(""13KC70HngS4DDi8y9E5khtSpQEPG6owaQ9z4E-tR5mnY"",""Non-Food!A2:A""),0))),"""")"),"")</f>
        <v/>
      </c>
      <c r="D583" s="15"/>
      <c r="E583" s="15"/>
      <c r="F583" s="36"/>
      <c r="G583" s="24" t="str">
        <f>IFERROR(__xludf.DUMMYFUNCTION("iferror(iferror(iferror(index(IMPORTRANGE(""1NK5L1mviMn0j3D3uo53ASkIZOFRlLnqaCTnwzOG2_Wg"",""Direct Link!B2:B""),MATCH($B583,IMPORTRANGE(""1NK5L1mviMn0j3D3uo53ASkIZOFRlLnqaCTnwzOG2_Wg"",""Direct Link!A2:A""),0)),XLOOKUP($B583,IMPORTRANGE(""1NK5L1mviMn0j3D"&amp;"3uo53ASkIZOFRlLnqaCTnwzOG2_Wg"",""Direct links Without Sizes!A2:A""),IMPORTRANGE(""1NK5L1mviMn0j3D3uo53ASkIZOFRlLnqaCTnwzOG2_Wg"",""Direct links Without Sizes!B2:B""))),XLOOKUP($B583,IMPORTRANGE(""1NK5L1mviMn0j3D3uo53ASkIZOFRlLnqaCTnwzOG2_Wg"",""Direct li"&amp;"nks Without Sizes!D2:D""),IMPORTRANGE(""1NK5L1mviMn0j3D3uo53ASkIZOFRlLnqaCTnwzOG2_Wg"",""Direct links Without Sizes!E2:E""))),"""")"),"")</f>
        <v/>
      </c>
      <c r="H583" s="41"/>
      <c r="I583" s="4"/>
      <c r="J583" s="4"/>
      <c r="K583" s="10" t="str">
        <f t="shared" si="1"/>
        <v/>
      </c>
      <c r="L583" s="10"/>
      <c r="M583" s="10" t="str">
        <f t="shared" si="2"/>
        <v/>
      </c>
    </row>
    <row r="584">
      <c r="A584" s="4"/>
      <c r="B584" s="15"/>
      <c r="C584" s="7" t="str">
        <f>IFERROR(__xludf.DUMMYFUNCTION("iferror(iferror(INDEX(IMPORTRANGE(""12vtnxaE_Q1s4tyr10kZQx7ZF_xG0lBFae4jQEUtgsMU"",""All!B2:B""),MATCH($B584,IMPORTRANGE(""12vtnxaE_Q1s4tyr10kZQx7ZF_xG0lBFae4jQEUtgsMU"",""All!A2:A""),0)),INDEX(IMPORTRANGE(""13KC70HngS4DDi8y9E5khtSpQEPG6owaQ9z4E-tR5mnY"","&amp;"""Non-Food!B2:B""),MATCH($B584,IMPORTRANGE(""13KC70HngS4DDi8y9E5khtSpQEPG6owaQ9z4E-tR5mnY"",""Non-Food!A2:A""),0))),"""")"),"")</f>
        <v/>
      </c>
      <c r="D584" s="15"/>
      <c r="E584" s="15"/>
      <c r="F584" s="36"/>
      <c r="G584" s="24" t="str">
        <f>IFERROR(__xludf.DUMMYFUNCTION("iferror(iferror(iferror(index(IMPORTRANGE(""1NK5L1mviMn0j3D3uo53ASkIZOFRlLnqaCTnwzOG2_Wg"",""Direct Link!B2:B""),MATCH($B584,IMPORTRANGE(""1NK5L1mviMn0j3D3uo53ASkIZOFRlLnqaCTnwzOG2_Wg"",""Direct Link!A2:A""),0)),XLOOKUP($B584,IMPORTRANGE(""1NK5L1mviMn0j3D"&amp;"3uo53ASkIZOFRlLnqaCTnwzOG2_Wg"",""Direct links Without Sizes!A2:A""),IMPORTRANGE(""1NK5L1mviMn0j3D3uo53ASkIZOFRlLnqaCTnwzOG2_Wg"",""Direct links Without Sizes!B2:B""))),XLOOKUP($B584,IMPORTRANGE(""1NK5L1mviMn0j3D3uo53ASkIZOFRlLnqaCTnwzOG2_Wg"",""Direct li"&amp;"nks Without Sizes!D2:D""),IMPORTRANGE(""1NK5L1mviMn0j3D3uo53ASkIZOFRlLnqaCTnwzOG2_Wg"",""Direct links Without Sizes!E2:E""))),"""")"),"")</f>
        <v/>
      </c>
      <c r="H584" s="41"/>
      <c r="I584" s="4"/>
      <c r="J584" s="4"/>
      <c r="K584" s="10" t="str">
        <f t="shared" si="1"/>
        <v/>
      </c>
      <c r="L584" s="10"/>
      <c r="M584" s="10" t="str">
        <f t="shared" si="2"/>
        <v/>
      </c>
    </row>
    <row r="585">
      <c r="A585" s="4"/>
      <c r="B585" s="15"/>
      <c r="C585" s="7" t="str">
        <f>IFERROR(__xludf.DUMMYFUNCTION("iferror(iferror(INDEX(IMPORTRANGE(""12vtnxaE_Q1s4tyr10kZQx7ZF_xG0lBFae4jQEUtgsMU"",""All!B2:B""),MATCH($B585,IMPORTRANGE(""12vtnxaE_Q1s4tyr10kZQx7ZF_xG0lBFae4jQEUtgsMU"",""All!A2:A""),0)),INDEX(IMPORTRANGE(""13KC70HngS4DDi8y9E5khtSpQEPG6owaQ9z4E-tR5mnY"","&amp;"""Non-Food!B2:B""),MATCH($B585,IMPORTRANGE(""13KC70HngS4DDi8y9E5khtSpQEPG6owaQ9z4E-tR5mnY"",""Non-Food!A2:A""),0))),"""")"),"")</f>
        <v/>
      </c>
      <c r="D585" s="15"/>
      <c r="E585" s="15"/>
      <c r="F585" s="36"/>
      <c r="G585" s="24" t="str">
        <f>IFERROR(__xludf.DUMMYFUNCTION("iferror(iferror(iferror(index(IMPORTRANGE(""1NK5L1mviMn0j3D3uo53ASkIZOFRlLnqaCTnwzOG2_Wg"",""Direct Link!B2:B""),MATCH($B585,IMPORTRANGE(""1NK5L1mviMn0j3D3uo53ASkIZOFRlLnqaCTnwzOG2_Wg"",""Direct Link!A2:A""),0)),XLOOKUP($B585,IMPORTRANGE(""1NK5L1mviMn0j3D"&amp;"3uo53ASkIZOFRlLnqaCTnwzOG2_Wg"",""Direct links Without Sizes!A2:A""),IMPORTRANGE(""1NK5L1mviMn0j3D3uo53ASkIZOFRlLnqaCTnwzOG2_Wg"",""Direct links Without Sizes!B2:B""))),XLOOKUP($B585,IMPORTRANGE(""1NK5L1mviMn0j3D3uo53ASkIZOFRlLnqaCTnwzOG2_Wg"",""Direct li"&amp;"nks Without Sizes!D2:D""),IMPORTRANGE(""1NK5L1mviMn0j3D3uo53ASkIZOFRlLnqaCTnwzOG2_Wg"",""Direct links Without Sizes!E2:E""))),"""")"),"")</f>
        <v/>
      </c>
      <c r="H585" s="41"/>
      <c r="I585" s="4"/>
      <c r="J585" s="4"/>
      <c r="K585" s="10" t="str">
        <f t="shared" si="1"/>
        <v/>
      </c>
      <c r="L585" s="10"/>
      <c r="M585" s="10" t="str">
        <f t="shared" si="2"/>
        <v/>
      </c>
    </row>
    <row r="586">
      <c r="A586" s="4"/>
      <c r="B586" s="15"/>
      <c r="C586" s="7" t="str">
        <f>IFERROR(__xludf.DUMMYFUNCTION("iferror(iferror(INDEX(IMPORTRANGE(""12vtnxaE_Q1s4tyr10kZQx7ZF_xG0lBFae4jQEUtgsMU"",""All!B2:B""),MATCH($B586,IMPORTRANGE(""12vtnxaE_Q1s4tyr10kZQx7ZF_xG0lBFae4jQEUtgsMU"",""All!A2:A""),0)),INDEX(IMPORTRANGE(""13KC70HngS4DDi8y9E5khtSpQEPG6owaQ9z4E-tR5mnY"","&amp;"""Non-Food!B2:B""),MATCH($B586,IMPORTRANGE(""13KC70HngS4DDi8y9E5khtSpQEPG6owaQ9z4E-tR5mnY"",""Non-Food!A2:A""),0))),"""")"),"")</f>
        <v/>
      </c>
      <c r="D586" s="15"/>
      <c r="E586" s="15"/>
      <c r="F586" s="36"/>
      <c r="G586" s="24" t="str">
        <f>IFERROR(__xludf.DUMMYFUNCTION("iferror(iferror(iferror(index(IMPORTRANGE(""1NK5L1mviMn0j3D3uo53ASkIZOFRlLnqaCTnwzOG2_Wg"",""Direct Link!B2:B""),MATCH($B586,IMPORTRANGE(""1NK5L1mviMn0j3D3uo53ASkIZOFRlLnqaCTnwzOG2_Wg"",""Direct Link!A2:A""),0)),XLOOKUP($B586,IMPORTRANGE(""1NK5L1mviMn0j3D"&amp;"3uo53ASkIZOFRlLnqaCTnwzOG2_Wg"",""Direct links Without Sizes!A2:A""),IMPORTRANGE(""1NK5L1mviMn0j3D3uo53ASkIZOFRlLnqaCTnwzOG2_Wg"",""Direct links Without Sizes!B2:B""))),XLOOKUP($B586,IMPORTRANGE(""1NK5L1mviMn0j3D3uo53ASkIZOFRlLnqaCTnwzOG2_Wg"",""Direct li"&amp;"nks Without Sizes!D2:D""),IMPORTRANGE(""1NK5L1mviMn0j3D3uo53ASkIZOFRlLnqaCTnwzOG2_Wg"",""Direct links Without Sizes!E2:E""))),"""")"),"")</f>
        <v/>
      </c>
      <c r="H586" s="41"/>
      <c r="I586" s="4"/>
      <c r="J586" s="4"/>
      <c r="K586" s="10" t="str">
        <f t="shared" si="1"/>
        <v/>
      </c>
      <c r="L586" s="10"/>
      <c r="M586" s="10" t="str">
        <f t="shared" si="2"/>
        <v/>
      </c>
    </row>
    <row r="587">
      <c r="A587" s="4"/>
      <c r="B587" s="15"/>
      <c r="C587" s="7" t="str">
        <f>IFERROR(__xludf.DUMMYFUNCTION("iferror(iferror(INDEX(IMPORTRANGE(""12vtnxaE_Q1s4tyr10kZQx7ZF_xG0lBFae4jQEUtgsMU"",""All!B2:B""),MATCH($B587,IMPORTRANGE(""12vtnxaE_Q1s4tyr10kZQx7ZF_xG0lBFae4jQEUtgsMU"",""All!A2:A""),0)),INDEX(IMPORTRANGE(""13KC70HngS4DDi8y9E5khtSpQEPG6owaQ9z4E-tR5mnY"","&amp;"""Non-Food!B2:B""),MATCH($B587,IMPORTRANGE(""13KC70HngS4DDi8y9E5khtSpQEPG6owaQ9z4E-tR5mnY"",""Non-Food!A2:A""),0))),"""")"),"")</f>
        <v/>
      </c>
      <c r="D587" s="15"/>
      <c r="E587" s="15"/>
      <c r="F587" s="36"/>
      <c r="G587" s="24" t="str">
        <f>IFERROR(__xludf.DUMMYFUNCTION("iferror(iferror(iferror(index(IMPORTRANGE(""1NK5L1mviMn0j3D3uo53ASkIZOFRlLnqaCTnwzOG2_Wg"",""Direct Link!B2:B""),MATCH($B587,IMPORTRANGE(""1NK5L1mviMn0j3D3uo53ASkIZOFRlLnqaCTnwzOG2_Wg"",""Direct Link!A2:A""),0)),XLOOKUP($B587,IMPORTRANGE(""1NK5L1mviMn0j3D"&amp;"3uo53ASkIZOFRlLnqaCTnwzOG2_Wg"",""Direct links Without Sizes!A2:A""),IMPORTRANGE(""1NK5L1mviMn0j3D3uo53ASkIZOFRlLnqaCTnwzOG2_Wg"",""Direct links Without Sizes!B2:B""))),XLOOKUP($B587,IMPORTRANGE(""1NK5L1mviMn0j3D3uo53ASkIZOFRlLnqaCTnwzOG2_Wg"",""Direct li"&amp;"nks Without Sizes!D2:D""),IMPORTRANGE(""1NK5L1mviMn0j3D3uo53ASkIZOFRlLnqaCTnwzOG2_Wg"",""Direct links Without Sizes!E2:E""))),"""")"),"")</f>
        <v/>
      </c>
      <c r="H587" s="41"/>
      <c r="I587" s="4"/>
      <c r="J587" s="4"/>
      <c r="K587" s="10" t="str">
        <f t="shared" si="1"/>
        <v/>
      </c>
      <c r="L587" s="10"/>
      <c r="M587" s="10" t="str">
        <f t="shared" si="2"/>
        <v/>
      </c>
    </row>
    <row r="588">
      <c r="A588" s="4"/>
      <c r="B588" s="15"/>
      <c r="C588" s="7" t="str">
        <f>IFERROR(__xludf.DUMMYFUNCTION("iferror(iferror(INDEX(IMPORTRANGE(""12vtnxaE_Q1s4tyr10kZQx7ZF_xG0lBFae4jQEUtgsMU"",""All!B2:B""),MATCH($B588,IMPORTRANGE(""12vtnxaE_Q1s4tyr10kZQx7ZF_xG0lBFae4jQEUtgsMU"",""All!A2:A""),0)),INDEX(IMPORTRANGE(""13KC70HngS4DDi8y9E5khtSpQEPG6owaQ9z4E-tR5mnY"","&amp;"""Non-Food!B2:B""),MATCH($B588,IMPORTRANGE(""13KC70HngS4DDi8y9E5khtSpQEPG6owaQ9z4E-tR5mnY"",""Non-Food!A2:A""),0))),"""")"),"")</f>
        <v/>
      </c>
      <c r="D588" s="15"/>
      <c r="E588" s="15"/>
      <c r="F588" s="36"/>
      <c r="G588" s="24" t="str">
        <f>IFERROR(__xludf.DUMMYFUNCTION("iferror(iferror(iferror(index(IMPORTRANGE(""1NK5L1mviMn0j3D3uo53ASkIZOFRlLnqaCTnwzOG2_Wg"",""Direct Link!B2:B""),MATCH($B588,IMPORTRANGE(""1NK5L1mviMn0j3D3uo53ASkIZOFRlLnqaCTnwzOG2_Wg"",""Direct Link!A2:A""),0)),XLOOKUP($B588,IMPORTRANGE(""1NK5L1mviMn0j3D"&amp;"3uo53ASkIZOFRlLnqaCTnwzOG2_Wg"",""Direct links Without Sizes!A2:A""),IMPORTRANGE(""1NK5L1mviMn0j3D3uo53ASkIZOFRlLnqaCTnwzOG2_Wg"",""Direct links Without Sizes!B2:B""))),XLOOKUP($B588,IMPORTRANGE(""1NK5L1mviMn0j3D3uo53ASkIZOFRlLnqaCTnwzOG2_Wg"",""Direct li"&amp;"nks Without Sizes!D2:D""),IMPORTRANGE(""1NK5L1mviMn0j3D3uo53ASkIZOFRlLnqaCTnwzOG2_Wg"",""Direct links Without Sizes!E2:E""))),"""")"),"")</f>
        <v/>
      </c>
      <c r="H588" s="41"/>
      <c r="I588" s="4"/>
      <c r="J588" s="4"/>
      <c r="K588" s="10" t="str">
        <f t="shared" si="1"/>
        <v/>
      </c>
      <c r="L588" s="10"/>
      <c r="M588" s="10" t="str">
        <f t="shared" si="2"/>
        <v/>
      </c>
    </row>
    <row r="589">
      <c r="A589" s="4"/>
      <c r="B589" s="15"/>
      <c r="C589" s="7" t="str">
        <f>IFERROR(__xludf.DUMMYFUNCTION("iferror(iferror(INDEX(IMPORTRANGE(""12vtnxaE_Q1s4tyr10kZQx7ZF_xG0lBFae4jQEUtgsMU"",""All!B2:B""),MATCH($B589,IMPORTRANGE(""12vtnxaE_Q1s4tyr10kZQx7ZF_xG0lBFae4jQEUtgsMU"",""All!A2:A""),0)),INDEX(IMPORTRANGE(""13KC70HngS4DDi8y9E5khtSpQEPG6owaQ9z4E-tR5mnY"","&amp;"""Non-Food!B2:B""),MATCH($B589,IMPORTRANGE(""13KC70HngS4DDi8y9E5khtSpQEPG6owaQ9z4E-tR5mnY"",""Non-Food!A2:A""),0))),"""")"),"")</f>
        <v/>
      </c>
      <c r="D589" s="15"/>
      <c r="E589" s="15"/>
      <c r="F589" s="36"/>
      <c r="G589" s="24" t="str">
        <f>IFERROR(__xludf.DUMMYFUNCTION("iferror(iferror(iferror(index(IMPORTRANGE(""1NK5L1mviMn0j3D3uo53ASkIZOFRlLnqaCTnwzOG2_Wg"",""Direct Link!B2:B""),MATCH($B589,IMPORTRANGE(""1NK5L1mviMn0j3D3uo53ASkIZOFRlLnqaCTnwzOG2_Wg"",""Direct Link!A2:A""),0)),XLOOKUP($B589,IMPORTRANGE(""1NK5L1mviMn0j3D"&amp;"3uo53ASkIZOFRlLnqaCTnwzOG2_Wg"",""Direct links Without Sizes!A2:A""),IMPORTRANGE(""1NK5L1mviMn0j3D3uo53ASkIZOFRlLnqaCTnwzOG2_Wg"",""Direct links Without Sizes!B2:B""))),XLOOKUP($B589,IMPORTRANGE(""1NK5L1mviMn0j3D3uo53ASkIZOFRlLnqaCTnwzOG2_Wg"",""Direct li"&amp;"nks Without Sizes!D2:D""),IMPORTRANGE(""1NK5L1mviMn0j3D3uo53ASkIZOFRlLnqaCTnwzOG2_Wg"",""Direct links Without Sizes!E2:E""))),"""")"),"")</f>
        <v/>
      </c>
      <c r="H589" s="41"/>
      <c r="I589" s="4"/>
      <c r="J589" s="4"/>
      <c r="K589" s="10" t="str">
        <f t="shared" si="1"/>
        <v/>
      </c>
      <c r="L589" s="10"/>
      <c r="M589" s="10" t="str">
        <f t="shared" si="2"/>
        <v/>
      </c>
    </row>
    <row r="590">
      <c r="A590" s="4"/>
      <c r="B590" s="15"/>
      <c r="C590" s="7" t="str">
        <f>IFERROR(__xludf.DUMMYFUNCTION("iferror(iferror(INDEX(IMPORTRANGE(""12vtnxaE_Q1s4tyr10kZQx7ZF_xG0lBFae4jQEUtgsMU"",""All!B2:B""),MATCH($B590,IMPORTRANGE(""12vtnxaE_Q1s4tyr10kZQx7ZF_xG0lBFae4jQEUtgsMU"",""All!A2:A""),0)),INDEX(IMPORTRANGE(""13KC70HngS4DDi8y9E5khtSpQEPG6owaQ9z4E-tR5mnY"","&amp;"""Non-Food!B2:B""),MATCH($B590,IMPORTRANGE(""13KC70HngS4DDi8y9E5khtSpQEPG6owaQ9z4E-tR5mnY"",""Non-Food!A2:A""),0))),"""")"),"")</f>
        <v/>
      </c>
      <c r="D590" s="15"/>
      <c r="E590" s="15"/>
      <c r="F590" s="36"/>
      <c r="G590" s="24" t="str">
        <f>IFERROR(__xludf.DUMMYFUNCTION("iferror(iferror(iferror(index(IMPORTRANGE(""1NK5L1mviMn0j3D3uo53ASkIZOFRlLnqaCTnwzOG2_Wg"",""Direct Link!B2:B""),MATCH($B590,IMPORTRANGE(""1NK5L1mviMn0j3D3uo53ASkIZOFRlLnqaCTnwzOG2_Wg"",""Direct Link!A2:A""),0)),XLOOKUP($B590,IMPORTRANGE(""1NK5L1mviMn0j3D"&amp;"3uo53ASkIZOFRlLnqaCTnwzOG2_Wg"",""Direct links Without Sizes!A2:A""),IMPORTRANGE(""1NK5L1mviMn0j3D3uo53ASkIZOFRlLnqaCTnwzOG2_Wg"",""Direct links Without Sizes!B2:B""))),XLOOKUP($B590,IMPORTRANGE(""1NK5L1mviMn0j3D3uo53ASkIZOFRlLnqaCTnwzOG2_Wg"",""Direct li"&amp;"nks Without Sizes!D2:D""),IMPORTRANGE(""1NK5L1mviMn0j3D3uo53ASkIZOFRlLnqaCTnwzOG2_Wg"",""Direct links Without Sizes!E2:E""))),"""")"),"")</f>
        <v/>
      </c>
      <c r="H590" s="41"/>
      <c r="I590" s="4"/>
      <c r="J590" s="4"/>
      <c r="K590" s="10" t="str">
        <f t="shared" si="1"/>
        <v/>
      </c>
      <c r="L590" s="10"/>
      <c r="M590" s="10" t="str">
        <f t="shared" si="2"/>
        <v/>
      </c>
    </row>
    <row r="591">
      <c r="A591" s="4"/>
      <c r="B591" s="15"/>
      <c r="C591" s="7" t="str">
        <f>IFERROR(__xludf.DUMMYFUNCTION("iferror(iferror(INDEX(IMPORTRANGE(""12vtnxaE_Q1s4tyr10kZQx7ZF_xG0lBFae4jQEUtgsMU"",""All!B2:B""),MATCH($B591,IMPORTRANGE(""12vtnxaE_Q1s4tyr10kZQx7ZF_xG0lBFae4jQEUtgsMU"",""All!A2:A""),0)),INDEX(IMPORTRANGE(""13KC70HngS4DDi8y9E5khtSpQEPG6owaQ9z4E-tR5mnY"","&amp;"""Non-Food!B2:B""),MATCH($B591,IMPORTRANGE(""13KC70HngS4DDi8y9E5khtSpQEPG6owaQ9z4E-tR5mnY"",""Non-Food!A2:A""),0))),"""")"),"")</f>
        <v/>
      </c>
      <c r="D591" s="15"/>
      <c r="E591" s="15"/>
      <c r="F591" s="36"/>
      <c r="G591" s="24" t="str">
        <f>IFERROR(__xludf.DUMMYFUNCTION("iferror(iferror(iferror(index(IMPORTRANGE(""1NK5L1mviMn0j3D3uo53ASkIZOFRlLnqaCTnwzOG2_Wg"",""Direct Link!B2:B""),MATCH($B591,IMPORTRANGE(""1NK5L1mviMn0j3D3uo53ASkIZOFRlLnqaCTnwzOG2_Wg"",""Direct Link!A2:A""),0)),XLOOKUP($B591,IMPORTRANGE(""1NK5L1mviMn0j3D"&amp;"3uo53ASkIZOFRlLnqaCTnwzOG2_Wg"",""Direct links Without Sizes!A2:A""),IMPORTRANGE(""1NK5L1mviMn0j3D3uo53ASkIZOFRlLnqaCTnwzOG2_Wg"",""Direct links Without Sizes!B2:B""))),XLOOKUP($B591,IMPORTRANGE(""1NK5L1mviMn0j3D3uo53ASkIZOFRlLnqaCTnwzOG2_Wg"",""Direct li"&amp;"nks Without Sizes!D2:D""),IMPORTRANGE(""1NK5L1mviMn0j3D3uo53ASkIZOFRlLnqaCTnwzOG2_Wg"",""Direct links Without Sizes!E2:E""))),"""")"),"")</f>
        <v/>
      </c>
      <c r="H591" s="41"/>
      <c r="I591" s="4"/>
      <c r="J591" s="4"/>
      <c r="K591" s="10" t="str">
        <f t="shared" si="1"/>
        <v/>
      </c>
      <c r="L591" s="10"/>
      <c r="M591" s="10" t="str">
        <f t="shared" si="2"/>
        <v/>
      </c>
    </row>
    <row r="592">
      <c r="A592" s="4"/>
      <c r="B592" s="15"/>
      <c r="C592" s="7" t="str">
        <f>IFERROR(__xludf.DUMMYFUNCTION("iferror(iferror(INDEX(IMPORTRANGE(""12vtnxaE_Q1s4tyr10kZQx7ZF_xG0lBFae4jQEUtgsMU"",""All!B2:B""),MATCH($B592,IMPORTRANGE(""12vtnxaE_Q1s4tyr10kZQx7ZF_xG0lBFae4jQEUtgsMU"",""All!A2:A""),0)),INDEX(IMPORTRANGE(""13KC70HngS4DDi8y9E5khtSpQEPG6owaQ9z4E-tR5mnY"","&amp;"""Non-Food!B2:B""),MATCH($B592,IMPORTRANGE(""13KC70HngS4DDi8y9E5khtSpQEPG6owaQ9z4E-tR5mnY"",""Non-Food!A2:A""),0))),"""")"),"")</f>
        <v/>
      </c>
      <c r="D592" s="15"/>
      <c r="E592" s="15"/>
      <c r="F592" s="36"/>
      <c r="G592" s="24" t="str">
        <f>IFERROR(__xludf.DUMMYFUNCTION("iferror(iferror(iferror(index(IMPORTRANGE(""1NK5L1mviMn0j3D3uo53ASkIZOFRlLnqaCTnwzOG2_Wg"",""Direct Link!B2:B""),MATCH($B592,IMPORTRANGE(""1NK5L1mviMn0j3D3uo53ASkIZOFRlLnqaCTnwzOG2_Wg"",""Direct Link!A2:A""),0)),XLOOKUP($B592,IMPORTRANGE(""1NK5L1mviMn0j3D"&amp;"3uo53ASkIZOFRlLnqaCTnwzOG2_Wg"",""Direct links Without Sizes!A2:A""),IMPORTRANGE(""1NK5L1mviMn0j3D3uo53ASkIZOFRlLnqaCTnwzOG2_Wg"",""Direct links Without Sizes!B2:B""))),XLOOKUP($B592,IMPORTRANGE(""1NK5L1mviMn0j3D3uo53ASkIZOFRlLnqaCTnwzOG2_Wg"",""Direct li"&amp;"nks Without Sizes!D2:D""),IMPORTRANGE(""1NK5L1mviMn0j3D3uo53ASkIZOFRlLnqaCTnwzOG2_Wg"",""Direct links Without Sizes!E2:E""))),"""")"),"")</f>
        <v/>
      </c>
      <c r="H592" s="41"/>
      <c r="I592" s="4"/>
      <c r="J592" s="4"/>
      <c r="K592" s="10" t="str">
        <f t="shared" si="1"/>
        <v/>
      </c>
      <c r="L592" s="10"/>
      <c r="M592" s="10" t="str">
        <f t="shared" si="2"/>
        <v/>
      </c>
    </row>
    <row r="593">
      <c r="A593" s="4"/>
      <c r="B593" s="15"/>
      <c r="C593" s="7" t="str">
        <f>IFERROR(__xludf.DUMMYFUNCTION("iferror(iferror(INDEX(IMPORTRANGE(""12vtnxaE_Q1s4tyr10kZQx7ZF_xG0lBFae4jQEUtgsMU"",""All!B2:B""),MATCH($B593,IMPORTRANGE(""12vtnxaE_Q1s4tyr10kZQx7ZF_xG0lBFae4jQEUtgsMU"",""All!A2:A""),0)),INDEX(IMPORTRANGE(""13KC70HngS4DDi8y9E5khtSpQEPG6owaQ9z4E-tR5mnY"","&amp;"""Non-Food!B2:B""),MATCH($B593,IMPORTRANGE(""13KC70HngS4DDi8y9E5khtSpQEPG6owaQ9z4E-tR5mnY"",""Non-Food!A2:A""),0))),"""")"),"")</f>
        <v/>
      </c>
      <c r="D593" s="15"/>
      <c r="E593" s="15"/>
      <c r="F593" s="36"/>
      <c r="G593" s="24" t="str">
        <f>IFERROR(__xludf.DUMMYFUNCTION("iferror(iferror(iferror(index(IMPORTRANGE(""1NK5L1mviMn0j3D3uo53ASkIZOFRlLnqaCTnwzOG2_Wg"",""Direct Link!B2:B""),MATCH($B593,IMPORTRANGE(""1NK5L1mviMn0j3D3uo53ASkIZOFRlLnqaCTnwzOG2_Wg"",""Direct Link!A2:A""),0)),XLOOKUP($B593,IMPORTRANGE(""1NK5L1mviMn0j3D"&amp;"3uo53ASkIZOFRlLnqaCTnwzOG2_Wg"",""Direct links Without Sizes!A2:A""),IMPORTRANGE(""1NK5L1mviMn0j3D3uo53ASkIZOFRlLnqaCTnwzOG2_Wg"",""Direct links Without Sizes!B2:B""))),XLOOKUP($B593,IMPORTRANGE(""1NK5L1mviMn0j3D3uo53ASkIZOFRlLnqaCTnwzOG2_Wg"",""Direct li"&amp;"nks Without Sizes!D2:D""),IMPORTRANGE(""1NK5L1mviMn0j3D3uo53ASkIZOFRlLnqaCTnwzOG2_Wg"",""Direct links Without Sizes!E2:E""))),"""")"),"")</f>
        <v/>
      </c>
      <c r="H593" s="41"/>
      <c r="I593" s="4"/>
      <c r="J593" s="4"/>
      <c r="K593" s="10" t="str">
        <f t="shared" si="1"/>
        <v/>
      </c>
      <c r="L593" s="10"/>
      <c r="M593" s="10" t="str">
        <f t="shared" si="2"/>
        <v/>
      </c>
    </row>
    <row r="594">
      <c r="A594" s="4"/>
      <c r="B594" s="15"/>
      <c r="C594" s="7" t="str">
        <f>IFERROR(__xludf.DUMMYFUNCTION("iferror(iferror(INDEX(IMPORTRANGE(""12vtnxaE_Q1s4tyr10kZQx7ZF_xG0lBFae4jQEUtgsMU"",""All!B2:B""),MATCH($B594,IMPORTRANGE(""12vtnxaE_Q1s4tyr10kZQx7ZF_xG0lBFae4jQEUtgsMU"",""All!A2:A""),0)),INDEX(IMPORTRANGE(""13KC70HngS4DDi8y9E5khtSpQEPG6owaQ9z4E-tR5mnY"","&amp;"""Non-Food!B2:B""),MATCH($B594,IMPORTRANGE(""13KC70HngS4DDi8y9E5khtSpQEPG6owaQ9z4E-tR5mnY"",""Non-Food!A2:A""),0))),"""")"),"")</f>
        <v/>
      </c>
      <c r="D594" s="15"/>
      <c r="E594" s="15"/>
      <c r="F594" s="36"/>
      <c r="G594" s="24" t="str">
        <f>IFERROR(__xludf.DUMMYFUNCTION("iferror(iferror(iferror(index(IMPORTRANGE(""1NK5L1mviMn0j3D3uo53ASkIZOFRlLnqaCTnwzOG2_Wg"",""Direct Link!B2:B""),MATCH($B594,IMPORTRANGE(""1NK5L1mviMn0j3D3uo53ASkIZOFRlLnqaCTnwzOG2_Wg"",""Direct Link!A2:A""),0)),XLOOKUP($B594,IMPORTRANGE(""1NK5L1mviMn0j3D"&amp;"3uo53ASkIZOFRlLnqaCTnwzOG2_Wg"",""Direct links Without Sizes!A2:A""),IMPORTRANGE(""1NK5L1mviMn0j3D3uo53ASkIZOFRlLnqaCTnwzOG2_Wg"",""Direct links Without Sizes!B2:B""))),XLOOKUP($B594,IMPORTRANGE(""1NK5L1mviMn0j3D3uo53ASkIZOFRlLnqaCTnwzOG2_Wg"",""Direct li"&amp;"nks Without Sizes!D2:D""),IMPORTRANGE(""1NK5L1mviMn0j3D3uo53ASkIZOFRlLnqaCTnwzOG2_Wg"",""Direct links Without Sizes!E2:E""))),"""")"),"")</f>
        <v/>
      </c>
      <c r="H594" s="41"/>
      <c r="I594" s="4"/>
      <c r="J594" s="4"/>
      <c r="K594" s="10" t="str">
        <f t="shared" si="1"/>
        <v/>
      </c>
      <c r="L594" s="10"/>
      <c r="M594" s="10" t="str">
        <f t="shared" si="2"/>
        <v/>
      </c>
    </row>
    <row r="595">
      <c r="A595" s="4"/>
      <c r="B595" s="15"/>
      <c r="C595" s="7" t="str">
        <f>IFERROR(__xludf.DUMMYFUNCTION("iferror(iferror(INDEX(IMPORTRANGE(""12vtnxaE_Q1s4tyr10kZQx7ZF_xG0lBFae4jQEUtgsMU"",""All!B2:B""),MATCH($B595,IMPORTRANGE(""12vtnxaE_Q1s4tyr10kZQx7ZF_xG0lBFae4jQEUtgsMU"",""All!A2:A""),0)),INDEX(IMPORTRANGE(""13KC70HngS4DDi8y9E5khtSpQEPG6owaQ9z4E-tR5mnY"","&amp;"""Non-Food!B2:B""),MATCH($B595,IMPORTRANGE(""13KC70HngS4DDi8y9E5khtSpQEPG6owaQ9z4E-tR5mnY"",""Non-Food!A2:A""),0))),"""")"),"")</f>
        <v/>
      </c>
      <c r="D595" s="15"/>
      <c r="E595" s="15"/>
      <c r="F595" s="36"/>
      <c r="G595" s="24" t="str">
        <f>IFERROR(__xludf.DUMMYFUNCTION("iferror(iferror(iferror(index(IMPORTRANGE(""1NK5L1mviMn0j3D3uo53ASkIZOFRlLnqaCTnwzOG2_Wg"",""Direct Link!B2:B""),MATCH($B595,IMPORTRANGE(""1NK5L1mviMn0j3D3uo53ASkIZOFRlLnqaCTnwzOG2_Wg"",""Direct Link!A2:A""),0)),XLOOKUP($B595,IMPORTRANGE(""1NK5L1mviMn0j3D"&amp;"3uo53ASkIZOFRlLnqaCTnwzOG2_Wg"",""Direct links Without Sizes!A2:A""),IMPORTRANGE(""1NK5L1mviMn0j3D3uo53ASkIZOFRlLnqaCTnwzOG2_Wg"",""Direct links Without Sizes!B2:B""))),XLOOKUP($B595,IMPORTRANGE(""1NK5L1mviMn0j3D3uo53ASkIZOFRlLnqaCTnwzOG2_Wg"",""Direct li"&amp;"nks Without Sizes!D2:D""),IMPORTRANGE(""1NK5L1mviMn0j3D3uo53ASkIZOFRlLnqaCTnwzOG2_Wg"",""Direct links Without Sizes!E2:E""))),"""")"),"")</f>
        <v/>
      </c>
      <c r="H595" s="41"/>
      <c r="I595" s="4"/>
      <c r="J595" s="4"/>
      <c r="K595" s="10" t="str">
        <f t="shared" si="1"/>
        <v/>
      </c>
      <c r="L595" s="10"/>
      <c r="M595" s="10" t="str">
        <f t="shared" si="2"/>
        <v/>
      </c>
    </row>
    <row r="596">
      <c r="A596" s="4"/>
      <c r="B596" s="15"/>
      <c r="C596" s="7" t="str">
        <f>IFERROR(__xludf.DUMMYFUNCTION("iferror(iferror(INDEX(IMPORTRANGE(""12vtnxaE_Q1s4tyr10kZQx7ZF_xG0lBFae4jQEUtgsMU"",""All!B2:B""),MATCH($B596,IMPORTRANGE(""12vtnxaE_Q1s4tyr10kZQx7ZF_xG0lBFae4jQEUtgsMU"",""All!A2:A""),0)),INDEX(IMPORTRANGE(""13KC70HngS4DDi8y9E5khtSpQEPG6owaQ9z4E-tR5mnY"","&amp;"""Non-Food!B2:B""),MATCH($B596,IMPORTRANGE(""13KC70HngS4DDi8y9E5khtSpQEPG6owaQ9z4E-tR5mnY"",""Non-Food!A2:A""),0))),"""")"),"")</f>
        <v/>
      </c>
      <c r="D596" s="15"/>
      <c r="E596" s="15"/>
      <c r="F596" s="36"/>
      <c r="G596" s="24" t="str">
        <f>IFERROR(__xludf.DUMMYFUNCTION("iferror(iferror(iferror(index(IMPORTRANGE(""1NK5L1mviMn0j3D3uo53ASkIZOFRlLnqaCTnwzOG2_Wg"",""Direct Link!B2:B""),MATCH($B596,IMPORTRANGE(""1NK5L1mviMn0j3D3uo53ASkIZOFRlLnqaCTnwzOG2_Wg"",""Direct Link!A2:A""),0)),XLOOKUP($B596,IMPORTRANGE(""1NK5L1mviMn0j3D"&amp;"3uo53ASkIZOFRlLnqaCTnwzOG2_Wg"",""Direct links Without Sizes!A2:A""),IMPORTRANGE(""1NK5L1mviMn0j3D3uo53ASkIZOFRlLnqaCTnwzOG2_Wg"",""Direct links Without Sizes!B2:B""))),XLOOKUP($B596,IMPORTRANGE(""1NK5L1mviMn0j3D3uo53ASkIZOFRlLnqaCTnwzOG2_Wg"",""Direct li"&amp;"nks Without Sizes!D2:D""),IMPORTRANGE(""1NK5L1mviMn0j3D3uo53ASkIZOFRlLnqaCTnwzOG2_Wg"",""Direct links Without Sizes!E2:E""))),"""")"),"")</f>
        <v/>
      </c>
      <c r="H596" s="41"/>
      <c r="I596" s="4"/>
      <c r="J596" s="4"/>
      <c r="K596" s="10" t="str">
        <f t="shared" si="1"/>
        <v/>
      </c>
      <c r="L596" s="10"/>
      <c r="M596" s="10" t="str">
        <f t="shared" si="2"/>
        <v/>
      </c>
    </row>
    <row r="597">
      <c r="A597" s="4"/>
      <c r="B597" s="15"/>
      <c r="C597" s="7" t="str">
        <f>IFERROR(__xludf.DUMMYFUNCTION("iferror(iferror(INDEX(IMPORTRANGE(""12vtnxaE_Q1s4tyr10kZQx7ZF_xG0lBFae4jQEUtgsMU"",""All!B2:B""),MATCH($B597,IMPORTRANGE(""12vtnxaE_Q1s4tyr10kZQx7ZF_xG0lBFae4jQEUtgsMU"",""All!A2:A""),0)),INDEX(IMPORTRANGE(""13KC70HngS4DDi8y9E5khtSpQEPG6owaQ9z4E-tR5mnY"","&amp;"""Non-Food!B2:B""),MATCH($B597,IMPORTRANGE(""13KC70HngS4DDi8y9E5khtSpQEPG6owaQ9z4E-tR5mnY"",""Non-Food!A2:A""),0))),"""")"),"")</f>
        <v/>
      </c>
      <c r="D597" s="15"/>
      <c r="E597" s="15"/>
      <c r="F597" s="36"/>
      <c r="G597" s="24" t="str">
        <f>IFERROR(__xludf.DUMMYFUNCTION("iferror(iferror(iferror(index(IMPORTRANGE(""1NK5L1mviMn0j3D3uo53ASkIZOFRlLnqaCTnwzOG2_Wg"",""Direct Link!B2:B""),MATCH($B597,IMPORTRANGE(""1NK5L1mviMn0j3D3uo53ASkIZOFRlLnqaCTnwzOG2_Wg"",""Direct Link!A2:A""),0)),XLOOKUP($B597,IMPORTRANGE(""1NK5L1mviMn0j3D"&amp;"3uo53ASkIZOFRlLnqaCTnwzOG2_Wg"",""Direct links Without Sizes!A2:A""),IMPORTRANGE(""1NK5L1mviMn0j3D3uo53ASkIZOFRlLnqaCTnwzOG2_Wg"",""Direct links Without Sizes!B2:B""))),XLOOKUP($B597,IMPORTRANGE(""1NK5L1mviMn0j3D3uo53ASkIZOFRlLnqaCTnwzOG2_Wg"",""Direct li"&amp;"nks Without Sizes!D2:D""),IMPORTRANGE(""1NK5L1mviMn0j3D3uo53ASkIZOFRlLnqaCTnwzOG2_Wg"",""Direct links Without Sizes!E2:E""))),"""")"),"")</f>
        <v/>
      </c>
      <c r="H597" s="41"/>
      <c r="I597" s="4"/>
      <c r="J597" s="4"/>
      <c r="K597" s="10" t="str">
        <f t="shared" si="1"/>
        <v/>
      </c>
      <c r="L597" s="10"/>
      <c r="M597" s="10" t="str">
        <f t="shared" si="2"/>
        <v/>
      </c>
    </row>
    <row r="598">
      <c r="A598" s="4"/>
      <c r="B598" s="15"/>
      <c r="C598" s="7" t="str">
        <f>IFERROR(__xludf.DUMMYFUNCTION("iferror(iferror(INDEX(IMPORTRANGE(""12vtnxaE_Q1s4tyr10kZQx7ZF_xG0lBFae4jQEUtgsMU"",""All!B2:B""),MATCH($B598,IMPORTRANGE(""12vtnxaE_Q1s4tyr10kZQx7ZF_xG0lBFae4jQEUtgsMU"",""All!A2:A""),0)),INDEX(IMPORTRANGE(""13KC70HngS4DDi8y9E5khtSpQEPG6owaQ9z4E-tR5mnY"","&amp;"""Non-Food!B2:B""),MATCH($B598,IMPORTRANGE(""13KC70HngS4DDi8y9E5khtSpQEPG6owaQ9z4E-tR5mnY"",""Non-Food!A2:A""),0))),"""")"),"")</f>
        <v/>
      </c>
      <c r="D598" s="15"/>
      <c r="E598" s="15"/>
      <c r="F598" s="36"/>
      <c r="G598" s="24" t="str">
        <f>IFERROR(__xludf.DUMMYFUNCTION("iferror(iferror(iferror(index(IMPORTRANGE(""1NK5L1mviMn0j3D3uo53ASkIZOFRlLnqaCTnwzOG2_Wg"",""Direct Link!B2:B""),MATCH($B598,IMPORTRANGE(""1NK5L1mviMn0j3D3uo53ASkIZOFRlLnqaCTnwzOG2_Wg"",""Direct Link!A2:A""),0)),XLOOKUP($B598,IMPORTRANGE(""1NK5L1mviMn0j3D"&amp;"3uo53ASkIZOFRlLnqaCTnwzOG2_Wg"",""Direct links Without Sizes!A2:A""),IMPORTRANGE(""1NK5L1mviMn0j3D3uo53ASkIZOFRlLnqaCTnwzOG2_Wg"",""Direct links Without Sizes!B2:B""))),XLOOKUP($B598,IMPORTRANGE(""1NK5L1mviMn0j3D3uo53ASkIZOFRlLnqaCTnwzOG2_Wg"",""Direct li"&amp;"nks Without Sizes!D2:D""),IMPORTRANGE(""1NK5L1mviMn0j3D3uo53ASkIZOFRlLnqaCTnwzOG2_Wg"",""Direct links Without Sizes!E2:E""))),"""")"),"")</f>
        <v/>
      </c>
      <c r="H598" s="41"/>
      <c r="I598" s="4"/>
      <c r="J598" s="4"/>
      <c r="K598" s="10" t="str">
        <f t="shared" si="1"/>
        <v/>
      </c>
      <c r="L598" s="10"/>
      <c r="M598" s="10" t="str">
        <f t="shared" si="2"/>
        <v/>
      </c>
    </row>
    <row r="599">
      <c r="A599" s="4"/>
      <c r="B599" s="15"/>
      <c r="C599" s="7" t="str">
        <f>IFERROR(__xludf.DUMMYFUNCTION("iferror(iferror(INDEX(IMPORTRANGE(""12vtnxaE_Q1s4tyr10kZQx7ZF_xG0lBFae4jQEUtgsMU"",""All!B2:B""),MATCH($B599,IMPORTRANGE(""12vtnxaE_Q1s4tyr10kZQx7ZF_xG0lBFae4jQEUtgsMU"",""All!A2:A""),0)),INDEX(IMPORTRANGE(""13KC70HngS4DDi8y9E5khtSpQEPG6owaQ9z4E-tR5mnY"","&amp;"""Non-Food!B2:B""),MATCH($B599,IMPORTRANGE(""13KC70HngS4DDi8y9E5khtSpQEPG6owaQ9z4E-tR5mnY"",""Non-Food!A2:A""),0))),"""")"),"")</f>
        <v/>
      </c>
      <c r="D599" s="15"/>
      <c r="E599" s="15"/>
      <c r="F599" s="36"/>
      <c r="G599" s="24" t="str">
        <f>IFERROR(__xludf.DUMMYFUNCTION("iferror(iferror(iferror(index(IMPORTRANGE(""1NK5L1mviMn0j3D3uo53ASkIZOFRlLnqaCTnwzOG2_Wg"",""Direct Link!B2:B""),MATCH($B599,IMPORTRANGE(""1NK5L1mviMn0j3D3uo53ASkIZOFRlLnqaCTnwzOG2_Wg"",""Direct Link!A2:A""),0)),XLOOKUP($B599,IMPORTRANGE(""1NK5L1mviMn0j3D"&amp;"3uo53ASkIZOFRlLnqaCTnwzOG2_Wg"",""Direct links Without Sizes!A2:A""),IMPORTRANGE(""1NK5L1mviMn0j3D3uo53ASkIZOFRlLnqaCTnwzOG2_Wg"",""Direct links Without Sizes!B2:B""))),XLOOKUP($B599,IMPORTRANGE(""1NK5L1mviMn0j3D3uo53ASkIZOFRlLnqaCTnwzOG2_Wg"",""Direct li"&amp;"nks Without Sizes!D2:D""),IMPORTRANGE(""1NK5L1mviMn0j3D3uo53ASkIZOFRlLnqaCTnwzOG2_Wg"",""Direct links Without Sizes!E2:E""))),"""")"),"")</f>
        <v/>
      </c>
      <c r="H599" s="41"/>
      <c r="I599" s="4"/>
      <c r="J599" s="4"/>
      <c r="K599" s="10" t="str">
        <f t="shared" si="1"/>
        <v/>
      </c>
      <c r="L599" s="10"/>
      <c r="M599" s="10" t="str">
        <f t="shared" si="2"/>
        <v/>
      </c>
    </row>
    <row r="600">
      <c r="A600" s="4"/>
      <c r="B600" s="15"/>
      <c r="C600" s="7" t="str">
        <f>IFERROR(__xludf.DUMMYFUNCTION("iferror(iferror(INDEX(IMPORTRANGE(""12vtnxaE_Q1s4tyr10kZQx7ZF_xG0lBFae4jQEUtgsMU"",""All!B2:B""),MATCH($B600,IMPORTRANGE(""12vtnxaE_Q1s4tyr10kZQx7ZF_xG0lBFae4jQEUtgsMU"",""All!A2:A""),0)),INDEX(IMPORTRANGE(""13KC70HngS4DDi8y9E5khtSpQEPG6owaQ9z4E-tR5mnY"","&amp;"""Non-Food!B2:B""),MATCH($B600,IMPORTRANGE(""13KC70HngS4DDi8y9E5khtSpQEPG6owaQ9z4E-tR5mnY"",""Non-Food!A2:A""),0))),"""")"),"")</f>
        <v/>
      </c>
      <c r="D600" s="15"/>
      <c r="E600" s="15"/>
      <c r="F600" s="36"/>
      <c r="G600" s="24" t="str">
        <f>IFERROR(__xludf.DUMMYFUNCTION("iferror(iferror(iferror(index(IMPORTRANGE(""1NK5L1mviMn0j3D3uo53ASkIZOFRlLnqaCTnwzOG2_Wg"",""Direct Link!B2:B""),MATCH($B600,IMPORTRANGE(""1NK5L1mviMn0j3D3uo53ASkIZOFRlLnqaCTnwzOG2_Wg"",""Direct Link!A2:A""),0)),XLOOKUP($B600,IMPORTRANGE(""1NK5L1mviMn0j3D"&amp;"3uo53ASkIZOFRlLnqaCTnwzOG2_Wg"",""Direct links Without Sizes!A2:A""),IMPORTRANGE(""1NK5L1mviMn0j3D3uo53ASkIZOFRlLnqaCTnwzOG2_Wg"",""Direct links Without Sizes!B2:B""))),XLOOKUP($B600,IMPORTRANGE(""1NK5L1mviMn0j3D3uo53ASkIZOFRlLnqaCTnwzOG2_Wg"",""Direct li"&amp;"nks Without Sizes!D2:D""),IMPORTRANGE(""1NK5L1mviMn0j3D3uo53ASkIZOFRlLnqaCTnwzOG2_Wg"",""Direct links Without Sizes!E2:E""))),"""")"),"")</f>
        <v/>
      </c>
      <c r="H600" s="41"/>
      <c r="I600" s="4"/>
      <c r="J600" s="4"/>
      <c r="K600" s="10" t="str">
        <f t="shared" si="1"/>
        <v/>
      </c>
      <c r="L600" s="10"/>
      <c r="M600" s="10" t="str">
        <f t="shared" si="2"/>
        <v/>
      </c>
    </row>
    <row r="601">
      <c r="A601" s="4"/>
      <c r="B601" s="15"/>
      <c r="C601" s="7" t="str">
        <f>IFERROR(__xludf.DUMMYFUNCTION("iferror(iferror(INDEX(IMPORTRANGE(""12vtnxaE_Q1s4tyr10kZQx7ZF_xG0lBFae4jQEUtgsMU"",""All!B2:B""),MATCH($B601,IMPORTRANGE(""12vtnxaE_Q1s4tyr10kZQx7ZF_xG0lBFae4jQEUtgsMU"",""All!A2:A""),0)),INDEX(IMPORTRANGE(""13KC70HngS4DDi8y9E5khtSpQEPG6owaQ9z4E-tR5mnY"","&amp;"""Non-Food!B2:B""),MATCH($B601,IMPORTRANGE(""13KC70HngS4DDi8y9E5khtSpQEPG6owaQ9z4E-tR5mnY"",""Non-Food!A2:A""),0))),"""")"),"")</f>
        <v/>
      </c>
      <c r="D601" s="15"/>
      <c r="E601" s="15"/>
      <c r="F601" s="36"/>
      <c r="G601" s="24" t="str">
        <f>IFERROR(__xludf.DUMMYFUNCTION("iferror(iferror(iferror(index(IMPORTRANGE(""1NK5L1mviMn0j3D3uo53ASkIZOFRlLnqaCTnwzOG2_Wg"",""Direct Link!B2:B""),MATCH($B601,IMPORTRANGE(""1NK5L1mviMn0j3D3uo53ASkIZOFRlLnqaCTnwzOG2_Wg"",""Direct Link!A2:A""),0)),XLOOKUP($B601,IMPORTRANGE(""1NK5L1mviMn0j3D"&amp;"3uo53ASkIZOFRlLnqaCTnwzOG2_Wg"",""Direct links Without Sizes!A2:A""),IMPORTRANGE(""1NK5L1mviMn0j3D3uo53ASkIZOFRlLnqaCTnwzOG2_Wg"",""Direct links Without Sizes!B2:B""))),XLOOKUP($B601,IMPORTRANGE(""1NK5L1mviMn0j3D3uo53ASkIZOFRlLnqaCTnwzOG2_Wg"",""Direct li"&amp;"nks Without Sizes!D2:D""),IMPORTRANGE(""1NK5L1mviMn0j3D3uo53ASkIZOFRlLnqaCTnwzOG2_Wg"",""Direct links Without Sizes!E2:E""))),"""")"),"")</f>
        <v/>
      </c>
      <c r="H601" s="41"/>
      <c r="I601" s="4"/>
      <c r="J601" s="4"/>
      <c r="K601" s="10" t="str">
        <f t="shared" si="1"/>
        <v/>
      </c>
      <c r="L601" s="10"/>
      <c r="M601" s="10" t="str">
        <f t="shared" si="2"/>
        <v/>
      </c>
    </row>
    <row r="602">
      <c r="A602" s="4"/>
      <c r="B602" s="15"/>
      <c r="C602" s="7" t="str">
        <f>IFERROR(__xludf.DUMMYFUNCTION("iferror(iferror(INDEX(IMPORTRANGE(""12vtnxaE_Q1s4tyr10kZQx7ZF_xG0lBFae4jQEUtgsMU"",""All!B2:B""),MATCH($B602,IMPORTRANGE(""12vtnxaE_Q1s4tyr10kZQx7ZF_xG0lBFae4jQEUtgsMU"",""All!A2:A""),0)),INDEX(IMPORTRANGE(""13KC70HngS4DDi8y9E5khtSpQEPG6owaQ9z4E-tR5mnY"","&amp;"""Non-Food!B2:B""),MATCH($B602,IMPORTRANGE(""13KC70HngS4DDi8y9E5khtSpQEPG6owaQ9z4E-tR5mnY"",""Non-Food!A2:A""),0))),"""")"),"")</f>
        <v/>
      </c>
      <c r="D602" s="15"/>
      <c r="E602" s="15"/>
      <c r="F602" s="36"/>
      <c r="G602" s="24" t="str">
        <f>IFERROR(__xludf.DUMMYFUNCTION("iferror(iferror(iferror(index(IMPORTRANGE(""1NK5L1mviMn0j3D3uo53ASkIZOFRlLnqaCTnwzOG2_Wg"",""Direct Link!B2:B""),MATCH($B602,IMPORTRANGE(""1NK5L1mviMn0j3D3uo53ASkIZOFRlLnqaCTnwzOG2_Wg"",""Direct Link!A2:A""),0)),XLOOKUP($B602,IMPORTRANGE(""1NK5L1mviMn0j3D"&amp;"3uo53ASkIZOFRlLnqaCTnwzOG2_Wg"",""Direct links Without Sizes!A2:A""),IMPORTRANGE(""1NK5L1mviMn0j3D3uo53ASkIZOFRlLnqaCTnwzOG2_Wg"",""Direct links Without Sizes!B2:B""))),XLOOKUP($B602,IMPORTRANGE(""1NK5L1mviMn0j3D3uo53ASkIZOFRlLnqaCTnwzOG2_Wg"",""Direct li"&amp;"nks Without Sizes!D2:D""),IMPORTRANGE(""1NK5L1mviMn0j3D3uo53ASkIZOFRlLnqaCTnwzOG2_Wg"",""Direct links Without Sizes!E2:E""))),"""")"),"")</f>
        <v/>
      </c>
      <c r="H602" s="41"/>
      <c r="I602" s="4"/>
      <c r="J602" s="4"/>
      <c r="K602" s="10" t="str">
        <f t="shared" si="1"/>
        <v/>
      </c>
      <c r="L602" s="10"/>
      <c r="M602" s="10" t="str">
        <f t="shared" si="2"/>
        <v/>
      </c>
    </row>
    <row r="603">
      <c r="A603" s="4"/>
      <c r="B603" s="15"/>
      <c r="C603" s="7" t="str">
        <f>IFERROR(__xludf.DUMMYFUNCTION("iferror(iferror(INDEX(IMPORTRANGE(""12vtnxaE_Q1s4tyr10kZQx7ZF_xG0lBFae4jQEUtgsMU"",""All!B2:B""),MATCH($B603,IMPORTRANGE(""12vtnxaE_Q1s4tyr10kZQx7ZF_xG0lBFae4jQEUtgsMU"",""All!A2:A""),0)),INDEX(IMPORTRANGE(""13KC70HngS4DDi8y9E5khtSpQEPG6owaQ9z4E-tR5mnY"","&amp;"""Non-Food!B2:B""),MATCH($B603,IMPORTRANGE(""13KC70HngS4DDi8y9E5khtSpQEPG6owaQ9z4E-tR5mnY"",""Non-Food!A2:A""),0))),"""")"),"")</f>
        <v/>
      </c>
      <c r="D603" s="15"/>
      <c r="E603" s="15"/>
      <c r="F603" s="36"/>
      <c r="G603" s="24" t="str">
        <f>IFERROR(__xludf.DUMMYFUNCTION("iferror(iferror(iferror(index(IMPORTRANGE(""1NK5L1mviMn0j3D3uo53ASkIZOFRlLnqaCTnwzOG2_Wg"",""Direct Link!B2:B""),MATCH($B603,IMPORTRANGE(""1NK5L1mviMn0j3D3uo53ASkIZOFRlLnqaCTnwzOG2_Wg"",""Direct Link!A2:A""),0)),XLOOKUP($B603,IMPORTRANGE(""1NK5L1mviMn0j3D"&amp;"3uo53ASkIZOFRlLnqaCTnwzOG2_Wg"",""Direct links Without Sizes!A2:A""),IMPORTRANGE(""1NK5L1mviMn0j3D3uo53ASkIZOFRlLnqaCTnwzOG2_Wg"",""Direct links Without Sizes!B2:B""))),XLOOKUP($B603,IMPORTRANGE(""1NK5L1mviMn0j3D3uo53ASkIZOFRlLnqaCTnwzOG2_Wg"",""Direct li"&amp;"nks Without Sizes!D2:D""),IMPORTRANGE(""1NK5L1mviMn0j3D3uo53ASkIZOFRlLnqaCTnwzOG2_Wg"",""Direct links Without Sizes!E2:E""))),"""")"),"")</f>
        <v/>
      </c>
      <c r="H603" s="41"/>
      <c r="I603" s="4"/>
      <c r="J603" s="4"/>
      <c r="K603" s="10" t="str">
        <f t="shared" si="1"/>
        <v/>
      </c>
      <c r="L603" s="10"/>
      <c r="M603" s="10" t="str">
        <f t="shared" si="2"/>
        <v/>
      </c>
    </row>
    <row r="604">
      <c r="A604" s="4"/>
      <c r="B604" s="15"/>
      <c r="C604" s="7" t="str">
        <f>IFERROR(__xludf.DUMMYFUNCTION("iferror(iferror(INDEX(IMPORTRANGE(""12vtnxaE_Q1s4tyr10kZQx7ZF_xG0lBFae4jQEUtgsMU"",""All!B2:B""),MATCH($B604,IMPORTRANGE(""12vtnxaE_Q1s4tyr10kZQx7ZF_xG0lBFae4jQEUtgsMU"",""All!A2:A""),0)),INDEX(IMPORTRANGE(""13KC70HngS4DDi8y9E5khtSpQEPG6owaQ9z4E-tR5mnY"","&amp;"""Non-Food!B2:B""),MATCH($B604,IMPORTRANGE(""13KC70HngS4DDi8y9E5khtSpQEPG6owaQ9z4E-tR5mnY"",""Non-Food!A2:A""),0))),"""")"),"")</f>
        <v/>
      </c>
      <c r="D604" s="15"/>
      <c r="E604" s="15"/>
      <c r="F604" s="36"/>
      <c r="G604" s="24" t="str">
        <f>IFERROR(__xludf.DUMMYFUNCTION("iferror(iferror(iferror(index(IMPORTRANGE(""1NK5L1mviMn0j3D3uo53ASkIZOFRlLnqaCTnwzOG2_Wg"",""Direct Link!B2:B""),MATCH($B604,IMPORTRANGE(""1NK5L1mviMn0j3D3uo53ASkIZOFRlLnqaCTnwzOG2_Wg"",""Direct Link!A2:A""),0)),XLOOKUP($B604,IMPORTRANGE(""1NK5L1mviMn0j3D"&amp;"3uo53ASkIZOFRlLnqaCTnwzOG2_Wg"",""Direct links Without Sizes!A2:A""),IMPORTRANGE(""1NK5L1mviMn0j3D3uo53ASkIZOFRlLnqaCTnwzOG2_Wg"",""Direct links Without Sizes!B2:B""))),XLOOKUP($B604,IMPORTRANGE(""1NK5L1mviMn0j3D3uo53ASkIZOFRlLnqaCTnwzOG2_Wg"",""Direct li"&amp;"nks Without Sizes!D2:D""),IMPORTRANGE(""1NK5L1mviMn0j3D3uo53ASkIZOFRlLnqaCTnwzOG2_Wg"",""Direct links Without Sizes!E2:E""))),"""")"),"")</f>
        <v/>
      </c>
      <c r="H604" s="41"/>
      <c r="I604" s="4"/>
      <c r="J604" s="4"/>
      <c r="K604" s="10" t="str">
        <f t="shared" si="1"/>
        <v/>
      </c>
      <c r="L604" s="10"/>
      <c r="M604" s="10" t="str">
        <f t="shared" si="2"/>
        <v/>
      </c>
    </row>
    <row r="605">
      <c r="A605" s="4"/>
      <c r="B605" s="15"/>
      <c r="C605" s="7" t="str">
        <f>IFERROR(__xludf.DUMMYFUNCTION("iferror(iferror(INDEX(IMPORTRANGE(""12vtnxaE_Q1s4tyr10kZQx7ZF_xG0lBFae4jQEUtgsMU"",""All!B2:B""),MATCH($B605,IMPORTRANGE(""12vtnxaE_Q1s4tyr10kZQx7ZF_xG0lBFae4jQEUtgsMU"",""All!A2:A""),0)),INDEX(IMPORTRANGE(""13KC70HngS4DDi8y9E5khtSpQEPG6owaQ9z4E-tR5mnY"","&amp;"""Non-Food!B2:B""),MATCH($B605,IMPORTRANGE(""13KC70HngS4DDi8y9E5khtSpQEPG6owaQ9z4E-tR5mnY"",""Non-Food!A2:A""),0))),"""")"),"")</f>
        <v/>
      </c>
      <c r="D605" s="15"/>
      <c r="E605" s="15"/>
      <c r="F605" s="36"/>
      <c r="G605" s="24" t="str">
        <f>IFERROR(__xludf.DUMMYFUNCTION("iferror(iferror(iferror(index(IMPORTRANGE(""1NK5L1mviMn0j3D3uo53ASkIZOFRlLnqaCTnwzOG2_Wg"",""Direct Link!B2:B""),MATCH($B605,IMPORTRANGE(""1NK5L1mviMn0j3D3uo53ASkIZOFRlLnqaCTnwzOG2_Wg"",""Direct Link!A2:A""),0)),XLOOKUP($B605,IMPORTRANGE(""1NK5L1mviMn0j3D"&amp;"3uo53ASkIZOFRlLnqaCTnwzOG2_Wg"",""Direct links Without Sizes!A2:A""),IMPORTRANGE(""1NK5L1mviMn0j3D3uo53ASkIZOFRlLnqaCTnwzOG2_Wg"",""Direct links Without Sizes!B2:B""))),XLOOKUP($B605,IMPORTRANGE(""1NK5L1mviMn0j3D3uo53ASkIZOFRlLnqaCTnwzOG2_Wg"",""Direct li"&amp;"nks Without Sizes!D2:D""),IMPORTRANGE(""1NK5L1mviMn0j3D3uo53ASkIZOFRlLnqaCTnwzOG2_Wg"",""Direct links Without Sizes!E2:E""))),"""")"),"")</f>
        <v/>
      </c>
      <c r="H605" s="41"/>
      <c r="I605" s="4"/>
      <c r="J605" s="4"/>
      <c r="K605" s="10" t="str">
        <f t="shared" si="1"/>
        <v/>
      </c>
      <c r="L605" s="10"/>
      <c r="M605" s="10" t="str">
        <f t="shared" si="2"/>
        <v/>
      </c>
    </row>
    <row r="606">
      <c r="A606" s="4"/>
      <c r="B606" s="15"/>
      <c r="C606" s="7" t="str">
        <f>IFERROR(__xludf.DUMMYFUNCTION("iferror(iferror(INDEX(IMPORTRANGE(""12vtnxaE_Q1s4tyr10kZQx7ZF_xG0lBFae4jQEUtgsMU"",""All!B2:B""),MATCH($B606,IMPORTRANGE(""12vtnxaE_Q1s4tyr10kZQx7ZF_xG0lBFae4jQEUtgsMU"",""All!A2:A""),0)),INDEX(IMPORTRANGE(""13KC70HngS4DDi8y9E5khtSpQEPG6owaQ9z4E-tR5mnY"","&amp;"""Non-Food!B2:B""),MATCH($B606,IMPORTRANGE(""13KC70HngS4DDi8y9E5khtSpQEPG6owaQ9z4E-tR5mnY"",""Non-Food!A2:A""),0))),"""")"),"")</f>
        <v/>
      </c>
      <c r="D606" s="15"/>
      <c r="E606" s="15"/>
      <c r="F606" s="36"/>
      <c r="G606" s="24" t="str">
        <f>IFERROR(__xludf.DUMMYFUNCTION("iferror(iferror(iferror(index(IMPORTRANGE(""1NK5L1mviMn0j3D3uo53ASkIZOFRlLnqaCTnwzOG2_Wg"",""Direct Link!B2:B""),MATCH($B606,IMPORTRANGE(""1NK5L1mviMn0j3D3uo53ASkIZOFRlLnqaCTnwzOG2_Wg"",""Direct Link!A2:A""),0)),XLOOKUP($B606,IMPORTRANGE(""1NK5L1mviMn0j3D"&amp;"3uo53ASkIZOFRlLnqaCTnwzOG2_Wg"",""Direct links Without Sizes!A2:A""),IMPORTRANGE(""1NK5L1mviMn0j3D3uo53ASkIZOFRlLnqaCTnwzOG2_Wg"",""Direct links Without Sizes!B2:B""))),XLOOKUP($B606,IMPORTRANGE(""1NK5L1mviMn0j3D3uo53ASkIZOFRlLnqaCTnwzOG2_Wg"",""Direct li"&amp;"nks Without Sizes!D2:D""),IMPORTRANGE(""1NK5L1mviMn0j3D3uo53ASkIZOFRlLnqaCTnwzOG2_Wg"",""Direct links Without Sizes!E2:E""))),"""")"),"")</f>
        <v/>
      </c>
      <c r="H606" s="41"/>
      <c r="I606" s="4"/>
      <c r="J606" s="4"/>
      <c r="K606" s="10" t="str">
        <f t="shared" si="1"/>
        <v/>
      </c>
      <c r="L606" s="10"/>
      <c r="M606" s="10" t="str">
        <f t="shared" si="2"/>
        <v/>
      </c>
    </row>
    <row r="607">
      <c r="A607" s="4"/>
      <c r="B607" s="15"/>
      <c r="C607" s="7" t="str">
        <f>IFERROR(__xludf.DUMMYFUNCTION("iferror(iferror(INDEX(IMPORTRANGE(""12vtnxaE_Q1s4tyr10kZQx7ZF_xG0lBFae4jQEUtgsMU"",""All!B2:B""),MATCH($B607,IMPORTRANGE(""12vtnxaE_Q1s4tyr10kZQx7ZF_xG0lBFae4jQEUtgsMU"",""All!A2:A""),0)),INDEX(IMPORTRANGE(""13KC70HngS4DDi8y9E5khtSpQEPG6owaQ9z4E-tR5mnY"","&amp;"""Non-Food!B2:B""),MATCH($B607,IMPORTRANGE(""13KC70HngS4DDi8y9E5khtSpQEPG6owaQ9z4E-tR5mnY"",""Non-Food!A2:A""),0))),"""")"),"")</f>
        <v/>
      </c>
      <c r="D607" s="15"/>
      <c r="E607" s="15"/>
      <c r="F607" s="36"/>
      <c r="G607" s="24" t="str">
        <f>IFERROR(__xludf.DUMMYFUNCTION("iferror(iferror(iferror(index(IMPORTRANGE(""1NK5L1mviMn0j3D3uo53ASkIZOFRlLnqaCTnwzOG2_Wg"",""Direct Link!B2:B""),MATCH($B607,IMPORTRANGE(""1NK5L1mviMn0j3D3uo53ASkIZOFRlLnqaCTnwzOG2_Wg"",""Direct Link!A2:A""),0)),XLOOKUP($B607,IMPORTRANGE(""1NK5L1mviMn0j3D"&amp;"3uo53ASkIZOFRlLnqaCTnwzOG2_Wg"",""Direct links Without Sizes!A2:A""),IMPORTRANGE(""1NK5L1mviMn0j3D3uo53ASkIZOFRlLnqaCTnwzOG2_Wg"",""Direct links Without Sizes!B2:B""))),XLOOKUP($B607,IMPORTRANGE(""1NK5L1mviMn0j3D3uo53ASkIZOFRlLnqaCTnwzOG2_Wg"",""Direct li"&amp;"nks Without Sizes!D2:D""),IMPORTRANGE(""1NK5L1mviMn0j3D3uo53ASkIZOFRlLnqaCTnwzOG2_Wg"",""Direct links Without Sizes!E2:E""))),"""")"),"")</f>
        <v/>
      </c>
      <c r="H607" s="41"/>
      <c r="I607" s="4"/>
      <c r="J607" s="4"/>
      <c r="K607" s="10" t="str">
        <f t="shared" si="1"/>
        <v/>
      </c>
      <c r="L607" s="10"/>
      <c r="M607" s="10" t="str">
        <f t="shared" si="2"/>
        <v/>
      </c>
    </row>
    <row r="608">
      <c r="A608" s="4"/>
      <c r="B608" s="15"/>
      <c r="C608" s="7" t="str">
        <f>IFERROR(__xludf.DUMMYFUNCTION("iferror(iferror(INDEX(IMPORTRANGE(""12vtnxaE_Q1s4tyr10kZQx7ZF_xG0lBFae4jQEUtgsMU"",""All!B2:B""),MATCH($B608,IMPORTRANGE(""12vtnxaE_Q1s4tyr10kZQx7ZF_xG0lBFae4jQEUtgsMU"",""All!A2:A""),0)),INDEX(IMPORTRANGE(""13KC70HngS4DDi8y9E5khtSpQEPG6owaQ9z4E-tR5mnY"","&amp;"""Non-Food!B2:B""),MATCH($B608,IMPORTRANGE(""13KC70HngS4DDi8y9E5khtSpQEPG6owaQ9z4E-tR5mnY"",""Non-Food!A2:A""),0))),"""")"),"")</f>
        <v/>
      </c>
      <c r="D608" s="15"/>
      <c r="E608" s="15"/>
      <c r="F608" s="36"/>
      <c r="G608" s="24" t="str">
        <f>IFERROR(__xludf.DUMMYFUNCTION("iferror(iferror(iferror(index(IMPORTRANGE(""1NK5L1mviMn0j3D3uo53ASkIZOFRlLnqaCTnwzOG2_Wg"",""Direct Link!B2:B""),MATCH($B608,IMPORTRANGE(""1NK5L1mviMn0j3D3uo53ASkIZOFRlLnqaCTnwzOG2_Wg"",""Direct Link!A2:A""),0)),XLOOKUP($B608,IMPORTRANGE(""1NK5L1mviMn0j3D"&amp;"3uo53ASkIZOFRlLnqaCTnwzOG2_Wg"",""Direct links Without Sizes!A2:A""),IMPORTRANGE(""1NK5L1mviMn0j3D3uo53ASkIZOFRlLnqaCTnwzOG2_Wg"",""Direct links Without Sizes!B2:B""))),XLOOKUP($B608,IMPORTRANGE(""1NK5L1mviMn0j3D3uo53ASkIZOFRlLnqaCTnwzOG2_Wg"",""Direct li"&amp;"nks Without Sizes!D2:D""),IMPORTRANGE(""1NK5L1mviMn0j3D3uo53ASkIZOFRlLnqaCTnwzOG2_Wg"",""Direct links Without Sizes!E2:E""))),"""")"),"")</f>
        <v/>
      </c>
      <c r="H608" s="41"/>
      <c r="I608" s="4"/>
      <c r="J608" s="4"/>
      <c r="K608" s="10" t="str">
        <f t="shared" si="1"/>
        <v/>
      </c>
      <c r="L608" s="10"/>
      <c r="M608" s="10" t="str">
        <f t="shared" si="2"/>
        <v/>
      </c>
    </row>
    <row r="609">
      <c r="A609" s="4"/>
      <c r="B609" s="15"/>
      <c r="C609" s="7" t="str">
        <f>IFERROR(__xludf.DUMMYFUNCTION("iferror(iferror(INDEX(IMPORTRANGE(""12vtnxaE_Q1s4tyr10kZQx7ZF_xG0lBFae4jQEUtgsMU"",""All!B2:B""),MATCH($B609,IMPORTRANGE(""12vtnxaE_Q1s4tyr10kZQx7ZF_xG0lBFae4jQEUtgsMU"",""All!A2:A""),0)),INDEX(IMPORTRANGE(""13KC70HngS4DDi8y9E5khtSpQEPG6owaQ9z4E-tR5mnY"","&amp;"""Non-Food!B2:B""),MATCH($B609,IMPORTRANGE(""13KC70HngS4DDi8y9E5khtSpQEPG6owaQ9z4E-tR5mnY"",""Non-Food!A2:A""),0))),"""")"),"")</f>
        <v/>
      </c>
      <c r="D609" s="15"/>
      <c r="E609" s="15"/>
      <c r="F609" s="36"/>
      <c r="G609" s="24" t="str">
        <f>IFERROR(__xludf.DUMMYFUNCTION("iferror(iferror(iferror(index(IMPORTRANGE(""1NK5L1mviMn0j3D3uo53ASkIZOFRlLnqaCTnwzOG2_Wg"",""Direct Link!B2:B""),MATCH($B609,IMPORTRANGE(""1NK5L1mviMn0j3D3uo53ASkIZOFRlLnqaCTnwzOG2_Wg"",""Direct Link!A2:A""),0)),XLOOKUP($B609,IMPORTRANGE(""1NK5L1mviMn0j3D"&amp;"3uo53ASkIZOFRlLnqaCTnwzOG2_Wg"",""Direct links Without Sizes!A2:A""),IMPORTRANGE(""1NK5L1mviMn0j3D3uo53ASkIZOFRlLnqaCTnwzOG2_Wg"",""Direct links Without Sizes!B2:B""))),XLOOKUP($B609,IMPORTRANGE(""1NK5L1mviMn0j3D3uo53ASkIZOFRlLnqaCTnwzOG2_Wg"",""Direct li"&amp;"nks Without Sizes!D2:D""),IMPORTRANGE(""1NK5L1mviMn0j3D3uo53ASkIZOFRlLnqaCTnwzOG2_Wg"",""Direct links Without Sizes!E2:E""))),"""")"),"")</f>
        <v/>
      </c>
      <c r="H609" s="41"/>
      <c r="I609" s="4"/>
      <c r="J609" s="4"/>
      <c r="K609" s="10" t="str">
        <f t="shared" si="1"/>
        <v/>
      </c>
      <c r="L609" s="10"/>
      <c r="M609" s="10" t="str">
        <f t="shared" si="2"/>
        <v/>
      </c>
    </row>
    <row r="610">
      <c r="A610" s="4"/>
      <c r="B610" s="15"/>
      <c r="C610" s="7" t="str">
        <f>IFERROR(__xludf.DUMMYFUNCTION("iferror(iferror(INDEX(IMPORTRANGE(""12vtnxaE_Q1s4tyr10kZQx7ZF_xG0lBFae4jQEUtgsMU"",""All!B2:B""),MATCH($B610,IMPORTRANGE(""12vtnxaE_Q1s4tyr10kZQx7ZF_xG0lBFae4jQEUtgsMU"",""All!A2:A""),0)),INDEX(IMPORTRANGE(""13KC70HngS4DDi8y9E5khtSpQEPG6owaQ9z4E-tR5mnY"","&amp;"""Non-Food!B2:B""),MATCH($B610,IMPORTRANGE(""13KC70HngS4DDi8y9E5khtSpQEPG6owaQ9z4E-tR5mnY"",""Non-Food!A2:A""),0))),"""")"),"")</f>
        <v/>
      </c>
      <c r="D610" s="15"/>
      <c r="E610" s="15"/>
      <c r="F610" s="36"/>
      <c r="G610" s="24" t="str">
        <f>IFERROR(__xludf.DUMMYFUNCTION("iferror(iferror(iferror(index(IMPORTRANGE(""1NK5L1mviMn0j3D3uo53ASkIZOFRlLnqaCTnwzOG2_Wg"",""Direct Link!B2:B""),MATCH($B610,IMPORTRANGE(""1NK5L1mviMn0j3D3uo53ASkIZOFRlLnqaCTnwzOG2_Wg"",""Direct Link!A2:A""),0)),XLOOKUP($B610,IMPORTRANGE(""1NK5L1mviMn0j3D"&amp;"3uo53ASkIZOFRlLnqaCTnwzOG2_Wg"",""Direct links Without Sizes!A2:A""),IMPORTRANGE(""1NK5L1mviMn0j3D3uo53ASkIZOFRlLnqaCTnwzOG2_Wg"",""Direct links Without Sizes!B2:B""))),XLOOKUP($B610,IMPORTRANGE(""1NK5L1mviMn0j3D3uo53ASkIZOFRlLnqaCTnwzOG2_Wg"",""Direct li"&amp;"nks Without Sizes!D2:D""),IMPORTRANGE(""1NK5L1mviMn0j3D3uo53ASkIZOFRlLnqaCTnwzOG2_Wg"",""Direct links Without Sizes!E2:E""))),"""")"),"")</f>
        <v/>
      </c>
      <c r="H610" s="41"/>
      <c r="I610" s="4"/>
      <c r="J610" s="4"/>
      <c r="K610" s="10" t="str">
        <f t="shared" si="1"/>
        <v/>
      </c>
      <c r="L610" s="10"/>
      <c r="M610" s="10" t="str">
        <f t="shared" si="2"/>
        <v/>
      </c>
    </row>
    <row r="611">
      <c r="A611" s="4"/>
      <c r="B611" s="15"/>
      <c r="C611" s="7" t="str">
        <f>IFERROR(__xludf.DUMMYFUNCTION("iferror(iferror(INDEX(IMPORTRANGE(""12vtnxaE_Q1s4tyr10kZQx7ZF_xG0lBFae4jQEUtgsMU"",""All!B2:B""),MATCH($B611,IMPORTRANGE(""12vtnxaE_Q1s4tyr10kZQx7ZF_xG0lBFae4jQEUtgsMU"",""All!A2:A""),0)),INDEX(IMPORTRANGE(""13KC70HngS4DDi8y9E5khtSpQEPG6owaQ9z4E-tR5mnY"","&amp;"""Non-Food!B2:B""),MATCH($B611,IMPORTRANGE(""13KC70HngS4DDi8y9E5khtSpQEPG6owaQ9z4E-tR5mnY"",""Non-Food!A2:A""),0))),"""")"),"")</f>
        <v/>
      </c>
      <c r="D611" s="15"/>
      <c r="E611" s="15"/>
      <c r="F611" s="36"/>
      <c r="G611" s="24" t="str">
        <f>IFERROR(__xludf.DUMMYFUNCTION("iferror(iferror(iferror(index(IMPORTRANGE(""1NK5L1mviMn0j3D3uo53ASkIZOFRlLnqaCTnwzOG2_Wg"",""Direct Link!B2:B""),MATCH($B611,IMPORTRANGE(""1NK5L1mviMn0j3D3uo53ASkIZOFRlLnqaCTnwzOG2_Wg"",""Direct Link!A2:A""),0)),XLOOKUP($B611,IMPORTRANGE(""1NK5L1mviMn0j3D"&amp;"3uo53ASkIZOFRlLnqaCTnwzOG2_Wg"",""Direct links Without Sizes!A2:A""),IMPORTRANGE(""1NK5L1mviMn0j3D3uo53ASkIZOFRlLnqaCTnwzOG2_Wg"",""Direct links Without Sizes!B2:B""))),XLOOKUP($B611,IMPORTRANGE(""1NK5L1mviMn0j3D3uo53ASkIZOFRlLnqaCTnwzOG2_Wg"",""Direct li"&amp;"nks Without Sizes!D2:D""),IMPORTRANGE(""1NK5L1mviMn0j3D3uo53ASkIZOFRlLnqaCTnwzOG2_Wg"",""Direct links Without Sizes!E2:E""))),"""")"),"")</f>
        <v/>
      </c>
      <c r="H611" s="41"/>
      <c r="I611" s="4"/>
      <c r="J611" s="4"/>
      <c r="K611" s="10" t="str">
        <f t="shared" si="1"/>
        <v/>
      </c>
      <c r="L611" s="10"/>
      <c r="M611" s="10" t="str">
        <f t="shared" si="2"/>
        <v/>
      </c>
    </row>
    <row r="612">
      <c r="A612" s="4"/>
      <c r="B612" s="15"/>
      <c r="C612" s="7" t="str">
        <f>IFERROR(__xludf.DUMMYFUNCTION("iferror(iferror(INDEX(IMPORTRANGE(""12vtnxaE_Q1s4tyr10kZQx7ZF_xG0lBFae4jQEUtgsMU"",""All!B2:B""),MATCH($B612,IMPORTRANGE(""12vtnxaE_Q1s4tyr10kZQx7ZF_xG0lBFae4jQEUtgsMU"",""All!A2:A""),0)),INDEX(IMPORTRANGE(""13KC70HngS4DDi8y9E5khtSpQEPG6owaQ9z4E-tR5mnY"","&amp;"""Non-Food!B2:B""),MATCH($B612,IMPORTRANGE(""13KC70HngS4DDi8y9E5khtSpQEPG6owaQ9z4E-tR5mnY"",""Non-Food!A2:A""),0))),"""")"),"")</f>
        <v/>
      </c>
      <c r="D612" s="15"/>
      <c r="E612" s="15"/>
      <c r="F612" s="36"/>
      <c r="G612" s="24" t="str">
        <f>IFERROR(__xludf.DUMMYFUNCTION("iferror(iferror(iferror(index(IMPORTRANGE(""1NK5L1mviMn0j3D3uo53ASkIZOFRlLnqaCTnwzOG2_Wg"",""Direct Link!B2:B""),MATCH($B612,IMPORTRANGE(""1NK5L1mviMn0j3D3uo53ASkIZOFRlLnqaCTnwzOG2_Wg"",""Direct Link!A2:A""),0)),XLOOKUP($B612,IMPORTRANGE(""1NK5L1mviMn0j3D"&amp;"3uo53ASkIZOFRlLnqaCTnwzOG2_Wg"",""Direct links Without Sizes!A2:A""),IMPORTRANGE(""1NK5L1mviMn0j3D3uo53ASkIZOFRlLnqaCTnwzOG2_Wg"",""Direct links Without Sizes!B2:B""))),XLOOKUP($B612,IMPORTRANGE(""1NK5L1mviMn0j3D3uo53ASkIZOFRlLnqaCTnwzOG2_Wg"",""Direct li"&amp;"nks Without Sizes!D2:D""),IMPORTRANGE(""1NK5L1mviMn0j3D3uo53ASkIZOFRlLnqaCTnwzOG2_Wg"",""Direct links Without Sizes!E2:E""))),"""")"),"")</f>
        <v/>
      </c>
      <c r="H612" s="41"/>
      <c r="I612" s="4"/>
      <c r="J612" s="4"/>
      <c r="K612" s="10" t="str">
        <f t="shared" si="1"/>
        <v/>
      </c>
      <c r="L612" s="10"/>
      <c r="M612" s="10" t="str">
        <f t="shared" si="2"/>
        <v/>
      </c>
    </row>
    <row r="613">
      <c r="A613" s="4"/>
      <c r="B613" s="15"/>
      <c r="C613" s="7" t="str">
        <f>IFERROR(__xludf.DUMMYFUNCTION("iferror(iferror(INDEX(IMPORTRANGE(""12vtnxaE_Q1s4tyr10kZQx7ZF_xG0lBFae4jQEUtgsMU"",""All!B2:B""),MATCH($B613,IMPORTRANGE(""12vtnxaE_Q1s4tyr10kZQx7ZF_xG0lBFae4jQEUtgsMU"",""All!A2:A""),0)),INDEX(IMPORTRANGE(""13KC70HngS4DDi8y9E5khtSpQEPG6owaQ9z4E-tR5mnY"","&amp;"""Non-Food!B2:B""),MATCH($B613,IMPORTRANGE(""13KC70HngS4DDi8y9E5khtSpQEPG6owaQ9z4E-tR5mnY"",""Non-Food!A2:A""),0))),"""")"),"")</f>
        <v/>
      </c>
      <c r="D613" s="15"/>
      <c r="E613" s="15"/>
      <c r="F613" s="36"/>
      <c r="G613" s="24" t="str">
        <f>IFERROR(__xludf.DUMMYFUNCTION("iferror(iferror(iferror(index(IMPORTRANGE(""1NK5L1mviMn0j3D3uo53ASkIZOFRlLnqaCTnwzOG2_Wg"",""Direct Link!B2:B""),MATCH($B613,IMPORTRANGE(""1NK5L1mviMn0j3D3uo53ASkIZOFRlLnqaCTnwzOG2_Wg"",""Direct Link!A2:A""),0)),XLOOKUP($B613,IMPORTRANGE(""1NK5L1mviMn0j3D"&amp;"3uo53ASkIZOFRlLnqaCTnwzOG2_Wg"",""Direct links Without Sizes!A2:A""),IMPORTRANGE(""1NK5L1mviMn0j3D3uo53ASkIZOFRlLnqaCTnwzOG2_Wg"",""Direct links Without Sizes!B2:B""))),XLOOKUP($B613,IMPORTRANGE(""1NK5L1mviMn0j3D3uo53ASkIZOFRlLnqaCTnwzOG2_Wg"",""Direct li"&amp;"nks Without Sizes!D2:D""),IMPORTRANGE(""1NK5L1mviMn0j3D3uo53ASkIZOFRlLnqaCTnwzOG2_Wg"",""Direct links Without Sizes!E2:E""))),"""")"),"")</f>
        <v/>
      </c>
      <c r="H613" s="41"/>
      <c r="I613" s="4"/>
      <c r="J613" s="4"/>
      <c r="K613" s="10" t="str">
        <f t="shared" si="1"/>
        <v/>
      </c>
      <c r="L613" s="10"/>
      <c r="M613" s="10" t="str">
        <f t="shared" si="2"/>
        <v/>
      </c>
    </row>
    <row r="614">
      <c r="A614" s="4"/>
      <c r="B614" s="15"/>
      <c r="C614" s="7" t="str">
        <f>IFERROR(__xludf.DUMMYFUNCTION("iferror(iferror(INDEX(IMPORTRANGE(""12vtnxaE_Q1s4tyr10kZQx7ZF_xG0lBFae4jQEUtgsMU"",""All!B2:B""),MATCH($B614,IMPORTRANGE(""12vtnxaE_Q1s4tyr10kZQx7ZF_xG0lBFae4jQEUtgsMU"",""All!A2:A""),0)),INDEX(IMPORTRANGE(""13KC70HngS4DDi8y9E5khtSpQEPG6owaQ9z4E-tR5mnY"","&amp;"""Non-Food!B2:B""),MATCH($B614,IMPORTRANGE(""13KC70HngS4DDi8y9E5khtSpQEPG6owaQ9z4E-tR5mnY"",""Non-Food!A2:A""),0))),"""")"),"")</f>
        <v/>
      </c>
      <c r="D614" s="15"/>
      <c r="E614" s="15"/>
      <c r="F614" s="36"/>
      <c r="G614" s="24" t="str">
        <f>IFERROR(__xludf.DUMMYFUNCTION("iferror(iferror(iferror(index(IMPORTRANGE(""1NK5L1mviMn0j3D3uo53ASkIZOFRlLnqaCTnwzOG2_Wg"",""Direct Link!B2:B""),MATCH($B614,IMPORTRANGE(""1NK5L1mviMn0j3D3uo53ASkIZOFRlLnqaCTnwzOG2_Wg"",""Direct Link!A2:A""),0)),XLOOKUP($B614,IMPORTRANGE(""1NK5L1mviMn0j3D"&amp;"3uo53ASkIZOFRlLnqaCTnwzOG2_Wg"",""Direct links Without Sizes!A2:A""),IMPORTRANGE(""1NK5L1mviMn0j3D3uo53ASkIZOFRlLnqaCTnwzOG2_Wg"",""Direct links Without Sizes!B2:B""))),XLOOKUP($B614,IMPORTRANGE(""1NK5L1mviMn0j3D3uo53ASkIZOFRlLnqaCTnwzOG2_Wg"",""Direct li"&amp;"nks Without Sizes!D2:D""),IMPORTRANGE(""1NK5L1mviMn0j3D3uo53ASkIZOFRlLnqaCTnwzOG2_Wg"",""Direct links Without Sizes!E2:E""))),"""")"),"")</f>
        <v/>
      </c>
      <c r="H614" s="41"/>
      <c r="I614" s="4"/>
      <c r="J614" s="4"/>
      <c r="K614" s="10" t="str">
        <f t="shared" si="1"/>
        <v/>
      </c>
      <c r="L614" s="10"/>
      <c r="M614" s="10" t="str">
        <f t="shared" si="2"/>
        <v/>
      </c>
    </row>
    <row r="615">
      <c r="A615" s="4"/>
      <c r="B615" s="15"/>
      <c r="C615" s="7" t="str">
        <f>IFERROR(__xludf.DUMMYFUNCTION("iferror(iferror(INDEX(IMPORTRANGE(""12vtnxaE_Q1s4tyr10kZQx7ZF_xG0lBFae4jQEUtgsMU"",""All!B2:B""),MATCH($B615,IMPORTRANGE(""12vtnxaE_Q1s4tyr10kZQx7ZF_xG0lBFae4jQEUtgsMU"",""All!A2:A""),0)),INDEX(IMPORTRANGE(""13KC70HngS4DDi8y9E5khtSpQEPG6owaQ9z4E-tR5mnY"","&amp;"""Non-Food!B2:B""),MATCH($B615,IMPORTRANGE(""13KC70HngS4DDi8y9E5khtSpQEPG6owaQ9z4E-tR5mnY"",""Non-Food!A2:A""),0))),"""")"),"")</f>
        <v/>
      </c>
      <c r="D615" s="15"/>
      <c r="E615" s="15"/>
      <c r="F615" s="36"/>
      <c r="G615" s="24" t="str">
        <f>IFERROR(__xludf.DUMMYFUNCTION("iferror(iferror(iferror(index(IMPORTRANGE(""1NK5L1mviMn0j3D3uo53ASkIZOFRlLnqaCTnwzOG2_Wg"",""Direct Link!B2:B""),MATCH($B615,IMPORTRANGE(""1NK5L1mviMn0j3D3uo53ASkIZOFRlLnqaCTnwzOG2_Wg"",""Direct Link!A2:A""),0)),XLOOKUP($B615,IMPORTRANGE(""1NK5L1mviMn0j3D"&amp;"3uo53ASkIZOFRlLnqaCTnwzOG2_Wg"",""Direct links Without Sizes!A2:A""),IMPORTRANGE(""1NK5L1mviMn0j3D3uo53ASkIZOFRlLnqaCTnwzOG2_Wg"",""Direct links Without Sizes!B2:B""))),XLOOKUP($B615,IMPORTRANGE(""1NK5L1mviMn0j3D3uo53ASkIZOFRlLnqaCTnwzOG2_Wg"",""Direct li"&amp;"nks Without Sizes!D2:D""),IMPORTRANGE(""1NK5L1mviMn0j3D3uo53ASkIZOFRlLnqaCTnwzOG2_Wg"",""Direct links Without Sizes!E2:E""))),"""")"),"")</f>
        <v/>
      </c>
      <c r="H615" s="41"/>
      <c r="I615" s="4"/>
      <c r="J615" s="4"/>
      <c r="K615" s="10" t="str">
        <f t="shared" si="1"/>
        <v/>
      </c>
      <c r="L615" s="10"/>
      <c r="M615" s="10" t="str">
        <f t="shared" si="2"/>
        <v/>
      </c>
    </row>
    <row r="616">
      <c r="A616" s="4"/>
      <c r="B616" s="15"/>
      <c r="C616" s="7" t="str">
        <f>IFERROR(__xludf.DUMMYFUNCTION("iferror(iferror(INDEX(IMPORTRANGE(""12vtnxaE_Q1s4tyr10kZQx7ZF_xG0lBFae4jQEUtgsMU"",""All!B2:B""),MATCH($B616,IMPORTRANGE(""12vtnxaE_Q1s4tyr10kZQx7ZF_xG0lBFae4jQEUtgsMU"",""All!A2:A""),0)),INDEX(IMPORTRANGE(""13KC70HngS4DDi8y9E5khtSpQEPG6owaQ9z4E-tR5mnY"","&amp;"""Non-Food!B2:B""),MATCH($B616,IMPORTRANGE(""13KC70HngS4DDi8y9E5khtSpQEPG6owaQ9z4E-tR5mnY"",""Non-Food!A2:A""),0))),"""")"),"")</f>
        <v/>
      </c>
      <c r="D616" s="15"/>
      <c r="E616" s="15"/>
      <c r="F616" s="36"/>
      <c r="G616" s="24" t="str">
        <f>IFERROR(__xludf.DUMMYFUNCTION("iferror(iferror(iferror(index(IMPORTRANGE(""1NK5L1mviMn0j3D3uo53ASkIZOFRlLnqaCTnwzOG2_Wg"",""Direct Link!B2:B""),MATCH($B616,IMPORTRANGE(""1NK5L1mviMn0j3D3uo53ASkIZOFRlLnqaCTnwzOG2_Wg"",""Direct Link!A2:A""),0)),XLOOKUP($B616,IMPORTRANGE(""1NK5L1mviMn0j3D"&amp;"3uo53ASkIZOFRlLnqaCTnwzOG2_Wg"",""Direct links Without Sizes!A2:A""),IMPORTRANGE(""1NK5L1mviMn0j3D3uo53ASkIZOFRlLnqaCTnwzOG2_Wg"",""Direct links Without Sizes!B2:B""))),XLOOKUP($B616,IMPORTRANGE(""1NK5L1mviMn0j3D3uo53ASkIZOFRlLnqaCTnwzOG2_Wg"",""Direct li"&amp;"nks Without Sizes!D2:D""),IMPORTRANGE(""1NK5L1mviMn0j3D3uo53ASkIZOFRlLnqaCTnwzOG2_Wg"",""Direct links Without Sizes!E2:E""))),"""")"),"")</f>
        <v/>
      </c>
      <c r="H616" s="41"/>
      <c r="I616" s="4"/>
      <c r="J616" s="4"/>
      <c r="K616" s="10" t="str">
        <f t="shared" si="1"/>
        <v/>
      </c>
      <c r="L616" s="10"/>
      <c r="M616" s="10" t="str">
        <f t="shared" si="2"/>
        <v/>
      </c>
    </row>
    <row r="617">
      <c r="A617" s="4"/>
      <c r="B617" s="15"/>
      <c r="C617" s="7" t="str">
        <f>IFERROR(__xludf.DUMMYFUNCTION("iferror(iferror(INDEX(IMPORTRANGE(""12vtnxaE_Q1s4tyr10kZQx7ZF_xG0lBFae4jQEUtgsMU"",""All!B2:B""),MATCH($B617,IMPORTRANGE(""12vtnxaE_Q1s4tyr10kZQx7ZF_xG0lBFae4jQEUtgsMU"",""All!A2:A""),0)),INDEX(IMPORTRANGE(""13KC70HngS4DDi8y9E5khtSpQEPG6owaQ9z4E-tR5mnY"","&amp;"""Non-Food!B2:B""),MATCH($B617,IMPORTRANGE(""13KC70HngS4DDi8y9E5khtSpQEPG6owaQ9z4E-tR5mnY"",""Non-Food!A2:A""),0))),"""")"),"")</f>
        <v/>
      </c>
      <c r="D617" s="15"/>
      <c r="E617" s="15"/>
      <c r="F617" s="36"/>
      <c r="G617" s="24" t="str">
        <f>IFERROR(__xludf.DUMMYFUNCTION("iferror(iferror(iferror(index(IMPORTRANGE(""1NK5L1mviMn0j3D3uo53ASkIZOFRlLnqaCTnwzOG2_Wg"",""Direct Link!B2:B""),MATCH($B617,IMPORTRANGE(""1NK5L1mviMn0j3D3uo53ASkIZOFRlLnqaCTnwzOG2_Wg"",""Direct Link!A2:A""),0)),XLOOKUP($B617,IMPORTRANGE(""1NK5L1mviMn0j3D"&amp;"3uo53ASkIZOFRlLnqaCTnwzOG2_Wg"",""Direct links Without Sizes!A2:A""),IMPORTRANGE(""1NK5L1mviMn0j3D3uo53ASkIZOFRlLnqaCTnwzOG2_Wg"",""Direct links Without Sizes!B2:B""))),XLOOKUP($B617,IMPORTRANGE(""1NK5L1mviMn0j3D3uo53ASkIZOFRlLnqaCTnwzOG2_Wg"",""Direct li"&amp;"nks Without Sizes!D2:D""),IMPORTRANGE(""1NK5L1mviMn0j3D3uo53ASkIZOFRlLnqaCTnwzOG2_Wg"",""Direct links Without Sizes!E2:E""))),"""")"),"")</f>
        <v/>
      </c>
      <c r="H617" s="41"/>
      <c r="I617" s="4"/>
      <c r="J617" s="4"/>
      <c r="K617" s="10" t="str">
        <f t="shared" si="1"/>
        <v/>
      </c>
      <c r="L617" s="10"/>
      <c r="M617" s="10" t="str">
        <f t="shared" si="2"/>
        <v/>
      </c>
    </row>
    <row r="618">
      <c r="A618" s="4"/>
      <c r="B618" s="15"/>
      <c r="C618" s="7" t="str">
        <f>IFERROR(__xludf.DUMMYFUNCTION("iferror(iferror(INDEX(IMPORTRANGE(""12vtnxaE_Q1s4tyr10kZQx7ZF_xG0lBFae4jQEUtgsMU"",""All!B2:B""),MATCH($B618,IMPORTRANGE(""12vtnxaE_Q1s4tyr10kZQx7ZF_xG0lBFae4jQEUtgsMU"",""All!A2:A""),0)),INDEX(IMPORTRANGE(""13KC70HngS4DDi8y9E5khtSpQEPG6owaQ9z4E-tR5mnY"","&amp;"""Non-Food!B2:B""),MATCH($B618,IMPORTRANGE(""13KC70HngS4DDi8y9E5khtSpQEPG6owaQ9z4E-tR5mnY"",""Non-Food!A2:A""),0))),"""")"),"")</f>
        <v/>
      </c>
      <c r="D618" s="15"/>
      <c r="E618" s="15"/>
      <c r="F618" s="36"/>
      <c r="G618" s="24" t="str">
        <f>IFERROR(__xludf.DUMMYFUNCTION("iferror(iferror(iferror(index(IMPORTRANGE(""1NK5L1mviMn0j3D3uo53ASkIZOFRlLnqaCTnwzOG2_Wg"",""Direct Link!B2:B""),MATCH($B618,IMPORTRANGE(""1NK5L1mviMn0j3D3uo53ASkIZOFRlLnqaCTnwzOG2_Wg"",""Direct Link!A2:A""),0)),XLOOKUP($B618,IMPORTRANGE(""1NK5L1mviMn0j3D"&amp;"3uo53ASkIZOFRlLnqaCTnwzOG2_Wg"",""Direct links Without Sizes!A2:A""),IMPORTRANGE(""1NK5L1mviMn0j3D3uo53ASkIZOFRlLnqaCTnwzOG2_Wg"",""Direct links Without Sizes!B2:B""))),XLOOKUP($B618,IMPORTRANGE(""1NK5L1mviMn0j3D3uo53ASkIZOFRlLnqaCTnwzOG2_Wg"",""Direct li"&amp;"nks Without Sizes!D2:D""),IMPORTRANGE(""1NK5L1mviMn0j3D3uo53ASkIZOFRlLnqaCTnwzOG2_Wg"",""Direct links Without Sizes!E2:E""))),"""")"),"")</f>
        <v/>
      </c>
      <c r="H618" s="41"/>
      <c r="I618" s="4"/>
      <c r="J618" s="4"/>
      <c r="K618" s="10" t="str">
        <f t="shared" si="1"/>
        <v/>
      </c>
      <c r="L618" s="10"/>
      <c r="M618" s="10" t="str">
        <f t="shared" si="2"/>
        <v/>
      </c>
    </row>
    <row r="619">
      <c r="A619" s="4"/>
      <c r="B619" s="15"/>
      <c r="C619" s="7" t="str">
        <f>IFERROR(__xludf.DUMMYFUNCTION("iferror(iferror(INDEX(IMPORTRANGE(""12vtnxaE_Q1s4tyr10kZQx7ZF_xG0lBFae4jQEUtgsMU"",""All!B2:B""),MATCH($B619,IMPORTRANGE(""12vtnxaE_Q1s4tyr10kZQx7ZF_xG0lBFae4jQEUtgsMU"",""All!A2:A""),0)),INDEX(IMPORTRANGE(""13KC70HngS4DDi8y9E5khtSpQEPG6owaQ9z4E-tR5mnY"","&amp;"""Non-Food!B2:B""),MATCH($B619,IMPORTRANGE(""13KC70HngS4DDi8y9E5khtSpQEPG6owaQ9z4E-tR5mnY"",""Non-Food!A2:A""),0))),"""")"),"")</f>
        <v/>
      </c>
      <c r="D619" s="15"/>
      <c r="E619" s="15"/>
      <c r="F619" s="36"/>
      <c r="G619" s="24" t="str">
        <f>IFERROR(__xludf.DUMMYFUNCTION("iferror(iferror(iferror(index(IMPORTRANGE(""1NK5L1mviMn0j3D3uo53ASkIZOFRlLnqaCTnwzOG2_Wg"",""Direct Link!B2:B""),MATCH($B619,IMPORTRANGE(""1NK5L1mviMn0j3D3uo53ASkIZOFRlLnqaCTnwzOG2_Wg"",""Direct Link!A2:A""),0)),XLOOKUP($B619,IMPORTRANGE(""1NK5L1mviMn0j3D"&amp;"3uo53ASkIZOFRlLnqaCTnwzOG2_Wg"",""Direct links Without Sizes!A2:A""),IMPORTRANGE(""1NK5L1mviMn0j3D3uo53ASkIZOFRlLnqaCTnwzOG2_Wg"",""Direct links Without Sizes!B2:B""))),XLOOKUP($B619,IMPORTRANGE(""1NK5L1mviMn0j3D3uo53ASkIZOFRlLnqaCTnwzOG2_Wg"",""Direct li"&amp;"nks Without Sizes!D2:D""),IMPORTRANGE(""1NK5L1mviMn0j3D3uo53ASkIZOFRlLnqaCTnwzOG2_Wg"",""Direct links Without Sizes!E2:E""))),"""")"),"")</f>
        <v/>
      </c>
      <c r="H619" s="41"/>
      <c r="I619" s="4"/>
      <c r="J619" s="4"/>
      <c r="K619" s="10" t="str">
        <f t="shared" si="1"/>
        <v/>
      </c>
      <c r="L619" s="10"/>
      <c r="M619" s="10" t="str">
        <f t="shared" si="2"/>
        <v/>
      </c>
    </row>
    <row r="620">
      <c r="A620" s="4"/>
      <c r="B620" s="15"/>
      <c r="C620" s="7" t="str">
        <f>IFERROR(__xludf.DUMMYFUNCTION("iferror(iferror(INDEX(IMPORTRANGE(""12vtnxaE_Q1s4tyr10kZQx7ZF_xG0lBFae4jQEUtgsMU"",""All!B2:B""),MATCH($B620,IMPORTRANGE(""12vtnxaE_Q1s4tyr10kZQx7ZF_xG0lBFae4jQEUtgsMU"",""All!A2:A""),0)),INDEX(IMPORTRANGE(""13KC70HngS4DDi8y9E5khtSpQEPG6owaQ9z4E-tR5mnY"","&amp;"""Non-Food!B2:B""),MATCH($B620,IMPORTRANGE(""13KC70HngS4DDi8y9E5khtSpQEPG6owaQ9z4E-tR5mnY"",""Non-Food!A2:A""),0))),"""")"),"")</f>
        <v/>
      </c>
      <c r="D620" s="15"/>
      <c r="E620" s="15"/>
      <c r="F620" s="36"/>
      <c r="G620" s="24" t="str">
        <f>IFERROR(__xludf.DUMMYFUNCTION("iferror(iferror(iferror(index(IMPORTRANGE(""1NK5L1mviMn0j3D3uo53ASkIZOFRlLnqaCTnwzOG2_Wg"",""Direct Link!B2:B""),MATCH($B620,IMPORTRANGE(""1NK5L1mviMn0j3D3uo53ASkIZOFRlLnqaCTnwzOG2_Wg"",""Direct Link!A2:A""),0)),XLOOKUP($B620,IMPORTRANGE(""1NK5L1mviMn0j3D"&amp;"3uo53ASkIZOFRlLnqaCTnwzOG2_Wg"",""Direct links Without Sizes!A2:A""),IMPORTRANGE(""1NK5L1mviMn0j3D3uo53ASkIZOFRlLnqaCTnwzOG2_Wg"",""Direct links Without Sizes!B2:B""))),XLOOKUP($B620,IMPORTRANGE(""1NK5L1mviMn0j3D3uo53ASkIZOFRlLnqaCTnwzOG2_Wg"",""Direct li"&amp;"nks Without Sizes!D2:D""),IMPORTRANGE(""1NK5L1mviMn0j3D3uo53ASkIZOFRlLnqaCTnwzOG2_Wg"",""Direct links Without Sizes!E2:E""))),"""")"),"")</f>
        <v/>
      </c>
      <c r="H620" s="41"/>
      <c r="I620" s="4"/>
      <c r="J620" s="4"/>
      <c r="K620" s="10" t="str">
        <f t="shared" si="1"/>
        <v/>
      </c>
      <c r="L620" s="10"/>
      <c r="M620" s="10" t="str">
        <f t="shared" si="2"/>
        <v/>
      </c>
    </row>
    <row r="621">
      <c r="A621" s="4"/>
      <c r="B621" s="15"/>
      <c r="C621" s="7" t="str">
        <f>IFERROR(__xludf.DUMMYFUNCTION("iferror(iferror(INDEX(IMPORTRANGE(""12vtnxaE_Q1s4tyr10kZQx7ZF_xG0lBFae4jQEUtgsMU"",""All!B2:B""),MATCH($B621,IMPORTRANGE(""12vtnxaE_Q1s4tyr10kZQx7ZF_xG0lBFae4jQEUtgsMU"",""All!A2:A""),0)),INDEX(IMPORTRANGE(""13KC70HngS4DDi8y9E5khtSpQEPG6owaQ9z4E-tR5mnY"","&amp;"""Non-Food!B2:B""),MATCH($B621,IMPORTRANGE(""13KC70HngS4DDi8y9E5khtSpQEPG6owaQ9z4E-tR5mnY"",""Non-Food!A2:A""),0))),"""")"),"")</f>
        <v/>
      </c>
      <c r="D621" s="15"/>
      <c r="E621" s="15"/>
      <c r="F621" s="36"/>
      <c r="G621" s="24" t="str">
        <f>IFERROR(__xludf.DUMMYFUNCTION("iferror(iferror(iferror(index(IMPORTRANGE(""1NK5L1mviMn0j3D3uo53ASkIZOFRlLnqaCTnwzOG2_Wg"",""Direct Link!B2:B""),MATCH($B621,IMPORTRANGE(""1NK5L1mviMn0j3D3uo53ASkIZOFRlLnqaCTnwzOG2_Wg"",""Direct Link!A2:A""),0)),XLOOKUP($B621,IMPORTRANGE(""1NK5L1mviMn0j3D"&amp;"3uo53ASkIZOFRlLnqaCTnwzOG2_Wg"",""Direct links Without Sizes!A2:A""),IMPORTRANGE(""1NK5L1mviMn0j3D3uo53ASkIZOFRlLnqaCTnwzOG2_Wg"",""Direct links Without Sizes!B2:B""))),XLOOKUP($B621,IMPORTRANGE(""1NK5L1mviMn0j3D3uo53ASkIZOFRlLnqaCTnwzOG2_Wg"",""Direct li"&amp;"nks Without Sizes!D2:D""),IMPORTRANGE(""1NK5L1mviMn0j3D3uo53ASkIZOFRlLnqaCTnwzOG2_Wg"",""Direct links Without Sizes!E2:E""))),"""")"),"")</f>
        <v/>
      </c>
      <c r="H621" s="41"/>
      <c r="I621" s="4"/>
      <c r="J621" s="4"/>
      <c r="K621" s="10" t="str">
        <f t="shared" si="1"/>
        <v/>
      </c>
      <c r="L621" s="10"/>
      <c r="M621" s="10" t="str">
        <f t="shared" si="2"/>
        <v/>
      </c>
    </row>
    <row r="622">
      <c r="A622" s="4"/>
      <c r="B622" s="15"/>
      <c r="C622" s="7" t="str">
        <f>IFERROR(__xludf.DUMMYFUNCTION("iferror(iferror(INDEX(IMPORTRANGE(""12vtnxaE_Q1s4tyr10kZQx7ZF_xG0lBFae4jQEUtgsMU"",""All!B2:B""),MATCH($B622,IMPORTRANGE(""12vtnxaE_Q1s4tyr10kZQx7ZF_xG0lBFae4jQEUtgsMU"",""All!A2:A""),0)),INDEX(IMPORTRANGE(""13KC70HngS4DDi8y9E5khtSpQEPG6owaQ9z4E-tR5mnY"","&amp;"""Non-Food!B2:B""),MATCH($B622,IMPORTRANGE(""13KC70HngS4DDi8y9E5khtSpQEPG6owaQ9z4E-tR5mnY"",""Non-Food!A2:A""),0))),"""")"),"")</f>
        <v/>
      </c>
      <c r="D622" s="15"/>
      <c r="E622" s="15"/>
      <c r="F622" s="36"/>
      <c r="G622" s="24" t="str">
        <f>IFERROR(__xludf.DUMMYFUNCTION("iferror(iferror(iferror(index(IMPORTRANGE(""1NK5L1mviMn0j3D3uo53ASkIZOFRlLnqaCTnwzOG2_Wg"",""Direct Link!B2:B""),MATCH($B622,IMPORTRANGE(""1NK5L1mviMn0j3D3uo53ASkIZOFRlLnqaCTnwzOG2_Wg"",""Direct Link!A2:A""),0)),XLOOKUP($B622,IMPORTRANGE(""1NK5L1mviMn0j3D"&amp;"3uo53ASkIZOFRlLnqaCTnwzOG2_Wg"",""Direct links Without Sizes!A2:A""),IMPORTRANGE(""1NK5L1mviMn0j3D3uo53ASkIZOFRlLnqaCTnwzOG2_Wg"",""Direct links Without Sizes!B2:B""))),XLOOKUP($B622,IMPORTRANGE(""1NK5L1mviMn0j3D3uo53ASkIZOFRlLnqaCTnwzOG2_Wg"",""Direct li"&amp;"nks Without Sizes!D2:D""),IMPORTRANGE(""1NK5L1mviMn0j3D3uo53ASkIZOFRlLnqaCTnwzOG2_Wg"",""Direct links Without Sizes!E2:E""))),"""")"),"")</f>
        <v/>
      </c>
      <c r="H622" s="41"/>
      <c r="I622" s="4"/>
      <c r="J622" s="4"/>
      <c r="K622" s="10" t="str">
        <f t="shared" si="1"/>
        <v/>
      </c>
      <c r="L622" s="10"/>
      <c r="M622" s="10" t="str">
        <f t="shared" si="2"/>
        <v/>
      </c>
    </row>
    <row r="623">
      <c r="A623" s="4"/>
      <c r="B623" s="15"/>
      <c r="C623" s="7" t="str">
        <f>IFERROR(__xludf.DUMMYFUNCTION("iferror(iferror(INDEX(IMPORTRANGE(""12vtnxaE_Q1s4tyr10kZQx7ZF_xG0lBFae4jQEUtgsMU"",""All!B2:B""),MATCH($B623,IMPORTRANGE(""12vtnxaE_Q1s4tyr10kZQx7ZF_xG0lBFae4jQEUtgsMU"",""All!A2:A""),0)),INDEX(IMPORTRANGE(""13KC70HngS4DDi8y9E5khtSpQEPG6owaQ9z4E-tR5mnY"","&amp;"""Non-Food!B2:B""),MATCH($B623,IMPORTRANGE(""13KC70HngS4DDi8y9E5khtSpQEPG6owaQ9z4E-tR5mnY"",""Non-Food!A2:A""),0))),"""")"),"")</f>
        <v/>
      </c>
      <c r="D623" s="15"/>
      <c r="E623" s="15"/>
      <c r="F623" s="36"/>
      <c r="G623" s="24" t="str">
        <f>IFERROR(__xludf.DUMMYFUNCTION("iferror(iferror(iferror(index(IMPORTRANGE(""1NK5L1mviMn0j3D3uo53ASkIZOFRlLnqaCTnwzOG2_Wg"",""Direct Link!B2:B""),MATCH($B623,IMPORTRANGE(""1NK5L1mviMn0j3D3uo53ASkIZOFRlLnqaCTnwzOG2_Wg"",""Direct Link!A2:A""),0)),XLOOKUP($B623,IMPORTRANGE(""1NK5L1mviMn0j3D"&amp;"3uo53ASkIZOFRlLnqaCTnwzOG2_Wg"",""Direct links Without Sizes!A2:A""),IMPORTRANGE(""1NK5L1mviMn0j3D3uo53ASkIZOFRlLnqaCTnwzOG2_Wg"",""Direct links Without Sizes!B2:B""))),XLOOKUP($B623,IMPORTRANGE(""1NK5L1mviMn0j3D3uo53ASkIZOFRlLnqaCTnwzOG2_Wg"",""Direct li"&amp;"nks Without Sizes!D2:D""),IMPORTRANGE(""1NK5L1mviMn0j3D3uo53ASkIZOFRlLnqaCTnwzOG2_Wg"",""Direct links Without Sizes!E2:E""))),"""")"),"")</f>
        <v/>
      </c>
      <c r="H623" s="41"/>
      <c r="I623" s="4"/>
      <c r="J623" s="4"/>
      <c r="K623" s="10" t="str">
        <f t="shared" si="1"/>
        <v/>
      </c>
      <c r="L623" s="10"/>
      <c r="M623" s="10" t="str">
        <f t="shared" si="2"/>
        <v/>
      </c>
    </row>
    <row r="624">
      <c r="A624" s="4"/>
      <c r="B624" s="15"/>
      <c r="C624" s="7" t="str">
        <f>IFERROR(__xludf.DUMMYFUNCTION("iferror(iferror(INDEX(IMPORTRANGE(""12vtnxaE_Q1s4tyr10kZQx7ZF_xG0lBFae4jQEUtgsMU"",""All!B2:B""),MATCH($B624,IMPORTRANGE(""12vtnxaE_Q1s4tyr10kZQx7ZF_xG0lBFae4jQEUtgsMU"",""All!A2:A""),0)),INDEX(IMPORTRANGE(""13KC70HngS4DDi8y9E5khtSpQEPG6owaQ9z4E-tR5mnY"","&amp;"""Non-Food!B2:B""),MATCH($B624,IMPORTRANGE(""13KC70HngS4DDi8y9E5khtSpQEPG6owaQ9z4E-tR5mnY"",""Non-Food!A2:A""),0))),"""")"),"")</f>
        <v/>
      </c>
      <c r="D624" s="15"/>
      <c r="E624" s="15"/>
      <c r="F624" s="36"/>
      <c r="G624" s="24" t="str">
        <f>IFERROR(__xludf.DUMMYFUNCTION("iferror(iferror(iferror(index(IMPORTRANGE(""1NK5L1mviMn0j3D3uo53ASkIZOFRlLnqaCTnwzOG2_Wg"",""Direct Link!B2:B""),MATCH($B624,IMPORTRANGE(""1NK5L1mviMn0j3D3uo53ASkIZOFRlLnqaCTnwzOG2_Wg"",""Direct Link!A2:A""),0)),XLOOKUP($B624,IMPORTRANGE(""1NK5L1mviMn0j3D"&amp;"3uo53ASkIZOFRlLnqaCTnwzOG2_Wg"",""Direct links Without Sizes!A2:A""),IMPORTRANGE(""1NK5L1mviMn0j3D3uo53ASkIZOFRlLnqaCTnwzOG2_Wg"",""Direct links Without Sizes!B2:B""))),XLOOKUP($B624,IMPORTRANGE(""1NK5L1mviMn0j3D3uo53ASkIZOFRlLnqaCTnwzOG2_Wg"",""Direct li"&amp;"nks Without Sizes!D2:D""),IMPORTRANGE(""1NK5L1mviMn0j3D3uo53ASkIZOFRlLnqaCTnwzOG2_Wg"",""Direct links Without Sizes!E2:E""))),"""")"),"")</f>
        <v/>
      </c>
      <c r="H624" s="41"/>
      <c r="I624" s="4"/>
      <c r="J624" s="4"/>
      <c r="K624" s="10" t="str">
        <f t="shared" si="1"/>
        <v/>
      </c>
      <c r="L624" s="10"/>
      <c r="M624" s="10" t="str">
        <f t="shared" si="2"/>
        <v/>
      </c>
    </row>
    <row r="625">
      <c r="A625" s="4"/>
      <c r="B625" s="15"/>
      <c r="C625" s="7" t="str">
        <f>IFERROR(__xludf.DUMMYFUNCTION("iferror(iferror(INDEX(IMPORTRANGE(""12vtnxaE_Q1s4tyr10kZQx7ZF_xG0lBFae4jQEUtgsMU"",""All!B2:B""),MATCH($B625,IMPORTRANGE(""12vtnxaE_Q1s4tyr10kZQx7ZF_xG0lBFae4jQEUtgsMU"",""All!A2:A""),0)),INDEX(IMPORTRANGE(""13KC70HngS4DDi8y9E5khtSpQEPG6owaQ9z4E-tR5mnY"","&amp;"""Non-Food!B2:B""),MATCH($B625,IMPORTRANGE(""13KC70HngS4DDi8y9E5khtSpQEPG6owaQ9z4E-tR5mnY"",""Non-Food!A2:A""),0))),"""")"),"")</f>
        <v/>
      </c>
      <c r="D625" s="15"/>
      <c r="E625" s="15"/>
      <c r="F625" s="36"/>
      <c r="G625" s="24" t="str">
        <f>IFERROR(__xludf.DUMMYFUNCTION("iferror(iferror(iferror(index(IMPORTRANGE(""1NK5L1mviMn0j3D3uo53ASkIZOFRlLnqaCTnwzOG2_Wg"",""Direct Link!B2:B""),MATCH($B625,IMPORTRANGE(""1NK5L1mviMn0j3D3uo53ASkIZOFRlLnqaCTnwzOG2_Wg"",""Direct Link!A2:A""),0)),XLOOKUP($B625,IMPORTRANGE(""1NK5L1mviMn0j3D"&amp;"3uo53ASkIZOFRlLnqaCTnwzOG2_Wg"",""Direct links Without Sizes!A2:A""),IMPORTRANGE(""1NK5L1mviMn0j3D3uo53ASkIZOFRlLnqaCTnwzOG2_Wg"",""Direct links Without Sizes!B2:B""))),XLOOKUP($B625,IMPORTRANGE(""1NK5L1mviMn0j3D3uo53ASkIZOFRlLnqaCTnwzOG2_Wg"",""Direct li"&amp;"nks Without Sizes!D2:D""),IMPORTRANGE(""1NK5L1mviMn0j3D3uo53ASkIZOFRlLnqaCTnwzOG2_Wg"",""Direct links Without Sizes!E2:E""))),"""")"),"")</f>
        <v/>
      </c>
      <c r="H625" s="41"/>
      <c r="I625" s="4"/>
      <c r="J625" s="4"/>
      <c r="K625" s="10" t="str">
        <f t="shared" si="1"/>
        <v/>
      </c>
      <c r="L625" s="10"/>
      <c r="M625" s="10" t="str">
        <f t="shared" si="2"/>
        <v/>
      </c>
    </row>
    <row r="626">
      <c r="A626" s="4"/>
      <c r="B626" s="15"/>
      <c r="C626" s="7" t="str">
        <f>IFERROR(__xludf.DUMMYFUNCTION("iferror(iferror(INDEX(IMPORTRANGE(""12vtnxaE_Q1s4tyr10kZQx7ZF_xG0lBFae4jQEUtgsMU"",""All!B2:B""),MATCH($B626,IMPORTRANGE(""12vtnxaE_Q1s4tyr10kZQx7ZF_xG0lBFae4jQEUtgsMU"",""All!A2:A""),0)),INDEX(IMPORTRANGE(""13KC70HngS4DDi8y9E5khtSpQEPG6owaQ9z4E-tR5mnY"","&amp;"""Non-Food!B2:B""),MATCH($B626,IMPORTRANGE(""13KC70HngS4DDi8y9E5khtSpQEPG6owaQ9z4E-tR5mnY"",""Non-Food!A2:A""),0))),"""")"),"")</f>
        <v/>
      </c>
      <c r="D626" s="15"/>
      <c r="E626" s="15"/>
      <c r="F626" s="36"/>
      <c r="G626" s="24" t="str">
        <f>IFERROR(__xludf.DUMMYFUNCTION("iferror(iferror(iferror(index(IMPORTRANGE(""1NK5L1mviMn0j3D3uo53ASkIZOFRlLnqaCTnwzOG2_Wg"",""Direct Link!B2:B""),MATCH($B626,IMPORTRANGE(""1NK5L1mviMn0j3D3uo53ASkIZOFRlLnqaCTnwzOG2_Wg"",""Direct Link!A2:A""),0)),XLOOKUP($B626,IMPORTRANGE(""1NK5L1mviMn0j3D"&amp;"3uo53ASkIZOFRlLnqaCTnwzOG2_Wg"",""Direct links Without Sizes!A2:A""),IMPORTRANGE(""1NK5L1mviMn0j3D3uo53ASkIZOFRlLnqaCTnwzOG2_Wg"",""Direct links Without Sizes!B2:B""))),XLOOKUP($B626,IMPORTRANGE(""1NK5L1mviMn0j3D3uo53ASkIZOFRlLnqaCTnwzOG2_Wg"",""Direct li"&amp;"nks Without Sizes!D2:D""),IMPORTRANGE(""1NK5L1mviMn0j3D3uo53ASkIZOFRlLnqaCTnwzOG2_Wg"",""Direct links Without Sizes!E2:E""))),"""")"),"")</f>
        <v/>
      </c>
      <c r="H626" s="41"/>
      <c r="I626" s="4"/>
      <c r="J626" s="4"/>
      <c r="K626" s="10" t="str">
        <f t="shared" si="1"/>
        <v/>
      </c>
      <c r="L626" s="10"/>
      <c r="M626" s="10" t="str">
        <f t="shared" si="2"/>
        <v/>
      </c>
    </row>
    <row r="627">
      <c r="A627" s="4"/>
      <c r="B627" s="15"/>
      <c r="C627" s="7" t="str">
        <f>IFERROR(__xludf.DUMMYFUNCTION("iferror(iferror(INDEX(IMPORTRANGE(""12vtnxaE_Q1s4tyr10kZQx7ZF_xG0lBFae4jQEUtgsMU"",""All!B2:B""),MATCH($B627,IMPORTRANGE(""12vtnxaE_Q1s4tyr10kZQx7ZF_xG0lBFae4jQEUtgsMU"",""All!A2:A""),0)),INDEX(IMPORTRANGE(""13KC70HngS4DDi8y9E5khtSpQEPG6owaQ9z4E-tR5mnY"","&amp;"""Non-Food!B2:B""),MATCH($B627,IMPORTRANGE(""13KC70HngS4DDi8y9E5khtSpQEPG6owaQ9z4E-tR5mnY"",""Non-Food!A2:A""),0))),"""")"),"")</f>
        <v/>
      </c>
      <c r="D627" s="15"/>
      <c r="E627" s="15"/>
      <c r="F627" s="36"/>
      <c r="G627" s="24" t="str">
        <f>IFERROR(__xludf.DUMMYFUNCTION("iferror(iferror(iferror(index(IMPORTRANGE(""1NK5L1mviMn0j3D3uo53ASkIZOFRlLnqaCTnwzOG2_Wg"",""Direct Link!B2:B""),MATCH($B627,IMPORTRANGE(""1NK5L1mviMn0j3D3uo53ASkIZOFRlLnqaCTnwzOG2_Wg"",""Direct Link!A2:A""),0)),XLOOKUP($B627,IMPORTRANGE(""1NK5L1mviMn0j3D"&amp;"3uo53ASkIZOFRlLnqaCTnwzOG2_Wg"",""Direct links Without Sizes!A2:A""),IMPORTRANGE(""1NK5L1mviMn0j3D3uo53ASkIZOFRlLnqaCTnwzOG2_Wg"",""Direct links Without Sizes!B2:B""))),XLOOKUP($B627,IMPORTRANGE(""1NK5L1mviMn0j3D3uo53ASkIZOFRlLnqaCTnwzOG2_Wg"",""Direct li"&amp;"nks Without Sizes!D2:D""),IMPORTRANGE(""1NK5L1mviMn0j3D3uo53ASkIZOFRlLnqaCTnwzOG2_Wg"",""Direct links Without Sizes!E2:E""))),"""")"),"")</f>
        <v/>
      </c>
      <c r="H627" s="41"/>
      <c r="I627" s="4"/>
      <c r="J627" s="4"/>
      <c r="K627" s="10" t="str">
        <f t="shared" si="1"/>
        <v/>
      </c>
      <c r="L627" s="10"/>
      <c r="M627" s="10" t="str">
        <f t="shared" si="2"/>
        <v/>
      </c>
    </row>
    <row r="628">
      <c r="A628" s="4"/>
      <c r="B628" s="15"/>
      <c r="C628" s="7" t="str">
        <f>IFERROR(__xludf.DUMMYFUNCTION("iferror(iferror(INDEX(IMPORTRANGE(""12vtnxaE_Q1s4tyr10kZQx7ZF_xG0lBFae4jQEUtgsMU"",""All!B2:B""),MATCH($B628,IMPORTRANGE(""12vtnxaE_Q1s4tyr10kZQx7ZF_xG0lBFae4jQEUtgsMU"",""All!A2:A""),0)),INDEX(IMPORTRANGE(""13KC70HngS4DDi8y9E5khtSpQEPG6owaQ9z4E-tR5mnY"","&amp;"""Non-Food!B2:B""),MATCH($B628,IMPORTRANGE(""13KC70HngS4DDi8y9E5khtSpQEPG6owaQ9z4E-tR5mnY"",""Non-Food!A2:A""),0))),"""")"),"")</f>
        <v/>
      </c>
      <c r="D628" s="15"/>
      <c r="E628" s="15"/>
      <c r="F628" s="36"/>
      <c r="G628" s="24" t="str">
        <f>IFERROR(__xludf.DUMMYFUNCTION("iferror(iferror(iferror(index(IMPORTRANGE(""1NK5L1mviMn0j3D3uo53ASkIZOFRlLnqaCTnwzOG2_Wg"",""Direct Link!B2:B""),MATCH($B628,IMPORTRANGE(""1NK5L1mviMn0j3D3uo53ASkIZOFRlLnqaCTnwzOG2_Wg"",""Direct Link!A2:A""),0)),XLOOKUP($B628,IMPORTRANGE(""1NK5L1mviMn0j3D"&amp;"3uo53ASkIZOFRlLnqaCTnwzOG2_Wg"",""Direct links Without Sizes!A2:A""),IMPORTRANGE(""1NK5L1mviMn0j3D3uo53ASkIZOFRlLnqaCTnwzOG2_Wg"",""Direct links Without Sizes!B2:B""))),XLOOKUP($B628,IMPORTRANGE(""1NK5L1mviMn0j3D3uo53ASkIZOFRlLnqaCTnwzOG2_Wg"",""Direct li"&amp;"nks Without Sizes!D2:D""),IMPORTRANGE(""1NK5L1mviMn0j3D3uo53ASkIZOFRlLnqaCTnwzOG2_Wg"",""Direct links Without Sizes!E2:E""))),"""")"),"")</f>
        <v/>
      </c>
      <c r="H628" s="41"/>
      <c r="I628" s="4"/>
      <c r="J628" s="4"/>
      <c r="K628" s="10" t="str">
        <f t="shared" si="1"/>
        <v/>
      </c>
      <c r="L628" s="10"/>
      <c r="M628" s="10" t="str">
        <f t="shared" si="2"/>
        <v/>
      </c>
    </row>
    <row r="629">
      <c r="A629" s="4"/>
      <c r="B629" s="15"/>
      <c r="C629" s="7" t="str">
        <f>IFERROR(__xludf.DUMMYFUNCTION("iferror(iferror(INDEX(IMPORTRANGE(""12vtnxaE_Q1s4tyr10kZQx7ZF_xG0lBFae4jQEUtgsMU"",""All!B2:B""),MATCH($B629,IMPORTRANGE(""12vtnxaE_Q1s4tyr10kZQx7ZF_xG0lBFae4jQEUtgsMU"",""All!A2:A""),0)),INDEX(IMPORTRANGE(""13KC70HngS4DDi8y9E5khtSpQEPG6owaQ9z4E-tR5mnY"","&amp;"""Non-Food!B2:B""),MATCH($B629,IMPORTRANGE(""13KC70HngS4DDi8y9E5khtSpQEPG6owaQ9z4E-tR5mnY"",""Non-Food!A2:A""),0))),"""")"),"")</f>
        <v/>
      </c>
      <c r="D629" s="15"/>
      <c r="E629" s="15"/>
      <c r="F629" s="36"/>
      <c r="G629" s="24" t="str">
        <f>IFERROR(__xludf.DUMMYFUNCTION("iferror(iferror(iferror(index(IMPORTRANGE(""1NK5L1mviMn0j3D3uo53ASkIZOFRlLnqaCTnwzOG2_Wg"",""Direct Link!B2:B""),MATCH($B629,IMPORTRANGE(""1NK5L1mviMn0j3D3uo53ASkIZOFRlLnqaCTnwzOG2_Wg"",""Direct Link!A2:A""),0)),XLOOKUP($B629,IMPORTRANGE(""1NK5L1mviMn0j3D"&amp;"3uo53ASkIZOFRlLnqaCTnwzOG2_Wg"",""Direct links Without Sizes!A2:A""),IMPORTRANGE(""1NK5L1mviMn0j3D3uo53ASkIZOFRlLnqaCTnwzOG2_Wg"",""Direct links Without Sizes!B2:B""))),XLOOKUP($B629,IMPORTRANGE(""1NK5L1mviMn0j3D3uo53ASkIZOFRlLnqaCTnwzOG2_Wg"",""Direct li"&amp;"nks Without Sizes!D2:D""),IMPORTRANGE(""1NK5L1mviMn0j3D3uo53ASkIZOFRlLnqaCTnwzOG2_Wg"",""Direct links Without Sizes!E2:E""))),"""")"),"")</f>
        <v/>
      </c>
      <c r="H629" s="41"/>
      <c r="I629" s="4"/>
      <c r="J629" s="4"/>
      <c r="K629" s="10" t="str">
        <f t="shared" si="1"/>
        <v/>
      </c>
      <c r="L629" s="10"/>
      <c r="M629" s="10" t="str">
        <f t="shared" si="2"/>
        <v/>
      </c>
    </row>
    <row r="630">
      <c r="A630" s="4"/>
      <c r="B630" s="15"/>
      <c r="C630" s="7" t="str">
        <f>IFERROR(__xludf.DUMMYFUNCTION("iferror(iferror(INDEX(IMPORTRANGE(""12vtnxaE_Q1s4tyr10kZQx7ZF_xG0lBFae4jQEUtgsMU"",""All!B2:B""),MATCH($B630,IMPORTRANGE(""12vtnxaE_Q1s4tyr10kZQx7ZF_xG0lBFae4jQEUtgsMU"",""All!A2:A""),0)),INDEX(IMPORTRANGE(""13KC70HngS4DDi8y9E5khtSpQEPG6owaQ9z4E-tR5mnY"","&amp;"""Non-Food!B2:B""),MATCH($B630,IMPORTRANGE(""13KC70HngS4DDi8y9E5khtSpQEPG6owaQ9z4E-tR5mnY"",""Non-Food!A2:A""),0))),"""")"),"")</f>
        <v/>
      </c>
      <c r="D630" s="15"/>
      <c r="E630" s="15"/>
      <c r="F630" s="36"/>
      <c r="G630" s="24" t="str">
        <f>IFERROR(__xludf.DUMMYFUNCTION("iferror(iferror(iferror(index(IMPORTRANGE(""1NK5L1mviMn0j3D3uo53ASkIZOFRlLnqaCTnwzOG2_Wg"",""Direct Link!B2:B""),MATCH($B630,IMPORTRANGE(""1NK5L1mviMn0j3D3uo53ASkIZOFRlLnqaCTnwzOG2_Wg"",""Direct Link!A2:A""),0)),XLOOKUP($B630,IMPORTRANGE(""1NK5L1mviMn0j3D"&amp;"3uo53ASkIZOFRlLnqaCTnwzOG2_Wg"",""Direct links Without Sizes!A2:A""),IMPORTRANGE(""1NK5L1mviMn0j3D3uo53ASkIZOFRlLnqaCTnwzOG2_Wg"",""Direct links Without Sizes!B2:B""))),XLOOKUP($B630,IMPORTRANGE(""1NK5L1mviMn0j3D3uo53ASkIZOFRlLnqaCTnwzOG2_Wg"",""Direct li"&amp;"nks Without Sizes!D2:D""),IMPORTRANGE(""1NK5L1mviMn0j3D3uo53ASkIZOFRlLnqaCTnwzOG2_Wg"",""Direct links Without Sizes!E2:E""))),"""")"),"")</f>
        <v/>
      </c>
      <c r="H630" s="41"/>
      <c r="I630" s="4"/>
      <c r="J630" s="4"/>
      <c r="K630" s="10" t="str">
        <f t="shared" si="1"/>
        <v/>
      </c>
      <c r="L630" s="10"/>
      <c r="M630" s="10" t="str">
        <f t="shared" si="2"/>
        <v/>
      </c>
    </row>
    <row r="631">
      <c r="A631" s="4"/>
      <c r="B631" s="15"/>
      <c r="C631" s="7" t="str">
        <f>IFERROR(__xludf.DUMMYFUNCTION("iferror(iferror(INDEX(IMPORTRANGE(""12vtnxaE_Q1s4tyr10kZQx7ZF_xG0lBFae4jQEUtgsMU"",""All!B2:B""),MATCH($B631,IMPORTRANGE(""12vtnxaE_Q1s4tyr10kZQx7ZF_xG0lBFae4jQEUtgsMU"",""All!A2:A""),0)),INDEX(IMPORTRANGE(""13KC70HngS4DDi8y9E5khtSpQEPG6owaQ9z4E-tR5mnY"","&amp;"""Non-Food!B2:B""),MATCH($B631,IMPORTRANGE(""13KC70HngS4DDi8y9E5khtSpQEPG6owaQ9z4E-tR5mnY"",""Non-Food!A2:A""),0))),"""")"),"")</f>
        <v/>
      </c>
      <c r="D631" s="15"/>
      <c r="E631" s="15"/>
      <c r="F631" s="36"/>
      <c r="G631" s="24" t="str">
        <f>IFERROR(__xludf.DUMMYFUNCTION("iferror(iferror(iferror(index(IMPORTRANGE(""1NK5L1mviMn0j3D3uo53ASkIZOFRlLnqaCTnwzOG2_Wg"",""Direct Link!B2:B""),MATCH($B631,IMPORTRANGE(""1NK5L1mviMn0j3D3uo53ASkIZOFRlLnqaCTnwzOG2_Wg"",""Direct Link!A2:A""),0)),XLOOKUP($B631,IMPORTRANGE(""1NK5L1mviMn0j3D"&amp;"3uo53ASkIZOFRlLnqaCTnwzOG2_Wg"",""Direct links Without Sizes!A2:A""),IMPORTRANGE(""1NK5L1mviMn0j3D3uo53ASkIZOFRlLnqaCTnwzOG2_Wg"",""Direct links Without Sizes!B2:B""))),XLOOKUP($B631,IMPORTRANGE(""1NK5L1mviMn0j3D3uo53ASkIZOFRlLnqaCTnwzOG2_Wg"",""Direct li"&amp;"nks Without Sizes!D2:D""),IMPORTRANGE(""1NK5L1mviMn0j3D3uo53ASkIZOFRlLnqaCTnwzOG2_Wg"",""Direct links Without Sizes!E2:E""))),"""")"),"")</f>
        <v/>
      </c>
      <c r="H631" s="41"/>
      <c r="I631" s="4"/>
      <c r="J631" s="4"/>
      <c r="K631" s="10" t="str">
        <f t="shared" si="1"/>
        <v/>
      </c>
      <c r="L631" s="10"/>
      <c r="M631" s="10" t="str">
        <f t="shared" si="2"/>
        <v/>
      </c>
    </row>
    <row r="632">
      <c r="A632" s="4"/>
      <c r="B632" s="15"/>
      <c r="C632" s="7" t="str">
        <f>IFERROR(__xludf.DUMMYFUNCTION("iferror(iferror(INDEX(IMPORTRANGE(""12vtnxaE_Q1s4tyr10kZQx7ZF_xG0lBFae4jQEUtgsMU"",""All!B2:B""),MATCH($B632,IMPORTRANGE(""12vtnxaE_Q1s4tyr10kZQx7ZF_xG0lBFae4jQEUtgsMU"",""All!A2:A""),0)),INDEX(IMPORTRANGE(""13KC70HngS4DDi8y9E5khtSpQEPG6owaQ9z4E-tR5mnY"","&amp;"""Non-Food!B2:B""),MATCH($B632,IMPORTRANGE(""13KC70HngS4DDi8y9E5khtSpQEPG6owaQ9z4E-tR5mnY"",""Non-Food!A2:A""),0))),"""")"),"")</f>
        <v/>
      </c>
      <c r="D632" s="15"/>
      <c r="E632" s="15"/>
      <c r="F632" s="36"/>
      <c r="G632" s="24" t="str">
        <f>IFERROR(__xludf.DUMMYFUNCTION("iferror(iferror(iferror(index(IMPORTRANGE(""1NK5L1mviMn0j3D3uo53ASkIZOFRlLnqaCTnwzOG2_Wg"",""Direct Link!B2:B""),MATCH($B632,IMPORTRANGE(""1NK5L1mviMn0j3D3uo53ASkIZOFRlLnqaCTnwzOG2_Wg"",""Direct Link!A2:A""),0)),XLOOKUP($B632,IMPORTRANGE(""1NK5L1mviMn0j3D"&amp;"3uo53ASkIZOFRlLnqaCTnwzOG2_Wg"",""Direct links Without Sizes!A2:A""),IMPORTRANGE(""1NK5L1mviMn0j3D3uo53ASkIZOFRlLnqaCTnwzOG2_Wg"",""Direct links Without Sizes!B2:B""))),XLOOKUP($B632,IMPORTRANGE(""1NK5L1mviMn0j3D3uo53ASkIZOFRlLnqaCTnwzOG2_Wg"",""Direct li"&amp;"nks Without Sizes!D2:D""),IMPORTRANGE(""1NK5L1mviMn0j3D3uo53ASkIZOFRlLnqaCTnwzOG2_Wg"",""Direct links Without Sizes!E2:E""))),"""")"),"")</f>
        <v/>
      </c>
      <c r="H632" s="41"/>
      <c r="I632" s="4"/>
      <c r="J632" s="4"/>
      <c r="K632" s="10" t="str">
        <f t="shared" si="1"/>
        <v/>
      </c>
      <c r="L632" s="10"/>
      <c r="M632" s="10" t="str">
        <f t="shared" si="2"/>
        <v/>
      </c>
    </row>
    <row r="633">
      <c r="A633" s="4"/>
      <c r="B633" s="15"/>
      <c r="C633" s="7" t="str">
        <f>IFERROR(__xludf.DUMMYFUNCTION("iferror(iferror(INDEX(IMPORTRANGE(""12vtnxaE_Q1s4tyr10kZQx7ZF_xG0lBFae4jQEUtgsMU"",""All!B2:B""),MATCH($B633,IMPORTRANGE(""12vtnxaE_Q1s4tyr10kZQx7ZF_xG0lBFae4jQEUtgsMU"",""All!A2:A""),0)),INDEX(IMPORTRANGE(""13KC70HngS4DDi8y9E5khtSpQEPG6owaQ9z4E-tR5mnY"","&amp;"""Non-Food!B2:B""),MATCH($B633,IMPORTRANGE(""13KC70HngS4DDi8y9E5khtSpQEPG6owaQ9z4E-tR5mnY"",""Non-Food!A2:A""),0))),"""")"),"")</f>
        <v/>
      </c>
      <c r="D633" s="15"/>
      <c r="E633" s="15"/>
      <c r="F633" s="36"/>
      <c r="G633" s="24" t="str">
        <f>IFERROR(__xludf.DUMMYFUNCTION("iferror(iferror(iferror(index(IMPORTRANGE(""1NK5L1mviMn0j3D3uo53ASkIZOFRlLnqaCTnwzOG2_Wg"",""Direct Link!B2:B""),MATCH($B633,IMPORTRANGE(""1NK5L1mviMn0j3D3uo53ASkIZOFRlLnqaCTnwzOG2_Wg"",""Direct Link!A2:A""),0)),XLOOKUP($B633,IMPORTRANGE(""1NK5L1mviMn0j3D"&amp;"3uo53ASkIZOFRlLnqaCTnwzOG2_Wg"",""Direct links Without Sizes!A2:A""),IMPORTRANGE(""1NK5L1mviMn0j3D3uo53ASkIZOFRlLnqaCTnwzOG2_Wg"",""Direct links Without Sizes!B2:B""))),XLOOKUP($B633,IMPORTRANGE(""1NK5L1mviMn0j3D3uo53ASkIZOFRlLnqaCTnwzOG2_Wg"",""Direct li"&amp;"nks Without Sizes!D2:D""),IMPORTRANGE(""1NK5L1mviMn0j3D3uo53ASkIZOFRlLnqaCTnwzOG2_Wg"",""Direct links Without Sizes!E2:E""))),"""")"),"")</f>
        <v/>
      </c>
      <c r="H633" s="41"/>
      <c r="I633" s="4"/>
      <c r="J633" s="4"/>
      <c r="K633" s="10" t="str">
        <f t="shared" si="1"/>
        <v/>
      </c>
      <c r="L633" s="10"/>
      <c r="M633" s="10" t="str">
        <f t="shared" si="2"/>
        <v/>
      </c>
    </row>
    <row r="634">
      <c r="A634" s="4"/>
      <c r="B634" s="15"/>
      <c r="C634" s="7" t="str">
        <f>IFERROR(__xludf.DUMMYFUNCTION("iferror(iferror(INDEX(IMPORTRANGE(""12vtnxaE_Q1s4tyr10kZQx7ZF_xG0lBFae4jQEUtgsMU"",""All!B2:B""),MATCH($B634,IMPORTRANGE(""12vtnxaE_Q1s4tyr10kZQx7ZF_xG0lBFae4jQEUtgsMU"",""All!A2:A""),0)),INDEX(IMPORTRANGE(""13KC70HngS4DDi8y9E5khtSpQEPG6owaQ9z4E-tR5mnY"","&amp;"""Non-Food!B2:B""),MATCH($B634,IMPORTRANGE(""13KC70HngS4DDi8y9E5khtSpQEPG6owaQ9z4E-tR5mnY"",""Non-Food!A2:A""),0))),"""")"),"")</f>
        <v/>
      </c>
      <c r="D634" s="15"/>
      <c r="E634" s="15"/>
      <c r="F634" s="36"/>
      <c r="G634" s="24" t="str">
        <f>IFERROR(__xludf.DUMMYFUNCTION("iferror(iferror(iferror(index(IMPORTRANGE(""1NK5L1mviMn0j3D3uo53ASkIZOFRlLnqaCTnwzOG2_Wg"",""Direct Link!B2:B""),MATCH($B634,IMPORTRANGE(""1NK5L1mviMn0j3D3uo53ASkIZOFRlLnqaCTnwzOG2_Wg"",""Direct Link!A2:A""),0)),XLOOKUP($B634,IMPORTRANGE(""1NK5L1mviMn0j3D"&amp;"3uo53ASkIZOFRlLnqaCTnwzOG2_Wg"",""Direct links Without Sizes!A2:A""),IMPORTRANGE(""1NK5L1mviMn0j3D3uo53ASkIZOFRlLnqaCTnwzOG2_Wg"",""Direct links Without Sizes!B2:B""))),XLOOKUP($B634,IMPORTRANGE(""1NK5L1mviMn0j3D3uo53ASkIZOFRlLnqaCTnwzOG2_Wg"",""Direct li"&amp;"nks Without Sizes!D2:D""),IMPORTRANGE(""1NK5L1mviMn0j3D3uo53ASkIZOFRlLnqaCTnwzOG2_Wg"",""Direct links Without Sizes!E2:E""))),"""")"),"")</f>
        <v/>
      </c>
      <c r="H634" s="41"/>
      <c r="I634" s="4"/>
      <c r="J634" s="4"/>
      <c r="K634" s="10" t="str">
        <f t="shared" si="1"/>
        <v/>
      </c>
      <c r="L634" s="10"/>
      <c r="M634" s="10" t="str">
        <f t="shared" si="2"/>
        <v/>
      </c>
    </row>
    <row r="635">
      <c r="A635" s="4"/>
      <c r="B635" s="15"/>
      <c r="C635" s="7" t="str">
        <f>IFERROR(__xludf.DUMMYFUNCTION("iferror(iferror(INDEX(IMPORTRANGE(""12vtnxaE_Q1s4tyr10kZQx7ZF_xG0lBFae4jQEUtgsMU"",""All!B2:B""),MATCH($B635,IMPORTRANGE(""12vtnxaE_Q1s4tyr10kZQx7ZF_xG0lBFae4jQEUtgsMU"",""All!A2:A""),0)),INDEX(IMPORTRANGE(""13KC70HngS4DDi8y9E5khtSpQEPG6owaQ9z4E-tR5mnY"","&amp;"""Non-Food!B2:B""),MATCH($B635,IMPORTRANGE(""13KC70HngS4DDi8y9E5khtSpQEPG6owaQ9z4E-tR5mnY"",""Non-Food!A2:A""),0))),"""")"),"")</f>
        <v/>
      </c>
      <c r="D635" s="15"/>
      <c r="E635" s="15"/>
      <c r="F635" s="36"/>
      <c r="G635" s="24" t="str">
        <f>IFERROR(__xludf.DUMMYFUNCTION("iferror(iferror(iferror(index(IMPORTRANGE(""1NK5L1mviMn0j3D3uo53ASkIZOFRlLnqaCTnwzOG2_Wg"",""Direct Link!B2:B""),MATCH($B635,IMPORTRANGE(""1NK5L1mviMn0j3D3uo53ASkIZOFRlLnqaCTnwzOG2_Wg"",""Direct Link!A2:A""),0)),XLOOKUP($B635,IMPORTRANGE(""1NK5L1mviMn0j3D"&amp;"3uo53ASkIZOFRlLnqaCTnwzOG2_Wg"",""Direct links Without Sizes!A2:A""),IMPORTRANGE(""1NK5L1mviMn0j3D3uo53ASkIZOFRlLnqaCTnwzOG2_Wg"",""Direct links Without Sizes!B2:B""))),XLOOKUP($B635,IMPORTRANGE(""1NK5L1mviMn0j3D3uo53ASkIZOFRlLnqaCTnwzOG2_Wg"",""Direct li"&amp;"nks Without Sizes!D2:D""),IMPORTRANGE(""1NK5L1mviMn0j3D3uo53ASkIZOFRlLnqaCTnwzOG2_Wg"",""Direct links Without Sizes!E2:E""))),"""")"),"")</f>
        <v/>
      </c>
      <c r="H635" s="41"/>
      <c r="I635" s="4"/>
      <c r="J635" s="4"/>
      <c r="K635" s="10" t="str">
        <f t="shared" si="1"/>
        <v/>
      </c>
      <c r="L635" s="10"/>
      <c r="M635" s="10" t="str">
        <f t="shared" si="2"/>
        <v/>
      </c>
    </row>
    <row r="636">
      <c r="A636" s="4"/>
      <c r="B636" s="15"/>
      <c r="C636" s="7" t="str">
        <f>IFERROR(__xludf.DUMMYFUNCTION("iferror(iferror(INDEX(IMPORTRANGE(""12vtnxaE_Q1s4tyr10kZQx7ZF_xG0lBFae4jQEUtgsMU"",""All!B2:B""),MATCH($B636,IMPORTRANGE(""12vtnxaE_Q1s4tyr10kZQx7ZF_xG0lBFae4jQEUtgsMU"",""All!A2:A""),0)),INDEX(IMPORTRANGE(""13KC70HngS4DDi8y9E5khtSpQEPG6owaQ9z4E-tR5mnY"","&amp;"""Non-Food!B2:B""),MATCH($B636,IMPORTRANGE(""13KC70HngS4DDi8y9E5khtSpQEPG6owaQ9z4E-tR5mnY"",""Non-Food!A2:A""),0))),"""")"),"")</f>
        <v/>
      </c>
      <c r="D636" s="15"/>
      <c r="E636" s="15"/>
      <c r="F636" s="36"/>
      <c r="G636" s="24" t="str">
        <f>IFERROR(__xludf.DUMMYFUNCTION("iferror(iferror(iferror(index(IMPORTRANGE(""1NK5L1mviMn0j3D3uo53ASkIZOFRlLnqaCTnwzOG2_Wg"",""Direct Link!B2:B""),MATCH($B636,IMPORTRANGE(""1NK5L1mviMn0j3D3uo53ASkIZOFRlLnqaCTnwzOG2_Wg"",""Direct Link!A2:A""),0)),XLOOKUP($B636,IMPORTRANGE(""1NK5L1mviMn0j3D"&amp;"3uo53ASkIZOFRlLnqaCTnwzOG2_Wg"",""Direct links Without Sizes!A2:A""),IMPORTRANGE(""1NK5L1mviMn0j3D3uo53ASkIZOFRlLnqaCTnwzOG2_Wg"",""Direct links Without Sizes!B2:B""))),XLOOKUP($B636,IMPORTRANGE(""1NK5L1mviMn0j3D3uo53ASkIZOFRlLnqaCTnwzOG2_Wg"",""Direct li"&amp;"nks Without Sizes!D2:D""),IMPORTRANGE(""1NK5L1mviMn0j3D3uo53ASkIZOFRlLnqaCTnwzOG2_Wg"",""Direct links Without Sizes!E2:E""))),"""")"),"")</f>
        <v/>
      </c>
      <c r="H636" s="41"/>
      <c r="I636" s="4"/>
      <c r="J636" s="4"/>
      <c r="K636" s="10" t="str">
        <f t="shared" si="1"/>
        <v/>
      </c>
      <c r="L636" s="10"/>
      <c r="M636" s="10" t="str">
        <f t="shared" si="2"/>
        <v/>
      </c>
    </row>
    <row r="637">
      <c r="A637" s="4"/>
      <c r="B637" s="15"/>
      <c r="C637" s="7" t="str">
        <f>IFERROR(__xludf.DUMMYFUNCTION("iferror(iferror(INDEX(IMPORTRANGE(""12vtnxaE_Q1s4tyr10kZQx7ZF_xG0lBFae4jQEUtgsMU"",""All!B2:B""),MATCH($B637,IMPORTRANGE(""12vtnxaE_Q1s4tyr10kZQx7ZF_xG0lBFae4jQEUtgsMU"",""All!A2:A""),0)),INDEX(IMPORTRANGE(""13KC70HngS4DDi8y9E5khtSpQEPG6owaQ9z4E-tR5mnY"","&amp;"""Non-Food!B2:B""),MATCH($B637,IMPORTRANGE(""13KC70HngS4DDi8y9E5khtSpQEPG6owaQ9z4E-tR5mnY"",""Non-Food!A2:A""),0))),"""")"),"")</f>
        <v/>
      </c>
      <c r="D637" s="15"/>
      <c r="E637" s="15"/>
      <c r="F637" s="36"/>
      <c r="G637" s="24" t="str">
        <f>IFERROR(__xludf.DUMMYFUNCTION("iferror(iferror(iferror(index(IMPORTRANGE(""1NK5L1mviMn0j3D3uo53ASkIZOFRlLnqaCTnwzOG2_Wg"",""Direct Link!B2:B""),MATCH($B637,IMPORTRANGE(""1NK5L1mviMn0j3D3uo53ASkIZOFRlLnqaCTnwzOG2_Wg"",""Direct Link!A2:A""),0)),XLOOKUP($B637,IMPORTRANGE(""1NK5L1mviMn0j3D"&amp;"3uo53ASkIZOFRlLnqaCTnwzOG2_Wg"",""Direct links Without Sizes!A2:A""),IMPORTRANGE(""1NK5L1mviMn0j3D3uo53ASkIZOFRlLnqaCTnwzOG2_Wg"",""Direct links Without Sizes!B2:B""))),XLOOKUP($B637,IMPORTRANGE(""1NK5L1mviMn0j3D3uo53ASkIZOFRlLnqaCTnwzOG2_Wg"",""Direct li"&amp;"nks Without Sizes!D2:D""),IMPORTRANGE(""1NK5L1mviMn0j3D3uo53ASkIZOFRlLnqaCTnwzOG2_Wg"",""Direct links Without Sizes!E2:E""))),"""")"),"")</f>
        <v/>
      </c>
      <c r="H637" s="41"/>
      <c r="I637" s="4"/>
      <c r="J637" s="4"/>
      <c r="K637" s="10" t="str">
        <f t="shared" si="1"/>
        <v/>
      </c>
      <c r="L637" s="10"/>
      <c r="M637" s="10" t="str">
        <f t="shared" si="2"/>
        <v/>
      </c>
    </row>
    <row r="638">
      <c r="A638" s="4"/>
      <c r="B638" s="15"/>
      <c r="C638" s="7" t="str">
        <f>IFERROR(__xludf.DUMMYFUNCTION("iferror(iferror(INDEX(IMPORTRANGE(""12vtnxaE_Q1s4tyr10kZQx7ZF_xG0lBFae4jQEUtgsMU"",""All!B2:B""),MATCH($B638,IMPORTRANGE(""12vtnxaE_Q1s4tyr10kZQx7ZF_xG0lBFae4jQEUtgsMU"",""All!A2:A""),0)),INDEX(IMPORTRANGE(""13KC70HngS4DDi8y9E5khtSpQEPG6owaQ9z4E-tR5mnY"","&amp;"""Non-Food!B2:B""),MATCH($B638,IMPORTRANGE(""13KC70HngS4DDi8y9E5khtSpQEPG6owaQ9z4E-tR5mnY"",""Non-Food!A2:A""),0))),"""")"),"")</f>
        <v/>
      </c>
      <c r="D638" s="15"/>
      <c r="E638" s="15"/>
      <c r="F638" s="36"/>
      <c r="G638" s="24" t="str">
        <f>IFERROR(__xludf.DUMMYFUNCTION("iferror(iferror(iferror(index(IMPORTRANGE(""1NK5L1mviMn0j3D3uo53ASkIZOFRlLnqaCTnwzOG2_Wg"",""Direct Link!B2:B""),MATCH($B638,IMPORTRANGE(""1NK5L1mviMn0j3D3uo53ASkIZOFRlLnqaCTnwzOG2_Wg"",""Direct Link!A2:A""),0)),XLOOKUP($B638,IMPORTRANGE(""1NK5L1mviMn0j3D"&amp;"3uo53ASkIZOFRlLnqaCTnwzOG2_Wg"",""Direct links Without Sizes!A2:A""),IMPORTRANGE(""1NK5L1mviMn0j3D3uo53ASkIZOFRlLnqaCTnwzOG2_Wg"",""Direct links Without Sizes!B2:B""))),XLOOKUP($B638,IMPORTRANGE(""1NK5L1mviMn0j3D3uo53ASkIZOFRlLnqaCTnwzOG2_Wg"",""Direct li"&amp;"nks Without Sizes!D2:D""),IMPORTRANGE(""1NK5L1mviMn0j3D3uo53ASkIZOFRlLnqaCTnwzOG2_Wg"",""Direct links Without Sizes!E2:E""))),"""")"),"")</f>
        <v/>
      </c>
      <c r="H638" s="41"/>
      <c r="I638" s="4"/>
      <c r="J638" s="4"/>
      <c r="K638" s="10" t="str">
        <f t="shared" si="1"/>
        <v/>
      </c>
      <c r="L638" s="10"/>
      <c r="M638" s="10" t="str">
        <f t="shared" si="2"/>
        <v/>
      </c>
    </row>
    <row r="639">
      <c r="A639" s="4"/>
      <c r="B639" s="15"/>
      <c r="C639" s="7" t="str">
        <f>IFERROR(__xludf.DUMMYFUNCTION("iferror(iferror(INDEX(IMPORTRANGE(""12vtnxaE_Q1s4tyr10kZQx7ZF_xG0lBFae4jQEUtgsMU"",""All!B2:B""),MATCH($B639,IMPORTRANGE(""12vtnxaE_Q1s4tyr10kZQx7ZF_xG0lBFae4jQEUtgsMU"",""All!A2:A""),0)),INDEX(IMPORTRANGE(""13KC70HngS4DDi8y9E5khtSpQEPG6owaQ9z4E-tR5mnY"","&amp;"""Non-Food!B2:B""),MATCH($B639,IMPORTRANGE(""13KC70HngS4DDi8y9E5khtSpQEPG6owaQ9z4E-tR5mnY"",""Non-Food!A2:A""),0))),"""")"),"")</f>
        <v/>
      </c>
      <c r="D639" s="15"/>
      <c r="E639" s="15"/>
      <c r="F639" s="36"/>
      <c r="G639" s="24" t="str">
        <f>IFERROR(__xludf.DUMMYFUNCTION("iferror(iferror(iferror(index(IMPORTRANGE(""1NK5L1mviMn0j3D3uo53ASkIZOFRlLnqaCTnwzOG2_Wg"",""Direct Link!B2:B""),MATCH($B639,IMPORTRANGE(""1NK5L1mviMn0j3D3uo53ASkIZOFRlLnqaCTnwzOG2_Wg"",""Direct Link!A2:A""),0)),XLOOKUP($B639,IMPORTRANGE(""1NK5L1mviMn0j3D"&amp;"3uo53ASkIZOFRlLnqaCTnwzOG2_Wg"",""Direct links Without Sizes!A2:A""),IMPORTRANGE(""1NK5L1mviMn0j3D3uo53ASkIZOFRlLnqaCTnwzOG2_Wg"",""Direct links Without Sizes!B2:B""))),XLOOKUP($B639,IMPORTRANGE(""1NK5L1mviMn0j3D3uo53ASkIZOFRlLnqaCTnwzOG2_Wg"",""Direct li"&amp;"nks Without Sizes!D2:D""),IMPORTRANGE(""1NK5L1mviMn0j3D3uo53ASkIZOFRlLnqaCTnwzOG2_Wg"",""Direct links Without Sizes!E2:E""))),"""")"),"")</f>
        <v/>
      </c>
      <c r="H639" s="41"/>
      <c r="I639" s="4"/>
      <c r="J639" s="4"/>
      <c r="K639" s="10" t="str">
        <f t="shared" si="1"/>
        <v/>
      </c>
      <c r="L639" s="10"/>
      <c r="M639" s="10" t="str">
        <f t="shared" si="2"/>
        <v/>
      </c>
    </row>
    <row r="640">
      <c r="A640" s="4"/>
      <c r="B640" s="15"/>
      <c r="C640" s="7" t="str">
        <f>IFERROR(__xludf.DUMMYFUNCTION("iferror(iferror(INDEX(IMPORTRANGE(""12vtnxaE_Q1s4tyr10kZQx7ZF_xG0lBFae4jQEUtgsMU"",""All!B2:B""),MATCH($B640,IMPORTRANGE(""12vtnxaE_Q1s4tyr10kZQx7ZF_xG0lBFae4jQEUtgsMU"",""All!A2:A""),0)),INDEX(IMPORTRANGE(""13KC70HngS4DDi8y9E5khtSpQEPG6owaQ9z4E-tR5mnY"","&amp;"""Non-Food!B2:B""),MATCH($B640,IMPORTRANGE(""13KC70HngS4DDi8y9E5khtSpQEPG6owaQ9z4E-tR5mnY"",""Non-Food!A2:A""),0))),"""")"),"")</f>
        <v/>
      </c>
      <c r="D640" s="15"/>
      <c r="E640" s="15"/>
      <c r="F640" s="36"/>
      <c r="G640" s="24" t="str">
        <f>IFERROR(__xludf.DUMMYFUNCTION("iferror(iferror(iferror(index(IMPORTRANGE(""1NK5L1mviMn0j3D3uo53ASkIZOFRlLnqaCTnwzOG2_Wg"",""Direct Link!B2:B""),MATCH($B640,IMPORTRANGE(""1NK5L1mviMn0j3D3uo53ASkIZOFRlLnqaCTnwzOG2_Wg"",""Direct Link!A2:A""),0)),XLOOKUP($B640,IMPORTRANGE(""1NK5L1mviMn0j3D"&amp;"3uo53ASkIZOFRlLnqaCTnwzOG2_Wg"",""Direct links Without Sizes!A2:A""),IMPORTRANGE(""1NK5L1mviMn0j3D3uo53ASkIZOFRlLnqaCTnwzOG2_Wg"",""Direct links Without Sizes!B2:B""))),XLOOKUP($B640,IMPORTRANGE(""1NK5L1mviMn0j3D3uo53ASkIZOFRlLnqaCTnwzOG2_Wg"",""Direct li"&amp;"nks Without Sizes!D2:D""),IMPORTRANGE(""1NK5L1mviMn0j3D3uo53ASkIZOFRlLnqaCTnwzOG2_Wg"",""Direct links Without Sizes!E2:E""))),"""")"),"")</f>
        <v/>
      </c>
      <c r="H640" s="41"/>
      <c r="I640" s="4"/>
      <c r="J640" s="4"/>
      <c r="K640" s="10" t="str">
        <f t="shared" si="1"/>
        <v/>
      </c>
      <c r="L640" s="10"/>
      <c r="M640" s="10" t="str">
        <f t="shared" si="2"/>
        <v/>
      </c>
    </row>
    <row r="641">
      <c r="A641" s="4"/>
      <c r="B641" s="15"/>
      <c r="C641" s="7" t="str">
        <f>IFERROR(__xludf.DUMMYFUNCTION("iferror(iferror(INDEX(IMPORTRANGE(""12vtnxaE_Q1s4tyr10kZQx7ZF_xG0lBFae4jQEUtgsMU"",""All!B2:B""),MATCH($B641,IMPORTRANGE(""12vtnxaE_Q1s4tyr10kZQx7ZF_xG0lBFae4jQEUtgsMU"",""All!A2:A""),0)),INDEX(IMPORTRANGE(""13KC70HngS4DDi8y9E5khtSpQEPG6owaQ9z4E-tR5mnY"","&amp;"""Non-Food!B2:B""),MATCH($B641,IMPORTRANGE(""13KC70HngS4DDi8y9E5khtSpQEPG6owaQ9z4E-tR5mnY"",""Non-Food!A2:A""),0))),"""")"),"")</f>
        <v/>
      </c>
      <c r="D641" s="15"/>
      <c r="E641" s="15"/>
      <c r="F641" s="36"/>
      <c r="G641" s="24" t="str">
        <f>IFERROR(__xludf.DUMMYFUNCTION("iferror(iferror(iferror(index(IMPORTRANGE(""1NK5L1mviMn0j3D3uo53ASkIZOFRlLnqaCTnwzOG2_Wg"",""Direct Link!B2:B""),MATCH($B641,IMPORTRANGE(""1NK5L1mviMn0j3D3uo53ASkIZOFRlLnqaCTnwzOG2_Wg"",""Direct Link!A2:A""),0)),XLOOKUP($B641,IMPORTRANGE(""1NK5L1mviMn0j3D"&amp;"3uo53ASkIZOFRlLnqaCTnwzOG2_Wg"",""Direct links Without Sizes!A2:A""),IMPORTRANGE(""1NK5L1mviMn0j3D3uo53ASkIZOFRlLnqaCTnwzOG2_Wg"",""Direct links Without Sizes!B2:B""))),XLOOKUP($B641,IMPORTRANGE(""1NK5L1mviMn0j3D3uo53ASkIZOFRlLnqaCTnwzOG2_Wg"",""Direct li"&amp;"nks Without Sizes!D2:D""),IMPORTRANGE(""1NK5L1mviMn0j3D3uo53ASkIZOFRlLnqaCTnwzOG2_Wg"",""Direct links Without Sizes!E2:E""))),"""")"),"")</f>
        <v/>
      </c>
      <c r="H641" s="41"/>
      <c r="I641" s="4"/>
      <c r="J641" s="4"/>
      <c r="K641" s="10" t="str">
        <f t="shared" si="1"/>
        <v/>
      </c>
      <c r="L641" s="10"/>
      <c r="M641" s="10" t="str">
        <f t="shared" si="2"/>
        <v/>
      </c>
    </row>
    <row r="642">
      <c r="A642" s="4"/>
      <c r="B642" s="15"/>
      <c r="C642" s="7" t="str">
        <f>IFERROR(__xludf.DUMMYFUNCTION("iferror(iferror(INDEX(IMPORTRANGE(""12vtnxaE_Q1s4tyr10kZQx7ZF_xG0lBFae4jQEUtgsMU"",""All!B2:B""),MATCH($B642,IMPORTRANGE(""12vtnxaE_Q1s4tyr10kZQx7ZF_xG0lBFae4jQEUtgsMU"",""All!A2:A""),0)),INDEX(IMPORTRANGE(""13KC70HngS4DDi8y9E5khtSpQEPG6owaQ9z4E-tR5mnY"","&amp;"""Non-Food!B2:B""),MATCH($B642,IMPORTRANGE(""13KC70HngS4DDi8y9E5khtSpQEPG6owaQ9z4E-tR5mnY"",""Non-Food!A2:A""),0))),"""")"),"")</f>
        <v/>
      </c>
      <c r="D642" s="15"/>
      <c r="E642" s="15"/>
      <c r="F642" s="36"/>
      <c r="G642" s="24" t="str">
        <f>IFERROR(__xludf.DUMMYFUNCTION("iferror(iferror(iferror(index(IMPORTRANGE(""1NK5L1mviMn0j3D3uo53ASkIZOFRlLnqaCTnwzOG2_Wg"",""Direct Link!B2:B""),MATCH($B642,IMPORTRANGE(""1NK5L1mviMn0j3D3uo53ASkIZOFRlLnqaCTnwzOG2_Wg"",""Direct Link!A2:A""),0)),XLOOKUP($B642,IMPORTRANGE(""1NK5L1mviMn0j3D"&amp;"3uo53ASkIZOFRlLnqaCTnwzOG2_Wg"",""Direct links Without Sizes!A2:A""),IMPORTRANGE(""1NK5L1mviMn0j3D3uo53ASkIZOFRlLnqaCTnwzOG2_Wg"",""Direct links Without Sizes!B2:B""))),XLOOKUP($B642,IMPORTRANGE(""1NK5L1mviMn0j3D3uo53ASkIZOFRlLnqaCTnwzOG2_Wg"",""Direct li"&amp;"nks Without Sizes!D2:D""),IMPORTRANGE(""1NK5L1mviMn0j3D3uo53ASkIZOFRlLnqaCTnwzOG2_Wg"",""Direct links Without Sizes!E2:E""))),"""")"),"")</f>
        <v/>
      </c>
      <c r="H642" s="41"/>
      <c r="I642" s="4"/>
      <c r="J642" s="4"/>
      <c r="K642" s="10" t="str">
        <f t="shared" si="1"/>
        <v/>
      </c>
      <c r="L642" s="10"/>
      <c r="M642" s="10" t="str">
        <f t="shared" si="2"/>
        <v/>
      </c>
    </row>
    <row r="643">
      <c r="A643" s="4"/>
      <c r="B643" s="15"/>
      <c r="C643" s="7" t="str">
        <f>IFERROR(__xludf.DUMMYFUNCTION("iferror(iferror(INDEX(IMPORTRANGE(""12vtnxaE_Q1s4tyr10kZQx7ZF_xG0lBFae4jQEUtgsMU"",""All!B2:B""),MATCH($B643,IMPORTRANGE(""12vtnxaE_Q1s4tyr10kZQx7ZF_xG0lBFae4jQEUtgsMU"",""All!A2:A""),0)),INDEX(IMPORTRANGE(""13KC70HngS4DDi8y9E5khtSpQEPG6owaQ9z4E-tR5mnY"","&amp;"""Non-Food!B2:B""),MATCH($B643,IMPORTRANGE(""13KC70HngS4DDi8y9E5khtSpQEPG6owaQ9z4E-tR5mnY"",""Non-Food!A2:A""),0))),"""")"),"")</f>
        <v/>
      </c>
      <c r="D643" s="15"/>
      <c r="E643" s="15"/>
      <c r="F643" s="36"/>
      <c r="G643" s="24" t="str">
        <f>IFERROR(__xludf.DUMMYFUNCTION("iferror(iferror(iferror(index(IMPORTRANGE(""1NK5L1mviMn0j3D3uo53ASkIZOFRlLnqaCTnwzOG2_Wg"",""Direct Link!B2:B""),MATCH($B643,IMPORTRANGE(""1NK5L1mviMn0j3D3uo53ASkIZOFRlLnqaCTnwzOG2_Wg"",""Direct Link!A2:A""),0)),XLOOKUP($B643,IMPORTRANGE(""1NK5L1mviMn0j3D"&amp;"3uo53ASkIZOFRlLnqaCTnwzOG2_Wg"",""Direct links Without Sizes!A2:A""),IMPORTRANGE(""1NK5L1mviMn0j3D3uo53ASkIZOFRlLnqaCTnwzOG2_Wg"",""Direct links Without Sizes!B2:B""))),XLOOKUP($B643,IMPORTRANGE(""1NK5L1mviMn0j3D3uo53ASkIZOFRlLnqaCTnwzOG2_Wg"",""Direct li"&amp;"nks Without Sizes!D2:D""),IMPORTRANGE(""1NK5L1mviMn0j3D3uo53ASkIZOFRlLnqaCTnwzOG2_Wg"",""Direct links Without Sizes!E2:E""))),"""")"),"")</f>
        <v/>
      </c>
      <c r="H643" s="41"/>
      <c r="I643" s="4"/>
      <c r="J643" s="4"/>
      <c r="K643" s="10" t="str">
        <f t="shared" si="1"/>
        <v/>
      </c>
      <c r="L643" s="10"/>
      <c r="M643" s="10" t="str">
        <f t="shared" si="2"/>
        <v/>
      </c>
    </row>
    <row r="644">
      <c r="A644" s="4"/>
      <c r="B644" s="15"/>
      <c r="C644" s="7" t="str">
        <f>IFERROR(__xludf.DUMMYFUNCTION("iferror(iferror(INDEX(IMPORTRANGE(""12vtnxaE_Q1s4tyr10kZQx7ZF_xG0lBFae4jQEUtgsMU"",""All!B2:B""),MATCH($B644,IMPORTRANGE(""12vtnxaE_Q1s4tyr10kZQx7ZF_xG0lBFae4jQEUtgsMU"",""All!A2:A""),0)),INDEX(IMPORTRANGE(""13KC70HngS4DDi8y9E5khtSpQEPG6owaQ9z4E-tR5mnY"","&amp;"""Non-Food!B2:B""),MATCH($B644,IMPORTRANGE(""13KC70HngS4DDi8y9E5khtSpQEPG6owaQ9z4E-tR5mnY"",""Non-Food!A2:A""),0))),"""")"),"")</f>
        <v/>
      </c>
      <c r="D644" s="15"/>
      <c r="E644" s="15"/>
      <c r="F644" s="36"/>
      <c r="G644" s="24" t="str">
        <f>IFERROR(__xludf.DUMMYFUNCTION("iferror(iferror(iferror(index(IMPORTRANGE(""1NK5L1mviMn0j3D3uo53ASkIZOFRlLnqaCTnwzOG2_Wg"",""Direct Link!B2:B""),MATCH($B644,IMPORTRANGE(""1NK5L1mviMn0j3D3uo53ASkIZOFRlLnqaCTnwzOG2_Wg"",""Direct Link!A2:A""),0)),XLOOKUP($B644,IMPORTRANGE(""1NK5L1mviMn0j3D"&amp;"3uo53ASkIZOFRlLnqaCTnwzOG2_Wg"",""Direct links Without Sizes!A2:A""),IMPORTRANGE(""1NK5L1mviMn0j3D3uo53ASkIZOFRlLnqaCTnwzOG2_Wg"",""Direct links Without Sizes!B2:B""))),XLOOKUP($B644,IMPORTRANGE(""1NK5L1mviMn0j3D3uo53ASkIZOFRlLnqaCTnwzOG2_Wg"",""Direct li"&amp;"nks Without Sizes!D2:D""),IMPORTRANGE(""1NK5L1mviMn0j3D3uo53ASkIZOFRlLnqaCTnwzOG2_Wg"",""Direct links Without Sizes!E2:E""))),"""")"),"")</f>
        <v/>
      </c>
      <c r="H644" s="41"/>
      <c r="I644" s="4"/>
      <c r="J644" s="4"/>
      <c r="K644" s="10" t="str">
        <f t="shared" si="1"/>
        <v/>
      </c>
      <c r="L644" s="10"/>
      <c r="M644" s="10" t="str">
        <f t="shared" si="2"/>
        <v/>
      </c>
    </row>
    <row r="645">
      <c r="A645" s="4"/>
      <c r="B645" s="15"/>
      <c r="C645" s="7" t="str">
        <f>IFERROR(__xludf.DUMMYFUNCTION("iferror(iferror(INDEX(IMPORTRANGE(""12vtnxaE_Q1s4tyr10kZQx7ZF_xG0lBFae4jQEUtgsMU"",""All!B2:B""),MATCH($B645,IMPORTRANGE(""12vtnxaE_Q1s4tyr10kZQx7ZF_xG0lBFae4jQEUtgsMU"",""All!A2:A""),0)),INDEX(IMPORTRANGE(""13KC70HngS4DDi8y9E5khtSpQEPG6owaQ9z4E-tR5mnY"","&amp;"""Non-Food!B2:B""),MATCH($B645,IMPORTRANGE(""13KC70HngS4DDi8y9E5khtSpQEPG6owaQ9z4E-tR5mnY"",""Non-Food!A2:A""),0))),"""")"),"")</f>
        <v/>
      </c>
      <c r="D645" s="15"/>
      <c r="E645" s="15"/>
      <c r="F645" s="36"/>
      <c r="G645" s="24" t="str">
        <f>IFERROR(__xludf.DUMMYFUNCTION("iferror(iferror(iferror(index(IMPORTRANGE(""1NK5L1mviMn0j3D3uo53ASkIZOFRlLnqaCTnwzOG2_Wg"",""Direct Link!B2:B""),MATCH($B645,IMPORTRANGE(""1NK5L1mviMn0j3D3uo53ASkIZOFRlLnqaCTnwzOG2_Wg"",""Direct Link!A2:A""),0)),XLOOKUP($B645,IMPORTRANGE(""1NK5L1mviMn0j3D"&amp;"3uo53ASkIZOFRlLnqaCTnwzOG2_Wg"",""Direct links Without Sizes!A2:A""),IMPORTRANGE(""1NK5L1mviMn0j3D3uo53ASkIZOFRlLnqaCTnwzOG2_Wg"",""Direct links Without Sizes!B2:B""))),XLOOKUP($B645,IMPORTRANGE(""1NK5L1mviMn0j3D3uo53ASkIZOFRlLnqaCTnwzOG2_Wg"",""Direct li"&amp;"nks Without Sizes!D2:D""),IMPORTRANGE(""1NK5L1mviMn0j3D3uo53ASkIZOFRlLnqaCTnwzOG2_Wg"",""Direct links Without Sizes!E2:E""))),"""")"),"")</f>
        <v/>
      </c>
      <c r="H645" s="41"/>
      <c r="I645" s="4"/>
      <c r="J645" s="4"/>
      <c r="K645" s="10" t="str">
        <f t="shared" si="1"/>
        <v/>
      </c>
      <c r="L645" s="10"/>
      <c r="M645" s="10" t="str">
        <f t="shared" si="2"/>
        <v/>
      </c>
    </row>
    <row r="646">
      <c r="A646" s="4"/>
      <c r="B646" s="15"/>
      <c r="C646" s="7" t="str">
        <f>IFERROR(__xludf.DUMMYFUNCTION("iferror(iferror(INDEX(IMPORTRANGE(""12vtnxaE_Q1s4tyr10kZQx7ZF_xG0lBFae4jQEUtgsMU"",""All!B2:B""),MATCH($B646,IMPORTRANGE(""12vtnxaE_Q1s4tyr10kZQx7ZF_xG0lBFae4jQEUtgsMU"",""All!A2:A""),0)),INDEX(IMPORTRANGE(""13KC70HngS4DDi8y9E5khtSpQEPG6owaQ9z4E-tR5mnY"","&amp;"""Non-Food!B2:B""),MATCH($B646,IMPORTRANGE(""13KC70HngS4DDi8y9E5khtSpQEPG6owaQ9z4E-tR5mnY"",""Non-Food!A2:A""),0))),"""")"),"")</f>
        <v/>
      </c>
      <c r="D646" s="15"/>
      <c r="E646" s="15"/>
      <c r="F646" s="36"/>
      <c r="G646" s="24" t="str">
        <f>IFERROR(__xludf.DUMMYFUNCTION("iferror(iferror(iferror(index(IMPORTRANGE(""1NK5L1mviMn0j3D3uo53ASkIZOFRlLnqaCTnwzOG2_Wg"",""Direct Link!B2:B""),MATCH($B646,IMPORTRANGE(""1NK5L1mviMn0j3D3uo53ASkIZOFRlLnqaCTnwzOG2_Wg"",""Direct Link!A2:A""),0)),XLOOKUP($B646,IMPORTRANGE(""1NK5L1mviMn0j3D"&amp;"3uo53ASkIZOFRlLnqaCTnwzOG2_Wg"",""Direct links Without Sizes!A2:A""),IMPORTRANGE(""1NK5L1mviMn0j3D3uo53ASkIZOFRlLnqaCTnwzOG2_Wg"",""Direct links Without Sizes!B2:B""))),XLOOKUP($B646,IMPORTRANGE(""1NK5L1mviMn0j3D3uo53ASkIZOFRlLnqaCTnwzOG2_Wg"",""Direct li"&amp;"nks Without Sizes!D2:D""),IMPORTRANGE(""1NK5L1mviMn0j3D3uo53ASkIZOFRlLnqaCTnwzOG2_Wg"",""Direct links Without Sizes!E2:E""))),"""")"),"")</f>
        <v/>
      </c>
      <c r="H646" s="41"/>
      <c r="I646" s="4"/>
      <c r="J646" s="4"/>
      <c r="K646" s="10" t="str">
        <f t="shared" si="1"/>
        <v/>
      </c>
      <c r="L646" s="10"/>
      <c r="M646" s="10" t="str">
        <f t="shared" si="2"/>
        <v/>
      </c>
    </row>
    <row r="647">
      <c r="A647" s="4"/>
      <c r="B647" s="15"/>
      <c r="C647" s="7" t="str">
        <f>IFERROR(__xludf.DUMMYFUNCTION("iferror(iferror(INDEX(IMPORTRANGE(""12vtnxaE_Q1s4tyr10kZQx7ZF_xG0lBFae4jQEUtgsMU"",""All!B2:B""),MATCH($B647,IMPORTRANGE(""12vtnxaE_Q1s4tyr10kZQx7ZF_xG0lBFae4jQEUtgsMU"",""All!A2:A""),0)),INDEX(IMPORTRANGE(""13KC70HngS4DDi8y9E5khtSpQEPG6owaQ9z4E-tR5mnY"","&amp;"""Non-Food!B2:B""),MATCH($B647,IMPORTRANGE(""13KC70HngS4DDi8y9E5khtSpQEPG6owaQ9z4E-tR5mnY"",""Non-Food!A2:A""),0))),"""")"),"")</f>
        <v/>
      </c>
      <c r="D647" s="15"/>
      <c r="E647" s="15"/>
      <c r="F647" s="36"/>
      <c r="G647" s="24" t="str">
        <f>IFERROR(__xludf.DUMMYFUNCTION("iferror(iferror(iferror(index(IMPORTRANGE(""1NK5L1mviMn0j3D3uo53ASkIZOFRlLnqaCTnwzOG2_Wg"",""Direct Link!B2:B""),MATCH($B647,IMPORTRANGE(""1NK5L1mviMn0j3D3uo53ASkIZOFRlLnqaCTnwzOG2_Wg"",""Direct Link!A2:A""),0)),XLOOKUP($B647,IMPORTRANGE(""1NK5L1mviMn0j3D"&amp;"3uo53ASkIZOFRlLnqaCTnwzOG2_Wg"",""Direct links Without Sizes!A2:A""),IMPORTRANGE(""1NK5L1mviMn0j3D3uo53ASkIZOFRlLnqaCTnwzOG2_Wg"",""Direct links Without Sizes!B2:B""))),XLOOKUP($B647,IMPORTRANGE(""1NK5L1mviMn0j3D3uo53ASkIZOFRlLnqaCTnwzOG2_Wg"",""Direct li"&amp;"nks Without Sizes!D2:D""),IMPORTRANGE(""1NK5L1mviMn0j3D3uo53ASkIZOFRlLnqaCTnwzOG2_Wg"",""Direct links Without Sizes!E2:E""))),"""")"),"")</f>
        <v/>
      </c>
      <c r="H647" s="41"/>
      <c r="I647" s="4"/>
      <c r="J647" s="4"/>
      <c r="K647" s="10" t="str">
        <f t="shared" si="1"/>
        <v/>
      </c>
      <c r="L647" s="10"/>
      <c r="M647" s="10" t="str">
        <f t="shared" si="2"/>
        <v/>
      </c>
    </row>
    <row r="648">
      <c r="A648" s="4"/>
      <c r="B648" s="15"/>
      <c r="C648" s="7" t="str">
        <f>IFERROR(__xludf.DUMMYFUNCTION("iferror(iferror(INDEX(IMPORTRANGE(""12vtnxaE_Q1s4tyr10kZQx7ZF_xG0lBFae4jQEUtgsMU"",""All!B2:B""),MATCH($B648,IMPORTRANGE(""12vtnxaE_Q1s4tyr10kZQx7ZF_xG0lBFae4jQEUtgsMU"",""All!A2:A""),0)),INDEX(IMPORTRANGE(""13KC70HngS4DDi8y9E5khtSpQEPG6owaQ9z4E-tR5mnY"","&amp;"""Non-Food!B2:B""),MATCH($B648,IMPORTRANGE(""13KC70HngS4DDi8y9E5khtSpQEPG6owaQ9z4E-tR5mnY"",""Non-Food!A2:A""),0))),"""")"),"")</f>
        <v/>
      </c>
      <c r="D648" s="15"/>
      <c r="E648" s="15"/>
      <c r="F648" s="36"/>
      <c r="G648" s="24" t="str">
        <f>IFERROR(__xludf.DUMMYFUNCTION("iferror(iferror(iferror(index(IMPORTRANGE(""1NK5L1mviMn0j3D3uo53ASkIZOFRlLnqaCTnwzOG2_Wg"",""Direct Link!B2:B""),MATCH($B648,IMPORTRANGE(""1NK5L1mviMn0j3D3uo53ASkIZOFRlLnqaCTnwzOG2_Wg"",""Direct Link!A2:A""),0)),XLOOKUP($B648,IMPORTRANGE(""1NK5L1mviMn0j3D"&amp;"3uo53ASkIZOFRlLnqaCTnwzOG2_Wg"",""Direct links Without Sizes!A2:A""),IMPORTRANGE(""1NK5L1mviMn0j3D3uo53ASkIZOFRlLnqaCTnwzOG2_Wg"",""Direct links Without Sizes!B2:B""))),XLOOKUP($B648,IMPORTRANGE(""1NK5L1mviMn0j3D3uo53ASkIZOFRlLnqaCTnwzOG2_Wg"",""Direct li"&amp;"nks Without Sizes!D2:D""),IMPORTRANGE(""1NK5L1mviMn0j3D3uo53ASkIZOFRlLnqaCTnwzOG2_Wg"",""Direct links Without Sizes!E2:E""))),"""")"),"")</f>
        <v/>
      </c>
      <c r="H648" s="41"/>
      <c r="I648" s="4"/>
      <c r="J648" s="4"/>
      <c r="K648" s="10" t="str">
        <f t="shared" si="1"/>
        <v/>
      </c>
      <c r="L648" s="10"/>
      <c r="M648" s="10" t="str">
        <f t="shared" si="2"/>
        <v/>
      </c>
    </row>
    <row r="649">
      <c r="A649" s="4"/>
      <c r="B649" s="15"/>
      <c r="C649" s="7" t="str">
        <f>IFERROR(__xludf.DUMMYFUNCTION("iferror(iferror(INDEX(IMPORTRANGE(""12vtnxaE_Q1s4tyr10kZQx7ZF_xG0lBFae4jQEUtgsMU"",""All!B2:B""),MATCH($B649,IMPORTRANGE(""12vtnxaE_Q1s4tyr10kZQx7ZF_xG0lBFae4jQEUtgsMU"",""All!A2:A""),0)),INDEX(IMPORTRANGE(""13KC70HngS4DDi8y9E5khtSpQEPG6owaQ9z4E-tR5mnY"","&amp;"""Non-Food!B2:B""),MATCH($B649,IMPORTRANGE(""13KC70HngS4DDi8y9E5khtSpQEPG6owaQ9z4E-tR5mnY"",""Non-Food!A2:A""),0))),"""")"),"")</f>
        <v/>
      </c>
      <c r="D649" s="15"/>
      <c r="E649" s="15"/>
      <c r="F649" s="36"/>
      <c r="G649" s="24" t="str">
        <f>IFERROR(__xludf.DUMMYFUNCTION("iferror(iferror(iferror(index(IMPORTRANGE(""1NK5L1mviMn0j3D3uo53ASkIZOFRlLnqaCTnwzOG2_Wg"",""Direct Link!B2:B""),MATCH($B649,IMPORTRANGE(""1NK5L1mviMn0j3D3uo53ASkIZOFRlLnqaCTnwzOG2_Wg"",""Direct Link!A2:A""),0)),XLOOKUP($B649,IMPORTRANGE(""1NK5L1mviMn0j3D"&amp;"3uo53ASkIZOFRlLnqaCTnwzOG2_Wg"",""Direct links Without Sizes!A2:A""),IMPORTRANGE(""1NK5L1mviMn0j3D3uo53ASkIZOFRlLnqaCTnwzOG2_Wg"",""Direct links Without Sizes!B2:B""))),XLOOKUP($B649,IMPORTRANGE(""1NK5L1mviMn0j3D3uo53ASkIZOFRlLnqaCTnwzOG2_Wg"",""Direct li"&amp;"nks Without Sizes!D2:D""),IMPORTRANGE(""1NK5L1mviMn0j3D3uo53ASkIZOFRlLnqaCTnwzOG2_Wg"",""Direct links Without Sizes!E2:E""))),"""")"),"")</f>
        <v/>
      </c>
      <c r="H649" s="41"/>
      <c r="I649" s="4"/>
      <c r="J649" s="4"/>
      <c r="K649" s="10" t="str">
        <f t="shared" si="1"/>
        <v/>
      </c>
      <c r="L649" s="10"/>
      <c r="M649" s="10" t="str">
        <f t="shared" si="2"/>
        <v/>
      </c>
    </row>
    <row r="650">
      <c r="A650" s="4"/>
      <c r="B650" s="15"/>
      <c r="C650" s="7" t="str">
        <f>IFERROR(__xludf.DUMMYFUNCTION("iferror(iferror(INDEX(IMPORTRANGE(""12vtnxaE_Q1s4tyr10kZQx7ZF_xG0lBFae4jQEUtgsMU"",""All!B2:B""),MATCH($B650,IMPORTRANGE(""12vtnxaE_Q1s4tyr10kZQx7ZF_xG0lBFae4jQEUtgsMU"",""All!A2:A""),0)),INDEX(IMPORTRANGE(""13KC70HngS4DDi8y9E5khtSpQEPG6owaQ9z4E-tR5mnY"","&amp;"""Non-Food!B2:B""),MATCH($B650,IMPORTRANGE(""13KC70HngS4DDi8y9E5khtSpQEPG6owaQ9z4E-tR5mnY"",""Non-Food!A2:A""),0))),"""")"),"")</f>
        <v/>
      </c>
      <c r="D650" s="15"/>
      <c r="E650" s="15"/>
      <c r="F650" s="36"/>
      <c r="G650" s="24" t="str">
        <f>IFERROR(__xludf.DUMMYFUNCTION("iferror(iferror(iferror(index(IMPORTRANGE(""1NK5L1mviMn0j3D3uo53ASkIZOFRlLnqaCTnwzOG2_Wg"",""Direct Link!B2:B""),MATCH($B650,IMPORTRANGE(""1NK5L1mviMn0j3D3uo53ASkIZOFRlLnqaCTnwzOG2_Wg"",""Direct Link!A2:A""),0)),XLOOKUP($B650,IMPORTRANGE(""1NK5L1mviMn0j3D"&amp;"3uo53ASkIZOFRlLnqaCTnwzOG2_Wg"",""Direct links Without Sizes!A2:A""),IMPORTRANGE(""1NK5L1mviMn0j3D3uo53ASkIZOFRlLnqaCTnwzOG2_Wg"",""Direct links Without Sizes!B2:B""))),XLOOKUP($B650,IMPORTRANGE(""1NK5L1mviMn0j3D3uo53ASkIZOFRlLnqaCTnwzOG2_Wg"",""Direct li"&amp;"nks Without Sizes!D2:D""),IMPORTRANGE(""1NK5L1mviMn0j3D3uo53ASkIZOFRlLnqaCTnwzOG2_Wg"",""Direct links Without Sizes!E2:E""))),"""")"),"")</f>
        <v/>
      </c>
      <c r="H650" s="41"/>
      <c r="I650" s="4"/>
      <c r="J650" s="4"/>
      <c r="K650" s="10" t="str">
        <f t="shared" si="1"/>
        <v/>
      </c>
      <c r="L650" s="10"/>
      <c r="M650" s="10" t="str">
        <f t="shared" si="2"/>
        <v/>
      </c>
    </row>
    <row r="651">
      <c r="A651" s="4"/>
      <c r="B651" s="15"/>
      <c r="C651" s="7" t="str">
        <f>IFERROR(__xludf.DUMMYFUNCTION("iferror(iferror(INDEX(IMPORTRANGE(""12vtnxaE_Q1s4tyr10kZQx7ZF_xG0lBFae4jQEUtgsMU"",""All!B2:B""),MATCH($B651,IMPORTRANGE(""12vtnxaE_Q1s4tyr10kZQx7ZF_xG0lBFae4jQEUtgsMU"",""All!A2:A""),0)),INDEX(IMPORTRANGE(""13KC70HngS4DDi8y9E5khtSpQEPG6owaQ9z4E-tR5mnY"","&amp;"""Non-Food!B2:B""),MATCH($B651,IMPORTRANGE(""13KC70HngS4DDi8y9E5khtSpQEPG6owaQ9z4E-tR5mnY"",""Non-Food!A2:A""),0))),"""")"),"")</f>
        <v/>
      </c>
      <c r="D651" s="15"/>
      <c r="E651" s="15"/>
      <c r="F651" s="36"/>
      <c r="G651" s="24" t="str">
        <f>IFERROR(__xludf.DUMMYFUNCTION("iferror(iferror(iferror(index(IMPORTRANGE(""1NK5L1mviMn0j3D3uo53ASkIZOFRlLnqaCTnwzOG2_Wg"",""Direct Link!B2:B""),MATCH($B651,IMPORTRANGE(""1NK5L1mviMn0j3D3uo53ASkIZOFRlLnqaCTnwzOG2_Wg"",""Direct Link!A2:A""),0)),XLOOKUP($B651,IMPORTRANGE(""1NK5L1mviMn0j3D"&amp;"3uo53ASkIZOFRlLnqaCTnwzOG2_Wg"",""Direct links Without Sizes!A2:A""),IMPORTRANGE(""1NK5L1mviMn0j3D3uo53ASkIZOFRlLnqaCTnwzOG2_Wg"",""Direct links Without Sizes!B2:B""))),XLOOKUP($B651,IMPORTRANGE(""1NK5L1mviMn0j3D3uo53ASkIZOFRlLnqaCTnwzOG2_Wg"",""Direct li"&amp;"nks Without Sizes!D2:D""),IMPORTRANGE(""1NK5L1mviMn0j3D3uo53ASkIZOFRlLnqaCTnwzOG2_Wg"",""Direct links Without Sizes!E2:E""))),"""")"),"")</f>
        <v/>
      </c>
      <c r="H651" s="41"/>
      <c r="I651" s="4"/>
      <c r="J651" s="4"/>
      <c r="K651" s="10" t="str">
        <f t="shared" si="1"/>
        <v/>
      </c>
      <c r="L651" s="10"/>
      <c r="M651" s="10" t="str">
        <f t="shared" si="2"/>
        <v/>
      </c>
    </row>
    <row r="652">
      <c r="A652" s="4"/>
      <c r="B652" s="15"/>
      <c r="C652" s="7" t="str">
        <f>IFERROR(__xludf.DUMMYFUNCTION("iferror(iferror(INDEX(IMPORTRANGE(""12vtnxaE_Q1s4tyr10kZQx7ZF_xG0lBFae4jQEUtgsMU"",""All!B2:B""),MATCH($B652,IMPORTRANGE(""12vtnxaE_Q1s4tyr10kZQx7ZF_xG0lBFae4jQEUtgsMU"",""All!A2:A""),0)),INDEX(IMPORTRANGE(""13KC70HngS4DDi8y9E5khtSpQEPG6owaQ9z4E-tR5mnY"","&amp;"""Non-Food!B2:B""),MATCH($B652,IMPORTRANGE(""13KC70HngS4DDi8y9E5khtSpQEPG6owaQ9z4E-tR5mnY"",""Non-Food!A2:A""),0))),"""")"),"")</f>
        <v/>
      </c>
      <c r="D652" s="15"/>
      <c r="E652" s="15"/>
      <c r="F652" s="36"/>
      <c r="G652" s="24" t="str">
        <f>IFERROR(__xludf.DUMMYFUNCTION("iferror(iferror(iferror(index(IMPORTRANGE(""1NK5L1mviMn0j3D3uo53ASkIZOFRlLnqaCTnwzOG2_Wg"",""Direct Link!B2:B""),MATCH($B652,IMPORTRANGE(""1NK5L1mviMn0j3D3uo53ASkIZOFRlLnqaCTnwzOG2_Wg"",""Direct Link!A2:A""),0)),XLOOKUP($B652,IMPORTRANGE(""1NK5L1mviMn0j3D"&amp;"3uo53ASkIZOFRlLnqaCTnwzOG2_Wg"",""Direct links Without Sizes!A2:A""),IMPORTRANGE(""1NK5L1mviMn0j3D3uo53ASkIZOFRlLnqaCTnwzOG2_Wg"",""Direct links Without Sizes!B2:B""))),XLOOKUP($B652,IMPORTRANGE(""1NK5L1mviMn0j3D3uo53ASkIZOFRlLnqaCTnwzOG2_Wg"",""Direct li"&amp;"nks Without Sizes!D2:D""),IMPORTRANGE(""1NK5L1mviMn0j3D3uo53ASkIZOFRlLnqaCTnwzOG2_Wg"",""Direct links Without Sizes!E2:E""))),"""")"),"")</f>
        <v/>
      </c>
      <c r="H652" s="41"/>
      <c r="I652" s="4"/>
      <c r="J652" s="4"/>
      <c r="K652" s="10" t="str">
        <f t="shared" si="1"/>
        <v/>
      </c>
      <c r="L652" s="10"/>
      <c r="M652" s="10" t="str">
        <f t="shared" si="2"/>
        <v/>
      </c>
    </row>
    <row r="653">
      <c r="A653" s="4"/>
      <c r="B653" s="15"/>
      <c r="C653" s="7" t="str">
        <f>IFERROR(__xludf.DUMMYFUNCTION("iferror(iferror(INDEX(IMPORTRANGE(""12vtnxaE_Q1s4tyr10kZQx7ZF_xG0lBFae4jQEUtgsMU"",""All!B2:B""),MATCH($B653,IMPORTRANGE(""12vtnxaE_Q1s4tyr10kZQx7ZF_xG0lBFae4jQEUtgsMU"",""All!A2:A""),0)),INDEX(IMPORTRANGE(""13KC70HngS4DDi8y9E5khtSpQEPG6owaQ9z4E-tR5mnY"","&amp;"""Non-Food!B2:B""),MATCH($B653,IMPORTRANGE(""13KC70HngS4DDi8y9E5khtSpQEPG6owaQ9z4E-tR5mnY"",""Non-Food!A2:A""),0))),"""")"),"")</f>
        <v/>
      </c>
      <c r="D653" s="15"/>
      <c r="E653" s="15"/>
      <c r="F653" s="36"/>
      <c r="G653" s="24" t="str">
        <f>IFERROR(__xludf.DUMMYFUNCTION("iferror(iferror(iferror(index(IMPORTRANGE(""1NK5L1mviMn0j3D3uo53ASkIZOFRlLnqaCTnwzOG2_Wg"",""Direct Link!B2:B""),MATCH($B653,IMPORTRANGE(""1NK5L1mviMn0j3D3uo53ASkIZOFRlLnqaCTnwzOG2_Wg"",""Direct Link!A2:A""),0)),XLOOKUP($B653,IMPORTRANGE(""1NK5L1mviMn0j3D"&amp;"3uo53ASkIZOFRlLnqaCTnwzOG2_Wg"",""Direct links Without Sizes!A2:A""),IMPORTRANGE(""1NK5L1mviMn0j3D3uo53ASkIZOFRlLnqaCTnwzOG2_Wg"",""Direct links Without Sizes!B2:B""))),XLOOKUP($B653,IMPORTRANGE(""1NK5L1mviMn0j3D3uo53ASkIZOFRlLnqaCTnwzOG2_Wg"",""Direct li"&amp;"nks Without Sizes!D2:D""),IMPORTRANGE(""1NK5L1mviMn0j3D3uo53ASkIZOFRlLnqaCTnwzOG2_Wg"",""Direct links Without Sizes!E2:E""))),"""")"),"")</f>
        <v/>
      </c>
      <c r="H653" s="41"/>
      <c r="I653" s="4"/>
      <c r="J653" s="4"/>
      <c r="K653" s="10" t="str">
        <f t="shared" si="1"/>
        <v/>
      </c>
      <c r="L653" s="10"/>
      <c r="M653" s="10" t="str">
        <f t="shared" si="2"/>
        <v/>
      </c>
    </row>
    <row r="654">
      <c r="A654" s="4"/>
      <c r="B654" s="15"/>
      <c r="C654" s="7" t="str">
        <f>IFERROR(__xludf.DUMMYFUNCTION("iferror(iferror(INDEX(IMPORTRANGE(""12vtnxaE_Q1s4tyr10kZQx7ZF_xG0lBFae4jQEUtgsMU"",""All!B2:B""),MATCH($B654,IMPORTRANGE(""12vtnxaE_Q1s4tyr10kZQx7ZF_xG0lBFae4jQEUtgsMU"",""All!A2:A""),0)),INDEX(IMPORTRANGE(""13KC70HngS4DDi8y9E5khtSpQEPG6owaQ9z4E-tR5mnY"","&amp;"""Non-Food!B2:B""),MATCH($B654,IMPORTRANGE(""13KC70HngS4DDi8y9E5khtSpQEPG6owaQ9z4E-tR5mnY"",""Non-Food!A2:A""),0))),"""")"),"")</f>
        <v/>
      </c>
      <c r="D654" s="15"/>
      <c r="E654" s="15"/>
      <c r="F654" s="36"/>
      <c r="G654" s="24" t="str">
        <f>IFERROR(__xludf.DUMMYFUNCTION("iferror(iferror(iferror(index(IMPORTRANGE(""1NK5L1mviMn0j3D3uo53ASkIZOFRlLnqaCTnwzOG2_Wg"",""Direct Link!B2:B""),MATCH($B654,IMPORTRANGE(""1NK5L1mviMn0j3D3uo53ASkIZOFRlLnqaCTnwzOG2_Wg"",""Direct Link!A2:A""),0)),XLOOKUP($B654,IMPORTRANGE(""1NK5L1mviMn0j3D"&amp;"3uo53ASkIZOFRlLnqaCTnwzOG2_Wg"",""Direct links Without Sizes!A2:A""),IMPORTRANGE(""1NK5L1mviMn0j3D3uo53ASkIZOFRlLnqaCTnwzOG2_Wg"",""Direct links Without Sizes!B2:B""))),XLOOKUP($B654,IMPORTRANGE(""1NK5L1mviMn0j3D3uo53ASkIZOFRlLnqaCTnwzOG2_Wg"",""Direct li"&amp;"nks Without Sizes!D2:D""),IMPORTRANGE(""1NK5L1mviMn0j3D3uo53ASkIZOFRlLnqaCTnwzOG2_Wg"",""Direct links Without Sizes!E2:E""))),"""")"),"")</f>
        <v/>
      </c>
      <c r="H654" s="41"/>
      <c r="I654" s="4"/>
      <c r="J654" s="4"/>
      <c r="K654" s="10" t="str">
        <f t="shared" si="1"/>
        <v/>
      </c>
      <c r="L654" s="10"/>
      <c r="M654" s="10" t="str">
        <f t="shared" si="2"/>
        <v/>
      </c>
    </row>
    <row r="655">
      <c r="A655" s="4"/>
      <c r="B655" s="15"/>
      <c r="C655" s="7" t="str">
        <f>IFERROR(__xludf.DUMMYFUNCTION("iferror(iferror(INDEX(IMPORTRANGE(""12vtnxaE_Q1s4tyr10kZQx7ZF_xG0lBFae4jQEUtgsMU"",""All!B2:B""),MATCH($B655,IMPORTRANGE(""12vtnxaE_Q1s4tyr10kZQx7ZF_xG0lBFae4jQEUtgsMU"",""All!A2:A""),0)),INDEX(IMPORTRANGE(""13KC70HngS4DDi8y9E5khtSpQEPG6owaQ9z4E-tR5mnY"","&amp;"""Non-Food!B2:B""),MATCH($B655,IMPORTRANGE(""13KC70HngS4DDi8y9E5khtSpQEPG6owaQ9z4E-tR5mnY"",""Non-Food!A2:A""),0))),"""")"),"")</f>
        <v/>
      </c>
      <c r="D655" s="15"/>
      <c r="E655" s="15"/>
      <c r="F655" s="36"/>
      <c r="G655" s="24" t="str">
        <f>IFERROR(__xludf.DUMMYFUNCTION("iferror(iferror(iferror(index(IMPORTRANGE(""1NK5L1mviMn0j3D3uo53ASkIZOFRlLnqaCTnwzOG2_Wg"",""Direct Link!B2:B""),MATCH($B655,IMPORTRANGE(""1NK5L1mviMn0j3D3uo53ASkIZOFRlLnqaCTnwzOG2_Wg"",""Direct Link!A2:A""),0)),XLOOKUP($B655,IMPORTRANGE(""1NK5L1mviMn0j3D"&amp;"3uo53ASkIZOFRlLnqaCTnwzOG2_Wg"",""Direct links Without Sizes!A2:A""),IMPORTRANGE(""1NK5L1mviMn0j3D3uo53ASkIZOFRlLnqaCTnwzOG2_Wg"",""Direct links Without Sizes!B2:B""))),XLOOKUP($B655,IMPORTRANGE(""1NK5L1mviMn0j3D3uo53ASkIZOFRlLnqaCTnwzOG2_Wg"",""Direct li"&amp;"nks Without Sizes!D2:D""),IMPORTRANGE(""1NK5L1mviMn0j3D3uo53ASkIZOFRlLnqaCTnwzOG2_Wg"",""Direct links Without Sizes!E2:E""))),"""")"),"")</f>
        <v/>
      </c>
      <c r="H655" s="41"/>
      <c r="I655" s="4"/>
      <c r="J655" s="4"/>
      <c r="K655" s="10" t="str">
        <f t="shared" si="1"/>
        <v/>
      </c>
      <c r="L655" s="10"/>
      <c r="M655" s="10" t="str">
        <f t="shared" si="2"/>
        <v/>
      </c>
    </row>
    <row r="656">
      <c r="A656" s="4"/>
      <c r="B656" s="15"/>
      <c r="C656" s="7" t="str">
        <f>IFERROR(__xludf.DUMMYFUNCTION("iferror(iferror(INDEX(IMPORTRANGE(""12vtnxaE_Q1s4tyr10kZQx7ZF_xG0lBFae4jQEUtgsMU"",""All!B2:B""),MATCH($B656,IMPORTRANGE(""12vtnxaE_Q1s4tyr10kZQx7ZF_xG0lBFae4jQEUtgsMU"",""All!A2:A""),0)),INDEX(IMPORTRANGE(""13KC70HngS4DDi8y9E5khtSpQEPG6owaQ9z4E-tR5mnY"","&amp;"""Non-Food!B2:B""),MATCH($B656,IMPORTRANGE(""13KC70HngS4DDi8y9E5khtSpQEPG6owaQ9z4E-tR5mnY"",""Non-Food!A2:A""),0))),"""")"),"")</f>
        <v/>
      </c>
      <c r="D656" s="15"/>
      <c r="E656" s="15"/>
      <c r="F656" s="36"/>
      <c r="G656" s="24" t="str">
        <f>IFERROR(__xludf.DUMMYFUNCTION("iferror(iferror(iferror(index(IMPORTRANGE(""1NK5L1mviMn0j3D3uo53ASkIZOFRlLnqaCTnwzOG2_Wg"",""Direct Link!B2:B""),MATCH($B656,IMPORTRANGE(""1NK5L1mviMn0j3D3uo53ASkIZOFRlLnqaCTnwzOG2_Wg"",""Direct Link!A2:A""),0)),XLOOKUP($B656,IMPORTRANGE(""1NK5L1mviMn0j3D"&amp;"3uo53ASkIZOFRlLnqaCTnwzOG2_Wg"",""Direct links Without Sizes!A2:A""),IMPORTRANGE(""1NK5L1mviMn0j3D3uo53ASkIZOFRlLnqaCTnwzOG2_Wg"",""Direct links Without Sizes!B2:B""))),XLOOKUP($B656,IMPORTRANGE(""1NK5L1mviMn0j3D3uo53ASkIZOFRlLnqaCTnwzOG2_Wg"",""Direct li"&amp;"nks Without Sizes!D2:D""),IMPORTRANGE(""1NK5L1mviMn0j3D3uo53ASkIZOFRlLnqaCTnwzOG2_Wg"",""Direct links Without Sizes!E2:E""))),"""")"),"")</f>
        <v/>
      </c>
      <c r="H656" s="41"/>
      <c r="I656" s="4"/>
      <c r="J656" s="4"/>
      <c r="K656" s="10" t="str">
        <f t="shared" si="1"/>
        <v/>
      </c>
      <c r="L656" s="10"/>
      <c r="M656" s="10" t="str">
        <f t="shared" si="2"/>
        <v/>
      </c>
    </row>
    <row r="657">
      <c r="A657" s="4"/>
      <c r="B657" s="15"/>
      <c r="C657" s="7" t="str">
        <f>IFERROR(__xludf.DUMMYFUNCTION("iferror(iferror(INDEX(IMPORTRANGE(""12vtnxaE_Q1s4tyr10kZQx7ZF_xG0lBFae4jQEUtgsMU"",""All!B2:B""),MATCH($B657,IMPORTRANGE(""12vtnxaE_Q1s4tyr10kZQx7ZF_xG0lBFae4jQEUtgsMU"",""All!A2:A""),0)),INDEX(IMPORTRANGE(""13KC70HngS4DDi8y9E5khtSpQEPG6owaQ9z4E-tR5mnY"","&amp;"""Non-Food!B2:B""),MATCH($B657,IMPORTRANGE(""13KC70HngS4DDi8y9E5khtSpQEPG6owaQ9z4E-tR5mnY"",""Non-Food!A2:A""),0))),"""")"),"")</f>
        <v/>
      </c>
      <c r="D657" s="15"/>
      <c r="E657" s="15"/>
      <c r="F657" s="36"/>
      <c r="G657" s="24" t="str">
        <f>IFERROR(__xludf.DUMMYFUNCTION("iferror(iferror(iferror(index(IMPORTRANGE(""1NK5L1mviMn0j3D3uo53ASkIZOFRlLnqaCTnwzOG2_Wg"",""Direct Link!B2:B""),MATCH($B657,IMPORTRANGE(""1NK5L1mviMn0j3D3uo53ASkIZOFRlLnqaCTnwzOG2_Wg"",""Direct Link!A2:A""),0)),XLOOKUP($B657,IMPORTRANGE(""1NK5L1mviMn0j3D"&amp;"3uo53ASkIZOFRlLnqaCTnwzOG2_Wg"",""Direct links Without Sizes!A2:A""),IMPORTRANGE(""1NK5L1mviMn0j3D3uo53ASkIZOFRlLnqaCTnwzOG2_Wg"",""Direct links Without Sizes!B2:B""))),XLOOKUP($B657,IMPORTRANGE(""1NK5L1mviMn0j3D3uo53ASkIZOFRlLnqaCTnwzOG2_Wg"",""Direct li"&amp;"nks Without Sizes!D2:D""),IMPORTRANGE(""1NK5L1mviMn0j3D3uo53ASkIZOFRlLnqaCTnwzOG2_Wg"",""Direct links Without Sizes!E2:E""))),"""")"),"")</f>
        <v/>
      </c>
      <c r="H657" s="41"/>
      <c r="I657" s="4"/>
      <c r="J657" s="4"/>
      <c r="K657" s="10" t="str">
        <f t="shared" si="1"/>
        <v/>
      </c>
      <c r="L657" s="10"/>
      <c r="M657" s="10" t="str">
        <f t="shared" si="2"/>
        <v/>
      </c>
    </row>
    <row r="658">
      <c r="A658" s="4"/>
      <c r="B658" s="15"/>
      <c r="C658" s="7" t="str">
        <f>IFERROR(__xludf.DUMMYFUNCTION("iferror(iferror(INDEX(IMPORTRANGE(""12vtnxaE_Q1s4tyr10kZQx7ZF_xG0lBFae4jQEUtgsMU"",""All!B2:B""),MATCH($B658,IMPORTRANGE(""12vtnxaE_Q1s4tyr10kZQx7ZF_xG0lBFae4jQEUtgsMU"",""All!A2:A""),0)),INDEX(IMPORTRANGE(""13KC70HngS4DDi8y9E5khtSpQEPG6owaQ9z4E-tR5mnY"","&amp;"""Non-Food!B2:B""),MATCH($B658,IMPORTRANGE(""13KC70HngS4DDi8y9E5khtSpQEPG6owaQ9z4E-tR5mnY"",""Non-Food!A2:A""),0))),"""")"),"")</f>
        <v/>
      </c>
      <c r="D658" s="15"/>
      <c r="E658" s="15"/>
      <c r="F658" s="36"/>
      <c r="G658" s="24" t="str">
        <f>IFERROR(__xludf.DUMMYFUNCTION("iferror(iferror(iferror(index(IMPORTRANGE(""1NK5L1mviMn0j3D3uo53ASkIZOFRlLnqaCTnwzOG2_Wg"",""Direct Link!B2:B""),MATCH($B658,IMPORTRANGE(""1NK5L1mviMn0j3D3uo53ASkIZOFRlLnqaCTnwzOG2_Wg"",""Direct Link!A2:A""),0)),XLOOKUP($B658,IMPORTRANGE(""1NK5L1mviMn0j3D"&amp;"3uo53ASkIZOFRlLnqaCTnwzOG2_Wg"",""Direct links Without Sizes!A2:A""),IMPORTRANGE(""1NK5L1mviMn0j3D3uo53ASkIZOFRlLnqaCTnwzOG2_Wg"",""Direct links Without Sizes!B2:B""))),XLOOKUP($B658,IMPORTRANGE(""1NK5L1mviMn0j3D3uo53ASkIZOFRlLnqaCTnwzOG2_Wg"",""Direct li"&amp;"nks Without Sizes!D2:D""),IMPORTRANGE(""1NK5L1mviMn0j3D3uo53ASkIZOFRlLnqaCTnwzOG2_Wg"",""Direct links Without Sizes!E2:E""))),"""")"),"")</f>
        <v/>
      </c>
      <c r="H658" s="41"/>
      <c r="I658" s="4"/>
      <c r="J658" s="4"/>
      <c r="K658" s="10" t="str">
        <f t="shared" si="1"/>
        <v/>
      </c>
      <c r="L658" s="10"/>
      <c r="M658" s="10" t="str">
        <f t="shared" si="2"/>
        <v/>
      </c>
    </row>
    <row r="659">
      <c r="A659" s="4"/>
      <c r="B659" s="15"/>
      <c r="C659" s="7" t="str">
        <f>IFERROR(__xludf.DUMMYFUNCTION("iferror(iferror(INDEX(IMPORTRANGE(""12vtnxaE_Q1s4tyr10kZQx7ZF_xG0lBFae4jQEUtgsMU"",""All!B2:B""),MATCH($B659,IMPORTRANGE(""12vtnxaE_Q1s4tyr10kZQx7ZF_xG0lBFae4jQEUtgsMU"",""All!A2:A""),0)),INDEX(IMPORTRANGE(""13KC70HngS4DDi8y9E5khtSpQEPG6owaQ9z4E-tR5mnY"","&amp;"""Non-Food!B2:B""),MATCH($B659,IMPORTRANGE(""13KC70HngS4DDi8y9E5khtSpQEPG6owaQ9z4E-tR5mnY"",""Non-Food!A2:A""),0))),"""")"),"")</f>
        <v/>
      </c>
      <c r="D659" s="15"/>
      <c r="E659" s="15"/>
      <c r="F659" s="36"/>
      <c r="G659" s="24" t="str">
        <f>IFERROR(__xludf.DUMMYFUNCTION("iferror(iferror(iferror(index(IMPORTRANGE(""1NK5L1mviMn0j3D3uo53ASkIZOFRlLnqaCTnwzOG2_Wg"",""Direct Link!B2:B""),MATCH($B659,IMPORTRANGE(""1NK5L1mviMn0j3D3uo53ASkIZOFRlLnqaCTnwzOG2_Wg"",""Direct Link!A2:A""),0)),XLOOKUP($B659,IMPORTRANGE(""1NK5L1mviMn0j3D"&amp;"3uo53ASkIZOFRlLnqaCTnwzOG2_Wg"",""Direct links Without Sizes!A2:A""),IMPORTRANGE(""1NK5L1mviMn0j3D3uo53ASkIZOFRlLnqaCTnwzOG2_Wg"",""Direct links Without Sizes!B2:B""))),XLOOKUP($B659,IMPORTRANGE(""1NK5L1mviMn0j3D3uo53ASkIZOFRlLnqaCTnwzOG2_Wg"",""Direct li"&amp;"nks Without Sizes!D2:D""),IMPORTRANGE(""1NK5L1mviMn0j3D3uo53ASkIZOFRlLnqaCTnwzOG2_Wg"",""Direct links Without Sizes!E2:E""))),"""")"),"")</f>
        <v/>
      </c>
      <c r="H659" s="41"/>
      <c r="I659" s="4"/>
      <c r="J659" s="4"/>
      <c r="K659" s="10" t="str">
        <f t="shared" si="1"/>
        <v/>
      </c>
      <c r="L659" s="10"/>
      <c r="M659" s="10" t="str">
        <f t="shared" si="2"/>
        <v/>
      </c>
    </row>
    <row r="660">
      <c r="A660" s="4"/>
      <c r="B660" s="15"/>
      <c r="C660" s="7" t="str">
        <f>IFERROR(__xludf.DUMMYFUNCTION("iferror(iferror(INDEX(IMPORTRANGE(""12vtnxaE_Q1s4tyr10kZQx7ZF_xG0lBFae4jQEUtgsMU"",""All!B2:B""),MATCH($B660,IMPORTRANGE(""12vtnxaE_Q1s4tyr10kZQx7ZF_xG0lBFae4jQEUtgsMU"",""All!A2:A""),0)),INDEX(IMPORTRANGE(""13KC70HngS4DDi8y9E5khtSpQEPG6owaQ9z4E-tR5mnY"","&amp;"""Non-Food!B2:B""),MATCH($B660,IMPORTRANGE(""13KC70HngS4DDi8y9E5khtSpQEPG6owaQ9z4E-tR5mnY"",""Non-Food!A2:A""),0))),"""")"),"")</f>
        <v/>
      </c>
      <c r="D660" s="15"/>
      <c r="E660" s="15"/>
      <c r="F660" s="36"/>
      <c r="G660" s="24" t="str">
        <f>IFERROR(__xludf.DUMMYFUNCTION("iferror(iferror(iferror(index(IMPORTRANGE(""1NK5L1mviMn0j3D3uo53ASkIZOFRlLnqaCTnwzOG2_Wg"",""Direct Link!B2:B""),MATCH($B660,IMPORTRANGE(""1NK5L1mviMn0j3D3uo53ASkIZOFRlLnqaCTnwzOG2_Wg"",""Direct Link!A2:A""),0)),XLOOKUP($B660,IMPORTRANGE(""1NK5L1mviMn0j3D"&amp;"3uo53ASkIZOFRlLnqaCTnwzOG2_Wg"",""Direct links Without Sizes!A2:A""),IMPORTRANGE(""1NK5L1mviMn0j3D3uo53ASkIZOFRlLnqaCTnwzOG2_Wg"",""Direct links Without Sizes!B2:B""))),XLOOKUP($B660,IMPORTRANGE(""1NK5L1mviMn0j3D3uo53ASkIZOFRlLnqaCTnwzOG2_Wg"",""Direct li"&amp;"nks Without Sizes!D2:D""),IMPORTRANGE(""1NK5L1mviMn0j3D3uo53ASkIZOFRlLnqaCTnwzOG2_Wg"",""Direct links Without Sizes!E2:E""))),"""")"),"")</f>
        <v/>
      </c>
      <c r="H660" s="41"/>
      <c r="I660" s="4"/>
      <c r="J660" s="4"/>
      <c r="K660" s="10" t="str">
        <f t="shared" si="1"/>
        <v/>
      </c>
      <c r="L660" s="10"/>
      <c r="M660" s="10" t="str">
        <f t="shared" si="2"/>
        <v/>
      </c>
    </row>
    <row r="661">
      <c r="A661" s="4"/>
      <c r="B661" s="15"/>
      <c r="C661" s="7" t="str">
        <f>IFERROR(__xludf.DUMMYFUNCTION("iferror(iferror(INDEX(IMPORTRANGE(""12vtnxaE_Q1s4tyr10kZQx7ZF_xG0lBFae4jQEUtgsMU"",""All!B2:B""),MATCH($B661,IMPORTRANGE(""12vtnxaE_Q1s4tyr10kZQx7ZF_xG0lBFae4jQEUtgsMU"",""All!A2:A""),0)),INDEX(IMPORTRANGE(""13KC70HngS4DDi8y9E5khtSpQEPG6owaQ9z4E-tR5mnY"","&amp;"""Non-Food!B2:B""),MATCH($B661,IMPORTRANGE(""13KC70HngS4DDi8y9E5khtSpQEPG6owaQ9z4E-tR5mnY"",""Non-Food!A2:A""),0))),"""")"),"")</f>
        <v/>
      </c>
      <c r="D661" s="15"/>
      <c r="E661" s="15"/>
      <c r="F661" s="36"/>
      <c r="G661" s="24" t="str">
        <f>IFERROR(__xludf.DUMMYFUNCTION("iferror(iferror(iferror(index(IMPORTRANGE(""1NK5L1mviMn0j3D3uo53ASkIZOFRlLnqaCTnwzOG2_Wg"",""Direct Link!B2:B""),MATCH($B661,IMPORTRANGE(""1NK5L1mviMn0j3D3uo53ASkIZOFRlLnqaCTnwzOG2_Wg"",""Direct Link!A2:A""),0)),XLOOKUP($B661,IMPORTRANGE(""1NK5L1mviMn0j3D"&amp;"3uo53ASkIZOFRlLnqaCTnwzOG2_Wg"",""Direct links Without Sizes!A2:A""),IMPORTRANGE(""1NK5L1mviMn0j3D3uo53ASkIZOFRlLnqaCTnwzOG2_Wg"",""Direct links Without Sizes!B2:B""))),XLOOKUP($B661,IMPORTRANGE(""1NK5L1mviMn0j3D3uo53ASkIZOFRlLnqaCTnwzOG2_Wg"",""Direct li"&amp;"nks Without Sizes!D2:D""),IMPORTRANGE(""1NK5L1mviMn0j3D3uo53ASkIZOFRlLnqaCTnwzOG2_Wg"",""Direct links Without Sizes!E2:E""))),"""")"),"")</f>
        <v/>
      </c>
      <c r="H661" s="41"/>
      <c r="I661" s="4"/>
      <c r="J661" s="4"/>
      <c r="K661" s="10" t="str">
        <f t="shared" si="1"/>
        <v/>
      </c>
      <c r="L661" s="10"/>
      <c r="M661" s="10" t="str">
        <f t="shared" si="2"/>
        <v/>
      </c>
    </row>
    <row r="662">
      <c r="A662" s="4"/>
      <c r="B662" s="15"/>
      <c r="C662" s="7" t="str">
        <f>IFERROR(__xludf.DUMMYFUNCTION("iferror(iferror(INDEX(IMPORTRANGE(""12vtnxaE_Q1s4tyr10kZQx7ZF_xG0lBFae4jQEUtgsMU"",""All!B2:B""),MATCH($B662,IMPORTRANGE(""12vtnxaE_Q1s4tyr10kZQx7ZF_xG0lBFae4jQEUtgsMU"",""All!A2:A""),0)),INDEX(IMPORTRANGE(""13KC70HngS4DDi8y9E5khtSpQEPG6owaQ9z4E-tR5mnY"","&amp;"""Non-Food!B2:B""),MATCH($B662,IMPORTRANGE(""13KC70HngS4DDi8y9E5khtSpQEPG6owaQ9z4E-tR5mnY"",""Non-Food!A2:A""),0))),"""")"),"")</f>
        <v/>
      </c>
      <c r="D662" s="15"/>
      <c r="E662" s="15"/>
      <c r="F662" s="36"/>
      <c r="G662" s="24" t="str">
        <f>IFERROR(__xludf.DUMMYFUNCTION("iferror(iferror(iferror(index(IMPORTRANGE(""1NK5L1mviMn0j3D3uo53ASkIZOFRlLnqaCTnwzOG2_Wg"",""Direct Link!B2:B""),MATCH($B662,IMPORTRANGE(""1NK5L1mviMn0j3D3uo53ASkIZOFRlLnqaCTnwzOG2_Wg"",""Direct Link!A2:A""),0)),XLOOKUP($B662,IMPORTRANGE(""1NK5L1mviMn0j3D"&amp;"3uo53ASkIZOFRlLnqaCTnwzOG2_Wg"",""Direct links Without Sizes!A2:A""),IMPORTRANGE(""1NK5L1mviMn0j3D3uo53ASkIZOFRlLnqaCTnwzOG2_Wg"",""Direct links Without Sizes!B2:B""))),XLOOKUP($B662,IMPORTRANGE(""1NK5L1mviMn0j3D3uo53ASkIZOFRlLnqaCTnwzOG2_Wg"",""Direct li"&amp;"nks Without Sizes!D2:D""),IMPORTRANGE(""1NK5L1mviMn0j3D3uo53ASkIZOFRlLnqaCTnwzOG2_Wg"",""Direct links Without Sizes!E2:E""))),"""")"),"")</f>
        <v/>
      </c>
      <c r="H662" s="41"/>
      <c r="I662" s="4"/>
      <c r="J662" s="4"/>
      <c r="K662" s="10" t="str">
        <f t="shared" si="1"/>
        <v/>
      </c>
      <c r="L662" s="10"/>
      <c r="M662" s="10" t="str">
        <f t="shared" si="2"/>
        <v/>
      </c>
    </row>
    <row r="663">
      <c r="A663" s="4"/>
      <c r="B663" s="15"/>
      <c r="C663" s="7" t="str">
        <f>IFERROR(__xludf.DUMMYFUNCTION("iferror(iferror(INDEX(IMPORTRANGE(""12vtnxaE_Q1s4tyr10kZQx7ZF_xG0lBFae4jQEUtgsMU"",""All!B2:B""),MATCH($B663,IMPORTRANGE(""12vtnxaE_Q1s4tyr10kZQx7ZF_xG0lBFae4jQEUtgsMU"",""All!A2:A""),0)),INDEX(IMPORTRANGE(""13KC70HngS4DDi8y9E5khtSpQEPG6owaQ9z4E-tR5mnY"","&amp;"""Non-Food!B2:B""),MATCH($B663,IMPORTRANGE(""13KC70HngS4DDi8y9E5khtSpQEPG6owaQ9z4E-tR5mnY"",""Non-Food!A2:A""),0))),"""")"),"")</f>
        <v/>
      </c>
      <c r="D663" s="15"/>
      <c r="E663" s="15"/>
      <c r="F663" s="36"/>
      <c r="G663" s="24" t="str">
        <f>IFERROR(__xludf.DUMMYFUNCTION("iferror(iferror(iferror(index(IMPORTRANGE(""1NK5L1mviMn0j3D3uo53ASkIZOFRlLnqaCTnwzOG2_Wg"",""Direct Link!B2:B""),MATCH($B663,IMPORTRANGE(""1NK5L1mviMn0j3D3uo53ASkIZOFRlLnqaCTnwzOG2_Wg"",""Direct Link!A2:A""),0)),XLOOKUP($B663,IMPORTRANGE(""1NK5L1mviMn0j3D"&amp;"3uo53ASkIZOFRlLnqaCTnwzOG2_Wg"",""Direct links Without Sizes!A2:A""),IMPORTRANGE(""1NK5L1mviMn0j3D3uo53ASkIZOFRlLnqaCTnwzOG2_Wg"",""Direct links Without Sizes!B2:B""))),XLOOKUP($B663,IMPORTRANGE(""1NK5L1mviMn0j3D3uo53ASkIZOFRlLnqaCTnwzOG2_Wg"",""Direct li"&amp;"nks Without Sizes!D2:D""),IMPORTRANGE(""1NK5L1mviMn0j3D3uo53ASkIZOFRlLnqaCTnwzOG2_Wg"",""Direct links Without Sizes!E2:E""))),"""")"),"")</f>
        <v/>
      </c>
      <c r="H663" s="41"/>
      <c r="I663" s="4"/>
      <c r="J663" s="4"/>
      <c r="K663" s="10" t="str">
        <f t="shared" si="1"/>
        <v/>
      </c>
      <c r="L663" s="10"/>
      <c r="M663" s="10" t="str">
        <f t="shared" si="2"/>
        <v/>
      </c>
    </row>
    <row r="664">
      <c r="A664" s="4"/>
      <c r="B664" s="15"/>
      <c r="C664" s="7" t="str">
        <f>IFERROR(__xludf.DUMMYFUNCTION("iferror(iferror(INDEX(IMPORTRANGE(""12vtnxaE_Q1s4tyr10kZQx7ZF_xG0lBFae4jQEUtgsMU"",""All!B2:B""),MATCH($B664,IMPORTRANGE(""12vtnxaE_Q1s4tyr10kZQx7ZF_xG0lBFae4jQEUtgsMU"",""All!A2:A""),0)),INDEX(IMPORTRANGE(""13KC70HngS4DDi8y9E5khtSpQEPG6owaQ9z4E-tR5mnY"","&amp;"""Non-Food!B2:B""),MATCH($B664,IMPORTRANGE(""13KC70HngS4DDi8y9E5khtSpQEPG6owaQ9z4E-tR5mnY"",""Non-Food!A2:A""),0))),"""")"),"")</f>
        <v/>
      </c>
      <c r="D664" s="15"/>
      <c r="E664" s="15"/>
      <c r="F664" s="36"/>
      <c r="G664" s="24" t="str">
        <f>IFERROR(__xludf.DUMMYFUNCTION("iferror(iferror(iferror(index(IMPORTRANGE(""1NK5L1mviMn0j3D3uo53ASkIZOFRlLnqaCTnwzOG2_Wg"",""Direct Link!B2:B""),MATCH($B664,IMPORTRANGE(""1NK5L1mviMn0j3D3uo53ASkIZOFRlLnqaCTnwzOG2_Wg"",""Direct Link!A2:A""),0)),XLOOKUP($B664,IMPORTRANGE(""1NK5L1mviMn0j3D"&amp;"3uo53ASkIZOFRlLnqaCTnwzOG2_Wg"",""Direct links Without Sizes!A2:A""),IMPORTRANGE(""1NK5L1mviMn0j3D3uo53ASkIZOFRlLnqaCTnwzOG2_Wg"",""Direct links Without Sizes!B2:B""))),XLOOKUP($B664,IMPORTRANGE(""1NK5L1mviMn0j3D3uo53ASkIZOFRlLnqaCTnwzOG2_Wg"",""Direct li"&amp;"nks Without Sizes!D2:D""),IMPORTRANGE(""1NK5L1mviMn0j3D3uo53ASkIZOFRlLnqaCTnwzOG2_Wg"",""Direct links Without Sizes!E2:E""))),"""")"),"")</f>
        <v/>
      </c>
      <c r="H664" s="41"/>
      <c r="I664" s="4"/>
      <c r="J664" s="4"/>
      <c r="K664" s="10" t="str">
        <f t="shared" si="1"/>
        <v/>
      </c>
      <c r="L664" s="10"/>
      <c r="M664" s="10" t="str">
        <f t="shared" si="2"/>
        <v/>
      </c>
    </row>
    <row r="665">
      <c r="A665" s="4"/>
      <c r="B665" s="15"/>
      <c r="C665" s="7" t="str">
        <f>IFERROR(__xludf.DUMMYFUNCTION("iferror(iferror(INDEX(IMPORTRANGE(""12vtnxaE_Q1s4tyr10kZQx7ZF_xG0lBFae4jQEUtgsMU"",""All!B2:B""),MATCH($B665,IMPORTRANGE(""12vtnxaE_Q1s4tyr10kZQx7ZF_xG0lBFae4jQEUtgsMU"",""All!A2:A""),0)),INDEX(IMPORTRANGE(""13KC70HngS4DDi8y9E5khtSpQEPG6owaQ9z4E-tR5mnY"","&amp;"""Non-Food!B2:B""),MATCH($B665,IMPORTRANGE(""13KC70HngS4DDi8y9E5khtSpQEPG6owaQ9z4E-tR5mnY"",""Non-Food!A2:A""),0))),"""")"),"")</f>
        <v/>
      </c>
      <c r="D665" s="15"/>
      <c r="E665" s="15"/>
      <c r="F665" s="36"/>
      <c r="G665" s="24" t="str">
        <f>IFERROR(__xludf.DUMMYFUNCTION("iferror(iferror(iferror(index(IMPORTRANGE(""1NK5L1mviMn0j3D3uo53ASkIZOFRlLnqaCTnwzOG2_Wg"",""Direct Link!B2:B""),MATCH($B665,IMPORTRANGE(""1NK5L1mviMn0j3D3uo53ASkIZOFRlLnqaCTnwzOG2_Wg"",""Direct Link!A2:A""),0)),XLOOKUP($B665,IMPORTRANGE(""1NK5L1mviMn0j3D"&amp;"3uo53ASkIZOFRlLnqaCTnwzOG2_Wg"",""Direct links Without Sizes!A2:A""),IMPORTRANGE(""1NK5L1mviMn0j3D3uo53ASkIZOFRlLnqaCTnwzOG2_Wg"",""Direct links Without Sizes!B2:B""))),XLOOKUP($B665,IMPORTRANGE(""1NK5L1mviMn0j3D3uo53ASkIZOFRlLnqaCTnwzOG2_Wg"",""Direct li"&amp;"nks Without Sizes!D2:D""),IMPORTRANGE(""1NK5L1mviMn0j3D3uo53ASkIZOFRlLnqaCTnwzOG2_Wg"",""Direct links Without Sizes!E2:E""))),"""")"),"")</f>
        <v/>
      </c>
      <c r="H665" s="41"/>
      <c r="I665" s="4"/>
      <c r="J665" s="4"/>
      <c r="K665" s="10" t="str">
        <f t="shared" si="1"/>
        <v/>
      </c>
      <c r="L665" s="10"/>
      <c r="M665" s="10" t="str">
        <f t="shared" si="2"/>
        <v/>
      </c>
    </row>
    <row r="666">
      <c r="A666" s="4"/>
      <c r="B666" s="15"/>
      <c r="C666" s="7" t="str">
        <f>IFERROR(__xludf.DUMMYFUNCTION("iferror(iferror(INDEX(IMPORTRANGE(""12vtnxaE_Q1s4tyr10kZQx7ZF_xG0lBFae4jQEUtgsMU"",""All!B2:B""),MATCH($B666,IMPORTRANGE(""12vtnxaE_Q1s4tyr10kZQx7ZF_xG0lBFae4jQEUtgsMU"",""All!A2:A""),0)),INDEX(IMPORTRANGE(""13KC70HngS4DDi8y9E5khtSpQEPG6owaQ9z4E-tR5mnY"","&amp;"""Non-Food!B2:B""),MATCH($B666,IMPORTRANGE(""13KC70HngS4DDi8y9E5khtSpQEPG6owaQ9z4E-tR5mnY"",""Non-Food!A2:A""),0))),"""")"),"")</f>
        <v/>
      </c>
      <c r="D666" s="15"/>
      <c r="E666" s="15"/>
      <c r="F666" s="36"/>
      <c r="G666" s="24" t="str">
        <f>IFERROR(__xludf.DUMMYFUNCTION("iferror(iferror(iferror(index(IMPORTRANGE(""1NK5L1mviMn0j3D3uo53ASkIZOFRlLnqaCTnwzOG2_Wg"",""Direct Link!B2:B""),MATCH($B666,IMPORTRANGE(""1NK5L1mviMn0j3D3uo53ASkIZOFRlLnqaCTnwzOG2_Wg"",""Direct Link!A2:A""),0)),XLOOKUP($B666,IMPORTRANGE(""1NK5L1mviMn0j3D"&amp;"3uo53ASkIZOFRlLnqaCTnwzOG2_Wg"",""Direct links Without Sizes!A2:A""),IMPORTRANGE(""1NK5L1mviMn0j3D3uo53ASkIZOFRlLnqaCTnwzOG2_Wg"",""Direct links Without Sizes!B2:B""))),XLOOKUP($B666,IMPORTRANGE(""1NK5L1mviMn0j3D3uo53ASkIZOFRlLnqaCTnwzOG2_Wg"",""Direct li"&amp;"nks Without Sizes!D2:D""),IMPORTRANGE(""1NK5L1mviMn0j3D3uo53ASkIZOFRlLnqaCTnwzOG2_Wg"",""Direct links Without Sizes!E2:E""))),"""")"),"")</f>
        <v/>
      </c>
      <c r="H666" s="41"/>
      <c r="I666" s="4"/>
      <c r="J666" s="4"/>
      <c r="K666" s="10" t="str">
        <f t="shared" si="1"/>
        <v/>
      </c>
      <c r="L666" s="10"/>
      <c r="M666" s="10" t="str">
        <f t="shared" si="2"/>
        <v/>
      </c>
    </row>
    <row r="667">
      <c r="A667" s="4"/>
      <c r="B667" s="15"/>
      <c r="C667" s="7" t="str">
        <f>IFERROR(__xludf.DUMMYFUNCTION("iferror(iferror(INDEX(IMPORTRANGE(""12vtnxaE_Q1s4tyr10kZQx7ZF_xG0lBFae4jQEUtgsMU"",""All!B2:B""),MATCH($B667,IMPORTRANGE(""12vtnxaE_Q1s4tyr10kZQx7ZF_xG0lBFae4jQEUtgsMU"",""All!A2:A""),0)),INDEX(IMPORTRANGE(""13KC70HngS4DDi8y9E5khtSpQEPG6owaQ9z4E-tR5mnY"","&amp;"""Non-Food!B2:B""),MATCH($B667,IMPORTRANGE(""13KC70HngS4DDi8y9E5khtSpQEPG6owaQ9z4E-tR5mnY"",""Non-Food!A2:A""),0))),"""")"),"")</f>
        <v/>
      </c>
      <c r="D667" s="15"/>
      <c r="E667" s="15"/>
      <c r="F667" s="36"/>
      <c r="G667" s="24" t="str">
        <f>IFERROR(__xludf.DUMMYFUNCTION("iferror(iferror(iferror(index(IMPORTRANGE(""1NK5L1mviMn0j3D3uo53ASkIZOFRlLnqaCTnwzOG2_Wg"",""Direct Link!B2:B""),MATCH($B667,IMPORTRANGE(""1NK5L1mviMn0j3D3uo53ASkIZOFRlLnqaCTnwzOG2_Wg"",""Direct Link!A2:A""),0)),XLOOKUP($B667,IMPORTRANGE(""1NK5L1mviMn0j3D"&amp;"3uo53ASkIZOFRlLnqaCTnwzOG2_Wg"",""Direct links Without Sizes!A2:A""),IMPORTRANGE(""1NK5L1mviMn0j3D3uo53ASkIZOFRlLnqaCTnwzOG2_Wg"",""Direct links Without Sizes!B2:B""))),XLOOKUP($B667,IMPORTRANGE(""1NK5L1mviMn0j3D3uo53ASkIZOFRlLnqaCTnwzOG2_Wg"",""Direct li"&amp;"nks Without Sizes!D2:D""),IMPORTRANGE(""1NK5L1mviMn0j3D3uo53ASkIZOFRlLnqaCTnwzOG2_Wg"",""Direct links Without Sizes!E2:E""))),"""")"),"")</f>
        <v/>
      </c>
      <c r="H667" s="41"/>
      <c r="I667" s="4"/>
      <c r="J667" s="4"/>
      <c r="K667" s="10" t="str">
        <f t="shared" si="1"/>
        <v/>
      </c>
      <c r="L667" s="10"/>
      <c r="M667" s="10" t="str">
        <f t="shared" si="2"/>
        <v/>
      </c>
    </row>
    <row r="668">
      <c r="A668" s="4"/>
      <c r="B668" s="15"/>
      <c r="C668" s="7" t="str">
        <f>IFERROR(__xludf.DUMMYFUNCTION("iferror(iferror(INDEX(IMPORTRANGE(""12vtnxaE_Q1s4tyr10kZQx7ZF_xG0lBFae4jQEUtgsMU"",""All!B2:B""),MATCH($B668,IMPORTRANGE(""12vtnxaE_Q1s4tyr10kZQx7ZF_xG0lBFae4jQEUtgsMU"",""All!A2:A""),0)),INDEX(IMPORTRANGE(""13KC70HngS4DDi8y9E5khtSpQEPG6owaQ9z4E-tR5mnY"","&amp;"""Non-Food!B2:B""),MATCH($B668,IMPORTRANGE(""13KC70HngS4DDi8y9E5khtSpQEPG6owaQ9z4E-tR5mnY"",""Non-Food!A2:A""),0))),"""")"),"")</f>
        <v/>
      </c>
      <c r="D668" s="15"/>
      <c r="E668" s="15"/>
      <c r="F668" s="36"/>
      <c r="G668" s="24" t="str">
        <f>IFERROR(__xludf.DUMMYFUNCTION("iferror(iferror(iferror(index(IMPORTRANGE(""1NK5L1mviMn0j3D3uo53ASkIZOFRlLnqaCTnwzOG2_Wg"",""Direct Link!B2:B""),MATCH($B668,IMPORTRANGE(""1NK5L1mviMn0j3D3uo53ASkIZOFRlLnqaCTnwzOG2_Wg"",""Direct Link!A2:A""),0)),XLOOKUP($B668,IMPORTRANGE(""1NK5L1mviMn0j3D"&amp;"3uo53ASkIZOFRlLnqaCTnwzOG2_Wg"",""Direct links Without Sizes!A2:A""),IMPORTRANGE(""1NK5L1mviMn0j3D3uo53ASkIZOFRlLnqaCTnwzOG2_Wg"",""Direct links Without Sizes!B2:B""))),XLOOKUP($B668,IMPORTRANGE(""1NK5L1mviMn0j3D3uo53ASkIZOFRlLnqaCTnwzOG2_Wg"",""Direct li"&amp;"nks Without Sizes!D2:D""),IMPORTRANGE(""1NK5L1mviMn0j3D3uo53ASkIZOFRlLnqaCTnwzOG2_Wg"",""Direct links Without Sizes!E2:E""))),"""")"),"")</f>
        <v/>
      </c>
      <c r="H668" s="41"/>
      <c r="I668" s="4"/>
      <c r="J668" s="4"/>
      <c r="K668" s="10" t="str">
        <f t="shared" si="1"/>
        <v/>
      </c>
      <c r="L668" s="10"/>
      <c r="M668" s="10" t="str">
        <f t="shared" si="2"/>
        <v/>
      </c>
    </row>
    <row r="669">
      <c r="A669" s="4"/>
      <c r="B669" s="15"/>
      <c r="C669" s="7" t="str">
        <f>IFERROR(__xludf.DUMMYFUNCTION("iferror(iferror(INDEX(IMPORTRANGE(""12vtnxaE_Q1s4tyr10kZQx7ZF_xG0lBFae4jQEUtgsMU"",""All!B2:B""),MATCH($B669,IMPORTRANGE(""12vtnxaE_Q1s4tyr10kZQx7ZF_xG0lBFae4jQEUtgsMU"",""All!A2:A""),0)),INDEX(IMPORTRANGE(""13KC70HngS4DDi8y9E5khtSpQEPG6owaQ9z4E-tR5mnY"","&amp;"""Non-Food!B2:B""),MATCH($B669,IMPORTRANGE(""13KC70HngS4DDi8y9E5khtSpQEPG6owaQ9z4E-tR5mnY"",""Non-Food!A2:A""),0))),"""")"),"")</f>
        <v/>
      </c>
      <c r="D669" s="15"/>
      <c r="E669" s="15"/>
      <c r="F669" s="36"/>
      <c r="G669" s="24" t="str">
        <f>IFERROR(__xludf.DUMMYFUNCTION("iferror(iferror(iferror(index(IMPORTRANGE(""1NK5L1mviMn0j3D3uo53ASkIZOFRlLnqaCTnwzOG2_Wg"",""Direct Link!B2:B""),MATCH($B669,IMPORTRANGE(""1NK5L1mviMn0j3D3uo53ASkIZOFRlLnqaCTnwzOG2_Wg"",""Direct Link!A2:A""),0)),XLOOKUP($B669,IMPORTRANGE(""1NK5L1mviMn0j3D"&amp;"3uo53ASkIZOFRlLnqaCTnwzOG2_Wg"",""Direct links Without Sizes!A2:A""),IMPORTRANGE(""1NK5L1mviMn0j3D3uo53ASkIZOFRlLnqaCTnwzOG2_Wg"",""Direct links Without Sizes!B2:B""))),XLOOKUP($B669,IMPORTRANGE(""1NK5L1mviMn0j3D3uo53ASkIZOFRlLnqaCTnwzOG2_Wg"",""Direct li"&amp;"nks Without Sizes!D2:D""),IMPORTRANGE(""1NK5L1mviMn0j3D3uo53ASkIZOFRlLnqaCTnwzOG2_Wg"",""Direct links Without Sizes!E2:E""))),"""")"),"")</f>
        <v/>
      </c>
      <c r="H669" s="41"/>
      <c r="I669" s="4"/>
      <c r="J669" s="4"/>
      <c r="K669" s="10" t="str">
        <f t="shared" si="1"/>
        <v/>
      </c>
      <c r="L669" s="10"/>
      <c r="M669" s="10" t="str">
        <f t="shared" si="2"/>
        <v/>
      </c>
    </row>
    <row r="670">
      <c r="A670" s="4"/>
      <c r="B670" s="15"/>
      <c r="C670" s="7" t="str">
        <f>IFERROR(__xludf.DUMMYFUNCTION("iferror(iferror(INDEX(IMPORTRANGE(""12vtnxaE_Q1s4tyr10kZQx7ZF_xG0lBFae4jQEUtgsMU"",""All!B2:B""),MATCH($B670,IMPORTRANGE(""12vtnxaE_Q1s4tyr10kZQx7ZF_xG0lBFae4jQEUtgsMU"",""All!A2:A""),0)),INDEX(IMPORTRANGE(""13KC70HngS4DDi8y9E5khtSpQEPG6owaQ9z4E-tR5mnY"","&amp;"""Non-Food!B2:B""),MATCH($B670,IMPORTRANGE(""13KC70HngS4DDi8y9E5khtSpQEPG6owaQ9z4E-tR5mnY"",""Non-Food!A2:A""),0))),"""")"),"")</f>
        <v/>
      </c>
      <c r="D670" s="15"/>
      <c r="E670" s="15"/>
      <c r="F670" s="36"/>
      <c r="G670" s="24" t="str">
        <f>IFERROR(__xludf.DUMMYFUNCTION("iferror(iferror(iferror(index(IMPORTRANGE(""1NK5L1mviMn0j3D3uo53ASkIZOFRlLnqaCTnwzOG2_Wg"",""Direct Link!B2:B""),MATCH($B670,IMPORTRANGE(""1NK5L1mviMn0j3D3uo53ASkIZOFRlLnqaCTnwzOG2_Wg"",""Direct Link!A2:A""),0)),XLOOKUP($B670,IMPORTRANGE(""1NK5L1mviMn0j3D"&amp;"3uo53ASkIZOFRlLnqaCTnwzOG2_Wg"",""Direct links Without Sizes!A2:A""),IMPORTRANGE(""1NK5L1mviMn0j3D3uo53ASkIZOFRlLnqaCTnwzOG2_Wg"",""Direct links Without Sizes!B2:B""))),XLOOKUP($B670,IMPORTRANGE(""1NK5L1mviMn0j3D3uo53ASkIZOFRlLnqaCTnwzOG2_Wg"",""Direct li"&amp;"nks Without Sizes!D2:D""),IMPORTRANGE(""1NK5L1mviMn0j3D3uo53ASkIZOFRlLnqaCTnwzOG2_Wg"",""Direct links Without Sizes!E2:E""))),"""")"),"")</f>
        <v/>
      </c>
      <c r="H670" s="41"/>
      <c r="I670" s="4"/>
      <c r="J670" s="4"/>
      <c r="K670" s="10" t="str">
        <f t="shared" si="1"/>
        <v/>
      </c>
      <c r="L670" s="10"/>
      <c r="M670" s="10" t="str">
        <f t="shared" si="2"/>
        <v/>
      </c>
    </row>
    <row r="671">
      <c r="A671" s="4"/>
      <c r="B671" s="15"/>
      <c r="C671" s="7" t="str">
        <f>IFERROR(__xludf.DUMMYFUNCTION("iferror(iferror(INDEX(IMPORTRANGE(""12vtnxaE_Q1s4tyr10kZQx7ZF_xG0lBFae4jQEUtgsMU"",""All!B2:B""),MATCH($B671,IMPORTRANGE(""12vtnxaE_Q1s4tyr10kZQx7ZF_xG0lBFae4jQEUtgsMU"",""All!A2:A""),0)),INDEX(IMPORTRANGE(""13KC70HngS4DDi8y9E5khtSpQEPG6owaQ9z4E-tR5mnY"","&amp;"""Non-Food!B2:B""),MATCH($B671,IMPORTRANGE(""13KC70HngS4DDi8y9E5khtSpQEPG6owaQ9z4E-tR5mnY"",""Non-Food!A2:A""),0))),"""")"),"")</f>
        <v/>
      </c>
      <c r="D671" s="15"/>
      <c r="E671" s="15"/>
      <c r="F671" s="36"/>
      <c r="G671" s="24" t="str">
        <f>IFERROR(__xludf.DUMMYFUNCTION("iferror(iferror(iferror(index(IMPORTRANGE(""1NK5L1mviMn0j3D3uo53ASkIZOFRlLnqaCTnwzOG2_Wg"",""Direct Link!B2:B""),MATCH($B671,IMPORTRANGE(""1NK5L1mviMn0j3D3uo53ASkIZOFRlLnqaCTnwzOG2_Wg"",""Direct Link!A2:A""),0)),XLOOKUP($B671,IMPORTRANGE(""1NK5L1mviMn0j3D"&amp;"3uo53ASkIZOFRlLnqaCTnwzOG2_Wg"",""Direct links Without Sizes!A2:A""),IMPORTRANGE(""1NK5L1mviMn0j3D3uo53ASkIZOFRlLnqaCTnwzOG2_Wg"",""Direct links Without Sizes!B2:B""))),XLOOKUP($B671,IMPORTRANGE(""1NK5L1mviMn0j3D3uo53ASkIZOFRlLnqaCTnwzOG2_Wg"",""Direct li"&amp;"nks Without Sizes!D2:D""),IMPORTRANGE(""1NK5L1mviMn0j3D3uo53ASkIZOFRlLnqaCTnwzOG2_Wg"",""Direct links Without Sizes!E2:E""))),"""")"),"")</f>
        <v/>
      </c>
      <c r="H671" s="41"/>
      <c r="I671" s="4"/>
      <c r="J671" s="4"/>
      <c r="K671" s="10" t="str">
        <f t="shared" si="1"/>
        <v/>
      </c>
      <c r="L671" s="10"/>
      <c r="M671" s="10" t="str">
        <f t="shared" si="2"/>
        <v/>
      </c>
    </row>
    <row r="672">
      <c r="A672" s="4"/>
      <c r="B672" s="15"/>
      <c r="C672" s="7" t="str">
        <f>IFERROR(__xludf.DUMMYFUNCTION("iferror(iferror(INDEX(IMPORTRANGE(""12vtnxaE_Q1s4tyr10kZQx7ZF_xG0lBFae4jQEUtgsMU"",""All!B2:B""),MATCH($B672,IMPORTRANGE(""12vtnxaE_Q1s4tyr10kZQx7ZF_xG0lBFae4jQEUtgsMU"",""All!A2:A""),0)),INDEX(IMPORTRANGE(""13KC70HngS4DDi8y9E5khtSpQEPG6owaQ9z4E-tR5mnY"","&amp;"""Non-Food!B2:B""),MATCH($B672,IMPORTRANGE(""13KC70HngS4DDi8y9E5khtSpQEPG6owaQ9z4E-tR5mnY"",""Non-Food!A2:A""),0))),"""")"),"")</f>
        <v/>
      </c>
      <c r="D672" s="15"/>
      <c r="E672" s="15"/>
      <c r="F672" s="36"/>
      <c r="G672" s="24" t="str">
        <f>IFERROR(__xludf.DUMMYFUNCTION("iferror(iferror(iferror(index(IMPORTRANGE(""1NK5L1mviMn0j3D3uo53ASkIZOFRlLnqaCTnwzOG2_Wg"",""Direct Link!B2:B""),MATCH($B672,IMPORTRANGE(""1NK5L1mviMn0j3D3uo53ASkIZOFRlLnqaCTnwzOG2_Wg"",""Direct Link!A2:A""),0)),XLOOKUP($B672,IMPORTRANGE(""1NK5L1mviMn0j3D"&amp;"3uo53ASkIZOFRlLnqaCTnwzOG2_Wg"",""Direct links Without Sizes!A2:A""),IMPORTRANGE(""1NK5L1mviMn0j3D3uo53ASkIZOFRlLnqaCTnwzOG2_Wg"",""Direct links Without Sizes!B2:B""))),XLOOKUP($B672,IMPORTRANGE(""1NK5L1mviMn0j3D3uo53ASkIZOFRlLnqaCTnwzOG2_Wg"",""Direct li"&amp;"nks Without Sizes!D2:D""),IMPORTRANGE(""1NK5L1mviMn0j3D3uo53ASkIZOFRlLnqaCTnwzOG2_Wg"",""Direct links Without Sizes!E2:E""))),"""")"),"")</f>
        <v/>
      </c>
      <c r="H672" s="41"/>
      <c r="I672" s="4"/>
      <c r="J672" s="4"/>
      <c r="K672" s="10" t="str">
        <f t="shared" si="1"/>
        <v/>
      </c>
      <c r="L672" s="10"/>
      <c r="M672" s="10" t="str">
        <f t="shared" si="2"/>
        <v/>
      </c>
    </row>
    <row r="673">
      <c r="A673" s="4"/>
      <c r="B673" s="15"/>
      <c r="C673" s="7" t="str">
        <f>IFERROR(__xludf.DUMMYFUNCTION("iferror(iferror(INDEX(IMPORTRANGE(""12vtnxaE_Q1s4tyr10kZQx7ZF_xG0lBFae4jQEUtgsMU"",""All!B2:B""),MATCH($B673,IMPORTRANGE(""12vtnxaE_Q1s4tyr10kZQx7ZF_xG0lBFae4jQEUtgsMU"",""All!A2:A""),0)),INDEX(IMPORTRANGE(""13KC70HngS4DDi8y9E5khtSpQEPG6owaQ9z4E-tR5mnY"","&amp;"""Non-Food!B2:B""),MATCH($B673,IMPORTRANGE(""13KC70HngS4DDi8y9E5khtSpQEPG6owaQ9z4E-tR5mnY"",""Non-Food!A2:A""),0))),"""")"),"")</f>
        <v/>
      </c>
      <c r="D673" s="15"/>
      <c r="E673" s="15"/>
      <c r="F673" s="36"/>
      <c r="G673" s="24" t="str">
        <f>IFERROR(__xludf.DUMMYFUNCTION("iferror(iferror(iferror(index(IMPORTRANGE(""1NK5L1mviMn0j3D3uo53ASkIZOFRlLnqaCTnwzOG2_Wg"",""Direct Link!B2:B""),MATCH($B673,IMPORTRANGE(""1NK5L1mviMn0j3D3uo53ASkIZOFRlLnqaCTnwzOG2_Wg"",""Direct Link!A2:A""),0)),XLOOKUP($B673,IMPORTRANGE(""1NK5L1mviMn0j3D"&amp;"3uo53ASkIZOFRlLnqaCTnwzOG2_Wg"",""Direct links Without Sizes!A2:A""),IMPORTRANGE(""1NK5L1mviMn0j3D3uo53ASkIZOFRlLnqaCTnwzOG2_Wg"",""Direct links Without Sizes!B2:B""))),XLOOKUP($B673,IMPORTRANGE(""1NK5L1mviMn0j3D3uo53ASkIZOFRlLnqaCTnwzOG2_Wg"",""Direct li"&amp;"nks Without Sizes!D2:D""),IMPORTRANGE(""1NK5L1mviMn0j3D3uo53ASkIZOFRlLnqaCTnwzOG2_Wg"",""Direct links Without Sizes!E2:E""))),"""")"),"")</f>
        <v/>
      </c>
      <c r="H673" s="41"/>
      <c r="I673" s="4"/>
      <c r="J673" s="4"/>
      <c r="K673" s="10" t="str">
        <f t="shared" si="1"/>
        <v/>
      </c>
      <c r="L673" s="10"/>
      <c r="M673" s="10" t="str">
        <f t="shared" si="2"/>
        <v/>
      </c>
    </row>
    <row r="674">
      <c r="A674" s="4"/>
      <c r="B674" s="15"/>
      <c r="C674" s="7" t="str">
        <f>IFERROR(__xludf.DUMMYFUNCTION("iferror(iferror(INDEX(IMPORTRANGE(""12vtnxaE_Q1s4tyr10kZQx7ZF_xG0lBFae4jQEUtgsMU"",""All!B2:B""),MATCH($B674,IMPORTRANGE(""12vtnxaE_Q1s4tyr10kZQx7ZF_xG0lBFae4jQEUtgsMU"",""All!A2:A""),0)),INDEX(IMPORTRANGE(""13KC70HngS4DDi8y9E5khtSpQEPG6owaQ9z4E-tR5mnY"","&amp;"""Non-Food!B2:B""),MATCH($B674,IMPORTRANGE(""13KC70HngS4DDi8y9E5khtSpQEPG6owaQ9z4E-tR5mnY"",""Non-Food!A2:A""),0))),"""")"),"")</f>
        <v/>
      </c>
      <c r="D674" s="15"/>
      <c r="E674" s="15"/>
      <c r="F674" s="36"/>
      <c r="G674" s="24" t="str">
        <f>IFERROR(__xludf.DUMMYFUNCTION("iferror(iferror(iferror(index(IMPORTRANGE(""1NK5L1mviMn0j3D3uo53ASkIZOFRlLnqaCTnwzOG2_Wg"",""Direct Link!B2:B""),MATCH($B674,IMPORTRANGE(""1NK5L1mviMn0j3D3uo53ASkIZOFRlLnqaCTnwzOG2_Wg"",""Direct Link!A2:A""),0)),XLOOKUP($B674,IMPORTRANGE(""1NK5L1mviMn0j3D"&amp;"3uo53ASkIZOFRlLnqaCTnwzOG2_Wg"",""Direct links Without Sizes!A2:A""),IMPORTRANGE(""1NK5L1mviMn0j3D3uo53ASkIZOFRlLnqaCTnwzOG2_Wg"",""Direct links Without Sizes!B2:B""))),XLOOKUP($B674,IMPORTRANGE(""1NK5L1mviMn0j3D3uo53ASkIZOFRlLnqaCTnwzOG2_Wg"",""Direct li"&amp;"nks Without Sizes!D2:D""),IMPORTRANGE(""1NK5L1mviMn0j3D3uo53ASkIZOFRlLnqaCTnwzOG2_Wg"",""Direct links Without Sizes!E2:E""))),"""")"),"")</f>
        <v/>
      </c>
      <c r="H674" s="41"/>
      <c r="I674" s="4"/>
      <c r="J674" s="4"/>
      <c r="K674" s="10" t="str">
        <f t="shared" si="1"/>
        <v/>
      </c>
      <c r="L674" s="10"/>
      <c r="M674" s="10" t="str">
        <f t="shared" si="2"/>
        <v/>
      </c>
    </row>
    <row r="675">
      <c r="A675" s="4"/>
      <c r="B675" s="15"/>
      <c r="C675" s="7" t="str">
        <f>IFERROR(__xludf.DUMMYFUNCTION("iferror(iferror(INDEX(IMPORTRANGE(""12vtnxaE_Q1s4tyr10kZQx7ZF_xG0lBFae4jQEUtgsMU"",""All!B2:B""),MATCH($B675,IMPORTRANGE(""12vtnxaE_Q1s4tyr10kZQx7ZF_xG0lBFae4jQEUtgsMU"",""All!A2:A""),0)),INDEX(IMPORTRANGE(""13KC70HngS4DDi8y9E5khtSpQEPG6owaQ9z4E-tR5mnY"","&amp;"""Non-Food!B2:B""),MATCH($B675,IMPORTRANGE(""13KC70HngS4DDi8y9E5khtSpQEPG6owaQ9z4E-tR5mnY"",""Non-Food!A2:A""),0))),"""")"),"")</f>
        <v/>
      </c>
      <c r="D675" s="15"/>
      <c r="E675" s="15"/>
      <c r="F675" s="36"/>
      <c r="G675" s="24" t="str">
        <f>IFERROR(__xludf.DUMMYFUNCTION("iferror(iferror(iferror(index(IMPORTRANGE(""1NK5L1mviMn0j3D3uo53ASkIZOFRlLnqaCTnwzOG2_Wg"",""Direct Link!B2:B""),MATCH($B675,IMPORTRANGE(""1NK5L1mviMn0j3D3uo53ASkIZOFRlLnqaCTnwzOG2_Wg"",""Direct Link!A2:A""),0)),XLOOKUP($B675,IMPORTRANGE(""1NK5L1mviMn0j3D"&amp;"3uo53ASkIZOFRlLnqaCTnwzOG2_Wg"",""Direct links Without Sizes!A2:A""),IMPORTRANGE(""1NK5L1mviMn0j3D3uo53ASkIZOFRlLnqaCTnwzOG2_Wg"",""Direct links Without Sizes!B2:B""))),XLOOKUP($B675,IMPORTRANGE(""1NK5L1mviMn0j3D3uo53ASkIZOFRlLnqaCTnwzOG2_Wg"",""Direct li"&amp;"nks Without Sizes!D2:D""),IMPORTRANGE(""1NK5L1mviMn0j3D3uo53ASkIZOFRlLnqaCTnwzOG2_Wg"",""Direct links Without Sizes!E2:E""))),"""")"),"")</f>
        <v/>
      </c>
      <c r="H675" s="41"/>
      <c r="I675" s="4"/>
      <c r="J675" s="4"/>
      <c r="K675" s="10" t="str">
        <f t="shared" si="1"/>
        <v/>
      </c>
      <c r="L675" s="10"/>
      <c r="M675" s="10" t="str">
        <f t="shared" si="2"/>
        <v/>
      </c>
    </row>
    <row r="676">
      <c r="A676" s="4"/>
      <c r="B676" s="15"/>
      <c r="C676" s="7" t="str">
        <f>IFERROR(__xludf.DUMMYFUNCTION("iferror(iferror(INDEX(IMPORTRANGE(""12vtnxaE_Q1s4tyr10kZQx7ZF_xG0lBFae4jQEUtgsMU"",""All!B2:B""),MATCH($B676,IMPORTRANGE(""12vtnxaE_Q1s4tyr10kZQx7ZF_xG0lBFae4jQEUtgsMU"",""All!A2:A""),0)),INDEX(IMPORTRANGE(""13KC70HngS4DDi8y9E5khtSpQEPG6owaQ9z4E-tR5mnY"","&amp;"""Non-Food!B2:B""),MATCH($B676,IMPORTRANGE(""13KC70HngS4DDi8y9E5khtSpQEPG6owaQ9z4E-tR5mnY"",""Non-Food!A2:A""),0))),"""")"),"")</f>
        <v/>
      </c>
      <c r="D676" s="15"/>
      <c r="E676" s="15"/>
      <c r="F676" s="36"/>
      <c r="G676" s="24" t="str">
        <f>IFERROR(__xludf.DUMMYFUNCTION("iferror(iferror(iferror(index(IMPORTRANGE(""1NK5L1mviMn0j3D3uo53ASkIZOFRlLnqaCTnwzOG2_Wg"",""Direct Link!B2:B""),MATCH($B676,IMPORTRANGE(""1NK5L1mviMn0j3D3uo53ASkIZOFRlLnqaCTnwzOG2_Wg"",""Direct Link!A2:A""),0)),XLOOKUP($B676,IMPORTRANGE(""1NK5L1mviMn0j3D"&amp;"3uo53ASkIZOFRlLnqaCTnwzOG2_Wg"",""Direct links Without Sizes!A2:A""),IMPORTRANGE(""1NK5L1mviMn0j3D3uo53ASkIZOFRlLnqaCTnwzOG2_Wg"",""Direct links Without Sizes!B2:B""))),XLOOKUP($B676,IMPORTRANGE(""1NK5L1mviMn0j3D3uo53ASkIZOFRlLnqaCTnwzOG2_Wg"",""Direct li"&amp;"nks Without Sizes!D2:D""),IMPORTRANGE(""1NK5L1mviMn0j3D3uo53ASkIZOFRlLnqaCTnwzOG2_Wg"",""Direct links Without Sizes!E2:E""))),"""")"),"")</f>
        <v/>
      </c>
      <c r="H676" s="41"/>
      <c r="I676" s="4"/>
      <c r="J676" s="4"/>
      <c r="K676" s="10" t="str">
        <f t="shared" si="1"/>
        <v/>
      </c>
      <c r="L676" s="10"/>
      <c r="M676" s="10" t="str">
        <f t="shared" si="2"/>
        <v/>
      </c>
    </row>
    <row r="677">
      <c r="A677" s="4"/>
      <c r="B677" s="15"/>
      <c r="C677" s="7" t="str">
        <f>IFERROR(__xludf.DUMMYFUNCTION("iferror(iferror(INDEX(IMPORTRANGE(""12vtnxaE_Q1s4tyr10kZQx7ZF_xG0lBFae4jQEUtgsMU"",""All!B2:B""),MATCH($B677,IMPORTRANGE(""12vtnxaE_Q1s4tyr10kZQx7ZF_xG0lBFae4jQEUtgsMU"",""All!A2:A""),0)),INDEX(IMPORTRANGE(""13KC70HngS4DDi8y9E5khtSpQEPG6owaQ9z4E-tR5mnY"","&amp;"""Non-Food!B2:B""),MATCH($B677,IMPORTRANGE(""13KC70HngS4DDi8y9E5khtSpQEPG6owaQ9z4E-tR5mnY"",""Non-Food!A2:A""),0))),"""")"),"")</f>
        <v/>
      </c>
      <c r="D677" s="15"/>
      <c r="E677" s="15"/>
      <c r="F677" s="36"/>
      <c r="G677" s="24" t="str">
        <f>IFERROR(__xludf.DUMMYFUNCTION("iferror(iferror(iferror(index(IMPORTRANGE(""1NK5L1mviMn0j3D3uo53ASkIZOFRlLnqaCTnwzOG2_Wg"",""Direct Link!B2:B""),MATCH($B677,IMPORTRANGE(""1NK5L1mviMn0j3D3uo53ASkIZOFRlLnqaCTnwzOG2_Wg"",""Direct Link!A2:A""),0)),XLOOKUP($B677,IMPORTRANGE(""1NK5L1mviMn0j3D"&amp;"3uo53ASkIZOFRlLnqaCTnwzOG2_Wg"",""Direct links Without Sizes!A2:A""),IMPORTRANGE(""1NK5L1mviMn0j3D3uo53ASkIZOFRlLnqaCTnwzOG2_Wg"",""Direct links Without Sizes!B2:B""))),XLOOKUP($B677,IMPORTRANGE(""1NK5L1mviMn0j3D3uo53ASkIZOFRlLnqaCTnwzOG2_Wg"",""Direct li"&amp;"nks Without Sizes!D2:D""),IMPORTRANGE(""1NK5L1mviMn0j3D3uo53ASkIZOFRlLnqaCTnwzOG2_Wg"",""Direct links Without Sizes!E2:E""))),"""")"),"")</f>
        <v/>
      </c>
      <c r="H677" s="41"/>
      <c r="I677" s="4"/>
      <c r="J677" s="4"/>
      <c r="K677" s="10" t="str">
        <f t="shared" si="1"/>
        <v/>
      </c>
      <c r="L677" s="10"/>
      <c r="M677" s="10" t="str">
        <f t="shared" si="2"/>
        <v/>
      </c>
    </row>
    <row r="678">
      <c r="A678" s="4"/>
      <c r="B678" s="15"/>
      <c r="C678" s="7" t="str">
        <f>IFERROR(__xludf.DUMMYFUNCTION("iferror(iferror(INDEX(IMPORTRANGE(""12vtnxaE_Q1s4tyr10kZQx7ZF_xG0lBFae4jQEUtgsMU"",""All!B2:B""),MATCH($B678,IMPORTRANGE(""12vtnxaE_Q1s4tyr10kZQx7ZF_xG0lBFae4jQEUtgsMU"",""All!A2:A""),0)),INDEX(IMPORTRANGE(""13KC70HngS4DDi8y9E5khtSpQEPG6owaQ9z4E-tR5mnY"","&amp;"""Non-Food!B2:B""),MATCH($B678,IMPORTRANGE(""13KC70HngS4DDi8y9E5khtSpQEPG6owaQ9z4E-tR5mnY"",""Non-Food!A2:A""),0))),"""")"),"")</f>
        <v/>
      </c>
      <c r="D678" s="15"/>
      <c r="E678" s="15"/>
      <c r="F678" s="36"/>
      <c r="G678" s="24" t="str">
        <f>IFERROR(__xludf.DUMMYFUNCTION("iferror(iferror(iferror(index(IMPORTRANGE(""1NK5L1mviMn0j3D3uo53ASkIZOFRlLnqaCTnwzOG2_Wg"",""Direct Link!B2:B""),MATCH($B678,IMPORTRANGE(""1NK5L1mviMn0j3D3uo53ASkIZOFRlLnqaCTnwzOG2_Wg"",""Direct Link!A2:A""),0)),XLOOKUP($B678,IMPORTRANGE(""1NK5L1mviMn0j3D"&amp;"3uo53ASkIZOFRlLnqaCTnwzOG2_Wg"",""Direct links Without Sizes!A2:A""),IMPORTRANGE(""1NK5L1mviMn0j3D3uo53ASkIZOFRlLnqaCTnwzOG2_Wg"",""Direct links Without Sizes!B2:B""))),XLOOKUP($B678,IMPORTRANGE(""1NK5L1mviMn0j3D3uo53ASkIZOFRlLnqaCTnwzOG2_Wg"",""Direct li"&amp;"nks Without Sizes!D2:D""),IMPORTRANGE(""1NK5L1mviMn0j3D3uo53ASkIZOFRlLnqaCTnwzOG2_Wg"",""Direct links Without Sizes!E2:E""))),"""")"),"")</f>
        <v/>
      </c>
      <c r="H678" s="41"/>
      <c r="I678" s="4"/>
      <c r="J678" s="4"/>
      <c r="K678" s="10" t="str">
        <f t="shared" si="1"/>
        <v/>
      </c>
      <c r="L678" s="10"/>
      <c r="M678" s="10" t="str">
        <f t="shared" si="2"/>
        <v/>
      </c>
    </row>
    <row r="679">
      <c r="A679" s="4"/>
      <c r="B679" s="15"/>
      <c r="C679" s="7" t="str">
        <f>IFERROR(__xludf.DUMMYFUNCTION("iferror(iferror(INDEX(IMPORTRANGE(""12vtnxaE_Q1s4tyr10kZQx7ZF_xG0lBFae4jQEUtgsMU"",""All!B2:B""),MATCH($B679,IMPORTRANGE(""12vtnxaE_Q1s4tyr10kZQx7ZF_xG0lBFae4jQEUtgsMU"",""All!A2:A""),0)),INDEX(IMPORTRANGE(""13KC70HngS4DDi8y9E5khtSpQEPG6owaQ9z4E-tR5mnY"","&amp;"""Non-Food!B2:B""),MATCH($B679,IMPORTRANGE(""13KC70HngS4DDi8y9E5khtSpQEPG6owaQ9z4E-tR5mnY"",""Non-Food!A2:A""),0))),"""")"),"")</f>
        <v/>
      </c>
      <c r="D679" s="15"/>
      <c r="E679" s="15"/>
      <c r="F679" s="36"/>
      <c r="G679" s="24" t="str">
        <f>IFERROR(__xludf.DUMMYFUNCTION("iferror(iferror(iferror(index(IMPORTRANGE(""1NK5L1mviMn0j3D3uo53ASkIZOFRlLnqaCTnwzOG2_Wg"",""Direct Link!B2:B""),MATCH($B679,IMPORTRANGE(""1NK5L1mviMn0j3D3uo53ASkIZOFRlLnqaCTnwzOG2_Wg"",""Direct Link!A2:A""),0)),XLOOKUP($B679,IMPORTRANGE(""1NK5L1mviMn0j3D"&amp;"3uo53ASkIZOFRlLnqaCTnwzOG2_Wg"",""Direct links Without Sizes!A2:A""),IMPORTRANGE(""1NK5L1mviMn0j3D3uo53ASkIZOFRlLnqaCTnwzOG2_Wg"",""Direct links Without Sizes!B2:B""))),XLOOKUP($B679,IMPORTRANGE(""1NK5L1mviMn0j3D3uo53ASkIZOFRlLnqaCTnwzOG2_Wg"",""Direct li"&amp;"nks Without Sizes!D2:D""),IMPORTRANGE(""1NK5L1mviMn0j3D3uo53ASkIZOFRlLnqaCTnwzOG2_Wg"",""Direct links Without Sizes!E2:E""))),"""")"),"")</f>
        <v/>
      </c>
      <c r="H679" s="41"/>
      <c r="I679" s="4"/>
      <c r="J679" s="4"/>
      <c r="K679" s="10" t="str">
        <f t="shared" si="1"/>
        <v/>
      </c>
      <c r="L679" s="10"/>
      <c r="M679" s="10" t="str">
        <f t="shared" si="2"/>
        <v/>
      </c>
    </row>
    <row r="680">
      <c r="A680" s="4"/>
      <c r="B680" s="15"/>
      <c r="C680" s="7" t="str">
        <f>IFERROR(__xludf.DUMMYFUNCTION("iferror(iferror(INDEX(IMPORTRANGE(""12vtnxaE_Q1s4tyr10kZQx7ZF_xG0lBFae4jQEUtgsMU"",""All!B2:B""),MATCH($B680,IMPORTRANGE(""12vtnxaE_Q1s4tyr10kZQx7ZF_xG0lBFae4jQEUtgsMU"",""All!A2:A""),0)),INDEX(IMPORTRANGE(""13KC70HngS4DDi8y9E5khtSpQEPG6owaQ9z4E-tR5mnY"","&amp;"""Non-Food!B2:B""),MATCH($B680,IMPORTRANGE(""13KC70HngS4DDi8y9E5khtSpQEPG6owaQ9z4E-tR5mnY"",""Non-Food!A2:A""),0))),"""")"),"")</f>
        <v/>
      </c>
      <c r="D680" s="15"/>
      <c r="E680" s="15"/>
      <c r="F680" s="36"/>
      <c r="G680" s="24" t="str">
        <f>IFERROR(__xludf.DUMMYFUNCTION("iferror(iferror(iferror(index(IMPORTRANGE(""1NK5L1mviMn0j3D3uo53ASkIZOFRlLnqaCTnwzOG2_Wg"",""Direct Link!B2:B""),MATCH($B680,IMPORTRANGE(""1NK5L1mviMn0j3D3uo53ASkIZOFRlLnqaCTnwzOG2_Wg"",""Direct Link!A2:A""),0)),XLOOKUP($B680,IMPORTRANGE(""1NK5L1mviMn0j3D"&amp;"3uo53ASkIZOFRlLnqaCTnwzOG2_Wg"",""Direct links Without Sizes!A2:A""),IMPORTRANGE(""1NK5L1mviMn0j3D3uo53ASkIZOFRlLnqaCTnwzOG2_Wg"",""Direct links Without Sizes!B2:B""))),XLOOKUP($B680,IMPORTRANGE(""1NK5L1mviMn0j3D3uo53ASkIZOFRlLnqaCTnwzOG2_Wg"",""Direct li"&amp;"nks Without Sizes!D2:D""),IMPORTRANGE(""1NK5L1mviMn0j3D3uo53ASkIZOFRlLnqaCTnwzOG2_Wg"",""Direct links Without Sizes!E2:E""))),"""")"),"")</f>
        <v/>
      </c>
      <c r="H680" s="41"/>
      <c r="I680" s="4"/>
      <c r="J680" s="4"/>
      <c r="K680" s="10" t="str">
        <f t="shared" si="1"/>
        <v/>
      </c>
      <c r="L680" s="10"/>
      <c r="M680" s="10" t="str">
        <f t="shared" si="2"/>
        <v/>
      </c>
    </row>
    <row r="681">
      <c r="A681" s="4"/>
      <c r="B681" s="15"/>
      <c r="C681" s="7" t="str">
        <f>IFERROR(__xludf.DUMMYFUNCTION("iferror(iferror(INDEX(IMPORTRANGE(""12vtnxaE_Q1s4tyr10kZQx7ZF_xG0lBFae4jQEUtgsMU"",""All!B2:B""),MATCH($B681,IMPORTRANGE(""12vtnxaE_Q1s4tyr10kZQx7ZF_xG0lBFae4jQEUtgsMU"",""All!A2:A""),0)),INDEX(IMPORTRANGE(""13KC70HngS4DDi8y9E5khtSpQEPG6owaQ9z4E-tR5mnY"","&amp;"""Non-Food!B2:B""),MATCH($B681,IMPORTRANGE(""13KC70HngS4DDi8y9E5khtSpQEPG6owaQ9z4E-tR5mnY"",""Non-Food!A2:A""),0))),"""")"),"")</f>
        <v/>
      </c>
      <c r="D681" s="15"/>
      <c r="E681" s="15"/>
      <c r="F681" s="36"/>
      <c r="G681" s="24" t="str">
        <f>IFERROR(__xludf.DUMMYFUNCTION("iferror(iferror(iferror(index(IMPORTRANGE(""1NK5L1mviMn0j3D3uo53ASkIZOFRlLnqaCTnwzOG2_Wg"",""Direct Link!B2:B""),MATCH($B681,IMPORTRANGE(""1NK5L1mviMn0j3D3uo53ASkIZOFRlLnqaCTnwzOG2_Wg"",""Direct Link!A2:A""),0)),XLOOKUP($B681,IMPORTRANGE(""1NK5L1mviMn0j3D"&amp;"3uo53ASkIZOFRlLnqaCTnwzOG2_Wg"",""Direct links Without Sizes!A2:A""),IMPORTRANGE(""1NK5L1mviMn0j3D3uo53ASkIZOFRlLnqaCTnwzOG2_Wg"",""Direct links Without Sizes!B2:B""))),XLOOKUP($B681,IMPORTRANGE(""1NK5L1mviMn0j3D3uo53ASkIZOFRlLnqaCTnwzOG2_Wg"",""Direct li"&amp;"nks Without Sizes!D2:D""),IMPORTRANGE(""1NK5L1mviMn0j3D3uo53ASkIZOFRlLnqaCTnwzOG2_Wg"",""Direct links Without Sizes!E2:E""))),"""")"),"")</f>
        <v/>
      </c>
      <c r="H681" s="41"/>
      <c r="I681" s="4"/>
      <c r="J681" s="4"/>
      <c r="K681" s="10" t="str">
        <f t="shared" si="1"/>
        <v/>
      </c>
      <c r="L681" s="10"/>
      <c r="M681" s="10" t="str">
        <f t="shared" si="2"/>
        <v/>
      </c>
    </row>
    <row r="682">
      <c r="A682" s="4"/>
      <c r="B682" s="15"/>
      <c r="C682" s="7" t="str">
        <f>IFERROR(__xludf.DUMMYFUNCTION("iferror(iferror(INDEX(IMPORTRANGE(""12vtnxaE_Q1s4tyr10kZQx7ZF_xG0lBFae4jQEUtgsMU"",""All!B2:B""),MATCH($B682,IMPORTRANGE(""12vtnxaE_Q1s4tyr10kZQx7ZF_xG0lBFae4jQEUtgsMU"",""All!A2:A""),0)),INDEX(IMPORTRANGE(""13KC70HngS4DDi8y9E5khtSpQEPG6owaQ9z4E-tR5mnY"","&amp;"""Non-Food!B2:B""),MATCH($B682,IMPORTRANGE(""13KC70HngS4DDi8y9E5khtSpQEPG6owaQ9z4E-tR5mnY"",""Non-Food!A2:A""),0))),"""")"),"")</f>
        <v/>
      </c>
      <c r="D682" s="15"/>
      <c r="E682" s="15"/>
      <c r="F682" s="36"/>
      <c r="G682" s="24" t="str">
        <f>IFERROR(__xludf.DUMMYFUNCTION("iferror(iferror(iferror(index(IMPORTRANGE(""1NK5L1mviMn0j3D3uo53ASkIZOFRlLnqaCTnwzOG2_Wg"",""Direct Link!B2:B""),MATCH($B682,IMPORTRANGE(""1NK5L1mviMn0j3D3uo53ASkIZOFRlLnqaCTnwzOG2_Wg"",""Direct Link!A2:A""),0)),XLOOKUP($B682,IMPORTRANGE(""1NK5L1mviMn0j3D"&amp;"3uo53ASkIZOFRlLnqaCTnwzOG2_Wg"",""Direct links Without Sizes!A2:A""),IMPORTRANGE(""1NK5L1mviMn0j3D3uo53ASkIZOFRlLnqaCTnwzOG2_Wg"",""Direct links Without Sizes!B2:B""))),XLOOKUP($B682,IMPORTRANGE(""1NK5L1mviMn0j3D3uo53ASkIZOFRlLnqaCTnwzOG2_Wg"",""Direct li"&amp;"nks Without Sizes!D2:D""),IMPORTRANGE(""1NK5L1mviMn0j3D3uo53ASkIZOFRlLnqaCTnwzOG2_Wg"",""Direct links Without Sizes!E2:E""))),"""")"),"")</f>
        <v/>
      </c>
      <c r="H682" s="41"/>
      <c r="I682" s="4"/>
      <c r="J682" s="4"/>
      <c r="K682" s="10" t="str">
        <f t="shared" si="1"/>
        <v/>
      </c>
      <c r="L682" s="10"/>
      <c r="M682" s="10" t="str">
        <f t="shared" si="2"/>
        <v/>
      </c>
    </row>
    <row r="683">
      <c r="A683" s="4"/>
      <c r="B683" s="15"/>
      <c r="C683" s="7" t="str">
        <f>IFERROR(__xludf.DUMMYFUNCTION("iferror(iferror(INDEX(IMPORTRANGE(""12vtnxaE_Q1s4tyr10kZQx7ZF_xG0lBFae4jQEUtgsMU"",""All!B2:B""),MATCH($B683,IMPORTRANGE(""12vtnxaE_Q1s4tyr10kZQx7ZF_xG0lBFae4jQEUtgsMU"",""All!A2:A""),0)),INDEX(IMPORTRANGE(""13KC70HngS4DDi8y9E5khtSpQEPG6owaQ9z4E-tR5mnY"","&amp;"""Non-Food!B2:B""),MATCH($B683,IMPORTRANGE(""13KC70HngS4DDi8y9E5khtSpQEPG6owaQ9z4E-tR5mnY"",""Non-Food!A2:A""),0))),"""")"),"")</f>
        <v/>
      </c>
      <c r="D683" s="15"/>
      <c r="E683" s="15"/>
      <c r="F683" s="36"/>
      <c r="G683" s="24" t="str">
        <f>IFERROR(__xludf.DUMMYFUNCTION("iferror(iferror(iferror(index(IMPORTRANGE(""1NK5L1mviMn0j3D3uo53ASkIZOFRlLnqaCTnwzOG2_Wg"",""Direct Link!B2:B""),MATCH($B683,IMPORTRANGE(""1NK5L1mviMn0j3D3uo53ASkIZOFRlLnqaCTnwzOG2_Wg"",""Direct Link!A2:A""),0)),XLOOKUP($B683,IMPORTRANGE(""1NK5L1mviMn0j3D"&amp;"3uo53ASkIZOFRlLnqaCTnwzOG2_Wg"",""Direct links Without Sizes!A2:A""),IMPORTRANGE(""1NK5L1mviMn0j3D3uo53ASkIZOFRlLnqaCTnwzOG2_Wg"",""Direct links Without Sizes!B2:B""))),XLOOKUP($B683,IMPORTRANGE(""1NK5L1mviMn0j3D3uo53ASkIZOFRlLnqaCTnwzOG2_Wg"",""Direct li"&amp;"nks Without Sizes!D2:D""),IMPORTRANGE(""1NK5L1mviMn0j3D3uo53ASkIZOFRlLnqaCTnwzOG2_Wg"",""Direct links Without Sizes!E2:E""))),"""")"),"")</f>
        <v/>
      </c>
      <c r="H683" s="41"/>
      <c r="I683" s="4"/>
      <c r="J683" s="4"/>
      <c r="K683" s="10" t="str">
        <f t="shared" si="1"/>
        <v/>
      </c>
      <c r="L683" s="10"/>
      <c r="M683" s="10" t="str">
        <f t="shared" si="2"/>
        <v/>
      </c>
    </row>
    <row r="684">
      <c r="A684" s="4"/>
      <c r="B684" s="15"/>
      <c r="C684" s="7" t="str">
        <f>IFERROR(__xludf.DUMMYFUNCTION("iferror(iferror(INDEX(IMPORTRANGE(""12vtnxaE_Q1s4tyr10kZQx7ZF_xG0lBFae4jQEUtgsMU"",""All!B2:B""),MATCH($B684,IMPORTRANGE(""12vtnxaE_Q1s4tyr10kZQx7ZF_xG0lBFae4jQEUtgsMU"",""All!A2:A""),0)),INDEX(IMPORTRANGE(""13KC70HngS4DDi8y9E5khtSpQEPG6owaQ9z4E-tR5mnY"","&amp;"""Non-Food!B2:B""),MATCH($B684,IMPORTRANGE(""13KC70HngS4DDi8y9E5khtSpQEPG6owaQ9z4E-tR5mnY"",""Non-Food!A2:A""),0))),"""")"),"")</f>
        <v/>
      </c>
      <c r="D684" s="15"/>
      <c r="E684" s="15"/>
      <c r="F684" s="36"/>
      <c r="G684" s="24" t="str">
        <f>IFERROR(__xludf.DUMMYFUNCTION("iferror(iferror(iferror(index(IMPORTRANGE(""1NK5L1mviMn0j3D3uo53ASkIZOFRlLnqaCTnwzOG2_Wg"",""Direct Link!B2:B""),MATCH($B684,IMPORTRANGE(""1NK5L1mviMn0j3D3uo53ASkIZOFRlLnqaCTnwzOG2_Wg"",""Direct Link!A2:A""),0)),XLOOKUP($B684,IMPORTRANGE(""1NK5L1mviMn0j3D"&amp;"3uo53ASkIZOFRlLnqaCTnwzOG2_Wg"",""Direct links Without Sizes!A2:A""),IMPORTRANGE(""1NK5L1mviMn0j3D3uo53ASkIZOFRlLnqaCTnwzOG2_Wg"",""Direct links Without Sizes!B2:B""))),XLOOKUP($B684,IMPORTRANGE(""1NK5L1mviMn0j3D3uo53ASkIZOFRlLnqaCTnwzOG2_Wg"",""Direct li"&amp;"nks Without Sizes!D2:D""),IMPORTRANGE(""1NK5L1mviMn0j3D3uo53ASkIZOFRlLnqaCTnwzOG2_Wg"",""Direct links Without Sizes!E2:E""))),"""")"),"")</f>
        <v/>
      </c>
      <c r="H684" s="41"/>
      <c r="I684" s="4"/>
      <c r="J684" s="4"/>
      <c r="K684" s="10" t="str">
        <f t="shared" si="1"/>
        <v/>
      </c>
      <c r="L684" s="10"/>
      <c r="M684" s="10" t="str">
        <f t="shared" si="2"/>
        <v/>
      </c>
    </row>
    <row r="685">
      <c r="A685" s="4"/>
      <c r="B685" s="15"/>
      <c r="C685" s="7" t="str">
        <f>IFERROR(__xludf.DUMMYFUNCTION("iferror(iferror(INDEX(IMPORTRANGE(""12vtnxaE_Q1s4tyr10kZQx7ZF_xG0lBFae4jQEUtgsMU"",""All!B2:B""),MATCH($B685,IMPORTRANGE(""12vtnxaE_Q1s4tyr10kZQx7ZF_xG0lBFae4jQEUtgsMU"",""All!A2:A""),0)),INDEX(IMPORTRANGE(""13KC70HngS4DDi8y9E5khtSpQEPG6owaQ9z4E-tR5mnY"","&amp;"""Non-Food!B2:B""),MATCH($B685,IMPORTRANGE(""13KC70HngS4DDi8y9E5khtSpQEPG6owaQ9z4E-tR5mnY"",""Non-Food!A2:A""),0))),"""")"),"")</f>
        <v/>
      </c>
      <c r="D685" s="15"/>
      <c r="E685" s="15"/>
      <c r="F685" s="36"/>
      <c r="G685" s="24" t="str">
        <f>IFERROR(__xludf.DUMMYFUNCTION("iferror(iferror(iferror(index(IMPORTRANGE(""1NK5L1mviMn0j3D3uo53ASkIZOFRlLnqaCTnwzOG2_Wg"",""Direct Link!B2:B""),MATCH($B685,IMPORTRANGE(""1NK5L1mviMn0j3D3uo53ASkIZOFRlLnqaCTnwzOG2_Wg"",""Direct Link!A2:A""),0)),XLOOKUP($B685,IMPORTRANGE(""1NK5L1mviMn0j3D"&amp;"3uo53ASkIZOFRlLnqaCTnwzOG2_Wg"",""Direct links Without Sizes!A2:A""),IMPORTRANGE(""1NK5L1mviMn0j3D3uo53ASkIZOFRlLnqaCTnwzOG2_Wg"",""Direct links Without Sizes!B2:B""))),XLOOKUP($B685,IMPORTRANGE(""1NK5L1mviMn0j3D3uo53ASkIZOFRlLnqaCTnwzOG2_Wg"",""Direct li"&amp;"nks Without Sizes!D2:D""),IMPORTRANGE(""1NK5L1mviMn0j3D3uo53ASkIZOFRlLnqaCTnwzOG2_Wg"",""Direct links Without Sizes!E2:E""))),"""")"),"")</f>
        <v/>
      </c>
      <c r="H685" s="41"/>
      <c r="I685" s="4"/>
      <c r="J685" s="4"/>
      <c r="K685" s="10" t="str">
        <f t="shared" si="1"/>
        <v/>
      </c>
      <c r="L685" s="10"/>
      <c r="M685" s="10" t="str">
        <f t="shared" si="2"/>
        <v/>
      </c>
    </row>
    <row r="686">
      <c r="A686" s="4"/>
      <c r="B686" s="15"/>
      <c r="C686" s="7" t="str">
        <f>IFERROR(__xludf.DUMMYFUNCTION("iferror(iferror(INDEX(IMPORTRANGE(""12vtnxaE_Q1s4tyr10kZQx7ZF_xG0lBFae4jQEUtgsMU"",""All!B2:B""),MATCH($B686,IMPORTRANGE(""12vtnxaE_Q1s4tyr10kZQx7ZF_xG0lBFae4jQEUtgsMU"",""All!A2:A""),0)),INDEX(IMPORTRANGE(""13KC70HngS4DDi8y9E5khtSpQEPG6owaQ9z4E-tR5mnY"","&amp;"""Non-Food!B2:B""),MATCH($B686,IMPORTRANGE(""13KC70HngS4DDi8y9E5khtSpQEPG6owaQ9z4E-tR5mnY"",""Non-Food!A2:A""),0))),"""")"),"")</f>
        <v/>
      </c>
      <c r="D686" s="15"/>
      <c r="E686" s="15"/>
      <c r="F686" s="36"/>
      <c r="G686" s="24" t="str">
        <f>IFERROR(__xludf.DUMMYFUNCTION("iferror(iferror(iferror(index(IMPORTRANGE(""1NK5L1mviMn0j3D3uo53ASkIZOFRlLnqaCTnwzOG2_Wg"",""Direct Link!B2:B""),MATCH($B686,IMPORTRANGE(""1NK5L1mviMn0j3D3uo53ASkIZOFRlLnqaCTnwzOG2_Wg"",""Direct Link!A2:A""),0)),XLOOKUP($B686,IMPORTRANGE(""1NK5L1mviMn0j3D"&amp;"3uo53ASkIZOFRlLnqaCTnwzOG2_Wg"",""Direct links Without Sizes!A2:A""),IMPORTRANGE(""1NK5L1mviMn0j3D3uo53ASkIZOFRlLnqaCTnwzOG2_Wg"",""Direct links Without Sizes!B2:B""))),XLOOKUP($B686,IMPORTRANGE(""1NK5L1mviMn0j3D3uo53ASkIZOFRlLnqaCTnwzOG2_Wg"",""Direct li"&amp;"nks Without Sizes!D2:D""),IMPORTRANGE(""1NK5L1mviMn0j3D3uo53ASkIZOFRlLnqaCTnwzOG2_Wg"",""Direct links Without Sizes!E2:E""))),"""")"),"")</f>
        <v/>
      </c>
      <c r="H686" s="41"/>
      <c r="I686" s="4"/>
      <c r="J686" s="4"/>
      <c r="K686" s="10" t="str">
        <f t="shared" si="1"/>
        <v/>
      </c>
      <c r="L686" s="10"/>
      <c r="M686" s="10" t="str">
        <f t="shared" si="2"/>
        <v/>
      </c>
    </row>
    <row r="687">
      <c r="A687" s="4"/>
      <c r="B687" s="15"/>
      <c r="C687" s="7" t="str">
        <f>IFERROR(__xludf.DUMMYFUNCTION("iferror(iferror(INDEX(IMPORTRANGE(""12vtnxaE_Q1s4tyr10kZQx7ZF_xG0lBFae4jQEUtgsMU"",""All!B2:B""),MATCH($B687,IMPORTRANGE(""12vtnxaE_Q1s4tyr10kZQx7ZF_xG0lBFae4jQEUtgsMU"",""All!A2:A""),0)),INDEX(IMPORTRANGE(""13KC70HngS4DDi8y9E5khtSpQEPG6owaQ9z4E-tR5mnY"","&amp;"""Non-Food!B2:B""),MATCH($B687,IMPORTRANGE(""13KC70HngS4DDi8y9E5khtSpQEPG6owaQ9z4E-tR5mnY"",""Non-Food!A2:A""),0))),"""")"),"")</f>
        <v/>
      </c>
      <c r="D687" s="15"/>
      <c r="E687" s="15"/>
      <c r="F687" s="36"/>
      <c r="G687" s="24" t="str">
        <f>IFERROR(__xludf.DUMMYFUNCTION("iferror(iferror(iferror(index(IMPORTRANGE(""1NK5L1mviMn0j3D3uo53ASkIZOFRlLnqaCTnwzOG2_Wg"",""Direct Link!B2:B""),MATCH($B687,IMPORTRANGE(""1NK5L1mviMn0j3D3uo53ASkIZOFRlLnqaCTnwzOG2_Wg"",""Direct Link!A2:A""),0)),XLOOKUP($B687,IMPORTRANGE(""1NK5L1mviMn0j3D"&amp;"3uo53ASkIZOFRlLnqaCTnwzOG2_Wg"",""Direct links Without Sizes!A2:A""),IMPORTRANGE(""1NK5L1mviMn0j3D3uo53ASkIZOFRlLnqaCTnwzOG2_Wg"",""Direct links Without Sizes!B2:B""))),XLOOKUP($B687,IMPORTRANGE(""1NK5L1mviMn0j3D3uo53ASkIZOFRlLnqaCTnwzOG2_Wg"",""Direct li"&amp;"nks Without Sizes!D2:D""),IMPORTRANGE(""1NK5L1mviMn0j3D3uo53ASkIZOFRlLnqaCTnwzOG2_Wg"",""Direct links Without Sizes!E2:E""))),"""")"),"")</f>
        <v/>
      </c>
      <c r="H687" s="41"/>
      <c r="I687" s="4"/>
      <c r="J687" s="4"/>
      <c r="K687" s="10" t="str">
        <f t="shared" si="1"/>
        <v/>
      </c>
      <c r="L687" s="10"/>
      <c r="M687" s="10" t="str">
        <f t="shared" si="2"/>
        <v/>
      </c>
    </row>
    <row r="688">
      <c r="A688" s="4"/>
      <c r="B688" s="15"/>
      <c r="C688" s="7" t="str">
        <f>IFERROR(__xludf.DUMMYFUNCTION("iferror(iferror(INDEX(IMPORTRANGE(""12vtnxaE_Q1s4tyr10kZQx7ZF_xG0lBFae4jQEUtgsMU"",""All!B2:B""),MATCH($B688,IMPORTRANGE(""12vtnxaE_Q1s4tyr10kZQx7ZF_xG0lBFae4jQEUtgsMU"",""All!A2:A""),0)),INDEX(IMPORTRANGE(""13KC70HngS4DDi8y9E5khtSpQEPG6owaQ9z4E-tR5mnY"","&amp;"""Non-Food!B2:B""),MATCH($B688,IMPORTRANGE(""13KC70HngS4DDi8y9E5khtSpQEPG6owaQ9z4E-tR5mnY"",""Non-Food!A2:A""),0))),"""")"),"")</f>
        <v/>
      </c>
      <c r="D688" s="15"/>
      <c r="E688" s="15"/>
      <c r="F688" s="36"/>
      <c r="G688" s="24" t="str">
        <f>IFERROR(__xludf.DUMMYFUNCTION("iferror(iferror(iferror(index(IMPORTRANGE(""1NK5L1mviMn0j3D3uo53ASkIZOFRlLnqaCTnwzOG2_Wg"",""Direct Link!B2:B""),MATCH($B688,IMPORTRANGE(""1NK5L1mviMn0j3D3uo53ASkIZOFRlLnqaCTnwzOG2_Wg"",""Direct Link!A2:A""),0)),XLOOKUP($B688,IMPORTRANGE(""1NK5L1mviMn0j3D"&amp;"3uo53ASkIZOFRlLnqaCTnwzOG2_Wg"",""Direct links Without Sizes!A2:A""),IMPORTRANGE(""1NK5L1mviMn0j3D3uo53ASkIZOFRlLnqaCTnwzOG2_Wg"",""Direct links Without Sizes!B2:B""))),XLOOKUP($B688,IMPORTRANGE(""1NK5L1mviMn0j3D3uo53ASkIZOFRlLnqaCTnwzOG2_Wg"",""Direct li"&amp;"nks Without Sizes!D2:D""),IMPORTRANGE(""1NK5L1mviMn0j3D3uo53ASkIZOFRlLnqaCTnwzOG2_Wg"",""Direct links Without Sizes!E2:E""))),"""")"),"")</f>
        <v/>
      </c>
      <c r="H688" s="41"/>
      <c r="I688" s="4"/>
      <c r="J688" s="4"/>
      <c r="K688" s="10" t="str">
        <f t="shared" si="1"/>
        <v/>
      </c>
      <c r="L688" s="10"/>
      <c r="M688" s="10" t="str">
        <f t="shared" si="2"/>
        <v/>
      </c>
    </row>
    <row r="689">
      <c r="A689" s="4"/>
      <c r="B689" s="15"/>
      <c r="C689" s="7" t="str">
        <f>IFERROR(__xludf.DUMMYFUNCTION("iferror(iferror(INDEX(IMPORTRANGE(""12vtnxaE_Q1s4tyr10kZQx7ZF_xG0lBFae4jQEUtgsMU"",""All!B2:B""),MATCH($B689,IMPORTRANGE(""12vtnxaE_Q1s4tyr10kZQx7ZF_xG0lBFae4jQEUtgsMU"",""All!A2:A""),0)),INDEX(IMPORTRANGE(""13KC70HngS4DDi8y9E5khtSpQEPG6owaQ9z4E-tR5mnY"","&amp;"""Non-Food!B2:B""),MATCH($B689,IMPORTRANGE(""13KC70HngS4DDi8y9E5khtSpQEPG6owaQ9z4E-tR5mnY"",""Non-Food!A2:A""),0))),"""")"),"")</f>
        <v/>
      </c>
      <c r="D689" s="15"/>
      <c r="E689" s="15"/>
      <c r="F689" s="36"/>
      <c r="G689" s="24" t="str">
        <f>IFERROR(__xludf.DUMMYFUNCTION("iferror(iferror(iferror(index(IMPORTRANGE(""1NK5L1mviMn0j3D3uo53ASkIZOFRlLnqaCTnwzOG2_Wg"",""Direct Link!B2:B""),MATCH($B689,IMPORTRANGE(""1NK5L1mviMn0j3D3uo53ASkIZOFRlLnqaCTnwzOG2_Wg"",""Direct Link!A2:A""),0)),XLOOKUP($B689,IMPORTRANGE(""1NK5L1mviMn0j3D"&amp;"3uo53ASkIZOFRlLnqaCTnwzOG2_Wg"",""Direct links Without Sizes!A2:A""),IMPORTRANGE(""1NK5L1mviMn0j3D3uo53ASkIZOFRlLnqaCTnwzOG2_Wg"",""Direct links Without Sizes!B2:B""))),XLOOKUP($B689,IMPORTRANGE(""1NK5L1mviMn0j3D3uo53ASkIZOFRlLnqaCTnwzOG2_Wg"",""Direct li"&amp;"nks Without Sizes!D2:D""),IMPORTRANGE(""1NK5L1mviMn0j3D3uo53ASkIZOFRlLnqaCTnwzOG2_Wg"",""Direct links Without Sizes!E2:E""))),"""")"),"")</f>
        <v/>
      </c>
      <c r="H689" s="41"/>
      <c r="I689" s="4"/>
      <c r="J689" s="4"/>
      <c r="K689" s="10" t="str">
        <f t="shared" si="1"/>
        <v/>
      </c>
      <c r="L689" s="10"/>
      <c r="M689" s="10" t="str">
        <f t="shared" si="2"/>
        <v/>
      </c>
    </row>
    <row r="690">
      <c r="A690" s="4"/>
      <c r="B690" s="15"/>
      <c r="C690" s="7" t="str">
        <f>IFERROR(__xludf.DUMMYFUNCTION("iferror(iferror(INDEX(IMPORTRANGE(""12vtnxaE_Q1s4tyr10kZQx7ZF_xG0lBFae4jQEUtgsMU"",""All!B2:B""),MATCH($B690,IMPORTRANGE(""12vtnxaE_Q1s4tyr10kZQx7ZF_xG0lBFae4jQEUtgsMU"",""All!A2:A""),0)),INDEX(IMPORTRANGE(""13KC70HngS4DDi8y9E5khtSpQEPG6owaQ9z4E-tR5mnY"","&amp;"""Non-Food!B2:B""),MATCH($B690,IMPORTRANGE(""13KC70HngS4DDi8y9E5khtSpQEPG6owaQ9z4E-tR5mnY"",""Non-Food!A2:A""),0))),"""")"),"")</f>
        <v/>
      </c>
      <c r="D690" s="15"/>
      <c r="E690" s="15"/>
      <c r="F690" s="36"/>
      <c r="G690" s="24" t="str">
        <f>IFERROR(__xludf.DUMMYFUNCTION("iferror(iferror(iferror(index(IMPORTRANGE(""1NK5L1mviMn0j3D3uo53ASkIZOFRlLnqaCTnwzOG2_Wg"",""Direct Link!B2:B""),MATCH($B690,IMPORTRANGE(""1NK5L1mviMn0j3D3uo53ASkIZOFRlLnqaCTnwzOG2_Wg"",""Direct Link!A2:A""),0)),XLOOKUP($B690,IMPORTRANGE(""1NK5L1mviMn0j3D"&amp;"3uo53ASkIZOFRlLnqaCTnwzOG2_Wg"",""Direct links Without Sizes!A2:A""),IMPORTRANGE(""1NK5L1mviMn0j3D3uo53ASkIZOFRlLnqaCTnwzOG2_Wg"",""Direct links Without Sizes!B2:B""))),XLOOKUP($B690,IMPORTRANGE(""1NK5L1mviMn0j3D3uo53ASkIZOFRlLnqaCTnwzOG2_Wg"",""Direct li"&amp;"nks Without Sizes!D2:D""),IMPORTRANGE(""1NK5L1mviMn0j3D3uo53ASkIZOFRlLnqaCTnwzOG2_Wg"",""Direct links Without Sizes!E2:E""))),"""")"),"")</f>
        <v/>
      </c>
      <c r="H690" s="41"/>
      <c r="I690" s="4"/>
      <c r="J690" s="4"/>
      <c r="K690" s="10" t="str">
        <f t="shared" si="1"/>
        <v/>
      </c>
      <c r="L690" s="10"/>
      <c r="M690" s="10" t="str">
        <f t="shared" si="2"/>
        <v/>
      </c>
    </row>
    <row r="691">
      <c r="A691" s="4"/>
      <c r="B691" s="15"/>
      <c r="C691" s="7" t="str">
        <f>IFERROR(__xludf.DUMMYFUNCTION("iferror(iferror(INDEX(IMPORTRANGE(""12vtnxaE_Q1s4tyr10kZQx7ZF_xG0lBFae4jQEUtgsMU"",""All!B2:B""),MATCH($B691,IMPORTRANGE(""12vtnxaE_Q1s4tyr10kZQx7ZF_xG0lBFae4jQEUtgsMU"",""All!A2:A""),0)),INDEX(IMPORTRANGE(""13KC70HngS4DDi8y9E5khtSpQEPG6owaQ9z4E-tR5mnY"","&amp;"""Non-Food!B2:B""),MATCH($B691,IMPORTRANGE(""13KC70HngS4DDi8y9E5khtSpQEPG6owaQ9z4E-tR5mnY"",""Non-Food!A2:A""),0))),"""")"),"")</f>
        <v/>
      </c>
      <c r="D691" s="15"/>
      <c r="E691" s="15"/>
      <c r="F691" s="36"/>
      <c r="G691" s="24" t="str">
        <f>IFERROR(__xludf.DUMMYFUNCTION("iferror(iferror(iferror(index(IMPORTRANGE(""1NK5L1mviMn0j3D3uo53ASkIZOFRlLnqaCTnwzOG2_Wg"",""Direct Link!B2:B""),MATCH($B691,IMPORTRANGE(""1NK5L1mviMn0j3D3uo53ASkIZOFRlLnqaCTnwzOG2_Wg"",""Direct Link!A2:A""),0)),XLOOKUP($B691,IMPORTRANGE(""1NK5L1mviMn0j3D"&amp;"3uo53ASkIZOFRlLnqaCTnwzOG2_Wg"",""Direct links Without Sizes!A2:A""),IMPORTRANGE(""1NK5L1mviMn0j3D3uo53ASkIZOFRlLnqaCTnwzOG2_Wg"",""Direct links Without Sizes!B2:B""))),XLOOKUP($B691,IMPORTRANGE(""1NK5L1mviMn0j3D3uo53ASkIZOFRlLnqaCTnwzOG2_Wg"",""Direct li"&amp;"nks Without Sizes!D2:D""),IMPORTRANGE(""1NK5L1mviMn0j3D3uo53ASkIZOFRlLnqaCTnwzOG2_Wg"",""Direct links Without Sizes!E2:E""))),"""")"),"")</f>
        <v/>
      </c>
      <c r="H691" s="41"/>
      <c r="I691" s="4"/>
      <c r="J691" s="4"/>
      <c r="K691" s="10" t="str">
        <f t="shared" si="1"/>
        <v/>
      </c>
      <c r="L691" s="10"/>
      <c r="M691" s="10" t="str">
        <f t="shared" si="2"/>
        <v/>
      </c>
    </row>
    <row r="692">
      <c r="A692" s="4"/>
      <c r="B692" s="15"/>
      <c r="C692" s="7" t="str">
        <f>IFERROR(__xludf.DUMMYFUNCTION("iferror(iferror(INDEX(IMPORTRANGE(""12vtnxaE_Q1s4tyr10kZQx7ZF_xG0lBFae4jQEUtgsMU"",""All!B2:B""),MATCH($B692,IMPORTRANGE(""12vtnxaE_Q1s4tyr10kZQx7ZF_xG0lBFae4jQEUtgsMU"",""All!A2:A""),0)),INDEX(IMPORTRANGE(""13KC70HngS4DDi8y9E5khtSpQEPG6owaQ9z4E-tR5mnY"","&amp;"""Non-Food!B2:B""),MATCH($B692,IMPORTRANGE(""13KC70HngS4DDi8y9E5khtSpQEPG6owaQ9z4E-tR5mnY"",""Non-Food!A2:A""),0))),"""")"),"")</f>
        <v/>
      </c>
      <c r="D692" s="15"/>
      <c r="E692" s="15"/>
      <c r="F692" s="36"/>
      <c r="G692" s="24" t="str">
        <f>IFERROR(__xludf.DUMMYFUNCTION("iferror(iferror(iferror(index(IMPORTRANGE(""1NK5L1mviMn0j3D3uo53ASkIZOFRlLnqaCTnwzOG2_Wg"",""Direct Link!B2:B""),MATCH($B692,IMPORTRANGE(""1NK5L1mviMn0j3D3uo53ASkIZOFRlLnqaCTnwzOG2_Wg"",""Direct Link!A2:A""),0)),XLOOKUP($B692,IMPORTRANGE(""1NK5L1mviMn0j3D"&amp;"3uo53ASkIZOFRlLnqaCTnwzOG2_Wg"",""Direct links Without Sizes!A2:A""),IMPORTRANGE(""1NK5L1mviMn0j3D3uo53ASkIZOFRlLnqaCTnwzOG2_Wg"",""Direct links Without Sizes!B2:B""))),XLOOKUP($B692,IMPORTRANGE(""1NK5L1mviMn0j3D3uo53ASkIZOFRlLnqaCTnwzOG2_Wg"",""Direct li"&amp;"nks Without Sizes!D2:D""),IMPORTRANGE(""1NK5L1mviMn0j3D3uo53ASkIZOFRlLnqaCTnwzOG2_Wg"",""Direct links Without Sizes!E2:E""))),"""")"),"")</f>
        <v/>
      </c>
      <c r="H692" s="41"/>
      <c r="I692" s="4"/>
      <c r="J692" s="4"/>
      <c r="K692" s="10" t="str">
        <f t="shared" si="1"/>
        <v/>
      </c>
      <c r="L692" s="10"/>
      <c r="M692" s="10" t="str">
        <f t="shared" si="2"/>
        <v/>
      </c>
    </row>
    <row r="693">
      <c r="A693" s="4"/>
      <c r="B693" s="15"/>
      <c r="C693" s="7" t="str">
        <f>IFERROR(__xludf.DUMMYFUNCTION("iferror(iferror(INDEX(IMPORTRANGE(""12vtnxaE_Q1s4tyr10kZQx7ZF_xG0lBFae4jQEUtgsMU"",""All!B2:B""),MATCH($B693,IMPORTRANGE(""12vtnxaE_Q1s4tyr10kZQx7ZF_xG0lBFae4jQEUtgsMU"",""All!A2:A""),0)),INDEX(IMPORTRANGE(""13KC70HngS4DDi8y9E5khtSpQEPG6owaQ9z4E-tR5mnY"","&amp;"""Non-Food!B2:B""),MATCH($B693,IMPORTRANGE(""13KC70HngS4DDi8y9E5khtSpQEPG6owaQ9z4E-tR5mnY"",""Non-Food!A2:A""),0))),"""")"),"")</f>
        <v/>
      </c>
      <c r="D693" s="15"/>
      <c r="E693" s="15"/>
      <c r="F693" s="36"/>
      <c r="G693" s="24" t="str">
        <f>IFERROR(__xludf.DUMMYFUNCTION("iferror(iferror(iferror(index(IMPORTRANGE(""1NK5L1mviMn0j3D3uo53ASkIZOFRlLnqaCTnwzOG2_Wg"",""Direct Link!B2:B""),MATCH($B693,IMPORTRANGE(""1NK5L1mviMn0j3D3uo53ASkIZOFRlLnqaCTnwzOG2_Wg"",""Direct Link!A2:A""),0)),XLOOKUP($B693,IMPORTRANGE(""1NK5L1mviMn0j3D"&amp;"3uo53ASkIZOFRlLnqaCTnwzOG2_Wg"",""Direct links Without Sizes!A2:A""),IMPORTRANGE(""1NK5L1mviMn0j3D3uo53ASkIZOFRlLnqaCTnwzOG2_Wg"",""Direct links Without Sizes!B2:B""))),XLOOKUP($B693,IMPORTRANGE(""1NK5L1mviMn0j3D3uo53ASkIZOFRlLnqaCTnwzOG2_Wg"",""Direct li"&amp;"nks Without Sizes!D2:D""),IMPORTRANGE(""1NK5L1mviMn0j3D3uo53ASkIZOFRlLnqaCTnwzOG2_Wg"",""Direct links Without Sizes!E2:E""))),"""")"),"")</f>
        <v/>
      </c>
      <c r="H693" s="41"/>
      <c r="I693" s="4"/>
      <c r="J693" s="4"/>
      <c r="K693" s="10" t="str">
        <f t="shared" si="1"/>
        <v/>
      </c>
      <c r="L693" s="10"/>
      <c r="M693" s="10" t="str">
        <f t="shared" si="2"/>
        <v/>
      </c>
    </row>
    <row r="694">
      <c r="A694" s="4"/>
      <c r="B694" s="15"/>
      <c r="C694" s="7" t="str">
        <f>IFERROR(__xludf.DUMMYFUNCTION("iferror(iferror(INDEX(IMPORTRANGE(""12vtnxaE_Q1s4tyr10kZQx7ZF_xG0lBFae4jQEUtgsMU"",""All!B2:B""),MATCH($B694,IMPORTRANGE(""12vtnxaE_Q1s4tyr10kZQx7ZF_xG0lBFae4jQEUtgsMU"",""All!A2:A""),0)),INDEX(IMPORTRANGE(""13KC70HngS4DDi8y9E5khtSpQEPG6owaQ9z4E-tR5mnY"","&amp;"""Non-Food!B2:B""),MATCH($B694,IMPORTRANGE(""13KC70HngS4DDi8y9E5khtSpQEPG6owaQ9z4E-tR5mnY"",""Non-Food!A2:A""),0))),"""")"),"")</f>
        <v/>
      </c>
      <c r="D694" s="15"/>
      <c r="E694" s="15"/>
      <c r="F694" s="36"/>
      <c r="G694" s="24" t="str">
        <f>IFERROR(__xludf.DUMMYFUNCTION("iferror(iferror(iferror(index(IMPORTRANGE(""1NK5L1mviMn0j3D3uo53ASkIZOFRlLnqaCTnwzOG2_Wg"",""Direct Link!B2:B""),MATCH($B694,IMPORTRANGE(""1NK5L1mviMn0j3D3uo53ASkIZOFRlLnqaCTnwzOG2_Wg"",""Direct Link!A2:A""),0)),XLOOKUP($B694,IMPORTRANGE(""1NK5L1mviMn0j3D"&amp;"3uo53ASkIZOFRlLnqaCTnwzOG2_Wg"",""Direct links Without Sizes!A2:A""),IMPORTRANGE(""1NK5L1mviMn0j3D3uo53ASkIZOFRlLnqaCTnwzOG2_Wg"",""Direct links Without Sizes!B2:B""))),XLOOKUP($B694,IMPORTRANGE(""1NK5L1mviMn0j3D3uo53ASkIZOFRlLnqaCTnwzOG2_Wg"",""Direct li"&amp;"nks Without Sizes!D2:D""),IMPORTRANGE(""1NK5L1mviMn0j3D3uo53ASkIZOFRlLnqaCTnwzOG2_Wg"",""Direct links Without Sizes!E2:E""))),"""")"),"")</f>
        <v/>
      </c>
      <c r="H694" s="41"/>
      <c r="I694" s="4"/>
      <c r="J694" s="4"/>
      <c r="K694" s="10" t="str">
        <f t="shared" si="1"/>
        <v/>
      </c>
      <c r="L694" s="10"/>
      <c r="M694" s="10" t="str">
        <f t="shared" si="2"/>
        <v/>
      </c>
    </row>
    <row r="695">
      <c r="A695" s="4"/>
      <c r="B695" s="15"/>
      <c r="C695" s="7" t="str">
        <f>IFERROR(__xludf.DUMMYFUNCTION("iferror(iferror(INDEX(IMPORTRANGE(""12vtnxaE_Q1s4tyr10kZQx7ZF_xG0lBFae4jQEUtgsMU"",""All!B2:B""),MATCH($B695,IMPORTRANGE(""12vtnxaE_Q1s4tyr10kZQx7ZF_xG0lBFae4jQEUtgsMU"",""All!A2:A""),0)),INDEX(IMPORTRANGE(""13KC70HngS4DDi8y9E5khtSpQEPG6owaQ9z4E-tR5mnY"","&amp;"""Non-Food!B2:B""),MATCH($B695,IMPORTRANGE(""13KC70HngS4DDi8y9E5khtSpQEPG6owaQ9z4E-tR5mnY"",""Non-Food!A2:A""),0))),"""")"),"")</f>
        <v/>
      </c>
      <c r="D695" s="15"/>
      <c r="E695" s="15"/>
      <c r="F695" s="36"/>
      <c r="G695" s="24" t="str">
        <f>IFERROR(__xludf.DUMMYFUNCTION("iferror(iferror(iferror(index(IMPORTRANGE(""1NK5L1mviMn0j3D3uo53ASkIZOFRlLnqaCTnwzOG2_Wg"",""Direct Link!B2:B""),MATCH($B695,IMPORTRANGE(""1NK5L1mviMn0j3D3uo53ASkIZOFRlLnqaCTnwzOG2_Wg"",""Direct Link!A2:A""),0)),XLOOKUP($B695,IMPORTRANGE(""1NK5L1mviMn0j3D"&amp;"3uo53ASkIZOFRlLnqaCTnwzOG2_Wg"",""Direct links Without Sizes!A2:A""),IMPORTRANGE(""1NK5L1mviMn0j3D3uo53ASkIZOFRlLnqaCTnwzOG2_Wg"",""Direct links Without Sizes!B2:B""))),XLOOKUP($B695,IMPORTRANGE(""1NK5L1mviMn0j3D3uo53ASkIZOFRlLnqaCTnwzOG2_Wg"",""Direct li"&amp;"nks Without Sizes!D2:D""),IMPORTRANGE(""1NK5L1mviMn0j3D3uo53ASkIZOFRlLnqaCTnwzOG2_Wg"",""Direct links Without Sizes!E2:E""))),"""")"),"")</f>
        <v/>
      </c>
      <c r="H695" s="41"/>
      <c r="I695" s="4"/>
      <c r="J695" s="4"/>
      <c r="K695" s="10" t="str">
        <f t="shared" si="1"/>
        <v/>
      </c>
      <c r="L695" s="10"/>
      <c r="M695" s="10" t="str">
        <f t="shared" si="2"/>
        <v/>
      </c>
    </row>
    <row r="696">
      <c r="A696" s="4"/>
      <c r="B696" s="15"/>
      <c r="C696" s="7" t="str">
        <f>IFERROR(__xludf.DUMMYFUNCTION("iferror(iferror(INDEX(IMPORTRANGE(""12vtnxaE_Q1s4tyr10kZQx7ZF_xG0lBFae4jQEUtgsMU"",""All!B2:B""),MATCH($B696,IMPORTRANGE(""12vtnxaE_Q1s4tyr10kZQx7ZF_xG0lBFae4jQEUtgsMU"",""All!A2:A""),0)),INDEX(IMPORTRANGE(""13KC70HngS4DDi8y9E5khtSpQEPG6owaQ9z4E-tR5mnY"","&amp;"""Non-Food!B2:B""),MATCH($B696,IMPORTRANGE(""13KC70HngS4DDi8y9E5khtSpQEPG6owaQ9z4E-tR5mnY"",""Non-Food!A2:A""),0))),"""")"),"")</f>
        <v/>
      </c>
      <c r="D696" s="15"/>
      <c r="E696" s="15"/>
      <c r="F696" s="36"/>
      <c r="G696" s="24" t="str">
        <f>IFERROR(__xludf.DUMMYFUNCTION("iferror(iferror(iferror(index(IMPORTRANGE(""1NK5L1mviMn0j3D3uo53ASkIZOFRlLnqaCTnwzOG2_Wg"",""Direct Link!B2:B""),MATCH($B696,IMPORTRANGE(""1NK5L1mviMn0j3D3uo53ASkIZOFRlLnqaCTnwzOG2_Wg"",""Direct Link!A2:A""),0)),XLOOKUP($B696,IMPORTRANGE(""1NK5L1mviMn0j3D"&amp;"3uo53ASkIZOFRlLnqaCTnwzOG2_Wg"",""Direct links Without Sizes!A2:A""),IMPORTRANGE(""1NK5L1mviMn0j3D3uo53ASkIZOFRlLnqaCTnwzOG2_Wg"",""Direct links Without Sizes!B2:B""))),XLOOKUP($B696,IMPORTRANGE(""1NK5L1mviMn0j3D3uo53ASkIZOFRlLnqaCTnwzOG2_Wg"",""Direct li"&amp;"nks Without Sizes!D2:D""),IMPORTRANGE(""1NK5L1mviMn0j3D3uo53ASkIZOFRlLnqaCTnwzOG2_Wg"",""Direct links Without Sizes!E2:E""))),"""")"),"")</f>
        <v/>
      </c>
      <c r="H696" s="41"/>
      <c r="I696" s="4"/>
      <c r="J696" s="4"/>
      <c r="K696" s="10" t="str">
        <f t="shared" si="1"/>
        <v/>
      </c>
      <c r="L696" s="10"/>
      <c r="M696" s="10" t="str">
        <f t="shared" si="2"/>
        <v/>
      </c>
    </row>
    <row r="697">
      <c r="A697" s="4"/>
      <c r="B697" s="15"/>
      <c r="C697" s="7" t="str">
        <f>IFERROR(__xludf.DUMMYFUNCTION("iferror(iferror(INDEX(IMPORTRANGE(""12vtnxaE_Q1s4tyr10kZQx7ZF_xG0lBFae4jQEUtgsMU"",""All!B2:B""),MATCH($B697,IMPORTRANGE(""12vtnxaE_Q1s4tyr10kZQx7ZF_xG0lBFae4jQEUtgsMU"",""All!A2:A""),0)),INDEX(IMPORTRANGE(""13KC70HngS4DDi8y9E5khtSpQEPG6owaQ9z4E-tR5mnY"","&amp;"""Non-Food!B2:B""),MATCH($B697,IMPORTRANGE(""13KC70HngS4DDi8y9E5khtSpQEPG6owaQ9z4E-tR5mnY"",""Non-Food!A2:A""),0))),"""")"),"")</f>
        <v/>
      </c>
      <c r="D697" s="15"/>
      <c r="E697" s="15"/>
      <c r="F697" s="36"/>
      <c r="G697" s="24" t="str">
        <f>IFERROR(__xludf.DUMMYFUNCTION("iferror(iferror(iferror(index(IMPORTRANGE(""1NK5L1mviMn0j3D3uo53ASkIZOFRlLnqaCTnwzOG2_Wg"",""Direct Link!B2:B""),MATCH($B697,IMPORTRANGE(""1NK5L1mviMn0j3D3uo53ASkIZOFRlLnqaCTnwzOG2_Wg"",""Direct Link!A2:A""),0)),XLOOKUP($B697,IMPORTRANGE(""1NK5L1mviMn0j3D"&amp;"3uo53ASkIZOFRlLnqaCTnwzOG2_Wg"",""Direct links Without Sizes!A2:A""),IMPORTRANGE(""1NK5L1mviMn0j3D3uo53ASkIZOFRlLnqaCTnwzOG2_Wg"",""Direct links Without Sizes!B2:B""))),XLOOKUP($B697,IMPORTRANGE(""1NK5L1mviMn0j3D3uo53ASkIZOFRlLnqaCTnwzOG2_Wg"",""Direct li"&amp;"nks Without Sizes!D2:D""),IMPORTRANGE(""1NK5L1mviMn0j3D3uo53ASkIZOFRlLnqaCTnwzOG2_Wg"",""Direct links Without Sizes!E2:E""))),"""")"),"")</f>
        <v/>
      </c>
      <c r="H697" s="41"/>
      <c r="I697" s="4"/>
      <c r="J697" s="4"/>
      <c r="K697" s="10" t="str">
        <f t="shared" si="1"/>
        <v/>
      </c>
      <c r="L697" s="10"/>
      <c r="M697" s="10" t="str">
        <f t="shared" si="2"/>
        <v/>
      </c>
    </row>
    <row r="698">
      <c r="A698" s="4"/>
      <c r="B698" s="15"/>
      <c r="C698" s="7" t="str">
        <f>IFERROR(__xludf.DUMMYFUNCTION("iferror(iferror(INDEX(IMPORTRANGE(""12vtnxaE_Q1s4tyr10kZQx7ZF_xG0lBFae4jQEUtgsMU"",""All!B2:B""),MATCH($B698,IMPORTRANGE(""12vtnxaE_Q1s4tyr10kZQx7ZF_xG0lBFae4jQEUtgsMU"",""All!A2:A""),0)),INDEX(IMPORTRANGE(""13KC70HngS4DDi8y9E5khtSpQEPG6owaQ9z4E-tR5mnY"","&amp;"""Non-Food!B2:B""),MATCH($B698,IMPORTRANGE(""13KC70HngS4DDi8y9E5khtSpQEPG6owaQ9z4E-tR5mnY"",""Non-Food!A2:A""),0))),"""")"),"")</f>
        <v/>
      </c>
      <c r="D698" s="15"/>
      <c r="E698" s="15"/>
      <c r="F698" s="36"/>
      <c r="G698" s="24" t="str">
        <f>IFERROR(__xludf.DUMMYFUNCTION("iferror(iferror(iferror(index(IMPORTRANGE(""1NK5L1mviMn0j3D3uo53ASkIZOFRlLnqaCTnwzOG2_Wg"",""Direct Link!B2:B""),MATCH($B698,IMPORTRANGE(""1NK5L1mviMn0j3D3uo53ASkIZOFRlLnqaCTnwzOG2_Wg"",""Direct Link!A2:A""),0)),XLOOKUP($B698,IMPORTRANGE(""1NK5L1mviMn0j3D"&amp;"3uo53ASkIZOFRlLnqaCTnwzOG2_Wg"",""Direct links Without Sizes!A2:A""),IMPORTRANGE(""1NK5L1mviMn0j3D3uo53ASkIZOFRlLnqaCTnwzOG2_Wg"",""Direct links Without Sizes!B2:B""))),XLOOKUP($B698,IMPORTRANGE(""1NK5L1mviMn0j3D3uo53ASkIZOFRlLnqaCTnwzOG2_Wg"",""Direct li"&amp;"nks Without Sizes!D2:D""),IMPORTRANGE(""1NK5L1mviMn0j3D3uo53ASkIZOFRlLnqaCTnwzOG2_Wg"",""Direct links Without Sizes!E2:E""))),"""")"),"")</f>
        <v/>
      </c>
      <c r="H698" s="41"/>
      <c r="I698" s="4"/>
      <c r="J698" s="4"/>
      <c r="K698" s="10" t="str">
        <f t="shared" si="1"/>
        <v/>
      </c>
      <c r="L698" s="10"/>
      <c r="M698" s="10" t="str">
        <f t="shared" si="2"/>
        <v/>
      </c>
    </row>
    <row r="699">
      <c r="A699" s="4"/>
      <c r="B699" s="15"/>
      <c r="C699" s="7" t="str">
        <f>IFERROR(__xludf.DUMMYFUNCTION("iferror(iferror(INDEX(IMPORTRANGE(""12vtnxaE_Q1s4tyr10kZQx7ZF_xG0lBFae4jQEUtgsMU"",""All!B2:B""),MATCH($B699,IMPORTRANGE(""12vtnxaE_Q1s4tyr10kZQx7ZF_xG0lBFae4jQEUtgsMU"",""All!A2:A""),0)),INDEX(IMPORTRANGE(""13KC70HngS4DDi8y9E5khtSpQEPG6owaQ9z4E-tR5mnY"","&amp;"""Non-Food!B2:B""),MATCH($B699,IMPORTRANGE(""13KC70HngS4DDi8y9E5khtSpQEPG6owaQ9z4E-tR5mnY"",""Non-Food!A2:A""),0))),"""")"),"")</f>
        <v/>
      </c>
      <c r="D699" s="15"/>
      <c r="E699" s="15"/>
      <c r="F699" s="36"/>
      <c r="G699" s="24" t="str">
        <f>IFERROR(__xludf.DUMMYFUNCTION("iferror(iferror(iferror(index(IMPORTRANGE(""1NK5L1mviMn0j3D3uo53ASkIZOFRlLnqaCTnwzOG2_Wg"",""Direct Link!B2:B""),MATCH($B699,IMPORTRANGE(""1NK5L1mviMn0j3D3uo53ASkIZOFRlLnqaCTnwzOG2_Wg"",""Direct Link!A2:A""),0)),XLOOKUP($B699,IMPORTRANGE(""1NK5L1mviMn0j3D"&amp;"3uo53ASkIZOFRlLnqaCTnwzOG2_Wg"",""Direct links Without Sizes!A2:A""),IMPORTRANGE(""1NK5L1mviMn0j3D3uo53ASkIZOFRlLnqaCTnwzOG2_Wg"",""Direct links Without Sizes!B2:B""))),XLOOKUP($B699,IMPORTRANGE(""1NK5L1mviMn0j3D3uo53ASkIZOFRlLnqaCTnwzOG2_Wg"",""Direct li"&amp;"nks Without Sizes!D2:D""),IMPORTRANGE(""1NK5L1mviMn0j3D3uo53ASkIZOFRlLnqaCTnwzOG2_Wg"",""Direct links Without Sizes!E2:E""))),"""")"),"")</f>
        <v/>
      </c>
      <c r="H699" s="41"/>
      <c r="I699" s="4"/>
      <c r="J699" s="4"/>
      <c r="K699" s="10" t="str">
        <f t="shared" si="1"/>
        <v/>
      </c>
      <c r="L699" s="10"/>
      <c r="M699" s="10" t="str">
        <f t="shared" si="2"/>
        <v/>
      </c>
    </row>
    <row r="700">
      <c r="A700" s="4"/>
      <c r="B700" s="15"/>
      <c r="C700" s="7" t="str">
        <f>IFERROR(__xludf.DUMMYFUNCTION("iferror(iferror(INDEX(IMPORTRANGE(""12vtnxaE_Q1s4tyr10kZQx7ZF_xG0lBFae4jQEUtgsMU"",""All!B2:B""),MATCH($B700,IMPORTRANGE(""12vtnxaE_Q1s4tyr10kZQx7ZF_xG0lBFae4jQEUtgsMU"",""All!A2:A""),0)),INDEX(IMPORTRANGE(""13KC70HngS4DDi8y9E5khtSpQEPG6owaQ9z4E-tR5mnY"","&amp;"""Non-Food!B2:B""),MATCH($B700,IMPORTRANGE(""13KC70HngS4DDi8y9E5khtSpQEPG6owaQ9z4E-tR5mnY"",""Non-Food!A2:A""),0))),"""")"),"")</f>
        <v/>
      </c>
      <c r="D700" s="15"/>
      <c r="E700" s="15"/>
      <c r="F700" s="36"/>
      <c r="G700" s="24" t="str">
        <f>IFERROR(__xludf.DUMMYFUNCTION("iferror(iferror(iferror(index(IMPORTRANGE(""1NK5L1mviMn0j3D3uo53ASkIZOFRlLnqaCTnwzOG2_Wg"",""Direct Link!B2:B""),MATCH($B700,IMPORTRANGE(""1NK5L1mviMn0j3D3uo53ASkIZOFRlLnqaCTnwzOG2_Wg"",""Direct Link!A2:A""),0)),XLOOKUP($B700,IMPORTRANGE(""1NK5L1mviMn0j3D"&amp;"3uo53ASkIZOFRlLnqaCTnwzOG2_Wg"",""Direct links Without Sizes!A2:A""),IMPORTRANGE(""1NK5L1mviMn0j3D3uo53ASkIZOFRlLnqaCTnwzOG2_Wg"",""Direct links Without Sizes!B2:B""))),XLOOKUP($B700,IMPORTRANGE(""1NK5L1mviMn0j3D3uo53ASkIZOFRlLnqaCTnwzOG2_Wg"",""Direct li"&amp;"nks Without Sizes!D2:D""),IMPORTRANGE(""1NK5L1mviMn0j3D3uo53ASkIZOFRlLnqaCTnwzOG2_Wg"",""Direct links Without Sizes!E2:E""))),"""")"),"")</f>
        <v/>
      </c>
      <c r="H700" s="41"/>
      <c r="I700" s="4"/>
      <c r="J700" s="4"/>
      <c r="K700" s="10" t="str">
        <f t="shared" si="1"/>
        <v/>
      </c>
      <c r="L700" s="10"/>
      <c r="M700" s="10" t="str">
        <f t="shared" si="2"/>
        <v/>
      </c>
    </row>
    <row r="701">
      <c r="A701" s="4"/>
      <c r="B701" s="15"/>
      <c r="C701" s="7" t="str">
        <f>IFERROR(__xludf.DUMMYFUNCTION("iferror(iferror(INDEX(IMPORTRANGE(""12vtnxaE_Q1s4tyr10kZQx7ZF_xG0lBFae4jQEUtgsMU"",""All!B2:B""),MATCH($B701,IMPORTRANGE(""12vtnxaE_Q1s4tyr10kZQx7ZF_xG0lBFae4jQEUtgsMU"",""All!A2:A""),0)),INDEX(IMPORTRANGE(""13KC70HngS4DDi8y9E5khtSpQEPG6owaQ9z4E-tR5mnY"","&amp;"""Non-Food!B2:B""),MATCH($B701,IMPORTRANGE(""13KC70HngS4DDi8y9E5khtSpQEPG6owaQ9z4E-tR5mnY"",""Non-Food!A2:A""),0))),"""")"),"")</f>
        <v/>
      </c>
      <c r="D701" s="15"/>
      <c r="E701" s="15"/>
      <c r="F701" s="36"/>
      <c r="G701" s="24" t="str">
        <f>IFERROR(__xludf.DUMMYFUNCTION("iferror(iferror(iferror(index(IMPORTRANGE(""1NK5L1mviMn0j3D3uo53ASkIZOFRlLnqaCTnwzOG2_Wg"",""Direct Link!B2:B""),MATCH($B701,IMPORTRANGE(""1NK5L1mviMn0j3D3uo53ASkIZOFRlLnqaCTnwzOG2_Wg"",""Direct Link!A2:A""),0)),XLOOKUP($B701,IMPORTRANGE(""1NK5L1mviMn0j3D"&amp;"3uo53ASkIZOFRlLnqaCTnwzOG2_Wg"",""Direct links Without Sizes!A2:A""),IMPORTRANGE(""1NK5L1mviMn0j3D3uo53ASkIZOFRlLnqaCTnwzOG2_Wg"",""Direct links Without Sizes!B2:B""))),XLOOKUP($B701,IMPORTRANGE(""1NK5L1mviMn0j3D3uo53ASkIZOFRlLnqaCTnwzOG2_Wg"",""Direct li"&amp;"nks Without Sizes!D2:D""),IMPORTRANGE(""1NK5L1mviMn0j3D3uo53ASkIZOFRlLnqaCTnwzOG2_Wg"",""Direct links Without Sizes!E2:E""))),"""")"),"")</f>
        <v/>
      </c>
      <c r="H701" s="41"/>
      <c r="I701" s="4"/>
      <c r="J701" s="4"/>
      <c r="K701" s="10" t="str">
        <f t="shared" si="1"/>
        <v/>
      </c>
      <c r="L701" s="10"/>
      <c r="M701" s="10" t="str">
        <f t="shared" si="2"/>
        <v/>
      </c>
    </row>
    <row r="702">
      <c r="A702" s="4"/>
      <c r="B702" s="15"/>
      <c r="C702" s="7" t="str">
        <f>IFERROR(__xludf.DUMMYFUNCTION("iferror(iferror(INDEX(IMPORTRANGE(""12vtnxaE_Q1s4tyr10kZQx7ZF_xG0lBFae4jQEUtgsMU"",""All!B2:B""),MATCH($B702,IMPORTRANGE(""12vtnxaE_Q1s4tyr10kZQx7ZF_xG0lBFae4jQEUtgsMU"",""All!A2:A""),0)),INDEX(IMPORTRANGE(""13KC70HngS4DDi8y9E5khtSpQEPG6owaQ9z4E-tR5mnY"","&amp;"""Non-Food!B2:B""),MATCH($B702,IMPORTRANGE(""13KC70HngS4DDi8y9E5khtSpQEPG6owaQ9z4E-tR5mnY"",""Non-Food!A2:A""),0))),"""")"),"")</f>
        <v/>
      </c>
      <c r="D702" s="15"/>
      <c r="E702" s="15"/>
      <c r="F702" s="36"/>
      <c r="G702" s="24" t="str">
        <f>IFERROR(__xludf.DUMMYFUNCTION("iferror(iferror(iferror(index(IMPORTRANGE(""1NK5L1mviMn0j3D3uo53ASkIZOFRlLnqaCTnwzOG2_Wg"",""Direct Link!B2:B""),MATCH($B702,IMPORTRANGE(""1NK5L1mviMn0j3D3uo53ASkIZOFRlLnqaCTnwzOG2_Wg"",""Direct Link!A2:A""),0)),XLOOKUP($B702,IMPORTRANGE(""1NK5L1mviMn0j3D"&amp;"3uo53ASkIZOFRlLnqaCTnwzOG2_Wg"",""Direct links Without Sizes!A2:A""),IMPORTRANGE(""1NK5L1mviMn0j3D3uo53ASkIZOFRlLnqaCTnwzOG2_Wg"",""Direct links Without Sizes!B2:B""))),XLOOKUP($B702,IMPORTRANGE(""1NK5L1mviMn0j3D3uo53ASkIZOFRlLnqaCTnwzOG2_Wg"",""Direct li"&amp;"nks Without Sizes!D2:D""),IMPORTRANGE(""1NK5L1mviMn0j3D3uo53ASkIZOFRlLnqaCTnwzOG2_Wg"",""Direct links Without Sizes!E2:E""))),"""")"),"")</f>
        <v/>
      </c>
      <c r="H702" s="41"/>
      <c r="I702" s="4"/>
      <c r="J702" s="4"/>
      <c r="K702" s="10" t="str">
        <f t="shared" si="1"/>
        <v/>
      </c>
      <c r="L702" s="10"/>
      <c r="M702" s="10" t="str">
        <f t="shared" si="2"/>
        <v/>
      </c>
    </row>
    <row r="703">
      <c r="A703" s="4"/>
      <c r="B703" s="15"/>
      <c r="C703" s="7" t="str">
        <f>IFERROR(__xludf.DUMMYFUNCTION("iferror(iferror(INDEX(IMPORTRANGE(""12vtnxaE_Q1s4tyr10kZQx7ZF_xG0lBFae4jQEUtgsMU"",""All!B2:B""),MATCH($B703,IMPORTRANGE(""12vtnxaE_Q1s4tyr10kZQx7ZF_xG0lBFae4jQEUtgsMU"",""All!A2:A""),0)),INDEX(IMPORTRANGE(""13KC70HngS4DDi8y9E5khtSpQEPG6owaQ9z4E-tR5mnY"","&amp;"""Non-Food!B2:B""),MATCH($B703,IMPORTRANGE(""13KC70HngS4DDi8y9E5khtSpQEPG6owaQ9z4E-tR5mnY"",""Non-Food!A2:A""),0))),"""")"),"")</f>
        <v/>
      </c>
      <c r="D703" s="15"/>
      <c r="E703" s="15"/>
      <c r="F703" s="36"/>
      <c r="G703" s="24" t="str">
        <f>IFERROR(__xludf.DUMMYFUNCTION("iferror(iferror(iferror(index(IMPORTRANGE(""1NK5L1mviMn0j3D3uo53ASkIZOFRlLnqaCTnwzOG2_Wg"",""Direct Link!B2:B""),MATCH($B703,IMPORTRANGE(""1NK5L1mviMn0j3D3uo53ASkIZOFRlLnqaCTnwzOG2_Wg"",""Direct Link!A2:A""),0)),XLOOKUP($B703,IMPORTRANGE(""1NK5L1mviMn0j3D"&amp;"3uo53ASkIZOFRlLnqaCTnwzOG2_Wg"",""Direct links Without Sizes!A2:A""),IMPORTRANGE(""1NK5L1mviMn0j3D3uo53ASkIZOFRlLnqaCTnwzOG2_Wg"",""Direct links Without Sizes!B2:B""))),XLOOKUP($B703,IMPORTRANGE(""1NK5L1mviMn0j3D3uo53ASkIZOFRlLnqaCTnwzOG2_Wg"",""Direct li"&amp;"nks Without Sizes!D2:D""),IMPORTRANGE(""1NK5L1mviMn0j3D3uo53ASkIZOFRlLnqaCTnwzOG2_Wg"",""Direct links Without Sizes!E2:E""))),"""")"),"")</f>
        <v/>
      </c>
      <c r="H703" s="41"/>
      <c r="I703" s="4"/>
      <c r="J703" s="4"/>
      <c r="K703" s="10" t="str">
        <f t="shared" si="1"/>
        <v/>
      </c>
      <c r="L703" s="10"/>
      <c r="M703" s="10" t="str">
        <f t="shared" si="2"/>
        <v/>
      </c>
    </row>
    <row r="704">
      <c r="A704" s="4"/>
      <c r="B704" s="15"/>
      <c r="C704" s="7" t="str">
        <f>IFERROR(__xludf.DUMMYFUNCTION("iferror(iferror(INDEX(IMPORTRANGE(""12vtnxaE_Q1s4tyr10kZQx7ZF_xG0lBFae4jQEUtgsMU"",""All!B2:B""),MATCH($B704,IMPORTRANGE(""12vtnxaE_Q1s4tyr10kZQx7ZF_xG0lBFae4jQEUtgsMU"",""All!A2:A""),0)),INDEX(IMPORTRANGE(""13KC70HngS4DDi8y9E5khtSpQEPG6owaQ9z4E-tR5mnY"","&amp;"""Non-Food!B2:B""),MATCH($B704,IMPORTRANGE(""13KC70HngS4DDi8y9E5khtSpQEPG6owaQ9z4E-tR5mnY"",""Non-Food!A2:A""),0))),"""")"),"")</f>
        <v/>
      </c>
      <c r="D704" s="15"/>
      <c r="E704" s="15"/>
      <c r="F704" s="36"/>
      <c r="G704" s="24" t="str">
        <f>IFERROR(__xludf.DUMMYFUNCTION("iferror(iferror(iferror(index(IMPORTRANGE(""1NK5L1mviMn0j3D3uo53ASkIZOFRlLnqaCTnwzOG2_Wg"",""Direct Link!B2:B""),MATCH($B704,IMPORTRANGE(""1NK5L1mviMn0j3D3uo53ASkIZOFRlLnqaCTnwzOG2_Wg"",""Direct Link!A2:A""),0)),XLOOKUP($B704,IMPORTRANGE(""1NK5L1mviMn0j3D"&amp;"3uo53ASkIZOFRlLnqaCTnwzOG2_Wg"",""Direct links Without Sizes!A2:A""),IMPORTRANGE(""1NK5L1mviMn0j3D3uo53ASkIZOFRlLnqaCTnwzOG2_Wg"",""Direct links Without Sizes!B2:B""))),XLOOKUP($B704,IMPORTRANGE(""1NK5L1mviMn0j3D3uo53ASkIZOFRlLnqaCTnwzOG2_Wg"",""Direct li"&amp;"nks Without Sizes!D2:D""),IMPORTRANGE(""1NK5L1mviMn0j3D3uo53ASkIZOFRlLnqaCTnwzOG2_Wg"",""Direct links Without Sizes!E2:E""))),"""")"),"")</f>
        <v/>
      </c>
      <c r="H704" s="41"/>
      <c r="I704" s="4"/>
      <c r="J704" s="4"/>
      <c r="K704" s="10" t="str">
        <f t="shared" si="1"/>
        <v/>
      </c>
      <c r="L704" s="10"/>
      <c r="M704" s="10" t="str">
        <f t="shared" si="2"/>
        <v/>
      </c>
    </row>
    <row r="705">
      <c r="A705" s="4"/>
      <c r="B705" s="15"/>
      <c r="C705" s="7" t="str">
        <f>IFERROR(__xludf.DUMMYFUNCTION("iferror(iferror(INDEX(IMPORTRANGE(""12vtnxaE_Q1s4tyr10kZQx7ZF_xG0lBFae4jQEUtgsMU"",""All!B2:B""),MATCH($B705,IMPORTRANGE(""12vtnxaE_Q1s4tyr10kZQx7ZF_xG0lBFae4jQEUtgsMU"",""All!A2:A""),0)),INDEX(IMPORTRANGE(""13KC70HngS4DDi8y9E5khtSpQEPG6owaQ9z4E-tR5mnY"","&amp;"""Non-Food!B2:B""),MATCH($B705,IMPORTRANGE(""13KC70HngS4DDi8y9E5khtSpQEPG6owaQ9z4E-tR5mnY"",""Non-Food!A2:A""),0))),"""")"),"")</f>
        <v/>
      </c>
      <c r="D705" s="15"/>
      <c r="E705" s="15"/>
      <c r="F705" s="36"/>
      <c r="G705" s="24" t="str">
        <f>IFERROR(__xludf.DUMMYFUNCTION("iferror(iferror(iferror(index(IMPORTRANGE(""1NK5L1mviMn0j3D3uo53ASkIZOFRlLnqaCTnwzOG2_Wg"",""Direct Link!B2:B""),MATCH($B705,IMPORTRANGE(""1NK5L1mviMn0j3D3uo53ASkIZOFRlLnqaCTnwzOG2_Wg"",""Direct Link!A2:A""),0)),XLOOKUP($B705,IMPORTRANGE(""1NK5L1mviMn0j3D"&amp;"3uo53ASkIZOFRlLnqaCTnwzOG2_Wg"",""Direct links Without Sizes!A2:A""),IMPORTRANGE(""1NK5L1mviMn0j3D3uo53ASkIZOFRlLnqaCTnwzOG2_Wg"",""Direct links Without Sizes!B2:B""))),XLOOKUP($B705,IMPORTRANGE(""1NK5L1mviMn0j3D3uo53ASkIZOFRlLnqaCTnwzOG2_Wg"",""Direct li"&amp;"nks Without Sizes!D2:D""),IMPORTRANGE(""1NK5L1mviMn0j3D3uo53ASkIZOFRlLnqaCTnwzOG2_Wg"",""Direct links Without Sizes!E2:E""))),"""")"),"")</f>
        <v/>
      </c>
      <c r="H705" s="41"/>
      <c r="I705" s="4"/>
      <c r="J705" s="4"/>
      <c r="K705" s="10" t="str">
        <f t="shared" si="1"/>
        <v/>
      </c>
      <c r="L705" s="10"/>
      <c r="M705" s="10" t="str">
        <f t="shared" si="2"/>
        <v/>
      </c>
    </row>
    <row r="706">
      <c r="A706" s="4"/>
      <c r="B706" s="15"/>
      <c r="C706" s="7" t="str">
        <f>IFERROR(__xludf.DUMMYFUNCTION("iferror(iferror(INDEX(IMPORTRANGE(""12vtnxaE_Q1s4tyr10kZQx7ZF_xG0lBFae4jQEUtgsMU"",""All!B2:B""),MATCH($B706,IMPORTRANGE(""12vtnxaE_Q1s4tyr10kZQx7ZF_xG0lBFae4jQEUtgsMU"",""All!A2:A""),0)),INDEX(IMPORTRANGE(""13KC70HngS4DDi8y9E5khtSpQEPG6owaQ9z4E-tR5mnY"","&amp;"""Non-Food!B2:B""),MATCH($B706,IMPORTRANGE(""13KC70HngS4DDi8y9E5khtSpQEPG6owaQ9z4E-tR5mnY"",""Non-Food!A2:A""),0))),"""")"),"")</f>
        <v/>
      </c>
      <c r="D706" s="15"/>
      <c r="E706" s="15"/>
      <c r="F706" s="36"/>
      <c r="G706" s="24" t="str">
        <f>IFERROR(__xludf.DUMMYFUNCTION("iferror(iferror(iferror(index(IMPORTRANGE(""1NK5L1mviMn0j3D3uo53ASkIZOFRlLnqaCTnwzOG2_Wg"",""Direct Link!B2:B""),MATCH($B706,IMPORTRANGE(""1NK5L1mviMn0j3D3uo53ASkIZOFRlLnqaCTnwzOG2_Wg"",""Direct Link!A2:A""),0)),XLOOKUP($B706,IMPORTRANGE(""1NK5L1mviMn0j3D"&amp;"3uo53ASkIZOFRlLnqaCTnwzOG2_Wg"",""Direct links Without Sizes!A2:A""),IMPORTRANGE(""1NK5L1mviMn0j3D3uo53ASkIZOFRlLnqaCTnwzOG2_Wg"",""Direct links Without Sizes!B2:B""))),XLOOKUP($B706,IMPORTRANGE(""1NK5L1mviMn0j3D3uo53ASkIZOFRlLnqaCTnwzOG2_Wg"",""Direct li"&amp;"nks Without Sizes!D2:D""),IMPORTRANGE(""1NK5L1mviMn0j3D3uo53ASkIZOFRlLnqaCTnwzOG2_Wg"",""Direct links Without Sizes!E2:E""))),"""")"),"")</f>
        <v/>
      </c>
      <c r="H706" s="41"/>
      <c r="I706" s="4"/>
      <c r="J706" s="4"/>
      <c r="K706" s="10" t="str">
        <f t="shared" si="1"/>
        <v/>
      </c>
      <c r="L706" s="10"/>
      <c r="M706" s="10" t="str">
        <f t="shared" si="2"/>
        <v/>
      </c>
    </row>
    <row r="707">
      <c r="A707" s="4"/>
      <c r="B707" s="15"/>
      <c r="C707" s="7" t="str">
        <f>IFERROR(__xludf.DUMMYFUNCTION("iferror(iferror(INDEX(IMPORTRANGE(""12vtnxaE_Q1s4tyr10kZQx7ZF_xG0lBFae4jQEUtgsMU"",""All!B2:B""),MATCH($B707,IMPORTRANGE(""12vtnxaE_Q1s4tyr10kZQx7ZF_xG0lBFae4jQEUtgsMU"",""All!A2:A""),0)),INDEX(IMPORTRANGE(""13KC70HngS4DDi8y9E5khtSpQEPG6owaQ9z4E-tR5mnY"","&amp;"""Non-Food!B2:B""),MATCH($B707,IMPORTRANGE(""13KC70HngS4DDi8y9E5khtSpQEPG6owaQ9z4E-tR5mnY"",""Non-Food!A2:A""),0))),"""")"),"")</f>
        <v/>
      </c>
      <c r="D707" s="15"/>
      <c r="E707" s="15"/>
      <c r="F707" s="36"/>
      <c r="G707" s="24" t="str">
        <f>IFERROR(__xludf.DUMMYFUNCTION("iferror(iferror(iferror(index(IMPORTRANGE(""1NK5L1mviMn0j3D3uo53ASkIZOFRlLnqaCTnwzOG2_Wg"",""Direct Link!B2:B""),MATCH($B707,IMPORTRANGE(""1NK5L1mviMn0j3D3uo53ASkIZOFRlLnqaCTnwzOG2_Wg"",""Direct Link!A2:A""),0)),XLOOKUP($B707,IMPORTRANGE(""1NK5L1mviMn0j3D"&amp;"3uo53ASkIZOFRlLnqaCTnwzOG2_Wg"",""Direct links Without Sizes!A2:A""),IMPORTRANGE(""1NK5L1mviMn0j3D3uo53ASkIZOFRlLnqaCTnwzOG2_Wg"",""Direct links Without Sizes!B2:B""))),XLOOKUP($B707,IMPORTRANGE(""1NK5L1mviMn0j3D3uo53ASkIZOFRlLnqaCTnwzOG2_Wg"",""Direct li"&amp;"nks Without Sizes!D2:D""),IMPORTRANGE(""1NK5L1mviMn0j3D3uo53ASkIZOFRlLnqaCTnwzOG2_Wg"",""Direct links Without Sizes!E2:E""))),"""")"),"")</f>
        <v/>
      </c>
      <c r="H707" s="41"/>
      <c r="I707" s="4"/>
      <c r="J707" s="4"/>
      <c r="K707" s="10" t="str">
        <f t="shared" si="1"/>
        <v/>
      </c>
      <c r="L707" s="10"/>
      <c r="M707" s="10" t="str">
        <f t="shared" si="2"/>
        <v/>
      </c>
    </row>
    <row r="708">
      <c r="A708" s="4"/>
      <c r="B708" s="15"/>
      <c r="C708" s="7" t="str">
        <f>IFERROR(__xludf.DUMMYFUNCTION("iferror(iferror(INDEX(IMPORTRANGE(""12vtnxaE_Q1s4tyr10kZQx7ZF_xG0lBFae4jQEUtgsMU"",""All!B2:B""),MATCH($B708,IMPORTRANGE(""12vtnxaE_Q1s4tyr10kZQx7ZF_xG0lBFae4jQEUtgsMU"",""All!A2:A""),0)),INDEX(IMPORTRANGE(""13KC70HngS4DDi8y9E5khtSpQEPG6owaQ9z4E-tR5mnY"","&amp;"""Non-Food!B2:B""),MATCH($B708,IMPORTRANGE(""13KC70HngS4DDi8y9E5khtSpQEPG6owaQ9z4E-tR5mnY"",""Non-Food!A2:A""),0))),"""")"),"")</f>
        <v/>
      </c>
      <c r="D708" s="15"/>
      <c r="E708" s="15"/>
      <c r="F708" s="36"/>
      <c r="G708" s="24" t="str">
        <f>IFERROR(__xludf.DUMMYFUNCTION("iferror(iferror(iferror(index(IMPORTRANGE(""1NK5L1mviMn0j3D3uo53ASkIZOFRlLnqaCTnwzOG2_Wg"",""Direct Link!B2:B""),MATCH($B708,IMPORTRANGE(""1NK5L1mviMn0j3D3uo53ASkIZOFRlLnqaCTnwzOG2_Wg"",""Direct Link!A2:A""),0)),XLOOKUP($B708,IMPORTRANGE(""1NK5L1mviMn0j3D"&amp;"3uo53ASkIZOFRlLnqaCTnwzOG2_Wg"",""Direct links Without Sizes!A2:A""),IMPORTRANGE(""1NK5L1mviMn0j3D3uo53ASkIZOFRlLnqaCTnwzOG2_Wg"",""Direct links Without Sizes!B2:B""))),XLOOKUP($B708,IMPORTRANGE(""1NK5L1mviMn0j3D3uo53ASkIZOFRlLnqaCTnwzOG2_Wg"",""Direct li"&amp;"nks Without Sizes!D2:D""),IMPORTRANGE(""1NK5L1mviMn0j3D3uo53ASkIZOFRlLnqaCTnwzOG2_Wg"",""Direct links Without Sizes!E2:E""))),"""")"),"")</f>
        <v/>
      </c>
      <c r="H708" s="41"/>
      <c r="I708" s="4"/>
      <c r="J708" s="4"/>
      <c r="K708" s="10" t="str">
        <f t="shared" si="1"/>
        <v/>
      </c>
      <c r="L708" s="10"/>
      <c r="M708" s="10" t="str">
        <f t="shared" si="2"/>
        <v/>
      </c>
    </row>
    <row r="709">
      <c r="A709" s="4"/>
      <c r="B709" s="15"/>
      <c r="C709" s="7" t="str">
        <f>IFERROR(__xludf.DUMMYFUNCTION("iferror(iferror(INDEX(IMPORTRANGE(""12vtnxaE_Q1s4tyr10kZQx7ZF_xG0lBFae4jQEUtgsMU"",""All!B2:B""),MATCH($B709,IMPORTRANGE(""12vtnxaE_Q1s4tyr10kZQx7ZF_xG0lBFae4jQEUtgsMU"",""All!A2:A""),0)),INDEX(IMPORTRANGE(""13KC70HngS4DDi8y9E5khtSpQEPG6owaQ9z4E-tR5mnY"","&amp;"""Non-Food!B2:B""),MATCH($B709,IMPORTRANGE(""13KC70HngS4DDi8y9E5khtSpQEPG6owaQ9z4E-tR5mnY"",""Non-Food!A2:A""),0))),"""")"),"")</f>
        <v/>
      </c>
      <c r="D709" s="15"/>
      <c r="E709" s="15"/>
      <c r="F709" s="36"/>
      <c r="G709" s="24" t="str">
        <f>IFERROR(__xludf.DUMMYFUNCTION("iferror(iferror(iferror(index(IMPORTRANGE(""1NK5L1mviMn0j3D3uo53ASkIZOFRlLnqaCTnwzOG2_Wg"",""Direct Link!B2:B""),MATCH($B709,IMPORTRANGE(""1NK5L1mviMn0j3D3uo53ASkIZOFRlLnqaCTnwzOG2_Wg"",""Direct Link!A2:A""),0)),XLOOKUP($B709,IMPORTRANGE(""1NK5L1mviMn0j3D"&amp;"3uo53ASkIZOFRlLnqaCTnwzOG2_Wg"",""Direct links Without Sizes!A2:A""),IMPORTRANGE(""1NK5L1mviMn0j3D3uo53ASkIZOFRlLnqaCTnwzOG2_Wg"",""Direct links Without Sizes!B2:B""))),XLOOKUP($B709,IMPORTRANGE(""1NK5L1mviMn0j3D3uo53ASkIZOFRlLnqaCTnwzOG2_Wg"",""Direct li"&amp;"nks Without Sizes!D2:D""),IMPORTRANGE(""1NK5L1mviMn0j3D3uo53ASkIZOFRlLnqaCTnwzOG2_Wg"",""Direct links Without Sizes!E2:E""))),"""")"),"")</f>
        <v/>
      </c>
      <c r="H709" s="41"/>
      <c r="I709" s="4"/>
      <c r="J709" s="4"/>
      <c r="K709" s="10" t="str">
        <f t="shared" si="1"/>
        <v/>
      </c>
      <c r="L709" s="10"/>
      <c r="M709" s="10" t="str">
        <f t="shared" si="2"/>
        <v/>
      </c>
    </row>
    <row r="710">
      <c r="A710" s="4"/>
      <c r="B710" s="15"/>
      <c r="C710" s="7" t="str">
        <f>IFERROR(__xludf.DUMMYFUNCTION("iferror(iferror(INDEX(IMPORTRANGE(""12vtnxaE_Q1s4tyr10kZQx7ZF_xG0lBFae4jQEUtgsMU"",""All!B2:B""),MATCH($B710,IMPORTRANGE(""12vtnxaE_Q1s4tyr10kZQx7ZF_xG0lBFae4jQEUtgsMU"",""All!A2:A""),0)),INDEX(IMPORTRANGE(""13KC70HngS4DDi8y9E5khtSpQEPG6owaQ9z4E-tR5mnY"","&amp;"""Non-Food!B2:B""),MATCH($B710,IMPORTRANGE(""13KC70HngS4DDi8y9E5khtSpQEPG6owaQ9z4E-tR5mnY"",""Non-Food!A2:A""),0))),"""")"),"")</f>
        <v/>
      </c>
      <c r="D710" s="15"/>
      <c r="E710" s="15"/>
      <c r="F710" s="36"/>
      <c r="G710" s="24" t="str">
        <f>IFERROR(__xludf.DUMMYFUNCTION("iferror(iferror(iferror(index(IMPORTRANGE(""1NK5L1mviMn0j3D3uo53ASkIZOFRlLnqaCTnwzOG2_Wg"",""Direct Link!B2:B""),MATCH($B710,IMPORTRANGE(""1NK5L1mviMn0j3D3uo53ASkIZOFRlLnqaCTnwzOG2_Wg"",""Direct Link!A2:A""),0)),XLOOKUP($B710,IMPORTRANGE(""1NK5L1mviMn0j3D"&amp;"3uo53ASkIZOFRlLnqaCTnwzOG2_Wg"",""Direct links Without Sizes!A2:A""),IMPORTRANGE(""1NK5L1mviMn0j3D3uo53ASkIZOFRlLnqaCTnwzOG2_Wg"",""Direct links Without Sizes!B2:B""))),XLOOKUP($B710,IMPORTRANGE(""1NK5L1mviMn0j3D3uo53ASkIZOFRlLnqaCTnwzOG2_Wg"",""Direct li"&amp;"nks Without Sizes!D2:D""),IMPORTRANGE(""1NK5L1mviMn0j3D3uo53ASkIZOFRlLnqaCTnwzOG2_Wg"",""Direct links Without Sizes!E2:E""))),"""")"),"")</f>
        <v/>
      </c>
      <c r="H710" s="41"/>
      <c r="I710" s="4"/>
      <c r="J710" s="4"/>
      <c r="K710" s="10" t="str">
        <f t="shared" si="1"/>
        <v/>
      </c>
      <c r="L710" s="10"/>
      <c r="M710" s="10" t="str">
        <f t="shared" si="2"/>
        <v/>
      </c>
    </row>
    <row r="711">
      <c r="A711" s="4"/>
      <c r="B711" s="15"/>
      <c r="C711" s="7" t="str">
        <f>IFERROR(__xludf.DUMMYFUNCTION("iferror(iferror(INDEX(IMPORTRANGE(""12vtnxaE_Q1s4tyr10kZQx7ZF_xG0lBFae4jQEUtgsMU"",""All!B2:B""),MATCH($B711,IMPORTRANGE(""12vtnxaE_Q1s4tyr10kZQx7ZF_xG0lBFae4jQEUtgsMU"",""All!A2:A""),0)),INDEX(IMPORTRANGE(""13KC70HngS4DDi8y9E5khtSpQEPG6owaQ9z4E-tR5mnY"","&amp;"""Non-Food!B2:B""),MATCH($B711,IMPORTRANGE(""13KC70HngS4DDi8y9E5khtSpQEPG6owaQ9z4E-tR5mnY"",""Non-Food!A2:A""),0))),"""")"),"")</f>
        <v/>
      </c>
      <c r="D711" s="15"/>
      <c r="E711" s="15"/>
      <c r="F711" s="36"/>
      <c r="G711" s="24" t="str">
        <f>IFERROR(__xludf.DUMMYFUNCTION("iferror(iferror(iferror(index(IMPORTRANGE(""1NK5L1mviMn0j3D3uo53ASkIZOFRlLnqaCTnwzOG2_Wg"",""Direct Link!B2:B""),MATCH($B711,IMPORTRANGE(""1NK5L1mviMn0j3D3uo53ASkIZOFRlLnqaCTnwzOG2_Wg"",""Direct Link!A2:A""),0)),XLOOKUP($B711,IMPORTRANGE(""1NK5L1mviMn0j3D"&amp;"3uo53ASkIZOFRlLnqaCTnwzOG2_Wg"",""Direct links Without Sizes!A2:A""),IMPORTRANGE(""1NK5L1mviMn0j3D3uo53ASkIZOFRlLnqaCTnwzOG2_Wg"",""Direct links Without Sizes!B2:B""))),XLOOKUP($B711,IMPORTRANGE(""1NK5L1mviMn0j3D3uo53ASkIZOFRlLnqaCTnwzOG2_Wg"",""Direct li"&amp;"nks Without Sizes!D2:D""),IMPORTRANGE(""1NK5L1mviMn0j3D3uo53ASkIZOFRlLnqaCTnwzOG2_Wg"",""Direct links Without Sizes!E2:E""))),"""")"),"")</f>
        <v/>
      </c>
      <c r="H711" s="41"/>
      <c r="I711" s="4"/>
      <c r="J711" s="4"/>
      <c r="K711" s="10" t="str">
        <f t="shared" si="1"/>
        <v/>
      </c>
      <c r="L711" s="10"/>
      <c r="M711" s="10" t="str">
        <f t="shared" si="2"/>
        <v/>
      </c>
    </row>
    <row r="712">
      <c r="A712" s="4"/>
      <c r="B712" s="15"/>
      <c r="C712" s="7" t="str">
        <f>IFERROR(__xludf.DUMMYFUNCTION("iferror(iferror(INDEX(IMPORTRANGE(""12vtnxaE_Q1s4tyr10kZQx7ZF_xG0lBFae4jQEUtgsMU"",""All!B2:B""),MATCH($B712,IMPORTRANGE(""12vtnxaE_Q1s4tyr10kZQx7ZF_xG0lBFae4jQEUtgsMU"",""All!A2:A""),0)),INDEX(IMPORTRANGE(""13KC70HngS4DDi8y9E5khtSpQEPG6owaQ9z4E-tR5mnY"","&amp;"""Non-Food!B2:B""),MATCH($B712,IMPORTRANGE(""13KC70HngS4DDi8y9E5khtSpQEPG6owaQ9z4E-tR5mnY"",""Non-Food!A2:A""),0))),"""")"),"")</f>
        <v/>
      </c>
      <c r="D712" s="15"/>
      <c r="E712" s="15"/>
      <c r="F712" s="36"/>
      <c r="G712" s="24" t="str">
        <f>IFERROR(__xludf.DUMMYFUNCTION("iferror(iferror(iferror(index(IMPORTRANGE(""1NK5L1mviMn0j3D3uo53ASkIZOFRlLnqaCTnwzOG2_Wg"",""Direct Link!B2:B""),MATCH($B712,IMPORTRANGE(""1NK5L1mviMn0j3D3uo53ASkIZOFRlLnqaCTnwzOG2_Wg"",""Direct Link!A2:A""),0)),XLOOKUP($B712,IMPORTRANGE(""1NK5L1mviMn0j3D"&amp;"3uo53ASkIZOFRlLnqaCTnwzOG2_Wg"",""Direct links Without Sizes!A2:A""),IMPORTRANGE(""1NK5L1mviMn0j3D3uo53ASkIZOFRlLnqaCTnwzOG2_Wg"",""Direct links Without Sizes!B2:B""))),XLOOKUP($B712,IMPORTRANGE(""1NK5L1mviMn0j3D3uo53ASkIZOFRlLnqaCTnwzOG2_Wg"",""Direct li"&amp;"nks Without Sizes!D2:D""),IMPORTRANGE(""1NK5L1mviMn0j3D3uo53ASkIZOFRlLnqaCTnwzOG2_Wg"",""Direct links Without Sizes!E2:E""))),"""")"),"")</f>
        <v/>
      </c>
      <c r="H712" s="41"/>
      <c r="I712" s="4"/>
      <c r="J712" s="4"/>
      <c r="K712" s="10" t="str">
        <f t="shared" si="1"/>
        <v/>
      </c>
      <c r="L712" s="10"/>
      <c r="M712" s="10" t="str">
        <f t="shared" si="2"/>
        <v/>
      </c>
    </row>
    <row r="713">
      <c r="A713" s="4"/>
      <c r="B713" s="15"/>
      <c r="C713" s="7" t="str">
        <f>IFERROR(__xludf.DUMMYFUNCTION("iferror(iferror(INDEX(IMPORTRANGE(""12vtnxaE_Q1s4tyr10kZQx7ZF_xG0lBFae4jQEUtgsMU"",""All!B2:B""),MATCH($B713,IMPORTRANGE(""12vtnxaE_Q1s4tyr10kZQx7ZF_xG0lBFae4jQEUtgsMU"",""All!A2:A""),0)),INDEX(IMPORTRANGE(""13KC70HngS4DDi8y9E5khtSpQEPG6owaQ9z4E-tR5mnY"","&amp;"""Non-Food!B2:B""),MATCH($B713,IMPORTRANGE(""13KC70HngS4DDi8y9E5khtSpQEPG6owaQ9z4E-tR5mnY"",""Non-Food!A2:A""),0))),"""")"),"")</f>
        <v/>
      </c>
      <c r="D713" s="15"/>
      <c r="E713" s="15"/>
      <c r="F713" s="36"/>
      <c r="G713" s="24" t="str">
        <f>IFERROR(__xludf.DUMMYFUNCTION("iferror(iferror(iferror(index(IMPORTRANGE(""1NK5L1mviMn0j3D3uo53ASkIZOFRlLnqaCTnwzOG2_Wg"",""Direct Link!B2:B""),MATCH($B713,IMPORTRANGE(""1NK5L1mviMn0j3D3uo53ASkIZOFRlLnqaCTnwzOG2_Wg"",""Direct Link!A2:A""),0)),XLOOKUP($B713,IMPORTRANGE(""1NK5L1mviMn0j3D"&amp;"3uo53ASkIZOFRlLnqaCTnwzOG2_Wg"",""Direct links Without Sizes!A2:A""),IMPORTRANGE(""1NK5L1mviMn0j3D3uo53ASkIZOFRlLnqaCTnwzOG2_Wg"",""Direct links Without Sizes!B2:B""))),XLOOKUP($B713,IMPORTRANGE(""1NK5L1mviMn0j3D3uo53ASkIZOFRlLnqaCTnwzOG2_Wg"",""Direct li"&amp;"nks Without Sizes!D2:D""),IMPORTRANGE(""1NK5L1mviMn0j3D3uo53ASkIZOFRlLnqaCTnwzOG2_Wg"",""Direct links Without Sizes!E2:E""))),"""")"),"")</f>
        <v/>
      </c>
      <c r="H713" s="41"/>
      <c r="I713" s="4"/>
      <c r="J713" s="4"/>
      <c r="K713" s="10" t="str">
        <f t="shared" si="1"/>
        <v/>
      </c>
      <c r="L713" s="10"/>
      <c r="M713" s="10" t="str">
        <f t="shared" si="2"/>
        <v/>
      </c>
    </row>
    <row r="714">
      <c r="A714" s="4"/>
      <c r="B714" s="15"/>
      <c r="C714" s="7" t="str">
        <f>IFERROR(__xludf.DUMMYFUNCTION("iferror(iferror(INDEX(IMPORTRANGE(""12vtnxaE_Q1s4tyr10kZQx7ZF_xG0lBFae4jQEUtgsMU"",""All!B2:B""),MATCH($B714,IMPORTRANGE(""12vtnxaE_Q1s4tyr10kZQx7ZF_xG0lBFae4jQEUtgsMU"",""All!A2:A""),0)),INDEX(IMPORTRANGE(""13KC70HngS4DDi8y9E5khtSpQEPG6owaQ9z4E-tR5mnY"","&amp;"""Non-Food!B2:B""),MATCH($B714,IMPORTRANGE(""13KC70HngS4DDi8y9E5khtSpQEPG6owaQ9z4E-tR5mnY"",""Non-Food!A2:A""),0))),"""")"),"")</f>
        <v/>
      </c>
      <c r="D714" s="15"/>
      <c r="E714" s="15"/>
      <c r="F714" s="36"/>
      <c r="G714" s="24" t="str">
        <f>IFERROR(__xludf.DUMMYFUNCTION("iferror(iferror(iferror(index(IMPORTRANGE(""1NK5L1mviMn0j3D3uo53ASkIZOFRlLnqaCTnwzOG2_Wg"",""Direct Link!B2:B""),MATCH($B714,IMPORTRANGE(""1NK5L1mviMn0j3D3uo53ASkIZOFRlLnqaCTnwzOG2_Wg"",""Direct Link!A2:A""),0)),XLOOKUP($B714,IMPORTRANGE(""1NK5L1mviMn0j3D"&amp;"3uo53ASkIZOFRlLnqaCTnwzOG2_Wg"",""Direct links Without Sizes!A2:A""),IMPORTRANGE(""1NK5L1mviMn0j3D3uo53ASkIZOFRlLnqaCTnwzOG2_Wg"",""Direct links Without Sizes!B2:B""))),XLOOKUP($B714,IMPORTRANGE(""1NK5L1mviMn0j3D3uo53ASkIZOFRlLnqaCTnwzOG2_Wg"",""Direct li"&amp;"nks Without Sizes!D2:D""),IMPORTRANGE(""1NK5L1mviMn0j3D3uo53ASkIZOFRlLnqaCTnwzOG2_Wg"",""Direct links Without Sizes!E2:E""))),"""")"),"")</f>
        <v/>
      </c>
      <c r="H714" s="41"/>
      <c r="I714" s="4"/>
      <c r="J714" s="4"/>
      <c r="K714" s="10" t="str">
        <f t="shared" si="1"/>
        <v/>
      </c>
      <c r="L714" s="10"/>
      <c r="M714" s="10" t="str">
        <f t="shared" si="2"/>
        <v/>
      </c>
    </row>
    <row r="715">
      <c r="A715" s="4"/>
      <c r="B715" s="15"/>
      <c r="C715" s="7" t="str">
        <f>IFERROR(__xludf.DUMMYFUNCTION("iferror(iferror(INDEX(IMPORTRANGE(""12vtnxaE_Q1s4tyr10kZQx7ZF_xG0lBFae4jQEUtgsMU"",""All!B2:B""),MATCH($B715,IMPORTRANGE(""12vtnxaE_Q1s4tyr10kZQx7ZF_xG0lBFae4jQEUtgsMU"",""All!A2:A""),0)),INDEX(IMPORTRANGE(""13KC70HngS4DDi8y9E5khtSpQEPG6owaQ9z4E-tR5mnY"","&amp;"""Non-Food!B2:B""),MATCH($B715,IMPORTRANGE(""13KC70HngS4DDi8y9E5khtSpQEPG6owaQ9z4E-tR5mnY"",""Non-Food!A2:A""),0))),"""")"),"")</f>
        <v/>
      </c>
      <c r="D715" s="15"/>
      <c r="E715" s="15"/>
      <c r="F715" s="36"/>
      <c r="G715" s="24" t="str">
        <f>IFERROR(__xludf.DUMMYFUNCTION("iferror(iferror(iferror(index(IMPORTRANGE(""1NK5L1mviMn0j3D3uo53ASkIZOFRlLnqaCTnwzOG2_Wg"",""Direct Link!B2:B""),MATCH($B715,IMPORTRANGE(""1NK5L1mviMn0j3D3uo53ASkIZOFRlLnqaCTnwzOG2_Wg"",""Direct Link!A2:A""),0)),XLOOKUP($B715,IMPORTRANGE(""1NK5L1mviMn0j3D"&amp;"3uo53ASkIZOFRlLnqaCTnwzOG2_Wg"",""Direct links Without Sizes!A2:A""),IMPORTRANGE(""1NK5L1mviMn0j3D3uo53ASkIZOFRlLnqaCTnwzOG2_Wg"",""Direct links Without Sizes!B2:B""))),XLOOKUP($B715,IMPORTRANGE(""1NK5L1mviMn0j3D3uo53ASkIZOFRlLnqaCTnwzOG2_Wg"",""Direct li"&amp;"nks Without Sizes!D2:D""),IMPORTRANGE(""1NK5L1mviMn0j3D3uo53ASkIZOFRlLnqaCTnwzOG2_Wg"",""Direct links Without Sizes!E2:E""))),"""")"),"")</f>
        <v/>
      </c>
      <c r="H715" s="41"/>
      <c r="I715" s="4"/>
      <c r="J715" s="4"/>
      <c r="K715" s="10" t="str">
        <f t="shared" si="1"/>
        <v/>
      </c>
      <c r="L715" s="10"/>
      <c r="M715" s="10" t="str">
        <f t="shared" si="2"/>
        <v/>
      </c>
    </row>
    <row r="716">
      <c r="A716" s="4"/>
      <c r="B716" s="15"/>
      <c r="C716" s="7" t="str">
        <f>IFERROR(__xludf.DUMMYFUNCTION("iferror(iferror(INDEX(IMPORTRANGE(""12vtnxaE_Q1s4tyr10kZQx7ZF_xG0lBFae4jQEUtgsMU"",""All!B2:B""),MATCH($B716,IMPORTRANGE(""12vtnxaE_Q1s4tyr10kZQx7ZF_xG0lBFae4jQEUtgsMU"",""All!A2:A""),0)),INDEX(IMPORTRANGE(""13KC70HngS4DDi8y9E5khtSpQEPG6owaQ9z4E-tR5mnY"","&amp;"""Non-Food!B2:B""),MATCH($B716,IMPORTRANGE(""13KC70HngS4DDi8y9E5khtSpQEPG6owaQ9z4E-tR5mnY"",""Non-Food!A2:A""),0))),"""")"),"")</f>
        <v/>
      </c>
      <c r="D716" s="15"/>
      <c r="E716" s="15"/>
      <c r="F716" s="36"/>
      <c r="G716" s="24" t="str">
        <f>IFERROR(__xludf.DUMMYFUNCTION("iferror(iferror(iferror(index(IMPORTRANGE(""1NK5L1mviMn0j3D3uo53ASkIZOFRlLnqaCTnwzOG2_Wg"",""Direct Link!B2:B""),MATCH($B716,IMPORTRANGE(""1NK5L1mviMn0j3D3uo53ASkIZOFRlLnqaCTnwzOG2_Wg"",""Direct Link!A2:A""),0)),XLOOKUP($B716,IMPORTRANGE(""1NK5L1mviMn0j3D"&amp;"3uo53ASkIZOFRlLnqaCTnwzOG2_Wg"",""Direct links Without Sizes!A2:A""),IMPORTRANGE(""1NK5L1mviMn0j3D3uo53ASkIZOFRlLnqaCTnwzOG2_Wg"",""Direct links Without Sizes!B2:B""))),XLOOKUP($B716,IMPORTRANGE(""1NK5L1mviMn0j3D3uo53ASkIZOFRlLnqaCTnwzOG2_Wg"",""Direct li"&amp;"nks Without Sizes!D2:D""),IMPORTRANGE(""1NK5L1mviMn0j3D3uo53ASkIZOFRlLnqaCTnwzOG2_Wg"",""Direct links Without Sizes!E2:E""))),"""")"),"")</f>
        <v/>
      </c>
      <c r="H716" s="41"/>
      <c r="I716" s="4"/>
      <c r="J716" s="4"/>
      <c r="K716" s="10" t="str">
        <f t="shared" si="1"/>
        <v/>
      </c>
      <c r="L716" s="10"/>
      <c r="M716" s="10" t="str">
        <f t="shared" si="2"/>
        <v/>
      </c>
    </row>
    <row r="717">
      <c r="A717" s="4"/>
      <c r="B717" s="15"/>
      <c r="C717" s="7" t="str">
        <f>IFERROR(__xludf.DUMMYFUNCTION("iferror(iferror(INDEX(IMPORTRANGE(""12vtnxaE_Q1s4tyr10kZQx7ZF_xG0lBFae4jQEUtgsMU"",""All!B2:B""),MATCH($B717,IMPORTRANGE(""12vtnxaE_Q1s4tyr10kZQx7ZF_xG0lBFae4jQEUtgsMU"",""All!A2:A""),0)),INDEX(IMPORTRANGE(""13KC70HngS4DDi8y9E5khtSpQEPG6owaQ9z4E-tR5mnY"","&amp;"""Non-Food!B2:B""),MATCH($B717,IMPORTRANGE(""13KC70HngS4DDi8y9E5khtSpQEPG6owaQ9z4E-tR5mnY"",""Non-Food!A2:A""),0))),"""")"),"")</f>
        <v/>
      </c>
      <c r="D717" s="15"/>
      <c r="E717" s="15"/>
      <c r="F717" s="36"/>
      <c r="G717" s="24" t="str">
        <f>IFERROR(__xludf.DUMMYFUNCTION("iferror(iferror(iferror(index(IMPORTRANGE(""1NK5L1mviMn0j3D3uo53ASkIZOFRlLnqaCTnwzOG2_Wg"",""Direct Link!B2:B""),MATCH($B717,IMPORTRANGE(""1NK5L1mviMn0j3D3uo53ASkIZOFRlLnqaCTnwzOG2_Wg"",""Direct Link!A2:A""),0)),XLOOKUP($B717,IMPORTRANGE(""1NK5L1mviMn0j3D"&amp;"3uo53ASkIZOFRlLnqaCTnwzOG2_Wg"",""Direct links Without Sizes!A2:A""),IMPORTRANGE(""1NK5L1mviMn0j3D3uo53ASkIZOFRlLnqaCTnwzOG2_Wg"",""Direct links Without Sizes!B2:B""))),XLOOKUP($B717,IMPORTRANGE(""1NK5L1mviMn0j3D3uo53ASkIZOFRlLnqaCTnwzOG2_Wg"",""Direct li"&amp;"nks Without Sizes!D2:D""),IMPORTRANGE(""1NK5L1mviMn0j3D3uo53ASkIZOFRlLnqaCTnwzOG2_Wg"",""Direct links Without Sizes!E2:E""))),"""")"),"")</f>
        <v/>
      </c>
      <c r="H717" s="41"/>
      <c r="I717" s="4"/>
      <c r="J717" s="4"/>
      <c r="K717" s="10" t="str">
        <f t="shared" si="1"/>
        <v/>
      </c>
      <c r="L717" s="10"/>
      <c r="M717" s="10" t="str">
        <f t="shared" si="2"/>
        <v/>
      </c>
    </row>
    <row r="718">
      <c r="A718" s="4"/>
      <c r="B718" s="15"/>
      <c r="C718" s="7" t="str">
        <f>IFERROR(__xludf.DUMMYFUNCTION("iferror(iferror(INDEX(IMPORTRANGE(""12vtnxaE_Q1s4tyr10kZQx7ZF_xG0lBFae4jQEUtgsMU"",""All!B2:B""),MATCH($B718,IMPORTRANGE(""12vtnxaE_Q1s4tyr10kZQx7ZF_xG0lBFae4jQEUtgsMU"",""All!A2:A""),0)),INDEX(IMPORTRANGE(""13KC70HngS4DDi8y9E5khtSpQEPG6owaQ9z4E-tR5mnY"","&amp;"""Non-Food!B2:B""),MATCH($B718,IMPORTRANGE(""13KC70HngS4DDi8y9E5khtSpQEPG6owaQ9z4E-tR5mnY"",""Non-Food!A2:A""),0))),"""")"),"")</f>
        <v/>
      </c>
      <c r="D718" s="15"/>
      <c r="E718" s="15"/>
      <c r="F718" s="36"/>
      <c r="G718" s="24" t="str">
        <f>IFERROR(__xludf.DUMMYFUNCTION("iferror(iferror(iferror(index(IMPORTRANGE(""1NK5L1mviMn0j3D3uo53ASkIZOFRlLnqaCTnwzOG2_Wg"",""Direct Link!B2:B""),MATCH($B718,IMPORTRANGE(""1NK5L1mviMn0j3D3uo53ASkIZOFRlLnqaCTnwzOG2_Wg"",""Direct Link!A2:A""),0)),XLOOKUP($B718,IMPORTRANGE(""1NK5L1mviMn0j3D"&amp;"3uo53ASkIZOFRlLnqaCTnwzOG2_Wg"",""Direct links Without Sizes!A2:A""),IMPORTRANGE(""1NK5L1mviMn0j3D3uo53ASkIZOFRlLnqaCTnwzOG2_Wg"",""Direct links Without Sizes!B2:B""))),XLOOKUP($B718,IMPORTRANGE(""1NK5L1mviMn0j3D3uo53ASkIZOFRlLnqaCTnwzOG2_Wg"",""Direct li"&amp;"nks Without Sizes!D2:D""),IMPORTRANGE(""1NK5L1mviMn0j3D3uo53ASkIZOFRlLnqaCTnwzOG2_Wg"",""Direct links Without Sizes!E2:E""))),"""")"),"")</f>
        <v/>
      </c>
      <c r="H718" s="41"/>
      <c r="I718" s="4"/>
      <c r="J718" s="4"/>
      <c r="K718" s="10" t="str">
        <f t="shared" si="1"/>
        <v/>
      </c>
      <c r="L718" s="10"/>
      <c r="M718" s="10" t="str">
        <f t="shared" si="2"/>
        <v/>
      </c>
    </row>
    <row r="719">
      <c r="A719" s="4"/>
      <c r="B719" s="15"/>
      <c r="C719" s="7" t="str">
        <f>IFERROR(__xludf.DUMMYFUNCTION("iferror(iferror(INDEX(IMPORTRANGE(""12vtnxaE_Q1s4tyr10kZQx7ZF_xG0lBFae4jQEUtgsMU"",""All!B2:B""),MATCH($B719,IMPORTRANGE(""12vtnxaE_Q1s4tyr10kZQx7ZF_xG0lBFae4jQEUtgsMU"",""All!A2:A""),0)),INDEX(IMPORTRANGE(""13KC70HngS4DDi8y9E5khtSpQEPG6owaQ9z4E-tR5mnY"","&amp;"""Non-Food!B2:B""),MATCH($B719,IMPORTRANGE(""13KC70HngS4DDi8y9E5khtSpQEPG6owaQ9z4E-tR5mnY"",""Non-Food!A2:A""),0))),"""")"),"")</f>
        <v/>
      </c>
      <c r="D719" s="15"/>
      <c r="E719" s="15"/>
      <c r="F719" s="36"/>
      <c r="G719" s="24" t="str">
        <f>IFERROR(__xludf.DUMMYFUNCTION("iferror(iferror(iferror(index(IMPORTRANGE(""1NK5L1mviMn0j3D3uo53ASkIZOFRlLnqaCTnwzOG2_Wg"",""Direct Link!B2:B""),MATCH($B719,IMPORTRANGE(""1NK5L1mviMn0j3D3uo53ASkIZOFRlLnqaCTnwzOG2_Wg"",""Direct Link!A2:A""),0)),XLOOKUP($B719,IMPORTRANGE(""1NK5L1mviMn0j3D"&amp;"3uo53ASkIZOFRlLnqaCTnwzOG2_Wg"",""Direct links Without Sizes!A2:A""),IMPORTRANGE(""1NK5L1mviMn0j3D3uo53ASkIZOFRlLnqaCTnwzOG2_Wg"",""Direct links Without Sizes!B2:B""))),XLOOKUP($B719,IMPORTRANGE(""1NK5L1mviMn0j3D3uo53ASkIZOFRlLnqaCTnwzOG2_Wg"",""Direct li"&amp;"nks Without Sizes!D2:D""),IMPORTRANGE(""1NK5L1mviMn0j3D3uo53ASkIZOFRlLnqaCTnwzOG2_Wg"",""Direct links Without Sizes!E2:E""))),"""")"),"")</f>
        <v/>
      </c>
      <c r="H719" s="41"/>
      <c r="I719" s="4"/>
      <c r="J719" s="4"/>
      <c r="K719" s="10" t="str">
        <f t="shared" si="1"/>
        <v/>
      </c>
      <c r="L719" s="10"/>
      <c r="M719" s="10" t="str">
        <f t="shared" si="2"/>
        <v/>
      </c>
    </row>
    <row r="720">
      <c r="A720" s="4"/>
      <c r="B720" s="15"/>
      <c r="C720" s="7" t="str">
        <f>IFERROR(__xludf.DUMMYFUNCTION("iferror(iferror(INDEX(IMPORTRANGE(""12vtnxaE_Q1s4tyr10kZQx7ZF_xG0lBFae4jQEUtgsMU"",""All!B2:B""),MATCH($B720,IMPORTRANGE(""12vtnxaE_Q1s4tyr10kZQx7ZF_xG0lBFae4jQEUtgsMU"",""All!A2:A""),0)),INDEX(IMPORTRANGE(""13KC70HngS4DDi8y9E5khtSpQEPG6owaQ9z4E-tR5mnY"","&amp;"""Non-Food!B2:B""),MATCH($B720,IMPORTRANGE(""13KC70HngS4DDi8y9E5khtSpQEPG6owaQ9z4E-tR5mnY"",""Non-Food!A2:A""),0))),"""")"),"")</f>
        <v/>
      </c>
      <c r="D720" s="15"/>
      <c r="E720" s="15"/>
      <c r="F720" s="36"/>
      <c r="G720" s="24" t="str">
        <f>IFERROR(__xludf.DUMMYFUNCTION("iferror(iferror(iferror(index(IMPORTRANGE(""1NK5L1mviMn0j3D3uo53ASkIZOFRlLnqaCTnwzOG2_Wg"",""Direct Link!B2:B""),MATCH($B720,IMPORTRANGE(""1NK5L1mviMn0j3D3uo53ASkIZOFRlLnqaCTnwzOG2_Wg"",""Direct Link!A2:A""),0)),XLOOKUP($B720,IMPORTRANGE(""1NK5L1mviMn0j3D"&amp;"3uo53ASkIZOFRlLnqaCTnwzOG2_Wg"",""Direct links Without Sizes!A2:A""),IMPORTRANGE(""1NK5L1mviMn0j3D3uo53ASkIZOFRlLnqaCTnwzOG2_Wg"",""Direct links Without Sizes!B2:B""))),XLOOKUP($B720,IMPORTRANGE(""1NK5L1mviMn0j3D3uo53ASkIZOFRlLnqaCTnwzOG2_Wg"",""Direct li"&amp;"nks Without Sizes!D2:D""),IMPORTRANGE(""1NK5L1mviMn0j3D3uo53ASkIZOFRlLnqaCTnwzOG2_Wg"",""Direct links Without Sizes!E2:E""))),"""")"),"")</f>
        <v/>
      </c>
      <c r="H720" s="41"/>
      <c r="I720" s="4"/>
      <c r="J720" s="4"/>
      <c r="K720" s="10" t="str">
        <f t="shared" si="1"/>
        <v/>
      </c>
      <c r="L720" s="10"/>
      <c r="M720" s="10" t="str">
        <f t="shared" si="2"/>
        <v/>
      </c>
    </row>
    <row r="721">
      <c r="A721" s="4"/>
      <c r="B721" s="15"/>
      <c r="C721" s="7" t="str">
        <f>IFERROR(__xludf.DUMMYFUNCTION("iferror(iferror(INDEX(IMPORTRANGE(""12vtnxaE_Q1s4tyr10kZQx7ZF_xG0lBFae4jQEUtgsMU"",""All!B2:B""),MATCH($B721,IMPORTRANGE(""12vtnxaE_Q1s4tyr10kZQx7ZF_xG0lBFae4jQEUtgsMU"",""All!A2:A""),0)),INDEX(IMPORTRANGE(""13KC70HngS4DDi8y9E5khtSpQEPG6owaQ9z4E-tR5mnY"","&amp;"""Non-Food!B2:B""),MATCH($B721,IMPORTRANGE(""13KC70HngS4DDi8y9E5khtSpQEPG6owaQ9z4E-tR5mnY"",""Non-Food!A2:A""),0))),"""")"),"")</f>
        <v/>
      </c>
      <c r="D721" s="15"/>
      <c r="E721" s="15"/>
      <c r="F721" s="36"/>
      <c r="G721" s="24" t="str">
        <f>IFERROR(__xludf.DUMMYFUNCTION("iferror(iferror(iferror(index(IMPORTRANGE(""1NK5L1mviMn0j3D3uo53ASkIZOFRlLnqaCTnwzOG2_Wg"",""Direct Link!B2:B""),MATCH($B721,IMPORTRANGE(""1NK5L1mviMn0j3D3uo53ASkIZOFRlLnqaCTnwzOG2_Wg"",""Direct Link!A2:A""),0)),XLOOKUP($B721,IMPORTRANGE(""1NK5L1mviMn0j3D"&amp;"3uo53ASkIZOFRlLnqaCTnwzOG2_Wg"",""Direct links Without Sizes!A2:A""),IMPORTRANGE(""1NK5L1mviMn0j3D3uo53ASkIZOFRlLnqaCTnwzOG2_Wg"",""Direct links Without Sizes!B2:B""))),XLOOKUP($B721,IMPORTRANGE(""1NK5L1mviMn0j3D3uo53ASkIZOFRlLnqaCTnwzOG2_Wg"",""Direct li"&amp;"nks Without Sizes!D2:D""),IMPORTRANGE(""1NK5L1mviMn0j3D3uo53ASkIZOFRlLnqaCTnwzOG2_Wg"",""Direct links Without Sizes!E2:E""))),"""")"),"")</f>
        <v/>
      </c>
      <c r="H721" s="41"/>
      <c r="I721" s="4"/>
      <c r="J721" s="4"/>
      <c r="K721" s="10" t="str">
        <f t="shared" si="1"/>
        <v/>
      </c>
      <c r="L721" s="10"/>
      <c r="M721" s="10" t="str">
        <f t="shared" si="2"/>
        <v/>
      </c>
    </row>
    <row r="722">
      <c r="A722" s="4"/>
      <c r="B722" s="15"/>
      <c r="C722" s="7" t="str">
        <f>IFERROR(__xludf.DUMMYFUNCTION("iferror(iferror(INDEX(IMPORTRANGE(""12vtnxaE_Q1s4tyr10kZQx7ZF_xG0lBFae4jQEUtgsMU"",""All!B2:B""),MATCH($B722,IMPORTRANGE(""12vtnxaE_Q1s4tyr10kZQx7ZF_xG0lBFae4jQEUtgsMU"",""All!A2:A""),0)),INDEX(IMPORTRANGE(""13KC70HngS4DDi8y9E5khtSpQEPG6owaQ9z4E-tR5mnY"","&amp;"""Non-Food!B2:B""),MATCH($B722,IMPORTRANGE(""13KC70HngS4DDi8y9E5khtSpQEPG6owaQ9z4E-tR5mnY"",""Non-Food!A2:A""),0))),"""")"),"")</f>
        <v/>
      </c>
      <c r="D722" s="15"/>
      <c r="E722" s="15"/>
      <c r="F722" s="36"/>
      <c r="G722" s="24" t="str">
        <f>IFERROR(__xludf.DUMMYFUNCTION("iferror(iferror(iferror(index(IMPORTRANGE(""1NK5L1mviMn0j3D3uo53ASkIZOFRlLnqaCTnwzOG2_Wg"",""Direct Link!B2:B""),MATCH($B722,IMPORTRANGE(""1NK5L1mviMn0j3D3uo53ASkIZOFRlLnqaCTnwzOG2_Wg"",""Direct Link!A2:A""),0)),XLOOKUP($B722,IMPORTRANGE(""1NK5L1mviMn0j3D"&amp;"3uo53ASkIZOFRlLnqaCTnwzOG2_Wg"",""Direct links Without Sizes!A2:A""),IMPORTRANGE(""1NK5L1mviMn0j3D3uo53ASkIZOFRlLnqaCTnwzOG2_Wg"",""Direct links Without Sizes!B2:B""))),XLOOKUP($B722,IMPORTRANGE(""1NK5L1mviMn0j3D3uo53ASkIZOFRlLnqaCTnwzOG2_Wg"",""Direct li"&amp;"nks Without Sizes!D2:D""),IMPORTRANGE(""1NK5L1mviMn0j3D3uo53ASkIZOFRlLnqaCTnwzOG2_Wg"",""Direct links Without Sizes!E2:E""))),"""")"),"")</f>
        <v/>
      </c>
      <c r="H722" s="41"/>
      <c r="I722" s="4"/>
      <c r="J722" s="4"/>
      <c r="K722" s="10" t="str">
        <f t="shared" si="1"/>
        <v/>
      </c>
      <c r="L722" s="10"/>
      <c r="M722" s="10" t="str">
        <f t="shared" si="2"/>
        <v/>
      </c>
    </row>
    <row r="723">
      <c r="A723" s="4"/>
      <c r="B723" s="15"/>
      <c r="C723" s="7" t="str">
        <f>IFERROR(__xludf.DUMMYFUNCTION("iferror(iferror(INDEX(IMPORTRANGE(""12vtnxaE_Q1s4tyr10kZQx7ZF_xG0lBFae4jQEUtgsMU"",""All!B2:B""),MATCH($B723,IMPORTRANGE(""12vtnxaE_Q1s4tyr10kZQx7ZF_xG0lBFae4jQEUtgsMU"",""All!A2:A""),0)),INDEX(IMPORTRANGE(""13KC70HngS4DDi8y9E5khtSpQEPG6owaQ9z4E-tR5mnY"","&amp;"""Non-Food!B2:B""),MATCH($B723,IMPORTRANGE(""13KC70HngS4DDi8y9E5khtSpQEPG6owaQ9z4E-tR5mnY"",""Non-Food!A2:A""),0))),"""")"),"")</f>
        <v/>
      </c>
      <c r="D723" s="15"/>
      <c r="E723" s="15"/>
      <c r="F723" s="36"/>
      <c r="G723" s="24" t="str">
        <f>IFERROR(__xludf.DUMMYFUNCTION("iferror(iferror(iferror(index(IMPORTRANGE(""1NK5L1mviMn0j3D3uo53ASkIZOFRlLnqaCTnwzOG2_Wg"",""Direct Link!B2:B""),MATCH($B723,IMPORTRANGE(""1NK5L1mviMn0j3D3uo53ASkIZOFRlLnqaCTnwzOG2_Wg"",""Direct Link!A2:A""),0)),XLOOKUP($B723,IMPORTRANGE(""1NK5L1mviMn0j3D"&amp;"3uo53ASkIZOFRlLnqaCTnwzOG2_Wg"",""Direct links Without Sizes!A2:A""),IMPORTRANGE(""1NK5L1mviMn0j3D3uo53ASkIZOFRlLnqaCTnwzOG2_Wg"",""Direct links Without Sizes!B2:B""))),XLOOKUP($B723,IMPORTRANGE(""1NK5L1mviMn0j3D3uo53ASkIZOFRlLnqaCTnwzOG2_Wg"",""Direct li"&amp;"nks Without Sizes!D2:D""),IMPORTRANGE(""1NK5L1mviMn0j3D3uo53ASkIZOFRlLnqaCTnwzOG2_Wg"",""Direct links Without Sizes!E2:E""))),"""")"),"")</f>
        <v/>
      </c>
      <c r="H723" s="41"/>
      <c r="I723" s="4"/>
      <c r="J723" s="4"/>
      <c r="K723" s="10" t="str">
        <f t="shared" si="1"/>
        <v/>
      </c>
      <c r="L723" s="10"/>
      <c r="M723" s="10" t="str">
        <f t="shared" si="2"/>
        <v/>
      </c>
    </row>
    <row r="724">
      <c r="A724" s="4"/>
      <c r="B724" s="15"/>
      <c r="C724" s="7" t="str">
        <f>IFERROR(__xludf.DUMMYFUNCTION("iferror(iferror(INDEX(IMPORTRANGE(""12vtnxaE_Q1s4tyr10kZQx7ZF_xG0lBFae4jQEUtgsMU"",""All!B2:B""),MATCH($B724,IMPORTRANGE(""12vtnxaE_Q1s4tyr10kZQx7ZF_xG0lBFae4jQEUtgsMU"",""All!A2:A""),0)),INDEX(IMPORTRANGE(""13KC70HngS4DDi8y9E5khtSpQEPG6owaQ9z4E-tR5mnY"","&amp;"""Non-Food!B2:B""),MATCH($B724,IMPORTRANGE(""13KC70HngS4DDi8y9E5khtSpQEPG6owaQ9z4E-tR5mnY"",""Non-Food!A2:A""),0))),"""")"),"")</f>
        <v/>
      </c>
      <c r="D724" s="15"/>
      <c r="E724" s="15"/>
      <c r="F724" s="36"/>
      <c r="G724" s="24" t="str">
        <f>IFERROR(__xludf.DUMMYFUNCTION("iferror(iferror(iferror(index(IMPORTRANGE(""1NK5L1mviMn0j3D3uo53ASkIZOFRlLnqaCTnwzOG2_Wg"",""Direct Link!B2:B""),MATCH($B724,IMPORTRANGE(""1NK5L1mviMn0j3D3uo53ASkIZOFRlLnqaCTnwzOG2_Wg"",""Direct Link!A2:A""),0)),XLOOKUP($B724,IMPORTRANGE(""1NK5L1mviMn0j3D"&amp;"3uo53ASkIZOFRlLnqaCTnwzOG2_Wg"",""Direct links Without Sizes!A2:A""),IMPORTRANGE(""1NK5L1mviMn0j3D3uo53ASkIZOFRlLnqaCTnwzOG2_Wg"",""Direct links Without Sizes!B2:B""))),XLOOKUP($B724,IMPORTRANGE(""1NK5L1mviMn0j3D3uo53ASkIZOFRlLnqaCTnwzOG2_Wg"",""Direct li"&amp;"nks Without Sizes!D2:D""),IMPORTRANGE(""1NK5L1mviMn0j3D3uo53ASkIZOFRlLnqaCTnwzOG2_Wg"",""Direct links Without Sizes!E2:E""))),"""")"),"")</f>
        <v/>
      </c>
      <c r="H724" s="41"/>
      <c r="I724" s="4"/>
      <c r="J724" s="4"/>
      <c r="K724" s="10" t="str">
        <f t="shared" si="1"/>
        <v/>
      </c>
      <c r="L724" s="10"/>
      <c r="M724" s="10" t="str">
        <f t="shared" si="2"/>
        <v/>
      </c>
    </row>
    <row r="725">
      <c r="A725" s="4"/>
      <c r="B725" s="15"/>
      <c r="C725" s="7" t="str">
        <f>IFERROR(__xludf.DUMMYFUNCTION("iferror(iferror(INDEX(IMPORTRANGE(""12vtnxaE_Q1s4tyr10kZQx7ZF_xG0lBFae4jQEUtgsMU"",""All!B2:B""),MATCH($B725,IMPORTRANGE(""12vtnxaE_Q1s4tyr10kZQx7ZF_xG0lBFae4jQEUtgsMU"",""All!A2:A""),0)),INDEX(IMPORTRANGE(""13KC70HngS4DDi8y9E5khtSpQEPG6owaQ9z4E-tR5mnY"","&amp;"""Non-Food!B2:B""),MATCH($B725,IMPORTRANGE(""13KC70HngS4DDi8y9E5khtSpQEPG6owaQ9z4E-tR5mnY"",""Non-Food!A2:A""),0))),"""")"),"")</f>
        <v/>
      </c>
      <c r="D725" s="15"/>
      <c r="E725" s="15"/>
      <c r="F725" s="36"/>
      <c r="G725" s="24" t="str">
        <f>IFERROR(__xludf.DUMMYFUNCTION("iferror(iferror(iferror(index(IMPORTRANGE(""1NK5L1mviMn0j3D3uo53ASkIZOFRlLnqaCTnwzOG2_Wg"",""Direct Link!B2:B""),MATCH($B725,IMPORTRANGE(""1NK5L1mviMn0j3D3uo53ASkIZOFRlLnqaCTnwzOG2_Wg"",""Direct Link!A2:A""),0)),XLOOKUP($B725,IMPORTRANGE(""1NK5L1mviMn0j3D"&amp;"3uo53ASkIZOFRlLnqaCTnwzOG2_Wg"",""Direct links Without Sizes!A2:A""),IMPORTRANGE(""1NK5L1mviMn0j3D3uo53ASkIZOFRlLnqaCTnwzOG2_Wg"",""Direct links Without Sizes!B2:B""))),XLOOKUP($B725,IMPORTRANGE(""1NK5L1mviMn0j3D3uo53ASkIZOFRlLnqaCTnwzOG2_Wg"",""Direct li"&amp;"nks Without Sizes!D2:D""),IMPORTRANGE(""1NK5L1mviMn0j3D3uo53ASkIZOFRlLnqaCTnwzOG2_Wg"",""Direct links Without Sizes!E2:E""))),"""")"),"")</f>
        <v/>
      </c>
      <c r="H725" s="41"/>
      <c r="I725" s="4"/>
      <c r="J725" s="4"/>
      <c r="K725" s="10" t="str">
        <f t="shared" si="1"/>
        <v/>
      </c>
      <c r="L725" s="10"/>
      <c r="M725" s="10" t="str">
        <f t="shared" si="2"/>
        <v/>
      </c>
    </row>
    <row r="726">
      <c r="A726" s="4"/>
      <c r="B726" s="15"/>
      <c r="C726" s="7" t="str">
        <f>IFERROR(__xludf.DUMMYFUNCTION("iferror(iferror(INDEX(IMPORTRANGE(""12vtnxaE_Q1s4tyr10kZQx7ZF_xG0lBFae4jQEUtgsMU"",""All!B2:B""),MATCH($B726,IMPORTRANGE(""12vtnxaE_Q1s4tyr10kZQx7ZF_xG0lBFae4jQEUtgsMU"",""All!A2:A""),0)),INDEX(IMPORTRANGE(""13KC70HngS4DDi8y9E5khtSpQEPG6owaQ9z4E-tR5mnY"","&amp;"""Non-Food!B2:B""),MATCH($B726,IMPORTRANGE(""13KC70HngS4DDi8y9E5khtSpQEPG6owaQ9z4E-tR5mnY"",""Non-Food!A2:A""),0))),"""")"),"")</f>
        <v/>
      </c>
      <c r="D726" s="15"/>
      <c r="E726" s="15"/>
      <c r="F726" s="36"/>
      <c r="G726" s="24" t="str">
        <f>IFERROR(__xludf.DUMMYFUNCTION("iferror(iferror(iferror(index(IMPORTRANGE(""1NK5L1mviMn0j3D3uo53ASkIZOFRlLnqaCTnwzOG2_Wg"",""Direct Link!B2:B""),MATCH($B726,IMPORTRANGE(""1NK5L1mviMn0j3D3uo53ASkIZOFRlLnqaCTnwzOG2_Wg"",""Direct Link!A2:A""),0)),XLOOKUP($B726,IMPORTRANGE(""1NK5L1mviMn0j3D"&amp;"3uo53ASkIZOFRlLnqaCTnwzOG2_Wg"",""Direct links Without Sizes!A2:A""),IMPORTRANGE(""1NK5L1mviMn0j3D3uo53ASkIZOFRlLnqaCTnwzOG2_Wg"",""Direct links Without Sizes!B2:B""))),XLOOKUP($B726,IMPORTRANGE(""1NK5L1mviMn0j3D3uo53ASkIZOFRlLnqaCTnwzOG2_Wg"",""Direct li"&amp;"nks Without Sizes!D2:D""),IMPORTRANGE(""1NK5L1mviMn0j3D3uo53ASkIZOFRlLnqaCTnwzOG2_Wg"",""Direct links Without Sizes!E2:E""))),"""")"),"")</f>
        <v/>
      </c>
      <c r="H726" s="41"/>
      <c r="I726" s="4"/>
      <c r="J726" s="4"/>
      <c r="K726" s="10" t="str">
        <f t="shared" si="1"/>
        <v/>
      </c>
      <c r="L726" s="10"/>
      <c r="M726" s="10" t="str">
        <f t="shared" si="2"/>
        <v/>
      </c>
    </row>
    <row r="727">
      <c r="A727" s="4"/>
      <c r="B727" s="15"/>
      <c r="C727" s="7" t="str">
        <f>IFERROR(__xludf.DUMMYFUNCTION("iferror(iferror(INDEX(IMPORTRANGE(""12vtnxaE_Q1s4tyr10kZQx7ZF_xG0lBFae4jQEUtgsMU"",""All!B2:B""),MATCH($B727,IMPORTRANGE(""12vtnxaE_Q1s4tyr10kZQx7ZF_xG0lBFae4jQEUtgsMU"",""All!A2:A""),0)),INDEX(IMPORTRANGE(""13KC70HngS4DDi8y9E5khtSpQEPG6owaQ9z4E-tR5mnY"","&amp;"""Non-Food!B2:B""),MATCH($B727,IMPORTRANGE(""13KC70HngS4DDi8y9E5khtSpQEPG6owaQ9z4E-tR5mnY"",""Non-Food!A2:A""),0))),"""")"),"")</f>
        <v/>
      </c>
      <c r="D727" s="15"/>
      <c r="E727" s="15"/>
      <c r="F727" s="36"/>
      <c r="G727" s="24" t="str">
        <f>IFERROR(__xludf.DUMMYFUNCTION("iferror(iferror(iferror(index(IMPORTRANGE(""1NK5L1mviMn0j3D3uo53ASkIZOFRlLnqaCTnwzOG2_Wg"",""Direct Link!B2:B""),MATCH($B727,IMPORTRANGE(""1NK5L1mviMn0j3D3uo53ASkIZOFRlLnqaCTnwzOG2_Wg"",""Direct Link!A2:A""),0)),XLOOKUP($B727,IMPORTRANGE(""1NK5L1mviMn0j3D"&amp;"3uo53ASkIZOFRlLnqaCTnwzOG2_Wg"",""Direct links Without Sizes!A2:A""),IMPORTRANGE(""1NK5L1mviMn0j3D3uo53ASkIZOFRlLnqaCTnwzOG2_Wg"",""Direct links Without Sizes!B2:B""))),XLOOKUP($B727,IMPORTRANGE(""1NK5L1mviMn0j3D3uo53ASkIZOFRlLnqaCTnwzOG2_Wg"",""Direct li"&amp;"nks Without Sizes!D2:D""),IMPORTRANGE(""1NK5L1mviMn0j3D3uo53ASkIZOFRlLnqaCTnwzOG2_Wg"",""Direct links Without Sizes!E2:E""))),"""")"),"")</f>
        <v/>
      </c>
      <c r="H727" s="41"/>
      <c r="I727" s="4"/>
      <c r="J727" s="4"/>
      <c r="K727" s="10" t="str">
        <f t="shared" si="1"/>
        <v/>
      </c>
      <c r="L727" s="10"/>
      <c r="M727" s="10" t="str">
        <f t="shared" si="2"/>
        <v/>
      </c>
    </row>
    <row r="728">
      <c r="A728" s="4"/>
      <c r="B728" s="15"/>
      <c r="C728" s="7" t="str">
        <f>IFERROR(__xludf.DUMMYFUNCTION("iferror(iferror(INDEX(IMPORTRANGE(""12vtnxaE_Q1s4tyr10kZQx7ZF_xG0lBFae4jQEUtgsMU"",""All!B2:B""),MATCH($B728,IMPORTRANGE(""12vtnxaE_Q1s4tyr10kZQx7ZF_xG0lBFae4jQEUtgsMU"",""All!A2:A""),0)),INDEX(IMPORTRANGE(""13KC70HngS4DDi8y9E5khtSpQEPG6owaQ9z4E-tR5mnY"","&amp;"""Non-Food!B2:B""),MATCH($B728,IMPORTRANGE(""13KC70HngS4DDi8y9E5khtSpQEPG6owaQ9z4E-tR5mnY"",""Non-Food!A2:A""),0))),"""")"),"")</f>
        <v/>
      </c>
      <c r="D728" s="15"/>
      <c r="E728" s="15"/>
      <c r="F728" s="36"/>
      <c r="G728" s="24" t="str">
        <f>IFERROR(__xludf.DUMMYFUNCTION("iferror(iferror(iferror(index(IMPORTRANGE(""1NK5L1mviMn0j3D3uo53ASkIZOFRlLnqaCTnwzOG2_Wg"",""Direct Link!B2:B""),MATCH($B728,IMPORTRANGE(""1NK5L1mviMn0j3D3uo53ASkIZOFRlLnqaCTnwzOG2_Wg"",""Direct Link!A2:A""),0)),XLOOKUP($B728,IMPORTRANGE(""1NK5L1mviMn0j3D"&amp;"3uo53ASkIZOFRlLnqaCTnwzOG2_Wg"",""Direct links Without Sizes!A2:A""),IMPORTRANGE(""1NK5L1mviMn0j3D3uo53ASkIZOFRlLnqaCTnwzOG2_Wg"",""Direct links Without Sizes!B2:B""))),XLOOKUP($B728,IMPORTRANGE(""1NK5L1mviMn0j3D3uo53ASkIZOFRlLnqaCTnwzOG2_Wg"",""Direct li"&amp;"nks Without Sizes!D2:D""),IMPORTRANGE(""1NK5L1mviMn0j3D3uo53ASkIZOFRlLnqaCTnwzOG2_Wg"",""Direct links Without Sizes!E2:E""))),"""")"),"")</f>
        <v/>
      </c>
      <c r="H728" s="41"/>
      <c r="I728" s="4"/>
      <c r="J728" s="4"/>
      <c r="K728" s="10" t="str">
        <f t="shared" si="1"/>
        <v/>
      </c>
      <c r="L728" s="10"/>
      <c r="M728" s="10" t="str">
        <f t="shared" si="2"/>
        <v/>
      </c>
    </row>
    <row r="729">
      <c r="A729" s="4"/>
      <c r="B729" s="15"/>
      <c r="C729" s="7" t="str">
        <f>IFERROR(__xludf.DUMMYFUNCTION("iferror(iferror(INDEX(IMPORTRANGE(""12vtnxaE_Q1s4tyr10kZQx7ZF_xG0lBFae4jQEUtgsMU"",""All!B2:B""),MATCH($B729,IMPORTRANGE(""12vtnxaE_Q1s4tyr10kZQx7ZF_xG0lBFae4jQEUtgsMU"",""All!A2:A""),0)),INDEX(IMPORTRANGE(""13KC70HngS4DDi8y9E5khtSpQEPG6owaQ9z4E-tR5mnY"","&amp;"""Non-Food!B2:B""),MATCH($B729,IMPORTRANGE(""13KC70HngS4DDi8y9E5khtSpQEPG6owaQ9z4E-tR5mnY"",""Non-Food!A2:A""),0))),"""")"),"")</f>
        <v/>
      </c>
      <c r="D729" s="15"/>
      <c r="E729" s="15"/>
      <c r="F729" s="36"/>
      <c r="G729" s="24" t="str">
        <f>IFERROR(__xludf.DUMMYFUNCTION("iferror(iferror(iferror(index(IMPORTRANGE(""1NK5L1mviMn0j3D3uo53ASkIZOFRlLnqaCTnwzOG2_Wg"",""Direct Link!B2:B""),MATCH($B729,IMPORTRANGE(""1NK5L1mviMn0j3D3uo53ASkIZOFRlLnqaCTnwzOG2_Wg"",""Direct Link!A2:A""),0)),XLOOKUP($B729,IMPORTRANGE(""1NK5L1mviMn0j3D"&amp;"3uo53ASkIZOFRlLnqaCTnwzOG2_Wg"",""Direct links Without Sizes!A2:A""),IMPORTRANGE(""1NK5L1mviMn0j3D3uo53ASkIZOFRlLnqaCTnwzOG2_Wg"",""Direct links Without Sizes!B2:B""))),XLOOKUP($B729,IMPORTRANGE(""1NK5L1mviMn0j3D3uo53ASkIZOFRlLnqaCTnwzOG2_Wg"",""Direct li"&amp;"nks Without Sizes!D2:D""),IMPORTRANGE(""1NK5L1mviMn0j3D3uo53ASkIZOFRlLnqaCTnwzOG2_Wg"",""Direct links Without Sizes!E2:E""))),"""")"),"")</f>
        <v/>
      </c>
      <c r="H729" s="41"/>
      <c r="I729" s="4"/>
      <c r="J729" s="4"/>
      <c r="K729" s="10" t="str">
        <f t="shared" si="1"/>
        <v/>
      </c>
      <c r="L729" s="10"/>
      <c r="M729" s="10" t="str">
        <f t="shared" si="2"/>
        <v/>
      </c>
    </row>
    <row r="730">
      <c r="A730" s="4"/>
      <c r="B730" s="15"/>
      <c r="C730" s="7" t="str">
        <f>IFERROR(__xludf.DUMMYFUNCTION("iferror(iferror(INDEX(IMPORTRANGE(""12vtnxaE_Q1s4tyr10kZQx7ZF_xG0lBFae4jQEUtgsMU"",""All!B2:B""),MATCH($B730,IMPORTRANGE(""12vtnxaE_Q1s4tyr10kZQx7ZF_xG0lBFae4jQEUtgsMU"",""All!A2:A""),0)),INDEX(IMPORTRANGE(""13KC70HngS4DDi8y9E5khtSpQEPG6owaQ9z4E-tR5mnY"","&amp;"""Non-Food!B2:B""),MATCH($B730,IMPORTRANGE(""13KC70HngS4DDi8y9E5khtSpQEPG6owaQ9z4E-tR5mnY"",""Non-Food!A2:A""),0))),"""")"),"")</f>
        <v/>
      </c>
      <c r="D730" s="15"/>
      <c r="E730" s="15"/>
      <c r="F730" s="36"/>
      <c r="G730" s="24" t="str">
        <f>IFERROR(__xludf.DUMMYFUNCTION("iferror(iferror(iferror(index(IMPORTRANGE(""1NK5L1mviMn0j3D3uo53ASkIZOFRlLnqaCTnwzOG2_Wg"",""Direct Link!B2:B""),MATCH($B730,IMPORTRANGE(""1NK5L1mviMn0j3D3uo53ASkIZOFRlLnqaCTnwzOG2_Wg"",""Direct Link!A2:A""),0)),XLOOKUP($B730,IMPORTRANGE(""1NK5L1mviMn0j3D"&amp;"3uo53ASkIZOFRlLnqaCTnwzOG2_Wg"",""Direct links Without Sizes!A2:A""),IMPORTRANGE(""1NK5L1mviMn0j3D3uo53ASkIZOFRlLnqaCTnwzOG2_Wg"",""Direct links Without Sizes!B2:B""))),XLOOKUP($B730,IMPORTRANGE(""1NK5L1mviMn0j3D3uo53ASkIZOFRlLnqaCTnwzOG2_Wg"",""Direct li"&amp;"nks Without Sizes!D2:D""),IMPORTRANGE(""1NK5L1mviMn0j3D3uo53ASkIZOFRlLnqaCTnwzOG2_Wg"",""Direct links Without Sizes!E2:E""))),"""")"),"")</f>
        <v/>
      </c>
      <c r="H730" s="41"/>
      <c r="I730" s="4"/>
      <c r="J730" s="4"/>
      <c r="K730" s="10" t="str">
        <f t="shared" si="1"/>
        <v/>
      </c>
      <c r="L730" s="10"/>
      <c r="M730" s="10" t="str">
        <f t="shared" si="2"/>
        <v/>
      </c>
    </row>
    <row r="731">
      <c r="A731" s="4"/>
      <c r="B731" s="15"/>
      <c r="C731" s="7" t="str">
        <f>IFERROR(__xludf.DUMMYFUNCTION("iferror(iferror(INDEX(IMPORTRANGE(""12vtnxaE_Q1s4tyr10kZQx7ZF_xG0lBFae4jQEUtgsMU"",""All!B2:B""),MATCH($B731,IMPORTRANGE(""12vtnxaE_Q1s4tyr10kZQx7ZF_xG0lBFae4jQEUtgsMU"",""All!A2:A""),0)),INDEX(IMPORTRANGE(""13KC70HngS4DDi8y9E5khtSpQEPG6owaQ9z4E-tR5mnY"","&amp;"""Non-Food!B2:B""),MATCH($B731,IMPORTRANGE(""13KC70HngS4DDi8y9E5khtSpQEPG6owaQ9z4E-tR5mnY"",""Non-Food!A2:A""),0))),"""")"),"")</f>
        <v/>
      </c>
      <c r="D731" s="15"/>
      <c r="E731" s="15"/>
      <c r="F731" s="36"/>
      <c r="G731" s="24" t="str">
        <f>IFERROR(__xludf.DUMMYFUNCTION("iferror(iferror(iferror(index(IMPORTRANGE(""1NK5L1mviMn0j3D3uo53ASkIZOFRlLnqaCTnwzOG2_Wg"",""Direct Link!B2:B""),MATCH($B731,IMPORTRANGE(""1NK5L1mviMn0j3D3uo53ASkIZOFRlLnqaCTnwzOG2_Wg"",""Direct Link!A2:A""),0)),XLOOKUP($B731,IMPORTRANGE(""1NK5L1mviMn0j3D"&amp;"3uo53ASkIZOFRlLnqaCTnwzOG2_Wg"",""Direct links Without Sizes!A2:A""),IMPORTRANGE(""1NK5L1mviMn0j3D3uo53ASkIZOFRlLnqaCTnwzOG2_Wg"",""Direct links Without Sizes!B2:B""))),XLOOKUP($B731,IMPORTRANGE(""1NK5L1mviMn0j3D3uo53ASkIZOFRlLnqaCTnwzOG2_Wg"",""Direct li"&amp;"nks Without Sizes!D2:D""),IMPORTRANGE(""1NK5L1mviMn0j3D3uo53ASkIZOFRlLnqaCTnwzOG2_Wg"",""Direct links Without Sizes!E2:E""))),"""")"),"")</f>
        <v/>
      </c>
      <c r="H731" s="41"/>
      <c r="I731" s="4"/>
      <c r="J731" s="4"/>
      <c r="K731" s="10" t="str">
        <f t="shared" si="1"/>
        <v/>
      </c>
      <c r="L731" s="10"/>
      <c r="M731" s="10" t="str">
        <f t="shared" si="2"/>
        <v/>
      </c>
    </row>
    <row r="732">
      <c r="A732" s="4"/>
      <c r="B732" s="15"/>
      <c r="C732" s="7" t="str">
        <f>IFERROR(__xludf.DUMMYFUNCTION("iferror(iferror(INDEX(IMPORTRANGE(""12vtnxaE_Q1s4tyr10kZQx7ZF_xG0lBFae4jQEUtgsMU"",""All!B2:B""),MATCH($B732,IMPORTRANGE(""12vtnxaE_Q1s4tyr10kZQx7ZF_xG0lBFae4jQEUtgsMU"",""All!A2:A""),0)),INDEX(IMPORTRANGE(""13KC70HngS4DDi8y9E5khtSpQEPG6owaQ9z4E-tR5mnY"","&amp;"""Non-Food!B2:B""),MATCH($B732,IMPORTRANGE(""13KC70HngS4DDi8y9E5khtSpQEPG6owaQ9z4E-tR5mnY"",""Non-Food!A2:A""),0))),"""")"),"")</f>
        <v/>
      </c>
      <c r="D732" s="15"/>
      <c r="E732" s="15"/>
      <c r="F732" s="36"/>
      <c r="G732" s="24" t="str">
        <f>IFERROR(__xludf.DUMMYFUNCTION("iferror(iferror(iferror(index(IMPORTRANGE(""1NK5L1mviMn0j3D3uo53ASkIZOFRlLnqaCTnwzOG2_Wg"",""Direct Link!B2:B""),MATCH($B732,IMPORTRANGE(""1NK5L1mviMn0j3D3uo53ASkIZOFRlLnqaCTnwzOG2_Wg"",""Direct Link!A2:A""),0)),XLOOKUP($B732,IMPORTRANGE(""1NK5L1mviMn0j3D"&amp;"3uo53ASkIZOFRlLnqaCTnwzOG2_Wg"",""Direct links Without Sizes!A2:A""),IMPORTRANGE(""1NK5L1mviMn0j3D3uo53ASkIZOFRlLnqaCTnwzOG2_Wg"",""Direct links Without Sizes!B2:B""))),XLOOKUP($B732,IMPORTRANGE(""1NK5L1mviMn0j3D3uo53ASkIZOFRlLnqaCTnwzOG2_Wg"",""Direct li"&amp;"nks Without Sizes!D2:D""),IMPORTRANGE(""1NK5L1mviMn0j3D3uo53ASkIZOFRlLnqaCTnwzOG2_Wg"",""Direct links Without Sizes!E2:E""))),"""")"),"")</f>
        <v/>
      </c>
      <c r="H732" s="41"/>
      <c r="I732" s="4"/>
      <c r="J732" s="4"/>
      <c r="K732" s="10" t="str">
        <f t="shared" si="1"/>
        <v/>
      </c>
      <c r="L732" s="10"/>
      <c r="M732" s="10" t="str">
        <f t="shared" si="2"/>
        <v/>
      </c>
    </row>
    <row r="733">
      <c r="A733" s="4"/>
      <c r="B733" s="15"/>
      <c r="C733" s="7" t="str">
        <f>IFERROR(__xludf.DUMMYFUNCTION("iferror(iferror(INDEX(IMPORTRANGE(""12vtnxaE_Q1s4tyr10kZQx7ZF_xG0lBFae4jQEUtgsMU"",""All!B2:B""),MATCH($B733,IMPORTRANGE(""12vtnxaE_Q1s4tyr10kZQx7ZF_xG0lBFae4jQEUtgsMU"",""All!A2:A""),0)),INDEX(IMPORTRANGE(""13KC70HngS4DDi8y9E5khtSpQEPG6owaQ9z4E-tR5mnY"","&amp;"""Non-Food!B2:B""),MATCH($B733,IMPORTRANGE(""13KC70HngS4DDi8y9E5khtSpQEPG6owaQ9z4E-tR5mnY"",""Non-Food!A2:A""),0))),"""")"),"")</f>
        <v/>
      </c>
      <c r="D733" s="15"/>
      <c r="E733" s="15"/>
      <c r="F733" s="36"/>
      <c r="G733" s="24" t="str">
        <f>IFERROR(__xludf.DUMMYFUNCTION("iferror(iferror(iferror(index(IMPORTRANGE(""1NK5L1mviMn0j3D3uo53ASkIZOFRlLnqaCTnwzOG2_Wg"",""Direct Link!B2:B""),MATCH($B733,IMPORTRANGE(""1NK5L1mviMn0j3D3uo53ASkIZOFRlLnqaCTnwzOG2_Wg"",""Direct Link!A2:A""),0)),XLOOKUP($B733,IMPORTRANGE(""1NK5L1mviMn0j3D"&amp;"3uo53ASkIZOFRlLnqaCTnwzOG2_Wg"",""Direct links Without Sizes!A2:A""),IMPORTRANGE(""1NK5L1mviMn0j3D3uo53ASkIZOFRlLnqaCTnwzOG2_Wg"",""Direct links Without Sizes!B2:B""))),XLOOKUP($B733,IMPORTRANGE(""1NK5L1mviMn0j3D3uo53ASkIZOFRlLnqaCTnwzOG2_Wg"",""Direct li"&amp;"nks Without Sizes!D2:D""),IMPORTRANGE(""1NK5L1mviMn0j3D3uo53ASkIZOFRlLnqaCTnwzOG2_Wg"",""Direct links Without Sizes!E2:E""))),"""")"),"")</f>
        <v/>
      </c>
      <c r="H733" s="41"/>
      <c r="I733" s="4"/>
      <c r="J733" s="4"/>
      <c r="K733" s="10" t="str">
        <f t="shared" si="1"/>
        <v/>
      </c>
      <c r="L733" s="10"/>
      <c r="M733" s="10" t="str">
        <f t="shared" si="2"/>
        <v/>
      </c>
    </row>
    <row r="734">
      <c r="A734" s="4"/>
      <c r="B734" s="15"/>
      <c r="C734" s="7" t="str">
        <f>IFERROR(__xludf.DUMMYFUNCTION("iferror(iferror(INDEX(IMPORTRANGE(""12vtnxaE_Q1s4tyr10kZQx7ZF_xG0lBFae4jQEUtgsMU"",""All!B2:B""),MATCH($B734,IMPORTRANGE(""12vtnxaE_Q1s4tyr10kZQx7ZF_xG0lBFae4jQEUtgsMU"",""All!A2:A""),0)),INDEX(IMPORTRANGE(""13KC70HngS4DDi8y9E5khtSpQEPG6owaQ9z4E-tR5mnY"","&amp;"""Non-Food!B2:B""),MATCH($B734,IMPORTRANGE(""13KC70HngS4DDi8y9E5khtSpQEPG6owaQ9z4E-tR5mnY"",""Non-Food!A2:A""),0))),"""")"),"")</f>
        <v/>
      </c>
      <c r="D734" s="15"/>
      <c r="E734" s="15"/>
      <c r="F734" s="36"/>
      <c r="G734" s="24" t="str">
        <f>IFERROR(__xludf.DUMMYFUNCTION("iferror(iferror(iferror(index(IMPORTRANGE(""1NK5L1mviMn0j3D3uo53ASkIZOFRlLnqaCTnwzOG2_Wg"",""Direct Link!B2:B""),MATCH($B734,IMPORTRANGE(""1NK5L1mviMn0j3D3uo53ASkIZOFRlLnqaCTnwzOG2_Wg"",""Direct Link!A2:A""),0)),XLOOKUP($B734,IMPORTRANGE(""1NK5L1mviMn0j3D"&amp;"3uo53ASkIZOFRlLnqaCTnwzOG2_Wg"",""Direct links Without Sizes!A2:A""),IMPORTRANGE(""1NK5L1mviMn0j3D3uo53ASkIZOFRlLnqaCTnwzOG2_Wg"",""Direct links Without Sizes!B2:B""))),XLOOKUP($B734,IMPORTRANGE(""1NK5L1mviMn0j3D3uo53ASkIZOFRlLnqaCTnwzOG2_Wg"",""Direct li"&amp;"nks Without Sizes!D2:D""),IMPORTRANGE(""1NK5L1mviMn0j3D3uo53ASkIZOFRlLnqaCTnwzOG2_Wg"",""Direct links Without Sizes!E2:E""))),"""")"),"")</f>
        <v/>
      </c>
      <c r="H734" s="41"/>
      <c r="I734" s="4"/>
      <c r="J734" s="4"/>
      <c r="K734" s="10" t="str">
        <f t="shared" si="1"/>
        <v/>
      </c>
      <c r="L734" s="10"/>
      <c r="M734" s="10" t="str">
        <f t="shared" si="2"/>
        <v/>
      </c>
    </row>
    <row r="735">
      <c r="A735" s="4"/>
      <c r="B735" s="15"/>
      <c r="C735" s="7" t="str">
        <f>IFERROR(__xludf.DUMMYFUNCTION("iferror(iferror(INDEX(IMPORTRANGE(""12vtnxaE_Q1s4tyr10kZQx7ZF_xG0lBFae4jQEUtgsMU"",""All!B2:B""),MATCH($B735,IMPORTRANGE(""12vtnxaE_Q1s4tyr10kZQx7ZF_xG0lBFae4jQEUtgsMU"",""All!A2:A""),0)),INDEX(IMPORTRANGE(""13KC70HngS4DDi8y9E5khtSpQEPG6owaQ9z4E-tR5mnY"","&amp;"""Non-Food!B2:B""),MATCH($B735,IMPORTRANGE(""13KC70HngS4DDi8y9E5khtSpQEPG6owaQ9z4E-tR5mnY"",""Non-Food!A2:A""),0))),"""")"),"")</f>
        <v/>
      </c>
      <c r="D735" s="15"/>
      <c r="E735" s="15"/>
      <c r="F735" s="36"/>
      <c r="G735" s="24" t="str">
        <f>IFERROR(__xludf.DUMMYFUNCTION("iferror(iferror(iferror(index(IMPORTRANGE(""1NK5L1mviMn0j3D3uo53ASkIZOFRlLnqaCTnwzOG2_Wg"",""Direct Link!B2:B""),MATCH($B735,IMPORTRANGE(""1NK5L1mviMn0j3D3uo53ASkIZOFRlLnqaCTnwzOG2_Wg"",""Direct Link!A2:A""),0)),XLOOKUP($B735,IMPORTRANGE(""1NK5L1mviMn0j3D"&amp;"3uo53ASkIZOFRlLnqaCTnwzOG2_Wg"",""Direct links Without Sizes!A2:A""),IMPORTRANGE(""1NK5L1mviMn0j3D3uo53ASkIZOFRlLnqaCTnwzOG2_Wg"",""Direct links Without Sizes!B2:B""))),XLOOKUP($B735,IMPORTRANGE(""1NK5L1mviMn0j3D3uo53ASkIZOFRlLnqaCTnwzOG2_Wg"",""Direct li"&amp;"nks Without Sizes!D2:D""),IMPORTRANGE(""1NK5L1mviMn0j3D3uo53ASkIZOFRlLnqaCTnwzOG2_Wg"",""Direct links Without Sizes!E2:E""))),"""")"),"")</f>
        <v/>
      </c>
      <c r="H735" s="41"/>
      <c r="I735" s="4"/>
      <c r="J735" s="4"/>
      <c r="K735" s="10" t="str">
        <f t="shared" si="1"/>
        <v/>
      </c>
      <c r="L735" s="10"/>
      <c r="M735" s="10" t="str">
        <f t="shared" si="2"/>
        <v/>
      </c>
    </row>
    <row r="736">
      <c r="A736" s="4"/>
      <c r="B736" s="15"/>
      <c r="C736" s="7" t="str">
        <f>IFERROR(__xludf.DUMMYFUNCTION("iferror(iferror(INDEX(IMPORTRANGE(""12vtnxaE_Q1s4tyr10kZQx7ZF_xG0lBFae4jQEUtgsMU"",""All!B2:B""),MATCH($B736,IMPORTRANGE(""12vtnxaE_Q1s4tyr10kZQx7ZF_xG0lBFae4jQEUtgsMU"",""All!A2:A""),0)),INDEX(IMPORTRANGE(""13KC70HngS4DDi8y9E5khtSpQEPG6owaQ9z4E-tR5mnY"","&amp;"""Non-Food!B2:B""),MATCH($B736,IMPORTRANGE(""13KC70HngS4DDi8y9E5khtSpQEPG6owaQ9z4E-tR5mnY"",""Non-Food!A2:A""),0))),"""")"),"")</f>
        <v/>
      </c>
      <c r="D736" s="15"/>
      <c r="E736" s="15"/>
      <c r="F736" s="36"/>
      <c r="G736" s="24" t="str">
        <f>IFERROR(__xludf.DUMMYFUNCTION("iferror(iferror(iferror(index(IMPORTRANGE(""1NK5L1mviMn0j3D3uo53ASkIZOFRlLnqaCTnwzOG2_Wg"",""Direct Link!B2:B""),MATCH($B736,IMPORTRANGE(""1NK5L1mviMn0j3D3uo53ASkIZOFRlLnqaCTnwzOG2_Wg"",""Direct Link!A2:A""),0)),XLOOKUP($B736,IMPORTRANGE(""1NK5L1mviMn0j3D"&amp;"3uo53ASkIZOFRlLnqaCTnwzOG2_Wg"",""Direct links Without Sizes!A2:A""),IMPORTRANGE(""1NK5L1mviMn0j3D3uo53ASkIZOFRlLnqaCTnwzOG2_Wg"",""Direct links Without Sizes!B2:B""))),XLOOKUP($B736,IMPORTRANGE(""1NK5L1mviMn0j3D3uo53ASkIZOFRlLnqaCTnwzOG2_Wg"",""Direct li"&amp;"nks Without Sizes!D2:D""),IMPORTRANGE(""1NK5L1mviMn0j3D3uo53ASkIZOFRlLnqaCTnwzOG2_Wg"",""Direct links Without Sizes!E2:E""))),"""")"),"")</f>
        <v/>
      </c>
      <c r="H736" s="41"/>
      <c r="I736" s="4"/>
      <c r="J736" s="4"/>
      <c r="K736" s="10" t="str">
        <f t="shared" si="1"/>
        <v/>
      </c>
      <c r="L736" s="10"/>
      <c r="M736" s="10" t="str">
        <f t="shared" si="2"/>
        <v/>
      </c>
    </row>
    <row r="737">
      <c r="A737" s="4"/>
      <c r="B737" s="15"/>
      <c r="C737" s="7" t="str">
        <f>IFERROR(__xludf.DUMMYFUNCTION("iferror(iferror(INDEX(IMPORTRANGE(""12vtnxaE_Q1s4tyr10kZQx7ZF_xG0lBFae4jQEUtgsMU"",""All!B2:B""),MATCH($B737,IMPORTRANGE(""12vtnxaE_Q1s4tyr10kZQx7ZF_xG0lBFae4jQEUtgsMU"",""All!A2:A""),0)),INDEX(IMPORTRANGE(""13KC70HngS4DDi8y9E5khtSpQEPG6owaQ9z4E-tR5mnY"","&amp;"""Non-Food!B2:B""),MATCH($B737,IMPORTRANGE(""13KC70HngS4DDi8y9E5khtSpQEPG6owaQ9z4E-tR5mnY"",""Non-Food!A2:A""),0))),"""")"),"")</f>
        <v/>
      </c>
      <c r="D737" s="15"/>
      <c r="E737" s="15"/>
      <c r="F737" s="36"/>
      <c r="G737" s="24" t="str">
        <f>IFERROR(__xludf.DUMMYFUNCTION("iferror(iferror(iferror(index(IMPORTRANGE(""1NK5L1mviMn0j3D3uo53ASkIZOFRlLnqaCTnwzOG2_Wg"",""Direct Link!B2:B""),MATCH($B737,IMPORTRANGE(""1NK5L1mviMn0j3D3uo53ASkIZOFRlLnqaCTnwzOG2_Wg"",""Direct Link!A2:A""),0)),XLOOKUP($B737,IMPORTRANGE(""1NK5L1mviMn0j3D"&amp;"3uo53ASkIZOFRlLnqaCTnwzOG2_Wg"",""Direct links Without Sizes!A2:A""),IMPORTRANGE(""1NK5L1mviMn0j3D3uo53ASkIZOFRlLnqaCTnwzOG2_Wg"",""Direct links Without Sizes!B2:B""))),XLOOKUP($B737,IMPORTRANGE(""1NK5L1mviMn0j3D3uo53ASkIZOFRlLnqaCTnwzOG2_Wg"",""Direct li"&amp;"nks Without Sizes!D2:D""),IMPORTRANGE(""1NK5L1mviMn0j3D3uo53ASkIZOFRlLnqaCTnwzOG2_Wg"",""Direct links Without Sizes!E2:E""))),"""")"),"")</f>
        <v/>
      </c>
      <c r="H737" s="41"/>
      <c r="I737" s="4"/>
      <c r="J737" s="4"/>
      <c r="K737" s="10" t="str">
        <f t="shared" si="1"/>
        <v/>
      </c>
      <c r="L737" s="10"/>
      <c r="M737" s="10" t="str">
        <f t="shared" si="2"/>
        <v/>
      </c>
    </row>
    <row r="738">
      <c r="A738" s="4"/>
      <c r="B738" s="15"/>
      <c r="C738" s="7" t="str">
        <f>IFERROR(__xludf.DUMMYFUNCTION("iferror(iferror(INDEX(IMPORTRANGE(""12vtnxaE_Q1s4tyr10kZQx7ZF_xG0lBFae4jQEUtgsMU"",""All!B2:B""),MATCH($B738,IMPORTRANGE(""12vtnxaE_Q1s4tyr10kZQx7ZF_xG0lBFae4jQEUtgsMU"",""All!A2:A""),0)),INDEX(IMPORTRANGE(""13KC70HngS4DDi8y9E5khtSpQEPG6owaQ9z4E-tR5mnY"","&amp;"""Non-Food!B2:B""),MATCH($B738,IMPORTRANGE(""13KC70HngS4DDi8y9E5khtSpQEPG6owaQ9z4E-tR5mnY"",""Non-Food!A2:A""),0))),"""")"),"")</f>
        <v/>
      </c>
      <c r="D738" s="15"/>
      <c r="E738" s="15"/>
      <c r="F738" s="36"/>
      <c r="G738" s="24" t="str">
        <f>IFERROR(__xludf.DUMMYFUNCTION("iferror(iferror(iferror(index(IMPORTRANGE(""1NK5L1mviMn0j3D3uo53ASkIZOFRlLnqaCTnwzOG2_Wg"",""Direct Link!B2:B""),MATCH($B738,IMPORTRANGE(""1NK5L1mviMn0j3D3uo53ASkIZOFRlLnqaCTnwzOG2_Wg"",""Direct Link!A2:A""),0)),XLOOKUP($B738,IMPORTRANGE(""1NK5L1mviMn0j3D"&amp;"3uo53ASkIZOFRlLnqaCTnwzOG2_Wg"",""Direct links Without Sizes!A2:A""),IMPORTRANGE(""1NK5L1mviMn0j3D3uo53ASkIZOFRlLnqaCTnwzOG2_Wg"",""Direct links Without Sizes!B2:B""))),XLOOKUP($B738,IMPORTRANGE(""1NK5L1mviMn0j3D3uo53ASkIZOFRlLnqaCTnwzOG2_Wg"",""Direct li"&amp;"nks Without Sizes!D2:D""),IMPORTRANGE(""1NK5L1mviMn0j3D3uo53ASkIZOFRlLnqaCTnwzOG2_Wg"",""Direct links Without Sizes!E2:E""))),"""")"),"")</f>
        <v/>
      </c>
      <c r="H738" s="41"/>
      <c r="I738" s="4"/>
      <c r="J738" s="4"/>
      <c r="K738" s="10" t="str">
        <f t="shared" si="1"/>
        <v/>
      </c>
      <c r="L738" s="10"/>
      <c r="M738" s="10" t="str">
        <f t="shared" si="2"/>
        <v/>
      </c>
    </row>
    <row r="739">
      <c r="A739" s="4"/>
      <c r="B739" s="15"/>
      <c r="C739" s="7" t="str">
        <f>IFERROR(__xludf.DUMMYFUNCTION("iferror(iferror(INDEX(IMPORTRANGE(""12vtnxaE_Q1s4tyr10kZQx7ZF_xG0lBFae4jQEUtgsMU"",""All!B2:B""),MATCH($B739,IMPORTRANGE(""12vtnxaE_Q1s4tyr10kZQx7ZF_xG0lBFae4jQEUtgsMU"",""All!A2:A""),0)),INDEX(IMPORTRANGE(""13KC70HngS4DDi8y9E5khtSpQEPG6owaQ9z4E-tR5mnY"","&amp;"""Non-Food!B2:B""),MATCH($B739,IMPORTRANGE(""13KC70HngS4DDi8y9E5khtSpQEPG6owaQ9z4E-tR5mnY"",""Non-Food!A2:A""),0))),"""")"),"")</f>
        <v/>
      </c>
      <c r="D739" s="15"/>
      <c r="E739" s="15"/>
      <c r="F739" s="36"/>
      <c r="G739" s="24" t="str">
        <f>IFERROR(__xludf.DUMMYFUNCTION("iferror(iferror(iferror(index(IMPORTRANGE(""1NK5L1mviMn0j3D3uo53ASkIZOFRlLnqaCTnwzOG2_Wg"",""Direct Link!B2:B""),MATCH($B739,IMPORTRANGE(""1NK5L1mviMn0j3D3uo53ASkIZOFRlLnqaCTnwzOG2_Wg"",""Direct Link!A2:A""),0)),XLOOKUP($B739,IMPORTRANGE(""1NK5L1mviMn0j3D"&amp;"3uo53ASkIZOFRlLnqaCTnwzOG2_Wg"",""Direct links Without Sizes!A2:A""),IMPORTRANGE(""1NK5L1mviMn0j3D3uo53ASkIZOFRlLnqaCTnwzOG2_Wg"",""Direct links Without Sizes!B2:B""))),XLOOKUP($B739,IMPORTRANGE(""1NK5L1mviMn0j3D3uo53ASkIZOFRlLnqaCTnwzOG2_Wg"",""Direct li"&amp;"nks Without Sizes!D2:D""),IMPORTRANGE(""1NK5L1mviMn0j3D3uo53ASkIZOFRlLnqaCTnwzOG2_Wg"",""Direct links Without Sizes!E2:E""))),"""")"),"")</f>
        <v/>
      </c>
      <c r="H739" s="41"/>
      <c r="I739" s="4"/>
      <c r="J739" s="4"/>
      <c r="K739" s="10" t="str">
        <f t="shared" si="1"/>
        <v/>
      </c>
      <c r="L739" s="10"/>
      <c r="M739" s="10" t="str">
        <f t="shared" si="2"/>
        <v/>
      </c>
    </row>
    <row r="740">
      <c r="A740" s="4"/>
      <c r="B740" s="15"/>
      <c r="C740" s="7" t="str">
        <f>IFERROR(__xludf.DUMMYFUNCTION("iferror(iferror(INDEX(IMPORTRANGE(""12vtnxaE_Q1s4tyr10kZQx7ZF_xG0lBFae4jQEUtgsMU"",""All!B2:B""),MATCH($B740,IMPORTRANGE(""12vtnxaE_Q1s4tyr10kZQx7ZF_xG0lBFae4jQEUtgsMU"",""All!A2:A""),0)),INDEX(IMPORTRANGE(""13KC70HngS4DDi8y9E5khtSpQEPG6owaQ9z4E-tR5mnY"","&amp;"""Non-Food!B2:B""),MATCH($B740,IMPORTRANGE(""13KC70HngS4DDi8y9E5khtSpQEPG6owaQ9z4E-tR5mnY"",""Non-Food!A2:A""),0))),"""")"),"")</f>
        <v/>
      </c>
      <c r="D740" s="15"/>
      <c r="E740" s="15"/>
      <c r="F740" s="36"/>
      <c r="G740" s="24" t="str">
        <f>IFERROR(__xludf.DUMMYFUNCTION("iferror(iferror(iferror(index(IMPORTRANGE(""1NK5L1mviMn0j3D3uo53ASkIZOFRlLnqaCTnwzOG2_Wg"",""Direct Link!B2:B""),MATCH($B740,IMPORTRANGE(""1NK5L1mviMn0j3D3uo53ASkIZOFRlLnqaCTnwzOG2_Wg"",""Direct Link!A2:A""),0)),XLOOKUP($B740,IMPORTRANGE(""1NK5L1mviMn0j3D"&amp;"3uo53ASkIZOFRlLnqaCTnwzOG2_Wg"",""Direct links Without Sizes!A2:A""),IMPORTRANGE(""1NK5L1mviMn0j3D3uo53ASkIZOFRlLnqaCTnwzOG2_Wg"",""Direct links Without Sizes!B2:B""))),XLOOKUP($B740,IMPORTRANGE(""1NK5L1mviMn0j3D3uo53ASkIZOFRlLnqaCTnwzOG2_Wg"",""Direct li"&amp;"nks Without Sizes!D2:D""),IMPORTRANGE(""1NK5L1mviMn0j3D3uo53ASkIZOFRlLnqaCTnwzOG2_Wg"",""Direct links Without Sizes!E2:E""))),"""")"),"")</f>
        <v/>
      </c>
      <c r="H740" s="41"/>
      <c r="I740" s="4"/>
      <c r="J740" s="4"/>
      <c r="K740" s="10" t="str">
        <f t="shared" si="1"/>
        <v/>
      </c>
      <c r="L740" s="10"/>
      <c r="M740" s="10" t="str">
        <f t="shared" si="2"/>
        <v/>
      </c>
    </row>
    <row r="741">
      <c r="A741" s="4"/>
      <c r="B741" s="15"/>
      <c r="C741" s="7" t="str">
        <f>IFERROR(__xludf.DUMMYFUNCTION("iferror(iferror(INDEX(IMPORTRANGE(""12vtnxaE_Q1s4tyr10kZQx7ZF_xG0lBFae4jQEUtgsMU"",""All!B2:B""),MATCH($B741,IMPORTRANGE(""12vtnxaE_Q1s4tyr10kZQx7ZF_xG0lBFae4jQEUtgsMU"",""All!A2:A""),0)),INDEX(IMPORTRANGE(""13KC70HngS4DDi8y9E5khtSpQEPG6owaQ9z4E-tR5mnY"","&amp;"""Non-Food!B2:B""),MATCH($B741,IMPORTRANGE(""13KC70HngS4DDi8y9E5khtSpQEPG6owaQ9z4E-tR5mnY"",""Non-Food!A2:A""),0))),"""")"),"")</f>
        <v/>
      </c>
      <c r="D741" s="15"/>
      <c r="E741" s="15"/>
      <c r="F741" s="36"/>
      <c r="G741" s="24" t="str">
        <f>IFERROR(__xludf.DUMMYFUNCTION("iferror(iferror(iferror(index(IMPORTRANGE(""1NK5L1mviMn0j3D3uo53ASkIZOFRlLnqaCTnwzOG2_Wg"",""Direct Link!B2:B""),MATCH($B741,IMPORTRANGE(""1NK5L1mviMn0j3D3uo53ASkIZOFRlLnqaCTnwzOG2_Wg"",""Direct Link!A2:A""),0)),XLOOKUP($B741,IMPORTRANGE(""1NK5L1mviMn0j3D"&amp;"3uo53ASkIZOFRlLnqaCTnwzOG2_Wg"",""Direct links Without Sizes!A2:A""),IMPORTRANGE(""1NK5L1mviMn0j3D3uo53ASkIZOFRlLnqaCTnwzOG2_Wg"",""Direct links Without Sizes!B2:B""))),XLOOKUP($B741,IMPORTRANGE(""1NK5L1mviMn0j3D3uo53ASkIZOFRlLnqaCTnwzOG2_Wg"",""Direct li"&amp;"nks Without Sizes!D2:D""),IMPORTRANGE(""1NK5L1mviMn0j3D3uo53ASkIZOFRlLnqaCTnwzOG2_Wg"",""Direct links Without Sizes!E2:E""))),"""")"),"")</f>
        <v/>
      </c>
      <c r="H741" s="41"/>
      <c r="I741" s="4"/>
      <c r="J741" s="4"/>
      <c r="K741" s="10" t="str">
        <f t="shared" si="1"/>
        <v/>
      </c>
      <c r="L741" s="10"/>
      <c r="M741" s="10" t="str">
        <f t="shared" si="2"/>
        <v/>
      </c>
    </row>
    <row r="742">
      <c r="A742" s="4"/>
      <c r="B742" s="15"/>
      <c r="C742" s="7" t="str">
        <f>IFERROR(__xludf.DUMMYFUNCTION("iferror(iferror(INDEX(IMPORTRANGE(""12vtnxaE_Q1s4tyr10kZQx7ZF_xG0lBFae4jQEUtgsMU"",""All!B2:B""),MATCH($B742,IMPORTRANGE(""12vtnxaE_Q1s4tyr10kZQx7ZF_xG0lBFae4jQEUtgsMU"",""All!A2:A""),0)),INDEX(IMPORTRANGE(""13KC70HngS4DDi8y9E5khtSpQEPG6owaQ9z4E-tR5mnY"","&amp;"""Non-Food!B2:B""),MATCH($B742,IMPORTRANGE(""13KC70HngS4DDi8y9E5khtSpQEPG6owaQ9z4E-tR5mnY"",""Non-Food!A2:A""),0))),"""")"),"")</f>
        <v/>
      </c>
      <c r="D742" s="15"/>
      <c r="E742" s="15"/>
      <c r="F742" s="36"/>
      <c r="G742" s="24" t="str">
        <f>IFERROR(__xludf.DUMMYFUNCTION("iferror(iferror(iferror(index(IMPORTRANGE(""1NK5L1mviMn0j3D3uo53ASkIZOFRlLnqaCTnwzOG2_Wg"",""Direct Link!B2:B""),MATCH($B742,IMPORTRANGE(""1NK5L1mviMn0j3D3uo53ASkIZOFRlLnqaCTnwzOG2_Wg"",""Direct Link!A2:A""),0)),XLOOKUP($B742,IMPORTRANGE(""1NK5L1mviMn0j3D"&amp;"3uo53ASkIZOFRlLnqaCTnwzOG2_Wg"",""Direct links Without Sizes!A2:A""),IMPORTRANGE(""1NK5L1mviMn0j3D3uo53ASkIZOFRlLnqaCTnwzOG2_Wg"",""Direct links Without Sizes!B2:B""))),XLOOKUP($B742,IMPORTRANGE(""1NK5L1mviMn0j3D3uo53ASkIZOFRlLnqaCTnwzOG2_Wg"",""Direct li"&amp;"nks Without Sizes!D2:D""),IMPORTRANGE(""1NK5L1mviMn0j3D3uo53ASkIZOFRlLnqaCTnwzOG2_Wg"",""Direct links Without Sizes!E2:E""))),"""")"),"")</f>
        <v/>
      </c>
      <c r="H742" s="41"/>
      <c r="I742" s="4"/>
      <c r="J742" s="4"/>
      <c r="K742" s="10" t="str">
        <f t="shared" si="1"/>
        <v/>
      </c>
      <c r="L742" s="10"/>
      <c r="M742" s="10" t="str">
        <f t="shared" si="2"/>
        <v/>
      </c>
    </row>
    <row r="743">
      <c r="A743" s="4"/>
      <c r="B743" s="15"/>
      <c r="C743" s="7" t="str">
        <f>IFERROR(__xludf.DUMMYFUNCTION("iferror(iferror(INDEX(IMPORTRANGE(""12vtnxaE_Q1s4tyr10kZQx7ZF_xG0lBFae4jQEUtgsMU"",""All!B2:B""),MATCH($B743,IMPORTRANGE(""12vtnxaE_Q1s4tyr10kZQx7ZF_xG0lBFae4jQEUtgsMU"",""All!A2:A""),0)),INDEX(IMPORTRANGE(""13KC70HngS4DDi8y9E5khtSpQEPG6owaQ9z4E-tR5mnY"","&amp;"""Non-Food!B2:B""),MATCH($B743,IMPORTRANGE(""13KC70HngS4DDi8y9E5khtSpQEPG6owaQ9z4E-tR5mnY"",""Non-Food!A2:A""),0))),"""")"),"")</f>
        <v/>
      </c>
      <c r="D743" s="15"/>
      <c r="E743" s="15"/>
      <c r="F743" s="36"/>
      <c r="G743" s="24" t="str">
        <f>IFERROR(__xludf.DUMMYFUNCTION("iferror(iferror(iferror(index(IMPORTRANGE(""1NK5L1mviMn0j3D3uo53ASkIZOFRlLnqaCTnwzOG2_Wg"",""Direct Link!B2:B""),MATCH($B743,IMPORTRANGE(""1NK5L1mviMn0j3D3uo53ASkIZOFRlLnqaCTnwzOG2_Wg"",""Direct Link!A2:A""),0)),XLOOKUP($B743,IMPORTRANGE(""1NK5L1mviMn0j3D"&amp;"3uo53ASkIZOFRlLnqaCTnwzOG2_Wg"",""Direct links Without Sizes!A2:A""),IMPORTRANGE(""1NK5L1mviMn0j3D3uo53ASkIZOFRlLnqaCTnwzOG2_Wg"",""Direct links Without Sizes!B2:B""))),XLOOKUP($B743,IMPORTRANGE(""1NK5L1mviMn0j3D3uo53ASkIZOFRlLnqaCTnwzOG2_Wg"",""Direct li"&amp;"nks Without Sizes!D2:D""),IMPORTRANGE(""1NK5L1mviMn0j3D3uo53ASkIZOFRlLnqaCTnwzOG2_Wg"",""Direct links Without Sizes!E2:E""))),"""")"),"")</f>
        <v/>
      </c>
      <c r="H743" s="41"/>
      <c r="I743" s="4"/>
      <c r="J743" s="4"/>
      <c r="K743" s="10" t="str">
        <f t="shared" si="1"/>
        <v/>
      </c>
      <c r="L743" s="10"/>
      <c r="M743" s="10" t="str">
        <f t="shared" si="2"/>
        <v/>
      </c>
    </row>
    <row r="744">
      <c r="A744" s="4"/>
      <c r="B744" s="15"/>
      <c r="C744" s="7" t="str">
        <f>IFERROR(__xludf.DUMMYFUNCTION("iferror(iferror(INDEX(IMPORTRANGE(""12vtnxaE_Q1s4tyr10kZQx7ZF_xG0lBFae4jQEUtgsMU"",""All!B2:B""),MATCH($B744,IMPORTRANGE(""12vtnxaE_Q1s4tyr10kZQx7ZF_xG0lBFae4jQEUtgsMU"",""All!A2:A""),0)),INDEX(IMPORTRANGE(""13KC70HngS4DDi8y9E5khtSpQEPG6owaQ9z4E-tR5mnY"","&amp;"""Non-Food!B2:B""),MATCH($B744,IMPORTRANGE(""13KC70HngS4DDi8y9E5khtSpQEPG6owaQ9z4E-tR5mnY"",""Non-Food!A2:A""),0))),"""")"),"")</f>
        <v/>
      </c>
      <c r="D744" s="15"/>
      <c r="E744" s="15"/>
      <c r="F744" s="36"/>
      <c r="G744" s="24" t="str">
        <f>IFERROR(__xludf.DUMMYFUNCTION("iferror(iferror(iferror(index(IMPORTRANGE(""1NK5L1mviMn0j3D3uo53ASkIZOFRlLnqaCTnwzOG2_Wg"",""Direct Link!B2:B""),MATCH($B744,IMPORTRANGE(""1NK5L1mviMn0j3D3uo53ASkIZOFRlLnqaCTnwzOG2_Wg"",""Direct Link!A2:A""),0)),XLOOKUP($B744,IMPORTRANGE(""1NK5L1mviMn0j3D"&amp;"3uo53ASkIZOFRlLnqaCTnwzOG2_Wg"",""Direct links Without Sizes!A2:A""),IMPORTRANGE(""1NK5L1mviMn0j3D3uo53ASkIZOFRlLnqaCTnwzOG2_Wg"",""Direct links Without Sizes!B2:B""))),XLOOKUP($B744,IMPORTRANGE(""1NK5L1mviMn0j3D3uo53ASkIZOFRlLnqaCTnwzOG2_Wg"",""Direct li"&amp;"nks Without Sizes!D2:D""),IMPORTRANGE(""1NK5L1mviMn0j3D3uo53ASkIZOFRlLnqaCTnwzOG2_Wg"",""Direct links Without Sizes!E2:E""))),"""")"),"")</f>
        <v/>
      </c>
      <c r="H744" s="41"/>
      <c r="I744" s="4"/>
      <c r="J744" s="4"/>
      <c r="K744" s="10" t="str">
        <f t="shared" si="1"/>
        <v/>
      </c>
      <c r="L744" s="10"/>
      <c r="M744" s="10" t="str">
        <f t="shared" si="2"/>
        <v/>
      </c>
    </row>
    <row r="745">
      <c r="A745" s="4"/>
      <c r="B745" s="15"/>
      <c r="C745" s="7" t="str">
        <f>IFERROR(__xludf.DUMMYFUNCTION("iferror(iferror(INDEX(IMPORTRANGE(""12vtnxaE_Q1s4tyr10kZQx7ZF_xG0lBFae4jQEUtgsMU"",""All!B2:B""),MATCH($B745,IMPORTRANGE(""12vtnxaE_Q1s4tyr10kZQx7ZF_xG0lBFae4jQEUtgsMU"",""All!A2:A""),0)),INDEX(IMPORTRANGE(""13KC70HngS4DDi8y9E5khtSpQEPG6owaQ9z4E-tR5mnY"","&amp;"""Non-Food!B2:B""),MATCH($B745,IMPORTRANGE(""13KC70HngS4DDi8y9E5khtSpQEPG6owaQ9z4E-tR5mnY"",""Non-Food!A2:A""),0))),"""")"),"")</f>
        <v/>
      </c>
      <c r="D745" s="15"/>
      <c r="E745" s="15"/>
      <c r="F745" s="36"/>
      <c r="G745" s="24" t="str">
        <f>IFERROR(__xludf.DUMMYFUNCTION("iferror(iferror(iferror(index(IMPORTRANGE(""1NK5L1mviMn0j3D3uo53ASkIZOFRlLnqaCTnwzOG2_Wg"",""Direct Link!B2:B""),MATCH($B745,IMPORTRANGE(""1NK5L1mviMn0j3D3uo53ASkIZOFRlLnqaCTnwzOG2_Wg"",""Direct Link!A2:A""),0)),XLOOKUP($B745,IMPORTRANGE(""1NK5L1mviMn0j3D"&amp;"3uo53ASkIZOFRlLnqaCTnwzOG2_Wg"",""Direct links Without Sizes!A2:A""),IMPORTRANGE(""1NK5L1mviMn0j3D3uo53ASkIZOFRlLnqaCTnwzOG2_Wg"",""Direct links Without Sizes!B2:B""))),XLOOKUP($B745,IMPORTRANGE(""1NK5L1mviMn0j3D3uo53ASkIZOFRlLnqaCTnwzOG2_Wg"",""Direct li"&amp;"nks Without Sizes!D2:D""),IMPORTRANGE(""1NK5L1mviMn0j3D3uo53ASkIZOFRlLnqaCTnwzOG2_Wg"",""Direct links Without Sizes!E2:E""))),"""")"),"")</f>
        <v/>
      </c>
      <c r="H745" s="41"/>
      <c r="I745" s="4"/>
      <c r="J745" s="4"/>
      <c r="K745" s="10" t="str">
        <f t="shared" si="1"/>
        <v/>
      </c>
      <c r="L745" s="10"/>
      <c r="M745" s="10" t="str">
        <f t="shared" si="2"/>
        <v/>
      </c>
    </row>
    <row r="746">
      <c r="A746" s="4"/>
      <c r="B746" s="15"/>
      <c r="C746" s="7" t="str">
        <f>IFERROR(__xludf.DUMMYFUNCTION("iferror(iferror(INDEX(IMPORTRANGE(""12vtnxaE_Q1s4tyr10kZQx7ZF_xG0lBFae4jQEUtgsMU"",""All!B2:B""),MATCH($B746,IMPORTRANGE(""12vtnxaE_Q1s4tyr10kZQx7ZF_xG0lBFae4jQEUtgsMU"",""All!A2:A""),0)),INDEX(IMPORTRANGE(""13KC70HngS4DDi8y9E5khtSpQEPG6owaQ9z4E-tR5mnY"","&amp;"""Non-Food!B2:B""),MATCH($B746,IMPORTRANGE(""13KC70HngS4DDi8y9E5khtSpQEPG6owaQ9z4E-tR5mnY"",""Non-Food!A2:A""),0))),"""")"),"")</f>
        <v/>
      </c>
      <c r="D746" s="15"/>
      <c r="E746" s="15"/>
      <c r="F746" s="36"/>
      <c r="G746" s="24" t="str">
        <f>IFERROR(__xludf.DUMMYFUNCTION("iferror(iferror(iferror(index(IMPORTRANGE(""1NK5L1mviMn0j3D3uo53ASkIZOFRlLnqaCTnwzOG2_Wg"",""Direct Link!B2:B""),MATCH($B746,IMPORTRANGE(""1NK5L1mviMn0j3D3uo53ASkIZOFRlLnqaCTnwzOG2_Wg"",""Direct Link!A2:A""),0)),XLOOKUP($B746,IMPORTRANGE(""1NK5L1mviMn0j3D"&amp;"3uo53ASkIZOFRlLnqaCTnwzOG2_Wg"",""Direct links Without Sizes!A2:A""),IMPORTRANGE(""1NK5L1mviMn0j3D3uo53ASkIZOFRlLnqaCTnwzOG2_Wg"",""Direct links Without Sizes!B2:B""))),XLOOKUP($B746,IMPORTRANGE(""1NK5L1mviMn0j3D3uo53ASkIZOFRlLnqaCTnwzOG2_Wg"",""Direct li"&amp;"nks Without Sizes!D2:D""),IMPORTRANGE(""1NK5L1mviMn0j3D3uo53ASkIZOFRlLnqaCTnwzOG2_Wg"",""Direct links Without Sizes!E2:E""))),"""")"),"")</f>
        <v/>
      </c>
      <c r="H746" s="41"/>
      <c r="I746" s="4"/>
      <c r="J746" s="4"/>
      <c r="K746" s="10" t="str">
        <f t="shared" si="1"/>
        <v/>
      </c>
      <c r="L746" s="10"/>
      <c r="M746" s="10" t="str">
        <f t="shared" si="2"/>
        <v/>
      </c>
    </row>
    <row r="747">
      <c r="A747" s="4"/>
      <c r="B747" s="15"/>
      <c r="C747" s="7" t="str">
        <f>IFERROR(__xludf.DUMMYFUNCTION("iferror(iferror(INDEX(IMPORTRANGE(""12vtnxaE_Q1s4tyr10kZQx7ZF_xG0lBFae4jQEUtgsMU"",""All!B2:B""),MATCH($B747,IMPORTRANGE(""12vtnxaE_Q1s4tyr10kZQx7ZF_xG0lBFae4jQEUtgsMU"",""All!A2:A""),0)),INDEX(IMPORTRANGE(""13KC70HngS4DDi8y9E5khtSpQEPG6owaQ9z4E-tR5mnY"","&amp;"""Non-Food!B2:B""),MATCH($B747,IMPORTRANGE(""13KC70HngS4DDi8y9E5khtSpQEPG6owaQ9z4E-tR5mnY"",""Non-Food!A2:A""),0))),"""")"),"")</f>
        <v/>
      </c>
      <c r="D747" s="15"/>
      <c r="E747" s="15"/>
      <c r="F747" s="36"/>
      <c r="G747" s="24" t="str">
        <f>IFERROR(__xludf.DUMMYFUNCTION("iferror(iferror(iferror(index(IMPORTRANGE(""1NK5L1mviMn0j3D3uo53ASkIZOFRlLnqaCTnwzOG2_Wg"",""Direct Link!B2:B""),MATCH($B747,IMPORTRANGE(""1NK5L1mviMn0j3D3uo53ASkIZOFRlLnqaCTnwzOG2_Wg"",""Direct Link!A2:A""),0)),XLOOKUP($B747,IMPORTRANGE(""1NK5L1mviMn0j3D"&amp;"3uo53ASkIZOFRlLnqaCTnwzOG2_Wg"",""Direct links Without Sizes!A2:A""),IMPORTRANGE(""1NK5L1mviMn0j3D3uo53ASkIZOFRlLnqaCTnwzOG2_Wg"",""Direct links Without Sizes!B2:B""))),XLOOKUP($B747,IMPORTRANGE(""1NK5L1mviMn0j3D3uo53ASkIZOFRlLnqaCTnwzOG2_Wg"",""Direct li"&amp;"nks Without Sizes!D2:D""),IMPORTRANGE(""1NK5L1mviMn0j3D3uo53ASkIZOFRlLnqaCTnwzOG2_Wg"",""Direct links Without Sizes!E2:E""))),"""")"),"")</f>
        <v/>
      </c>
      <c r="H747" s="41"/>
      <c r="I747" s="4"/>
      <c r="J747" s="4"/>
      <c r="K747" s="10" t="str">
        <f t="shared" si="1"/>
        <v/>
      </c>
      <c r="L747" s="10"/>
      <c r="M747" s="10" t="str">
        <f t="shared" si="2"/>
        <v/>
      </c>
    </row>
    <row r="748">
      <c r="A748" s="4"/>
      <c r="B748" s="15"/>
      <c r="C748" s="7" t="str">
        <f>IFERROR(__xludf.DUMMYFUNCTION("iferror(iferror(INDEX(IMPORTRANGE(""12vtnxaE_Q1s4tyr10kZQx7ZF_xG0lBFae4jQEUtgsMU"",""All!B2:B""),MATCH($B748,IMPORTRANGE(""12vtnxaE_Q1s4tyr10kZQx7ZF_xG0lBFae4jQEUtgsMU"",""All!A2:A""),0)),INDEX(IMPORTRANGE(""13KC70HngS4DDi8y9E5khtSpQEPG6owaQ9z4E-tR5mnY"","&amp;"""Non-Food!B2:B""),MATCH($B748,IMPORTRANGE(""13KC70HngS4DDi8y9E5khtSpQEPG6owaQ9z4E-tR5mnY"",""Non-Food!A2:A""),0))),"""")"),"")</f>
        <v/>
      </c>
      <c r="D748" s="15"/>
      <c r="E748" s="15"/>
      <c r="F748" s="36"/>
      <c r="G748" s="24" t="str">
        <f>IFERROR(__xludf.DUMMYFUNCTION("iferror(iferror(iferror(index(IMPORTRANGE(""1NK5L1mviMn0j3D3uo53ASkIZOFRlLnqaCTnwzOG2_Wg"",""Direct Link!B2:B""),MATCH($B748,IMPORTRANGE(""1NK5L1mviMn0j3D3uo53ASkIZOFRlLnqaCTnwzOG2_Wg"",""Direct Link!A2:A""),0)),XLOOKUP($B748,IMPORTRANGE(""1NK5L1mviMn0j3D"&amp;"3uo53ASkIZOFRlLnqaCTnwzOG2_Wg"",""Direct links Without Sizes!A2:A""),IMPORTRANGE(""1NK5L1mviMn0j3D3uo53ASkIZOFRlLnqaCTnwzOG2_Wg"",""Direct links Without Sizes!B2:B""))),XLOOKUP($B748,IMPORTRANGE(""1NK5L1mviMn0j3D3uo53ASkIZOFRlLnqaCTnwzOG2_Wg"",""Direct li"&amp;"nks Without Sizes!D2:D""),IMPORTRANGE(""1NK5L1mviMn0j3D3uo53ASkIZOFRlLnqaCTnwzOG2_Wg"",""Direct links Without Sizes!E2:E""))),"""")"),"")</f>
        <v/>
      </c>
      <c r="H748" s="41"/>
      <c r="I748" s="4"/>
      <c r="J748" s="4"/>
      <c r="K748" s="10" t="str">
        <f t="shared" si="1"/>
        <v/>
      </c>
      <c r="L748" s="10"/>
      <c r="M748" s="10" t="str">
        <f t="shared" si="2"/>
        <v/>
      </c>
    </row>
    <row r="749">
      <c r="A749" s="4"/>
      <c r="B749" s="15"/>
      <c r="C749" s="7" t="str">
        <f>IFERROR(__xludf.DUMMYFUNCTION("iferror(iferror(INDEX(IMPORTRANGE(""12vtnxaE_Q1s4tyr10kZQx7ZF_xG0lBFae4jQEUtgsMU"",""All!B2:B""),MATCH($B749,IMPORTRANGE(""12vtnxaE_Q1s4tyr10kZQx7ZF_xG0lBFae4jQEUtgsMU"",""All!A2:A""),0)),INDEX(IMPORTRANGE(""13KC70HngS4DDi8y9E5khtSpQEPG6owaQ9z4E-tR5mnY"","&amp;"""Non-Food!B2:B""),MATCH($B749,IMPORTRANGE(""13KC70HngS4DDi8y9E5khtSpQEPG6owaQ9z4E-tR5mnY"",""Non-Food!A2:A""),0))),"""")"),"")</f>
        <v/>
      </c>
      <c r="D749" s="15"/>
      <c r="E749" s="15"/>
      <c r="F749" s="36"/>
      <c r="G749" s="24" t="str">
        <f>IFERROR(__xludf.DUMMYFUNCTION("iferror(iferror(iferror(index(IMPORTRANGE(""1NK5L1mviMn0j3D3uo53ASkIZOFRlLnqaCTnwzOG2_Wg"",""Direct Link!B2:B""),MATCH($B749,IMPORTRANGE(""1NK5L1mviMn0j3D3uo53ASkIZOFRlLnqaCTnwzOG2_Wg"",""Direct Link!A2:A""),0)),XLOOKUP($B749,IMPORTRANGE(""1NK5L1mviMn0j3D"&amp;"3uo53ASkIZOFRlLnqaCTnwzOG2_Wg"",""Direct links Without Sizes!A2:A""),IMPORTRANGE(""1NK5L1mviMn0j3D3uo53ASkIZOFRlLnqaCTnwzOG2_Wg"",""Direct links Without Sizes!B2:B""))),XLOOKUP($B749,IMPORTRANGE(""1NK5L1mviMn0j3D3uo53ASkIZOFRlLnqaCTnwzOG2_Wg"",""Direct li"&amp;"nks Without Sizes!D2:D""),IMPORTRANGE(""1NK5L1mviMn0j3D3uo53ASkIZOFRlLnqaCTnwzOG2_Wg"",""Direct links Without Sizes!E2:E""))),"""")"),"")</f>
        <v/>
      </c>
      <c r="H749" s="41"/>
      <c r="I749" s="4"/>
      <c r="J749" s="4"/>
      <c r="K749" s="10" t="str">
        <f t="shared" si="1"/>
        <v/>
      </c>
      <c r="L749" s="10"/>
      <c r="M749" s="10" t="str">
        <f t="shared" si="2"/>
        <v/>
      </c>
    </row>
    <row r="750">
      <c r="A750" s="4"/>
      <c r="B750" s="15"/>
      <c r="C750" s="7" t="str">
        <f>IFERROR(__xludf.DUMMYFUNCTION("iferror(iferror(INDEX(IMPORTRANGE(""12vtnxaE_Q1s4tyr10kZQx7ZF_xG0lBFae4jQEUtgsMU"",""All!B2:B""),MATCH($B750,IMPORTRANGE(""12vtnxaE_Q1s4tyr10kZQx7ZF_xG0lBFae4jQEUtgsMU"",""All!A2:A""),0)),INDEX(IMPORTRANGE(""13KC70HngS4DDi8y9E5khtSpQEPG6owaQ9z4E-tR5mnY"","&amp;"""Non-Food!B2:B""),MATCH($B750,IMPORTRANGE(""13KC70HngS4DDi8y9E5khtSpQEPG6owaQ9z4E-tR5mnY"",""Non-Food!A2:A""),0))),"""")"),"")</f>
        <v/>
      </c>
      <c r="D750" s="15"/>
      <c r="E750" s="15"/>
      <c r="F750" s="36"/>
      <c r="G750" s="24" t="str">
        <f>IFERROR(__xludf.DUMMYFUNCTION("iferror(iferror(iferror(index(IMPORTRANGE(""1NK5L1mviMn0j3D3uo53ASkIZOFRlLnqaCTnwzOG2_Wg"",""Direct Link!B2:B""),MATCH($B750,IMPORTRANGE(""1NK5L1mviMn0j3D3uo53ASkIZOFRlLnqaCTnwzOG2_Wg"",""Direct Link!A2:A""),0)),XLOOKUP($B750,IMPORTRANGE(""1NK5L1mviMn0j3D"&amp;"3uo53ASkIZOFRlLnqaCTnwzOG2_Wg"",""Direct links Without Sizes!A2:A""),IMPORTRANGE(""1NK5L1mviMn0j3D3uo53ASkIZOFRlLnqaCTnwzOG2_Wg"",""Direct links Without Sizes!B2:B""))),XLOOKUP($B750,IMPORTRANGE(""1NK5L1mviMn0j3D3uo53ASkIZOFRlLnqaCTnwzOG2_Wg"",""Direct li"&amp;"nks Without Sizes!D2:D""),IMPORTRANGE(""1NK5L1mviMn0j3D3uo53ASkIZOFRlLnqaCTnwzOG2_Wg"",""Direct links Without Sizes!E2:E""))),"""")"),"")</f>
        <v/>
      </c>
      <c r="H750" s="41"/>
      <c r="I750" s="4"/>
      <c r="J750" s="4"/>
      <c r="K750" s="10" t="str">
        <f t="shared" si="1"/>
        <v/>
      </c>
      <c r="L750" s="10"/>
      <c r="M750" s="10" t="str">
        <f t="shared" si="2"/>
        <v/>
      </c>
    </row>
    <row r="751">
      <c r="A751" s="4"/>
      <c r="B751" s="15"/>
      <c r="C751" s="7" t="str">
        <f>IFERROR(__xludf.DUMMYFUNCTION("iferror(iferror(INDEX(IMPORTRANGE(""12vtnxaE_Q1s4tyr10kZQx7ZF_xG0lBFae4jQEUtgsMU"",""All!B2:B""),MATCH($B751,IMPORTRANGE(""12vtnxaE_Q1s4tyr10kZQx7ZF_xG0lBFae4jQEUtgsMU"",""All!A2:A""),0)),INDEX(IMPORTRANGE(""13KC70HngS4DDi8y9E5khtSpQEPG6owaQ9z4E-tR5mnY"","&amp;"""Non-Food!B2:B""),MATCH($B751,IMPORTRANGE(""13KC70HngS4DDi8y9E5khtSpQEPG6owaQ9z4E-tR5mnY"",""Non-Food!A2:A""),0))),"""")"),"")</f>
        <v/>
      </c>
      <c r="D751" s="15"/>
      <c r="E751" s="15"/>
      <c r="F751" s="36"/>
      <c r="G751" s="24" t="str">
        <f>IFERROR(__xludf.DUMMYFUNCTION("iferror(iferror(iferror(index(IMPORTRANGE(""1NK5L1mviMn0j3D3uo53ASkIZOFRlLnqaCTnwzOG2_Wg"",""Direct Link!B2:B""),MATCH($B751,IMPORTRANGE(""1NK5L1mviMn0j3D3uo53ASkIZOFRlLnqaCTnwzOG2_Wg"",""Direct Link!A2:A""),0)),XLOOKUP($B751,IMPORTRANGE(""1NK5L1mviMn0j3D"&amp;"3uo53ASkIZOFRlLnqaCTnwzOG2_Wg"",""Direct links Without Sizes!A2:A""),IMPORTRANGE(""1NK5L1mviMn0j3D3uo53ASkIZOFRlLnqaCTnwzOG2_Wg"",""Direct links Without Sizes!B2:B""))),XLOOKUP($B751,IMPORTRANGE(""1NK5L1mviMn0j3D3uo53ASkIZOFRlLnqaCTnwzOG2_Wg"",""Direct li"&amp;"nks Without Sizes!D2:D""),IMPORTRANGE(""1NK5L1mviMn0j3D3uo53ASkIZOFRlLnqaCTnwzOG2_Wg"",""Direct links Without Sizes!E2:E""))),"""")"),"")</f>
        <v/>
      </c>
      <c r="H751" s="41"/>
      <c r="I751" s="4"/>
      <c r="J751" s="4"/>
      <c r="K751" s="10" t="str">
        <f t="shared" si="1"/>
        <v/>
      </c>
      <c r="L751" s="10"/>
      <c r="M751" s="10" t="str">
        <f t="shared" si="2"/>
        <v/>
      </c>
    </row>
    <row r="752">
      <c r="A752" s="4"/>
      <c r="B752" s="15"/>
      <c r="C752" s="7" t="str">
        <f>IFERROR(__xludf.DUMMYFUNCTION("iferror(iferror(INDEX(IMPORTRANGE(""12vtnxaE_Q1s4tyr10kZQx7ZF_xG0lBFae4jQEUtgsMU"",""All!B2:B""),MATCH($B752,IMPORTRANGE(""12vtnxaE_Q1s4tyr10kZQx7ZF_xG0lBFae4jQEUtgsMU"",""All!A2:A""),0)),INDEX(IMPORTRANGE(""13KC70HngS4DDi8y9E5khtSpQEPG6owaQ9z4E-tR5mnY"","&amp;"""Non-Food!B2:B""),MATCH($B752,IMPORTRANGE(""13KC70HngS4DDi8y9E5khtSpQEPG6owaQ9z4E-tR5mnY"",""Non-Food!A2:A""),0))),"""")"),"")</f>
        <v/>
      </c>
      <c r="D752" s="15"/>
      <c r="E752" s="15"/>
      <c r="F752" s="36"/>
      <c r="G752" s="24" t="str">
        <f>IFERROR(__xludf.DUMMYFUNCTION("iferror(iferror(iferror(index(IMPORTRANGE(""1NK5L1mviMn0j3D3uo53ASkIZOFRlLnqaCTnwzOG2_Wg"",""Direct Link!B2:B""),MATCH($B752,IMPORTRANGE(""1NK5L1mviMn0j3D3uo53ASkIZOFRlLnqaCTnwzOG2_Wg"",""Direct Link!A2:A""),0)),XLOOKUP($B752,IMPORTRANGE(""1NK5L1mviMn0j3D"&amp;"3uo53ASkIZOFRlLnqaCTnwzOG2_Wg"",""Direct links Without Sizes!A2:A""),IMPORTRANGE(""1NK5L1mviMn0j3D3uo53ASkIZOFRlLnqaCTnwzOG2_Wg"",""Direct links Without Sizes!B2:B""))),XLOOKUP($B752,IMPORTRANGE(""1NK5L1mviMn0j3D3uo53ASkIZOFRlLnqaCTnwzOG2_Wg"",""Direct li"&amp;"nks Without Sizes!D2:D""),IMPORTRANGE(""1NK5L1mviMn0j3D3uo53ASkIZOFRlLnqaCTnwzOG2_Wg"",""Direct links Without Sizes!E2:E""))),"""")"),"")</f>
        <v/>
      </c>
      <c r="H752" s="41"/>
      <c r="I752" s="4"/>
      <c r="J752" s="4"/>
      <c r="K752" s="10" t="str">
        <f t="shared" si="1"/>
        <v/>
      </c>
      <c r="L752" s="10"/>
      <c r="M752" s="10" t="str">
        <f t="shared" si="2"/>
        <v/>
      </c>
    </row>
    <row r="753">
      <c r="A753" s="4"/>
      <c r="B753" s="15"/>
      <c r="C753" s="7" t="str">
        <f>IFERROR(__xludf.DUMMYFUNCTION("iferror(iferror(INDEX(IMPORTRANGE(""12vtnxaE_Q1s4tyr10kZQx7ZF_xG0lBFae4jQEUtgsMU"",""All!B2:B""),MATCH($B753,IMPORTRANGE(""12vtnxaE_Q1s4tyr10kZQx7ZF_xG0lBFae4jQEUtgsMU"",""All!A2:A""),0)),INDEX(IMPORTRANGE(""13KC70HngS4DDi8y9E5khtSpQEPG6owaQ9z4E-tR5mnY"","&amp;"""Non-Food!B2:B""),MATCH($B753,IMPORTRANGE(""13KC70HngS4DDi8y9E5khtSpQEPG6owaQ9z4E-tR5mnY"",""Non-Food!A2:A""),0))),"""")"),"")</f>
        <v/>
      </c>
      <c r="D753" s="15"/>
      <c r="E753" s="15"/>
      <c r="F753" s="36"/>
      <c r="G753" s="24" t="str">
        <f>IFERROR(__xludf.DUMMYFUNCTION("iferror(iferror(iferror(index(IMPORTRANGE(""1NK5L1mviMn0j3D3uo53ASkIZOFRlLnqaCTnwzOG2_Wg"",""Direct Link!B2:B""),MATCH($B753,IMPORTRANGE(""1NK5L1mviMn0j3D3uo53ASkIZOFRlLnqaCTnwzOG2_Wg"",""Direct Link!A2:A""),0)),XLOOKUP($B753,IMPORTRANGE(""1NK5L1mviMn0j3D"&amp;"3uo53ASkIZOFRlLnqaCTnwzOG2_Wg"",""Direct links Without Sizes!A2:A""),IMPORTRANGE(""1NK5L1mviMn0j3D3uo53ASkIZOFRlLnqaCTnwzOG2_Wg"",""Direct links Without Sizes!B2:B""))),XLOOKUP($B753,IMPORTRANGE(""1NK5L1mviMn0j3D3uo53ASkIZOFRlLnqaCTnwzOG2_Wg"",""Direct li"&amp;"nks Without Sizes!D2:D""),IMPORTRANGE(""1NK5L1mviMn0j3D3uo53ASkIZOFRlLnqaCTnwzOG2_Wg"",""Direct links Without Sizes!E2:E""))),"""")"),"")</f>
        <v/>
      </c>
      <c r="H753" s="41"/>
      <c r="I753" s="4"/>
      <c r="J753" s="4"/>
      <c r="K753" s="10" t="str">
        <f t="shared" si="1"/>
        <v/>
      </c>
      <c r="L753" s="10"/>
      <c r="M753" s="10" t="str">
        <f t="shared" si="2"/>
        <v/>
      </c>
    </row>
    <row r="754">
      <c r="A754" s="4"/>
      <c r="B754" s="15"/>
      <c r="C754" s="7" t="str">
        <f>IFERROR(__xludf.DUMMYFUNCTION("iferror(iferror(INDEX(IMPORTRANGE(""12vtnxaE_Q1s4tyr10kZQx7ZF_xG0lBFae4jQEUtgsMU"",""All!B2:B""),MATCH($B754,IMPORTRANGE(""12vtnxaE_Q1s4tyr10kZQx7ZF_xG0lBFae4jQEUtgsMU"",""All!A2:A""),0)),INDEX(IMPORTRANGE(""13KC70HngS4DDi8y9E5khtSpQEPG6owaQ9z4E-tR5mnY"","&amp;"""Non-Food!B2:B""),MATCH($B754,IMPORTRANGE(""13KC70HngS4DDi8y9E5khtSpQEPG6owaQ9z4E-tR5mnY"",""Non-Food!A2:A""),0))),"""")"),"")</f>
        <v/>
      </c>
      <c r="D754" s="15"/>
      <c r="E754" s="15"/>
      <c r="F754" s="36"/>
      <c r="G754" s="24" t="str">
        <f>IFERROR(__xludf.DUMMYFUNCTION("iferror(iferror(iferror(index(IMPORTRANGE(""1NK5L1mviMn0j3D3uo53ASkIZOFRlLnqaCTnwzOG2_Wg"",""Direct Link!B2:B""),MATCH($B754,IMPORTRANGE(""1NK5L1mviMn0j3D3uo53ASkIZOFRlLnqaCTnwzOG2_Wg"",""Direct Link!A2:A""),0)),XLOOKUP($B754,IMPORTRANGE(""1NK5L1mviMn0j3D"&amp;"3uo53ASkIZOFRlLnqaCTnwzOG2_Wg"",""Direct links Without Sizes!A2:A""),IMPORTRANGE(""1NK5L1mviMn0j3D3uo53ASkIZOFRlLnqaCTnwzOG2_Wg"",""Direct links Without Sizes!B2:B""))),XLOOKUP($B754,IMPORTRANGE(""1NK5L1mviMn0j3D3uo53ASkIZOFRlLnqaCTnwzOG2_Wg"",""Direct li"&amp;"nks Without Sizes!D2:D""),IMPORTRANGE(""1NK5L1mviMn0j3D3uo53ASkIZOFRlLnqaCTnwzOG2_Wg"",""Direct links Without Sizes!E2:E""))),"""")"),"")</f>
        <v/>
      </c>
      <c r="H754" s="41"/>
      <c r="I754" s="4"/>
      <c r="J754" s="4"/>
      <c r="K754" s="10" t="str">
        <f t="shared" si="1"/>
        <v/>
      </c>
      <c r="L754" s="10"/>
      <c r="M754" s="10" t="str">
        <f t="shared" si="2"/>
        <v/>
      </c>
    </row>
    <row r="755">
      <c r="A755" s="4"/>
      <c r="B755" s="15"/>
      <c r="C755" s="7" t="str">
        <f>IFERROR(__xludf.DUMMYFUNCTION("iferror(iferror(INDEX(IMPORTRANGE(""12vtnxaE_Q1s4tyr10kZQx7ZF_xG0lBFae4jQEUtgsMU"",""All!B2:B""),MATCH($B755,IMPORTRANGE(""12vtnxaE_Q1s4tyr10kZQx7ZF_xG0lBFae4jQEUtgsMU"",""All!A2:A""),0)),INDEX(IMPORTRANGE(""13KC70HngS4DDi8y9E5khtSpQEPG6owaQ9z4E-tR5mnY"","&amp;"""Non-Food!B2:B""),MATCH($B755,IMPORTRANGE(""13KC70HngS4DDi8y9E5khtSpQEPG6owaQ9z4E-tR5mnY"",""Non-Food!A2:A""),0))),"""")"),"")</f>
        <v/>
      </c>
      <c r="D755" s="15"/>
      <c r="E755" s="15"/>
      <c r="F755" s="36"/>
      <c r="G755" s="24" t="str">
        <f>IFERROR(__xludf.DUMMYFUNCTION("iferror(iferror(iferror(index(IMPORTRANGE(""1NK5L1mviMn0j3D3uo53ASkIZOFRlLnqaCTnwzOG2_Wg"",""Direct Link!B2:B""),MATCH($B755,IMPORTRANGE(""1NK5L1mviMn0j3D3uo53ASkIZOFRlLnqaCTnwzOG2_Wg"",""Direct Link!A2:A""),0)),XLOOKUP($B755,IMPORTRANGE(""1NK5L1mviMn0j3D"&amp;"3uo53ASkIZOFRlLnqaCTnwzOG2_Wg"",""Direct links Without Sizes!A2:A""),IMPORTRANGE(""1NK5L1mviMn0j3D3uo53ASkIZOFRlLnqaCTnwzOG2_Wg"",""Direct links Without Sizes!B2:B""))),XLOOKUP($B755,IMPORTRANGE(""1NK5L1mviMn0j3D3uo53ASkIZOFRlLnqaCTnwzOG2_Wg"",""Direct li"&amp;"nks Without Sizes!D2:D""),IMPORTRANGE(""1NK5L1mviMn0j3D3uo53ASkIZOFRlLnqaCTnwzOG2_Wg"",""Direct links Without Sizes!E2:E""))),"""")"),"")</f>
        <v/>
      </c>
      <c r="H755" s="41"/>
      <c r="I755" s="4"/>
      <c r="J755" s="4"/>
      <c r="K755" s="10" t="str">
        <f t="shared" si="1"/>
        <v/>
      </c>
      <c r="L755" s="10"/>
      <c r="M755" s="10" t="str">
        <f t="shared" si="2"/>
        <v/>
      </c>
    </row>
    <row r="756">
      <c r="A756" s="4"/>
      <c r="B756" s="15"/>
      <c r="C756" s="7" t="str">
        <f>IFERROR(__xludf.DUMMYFUNCTION("iferror(iferror(INDEX(IMPORTRANGE(""12vtnxaE_Q1s4tyr10kZQx7ZF_xG0lBFae4jQEUtgsMU"",""All!B2:B""),MATCH($B756,IMPORTRANGE(""12vtnxaE_Q1s4tyr10kZQx7ZF_xG0lBFae4jQEUtgsMU"",""All!A2:A""),0)),INDEX(IMPORTRANGE(""13KC70HngS4DDi8y9E5khtSpQEPG6owaQ9z4E-tR5mnY"","&amp;"""Non-Food!B2:B""),MATCH($B756,IMPORTRANGE(""13KC70HngS4DDi8y9E5khtSpQEPG6owaQ9z4E-tR5mnY"",""Non-Food!A2:A""),0))),"""")"),"")</f>
        <v/>
      </c>
      <c r="D756" s="15"/>
      <c r="E756" s="15"/>
      <c r="F756" s="36"/>
      <c r="G756" s="24" t="str">
        <f>IFERROR(__xludf.DUMMYFUNCTION("iferror(iferror(iferror(index(IMPORTRANGE(""1NK5L1mviMn0j3D3uo53ASkIZOFRlLnqaCTnwzOG2_Wg"",""Direct Link!B2:B""),MATCH($B756,IMPORTRANGE(""1NK5L1mviMn0j3D3uo53ASkIZOFRlLnqaCTnwzOG2_Wg"",""Direct Link!A2:A""),0)),XLOOKUP($B756,IMPORTRANGE(""1NK5L1mviMn0j3D"&amp;"3uo53ASkIZOFRlLnqaCTnwzOG2_Wg"",""Direct links Without Sizes!A2:A""),IMPORTRANGE(""1NK5L1mviMn0j3D3uo53ASkIZOFRlLnqaCTnwzOG2_Wg"",""Direct links Without Sizes!B2:B""))),XLOOKUP($B756,IMPORTRANGE(""1NK5L1mviMn0j3D3uo53ASkIZOFRlLnqaCTnwzOG2_Wg"",""Direct li"&amp;"nks Without Sizes!D2:D""),IMPORTRANGE(""1NK5L1mviMn0j3D3uo53ASkIZOFRlLnqaCTnwzOG2_Wg"",""Direct links Without Sizes!E2:E""))),"""")"),"")</f>
        <v/>
      </c>
      <c r="H756" s="41"/>
      <c r="I756" s="4"/>
      <c r="J756" s="4"/>
      <c r="K756" s="10" t="str">
        <f t="shared" si="1"/>
        <v/>
      </c>
      <c r="L756" s="10"/>
      <c r="M756" s="10" t="str">
        <f t="shared" si="2"/>
        <v/>
      </c>
    </row>
    <row r="757">
      <c r="A757" s="4"/>
      <c r="B757" s="15"/>
      <c r="C757" s="7" t="str">
        <f>IFERROR(__xludf.DUMMYFUNCTION("iferror(iferror(INDEX(IMPORTRANGE(""12vtnxaE_Q1s4tyr10kZQx7ZF_xG0lBFae4jQEUtgsMU"",""All!B2:B""),MATCH($B757,IMPORTRANGE(""12vtnxaE_Q1s4tyr10kZQx7ZF_xG0lBFae4jQEUtgsMU"",""All!A2:A""),0)),INDEX(IMPORTRANGE(""13KC70HngS4DDi8y9E5khtSpQEPG6owaQ9z4E-tR5mnY"","&amp;"""Non-Food!B2:B""),MATCH($B757,IMPORTRANGE(""13KC70HngS4DDi8y9E5khtSpQEPG6owaQ9z4E-tR5mnY"",""Non-Food!A2:A""),0))),"""")"),"")</f>
        <v/>
      </c>
      <c r="D757" s="15"/>
      <c r="E757" s="15"/>
      <c r="F757" s="36"/>
      <c r="G757" s="24" t="str">
        <f>IFERROR(__xludf.DUMMYFUNCTION("iferror(iferror(iferror(index(IMPORTRANGE(""1NK5L1mviMn0j3D3uo53ASkIZOFRlLnqaCTnwzOG2_Wg"",""Direct Link!B2:B""),MATCH($B757,IMPORTRANGE(""1NK5L1mviMn0j3D3uo53ASkIZOFRlLnqaCTnwzOG2_Wg"",""Direct Link!A2:A""),0)),XLOOKUP($B757,IMPORTRANGE(""1NK5L1mviMn0j3D"&amp;"3uo53ASkIZOFRlLnqaCTnwzOG2_Wg"",""Direct links Without Sizes!A2:A""),IMPORTRANGE(""1NK5L1mviMn0j3D3uo53ASkIZOFRlLnqaCTnwzOG2_Wg"",""Direct links Without Sizes!B2:B""))),XLOOKUP($B757,IMPORTRANGE(""1NK5L1mviMn0j3D3uo53ASkIZOFRlLnqaCTnwzOG2_Wg"",""Direct li"&amp;"nks Without Sizes!D2:D""),IMPORTRANGE(""1NK5L1mviMn0j3D3uo53ASkIZOFRlLnqaCTnwzOG2_Wg"",""Direct links Without Sizes!E2:E""))),"""")"),"")</f>
        <v/>
      </c>
      <c r="H757" s="41"/>
      <c r="I757" s="4"/>
      <c r="J757" s="4"/>
      <c r="K757" s="10" t="str">
        <f t="shared" si="1"/>
        <v/>
      </c>
      <c r="L757" s="10"/>
      <c r="M757" s="10" t="str">
        <f t="shared" si="2"/>
        <v/>
      </c>
    </row>
    <row r="758">
      <c r="A758" s="4"/>
      <c r="B758" s="15"/>
      <c r="C758" s="7" t="str">
        <f>IFERROR(__xludf.DUMMYFUNCTION("iferror(iferror(INDEX(IMPORTRANGE(""12vtnxaE_Q1s4tyr10kZQx7ZF_xG0lBFae4jQEUtgsMU"",""All!B2:B""),MATCH($B758,IMPORTRANGE(""12vtnxaE_Q1s4tyr10kZQx7ZF_xG0lBFae4jQEUtgsMU"",""All!A2:A""),0)),INDEX(IMPORTRANGE(""13KC70HngS4DDi8y9E5khtSpQEPG6owaQ9z4E-tR5mnY"","&amp;"""Non-Food!B2:B""),MATCH($B758,IMPORTRANGE(""13KC70HngS4DDi8y9E5khtSpQEPG6owaQ9z4E-tR5mnY"",""Non-Food!A2:A""),0))),"""")"),"")</f>
        <v/>
      </c>
      <c r="D758" s="15"/>
      <c r="E758" s="15"/>
      <c r="F758" s="36"/>
      <c r="G758" s="24" t="str">
        <f>IFERROR(__xludf.DUMMYFUNCTION("iferror(iferror(iferror(index(IMPORTRANGE(""1NK5L1mviMn0j3D3uo53ASkIZOFRlLnqaCTnwzOG2_Wg"",""Direct Link!B2:B""),MATCH($B758,IMPORTRANGE(""1NK5L1mviMn0j3D3uo53ASkIZOFRlLnqaCTnwzOG2_Wg"",""Direct Link!A2:A""),0)),XLOOKUP($B758,IMPORTRANGE(""1NK5L1mviMn0j3D"&amp;"3uo53ASkIZOFRlLnqaCTnwzOG2_Wg"",""Direct links Without Sizes!A2:A""),IMPORTRANGE(""1NK5L1mviMn0j3D3uo53ASkIZOFRlLnqaCTnwzOG2_Wg"",""Direct links Without Sizes!B2:B""))),XLOOKUP($B758,IMPORTRANGE(""1NK5L1mviMn0j3D3uo53ASkIZOFRlLnqaCTnwzOG2_Wg"",""Direct li"&amp;"nks Without Sizes!D2:D""),IMPORTRANGE(""1NK5L1mviMn0j3D3uo53ASkIZOFRlLnqaCTnwzOG2_Wg"",""Direct links Without Sizes!E2:E""))),"""")"),"")</f>
        <v/>
      </c>
      <c r="H758" s="41"/>
      <c r="I758" s="4"/>
      <c r="J758" s="4"/>
      <c r="K758" s="10" t="str">
        <f t="shared" si="1"/>
        <v/>
      </c>
      <c r="L758" s="10"/>
      <c r="M758" s="10" t="str">
        <f t="shared" si="2"/>
        <v/>
      </c>
    </row>
    <row r="759">
      <c r="A759" s="4"/>
      <c r="B759" s="15"/>
      <c r="C759" s="7" t="str">
        <f>IFERROR(__xludf.DUMMYFUNCTION("iferror(iferror(INDEX(IMPORTRANGE(""12vtnxaE_Q1s4tyr10kZQx7ZF_xG0lBFae4jQEUtgsMU"",""All!B2:B""),MATCH($B759,IMPORTRANGE(""12vtnxaE_Q1s4tyr10kZQx7ZF_xG0lBFae4jQEUtgsMU"",""All!A2:A""),0)),INDEX(IMPORTRANGE(""13KC70HngS4DDi8y9E5khtSpQEPG6owaQ9z4E-tR5mnY"","&amp;"""Non-Food!B2:B""),MATCH($B759,IMPORTRANGE(""13KC70HngS4DDi8y9E5khtSpQEPG6owaQ9z4E-tR5mnY"",""Non-Food!A2:A""),0))),"""")"),"")</f>
        <v/>
      </c>
      <c r="D759" s="15"/>
      <c r="E759" s="15"/>
      <c r="F759" s="36"/>
      <c r="G759" s="24" t="str">
        <f>IFERROR(__xludf.DUMMYFUNCTION("iferror(iferror(iferror(index(IMPORTRANGE(""1NK5L1mviMn0j3D3uo53ASkIZOFRlLnqaCTnwzOG2_Wg"",""Direct Link!B2:B""),MATCH($B759,IMPORTRANGE(""1NK5L1mviMn0j3D3uo53ASkIZOFRlLnqaCTnwzOG2_Wg"",""Direct Link!A2:A""),0)),XLOOKUP($B759,IMPORTRANGE(""1NK5L1mviMn0j3D"&amp;"3uo53ASkIZOFRlLnqaCTnwzOG2_Wg"",""Direct links Without Sizes!A2:A""),IMPORTRANGE(""1NK5L1mviMn0j3D3uo53ASkIZOFRlLnqaCTnwzOG2_Wg"",""Direct links Without Sizes!B2:B""))),XLOOKUP($B759,IMPORTRANGE(""1NK5L1mviMn0j3D3uo53ASkIZOFRlLnqaCTnwzOG2_Wg"",""Direct li"&amp;"nks Without Sizes!D2:D""),IMPORTRANGE(""1NK5L1mviMn0j3D3uo53ASkIZOFRlLnqaCTnwzOG2_Wg"",""Direct links Without Sizes!E2:E""))),"""")"),"")</f>
        <v/>
      </c>
      <c r="H759" s="41"/>
      <c r="I759" s="4"/>
      <c r="J759" s="4"/>
      <c r="K759" s="10" t="str">
        <f t="shared" si="1"/>
        <v/>
      </c>
      <c r="L759" s="10"/>
      <c r="M759" s="10" t="str">
        <f t="shared" si="2"/>
        <v/>
      </c>
    </row>
    <row r="760">
      <c r="A760" s="4"/>
      <c r="B760" s="15"/>
      <c r="C760" s="7" t="str">
        <f>IFERROR(__xludf.DUMMYFUNCTION("iferror(iferror(INDEX(IMPORTRANGE(""12vtnxaE_Q1s4tyr10kZQx7ZF_xG0lBFae4jQEUtgsMU"",""All!B2:B""),MATCH($B760,IMPORTRANGE(""12vtnxaE_Q1s4tyr10kZQx7ZF_xG0lBFae4jQEUtgsMU"",""All!A2:A""),0)),INDEX(IMPORTRANGE(""13KC70HngS4DDi8y9E5khtSpQEPG6owaQ9z4E-tR5mnY"","&amp;"""Non-Food!B2:B""),MATCH($B760,IMPORTRANGE(""13KC70HngS4DDi8y9E5khtSpQEPG6owaQ9z4E-tR5mnY"",""Non-Food!A2:A""),0))),"""")"),"")</f>
        <v/>
      </c>
      <c r="D760" s="15"/>
      <c r="E760" s="15"/>
      <c r="F760" s="36"/>
      <c r="G760" s="24" t="str">
        <f>IFERROR(__xludf.DUMMYFUNCTION("iferror(iferror(iferror(index(IMPORTRANGE(""1NK5L1mviMn0j3D3uo53ASkIZOFRlLnqaCTnwzOG2_Wg"",""Direct Link!B2:B""),MATCH($B760,IMPORTRANGE(""1NK5L1mviMn0j3D3uo53ASkIZOFRlLnqaCTnwzOG2_Wg"",""Direct Link!A2:A""),0)),XLOOKUP($B760,IMPORTRANGE(""1NK5L1mviMn0j3D"&amp;"3uo53ASkIZOFRlLnqaCTnwzOG2_Wg"",""Direct links Without Sizes!A2:A""),IMPORTRANGE(""1NK5L1mviMn0j3D3uo53ASkIZOFRlLnqaCTnwzOG2_Wg"",""Direct links Without Sizes!B2:B""))),XLOOKUP($B760,IMPORTRANGE(""1NK5L1mviMn0j3D3uo53ASkIZOFRlLnqaCTnwzOG2_Wg"",""Direct li"&amp;"nks Without Sizes!D2:D""),IMPORTRANGE(""1NK5L1mviMn0j3D3uo53ASkIZOFRlLnqaCTnwzOG2_Wg"",""Direct links Without Sizes!E2:E""))),"""")"),"")</f>
        <v/>
      </c>
      <c r="H760" s="41"/>
      <c r="I760" s="4"/>
      <c r="J760" s="4"/>
      <c r="K760" s="10" t="str">
        <f t="shared" si="1"/>
        <v/>
      </c>
      <c r="L760" s="10"/>
      <c r="M760" s="10" t="str">
        <f t="shared" si="2"/>
        <v/>
      </c>
    </row>
    <row r="761">
      <c r="A761" s="4"/>
      <c r="B761" s="15"/>
      <c r="C761" s="7" t="str">
        <f>IFERROR(__xludf.DUMMYFUNCTION("iferror(iferror(INDEX(IMPORTRANGE(""12vtnxaE_Q1s4tyr10kZQx7ZF_xG0lBFae4jQEUtgsMU"",""All!B2:B""),MATCH($B761,IMPORTRANGE(""12vtnxaE_Q1s4tyr10kZQx7ZF_xG0lBFae4jQEUtgsMU"",""All!A2:A""),0)),INDEX(IMPORTRANGE(""13KC70HngS4DDi8y9E5khtSpQEPG6owaQ9z4E-tR5mnY"","&amp;"""Non-Food!B2:B""),MATCH($B761,IMPORTRANGE(""13KC70HngS4DDi8y9E5khtSpQEPG6owaQ9z4E-tR5mnY"",""Non-Food!A2:A""),0))),"""")"),"")</f>
        <v/>
      </c>
      <c r="D761" s="15"/>
      <c r="E761" s="15"/>
      <c r="F761" s="36"/>
      <c r="G761" s="24" t="str">
        <f>IFERROR(__xludf.DUMMYFUNCTION("iferror(iferror(iferror(index(IMPORTRANGE(""1NK5L1mviMn0j3D3uo53ASkIZOFRlLnqaCTnwzOG2_Wg"",""Direct Link!B2:B""),MATCH($B761,IMPORTRANGE(""1NK5L1mviMn0j3D3uo53ASkIZOFRlLnqaCTnwzOG2_Wg"",""Direct Link!A2:A""),0)),XLOOKUP($B761,IMPORTRANGE(""1NK5L1mviMn0j3D"&amp;"3uo53ASkIZOFRlLnqaCTnwzOG2_Wg"",""Direct links Without Sizes!A2:A""),IMPORTRANGE(""1NK5L1mviMn0j3D3uo53ASkIZOFRlLnqaCTnwzOG2_Wg"",""Direct links Without Sizes!B2:B""))),XLOOKUP($B761,IMPORTRANGE(""1NK5L1mviMn0j3D3uo53ASkIZOFRlLnqaCTnwzOG2_Wg"",""Direct li"&amp;"nks Without Sizes!D2:D""),IMPORTRANGE(""1NK5L1mviMn0j3D3uo53ASkIZOFRlLnqaCTnwzOG2_Wg"",""Direct links Without Sizes!E2:E""))),"""")"),"")</f>
        <v/>
      </c>
      <c r="H761" s="41"/>
      <c r="I761" s="4"/>
      <c r="J761" s="4"/>
      <c r="K761" s="10" t="str">
        <f t="shared" si="1"/>
        <v/>
      </c>
      <c r="L761" s="10"/>
      <c r="M761" s="10" t="str">
        <f t="shared" si="2"/>
        <v/>
      </c>
    </row>
    <row r="762">
      <c r="A762" s="4"/>
      <c r="B762" s="15"/>
      <c r="C762" s="7" t="str">
        <f>IFERROR(__xludf.DUMMYFUNCTION("iferror(iferror(INDEX(IMPORTRANGE(""12vtnxaE_Q1s4tyr10kZQx7ZF_xG0lBFae4jQEUtgsMU"",""All!B2:B""),MATCH($B762,IMPORTRANGE(""12vtnxaE_Q1s4tyr10kZQx7ZF_xG0lBFae4jQEUtgsMU"",""All!A2:A""),0)),INDEX(IMPORTRANGE(""13KC70HngS4DDi8y9E5khtSpQEPG6owaQ9z4E-tR5mnY"","&amp;"""Non-Food!B2:B""),MATCH($B762,IMPORTRANGE(""13KC70HngS4DDi8y9E5khtSpQEPG6owaQ9z4E-tR5mnY"",""Non-Food!A2:A""),0))),"""")"),"")</f>
        <v/>
      </c>
      <c r="D762" s="15"/>
      <c r="E762" s="15"/>
      <c r="F762" s="36"/>
      <c r="G762" s="24" t="str">
        <f>IFERROR(__xludf.DUMMYFUNCTION("iferror(iferror(iferror(index(IMPORTRANGE(""1NK5L1mviMn0j3D3uo53ASkIZOFRlLnqaCTnwzOG2_Wg"",""Direct Link!B2:B""),MATCH($B762,IMPORTRANGE(""1NK5L1mviMn0j3D3uo53ASkIZOFRlLnqaCTnwzOG2_Wg"",""Direct Link!A2:A""),0)),XLOOKUP($B762,IMPORTRANGE(""1NK5L1mviMn0j3D"&amp;"3uo53ASkIZOFRlLnqaCTnwzOG2_Wg"",""Direct links Without Sizes!A2:A""),IMPORTRANGE(""1NK5L1mviMn0j3D3uo53ASkIZOFRlLnqaCTnwzOG2_Wg"",""Direct links Without Sizes!B2:B""))),XLOOKUP($B762,IMPORTRANGE(""1NK5L1mviMn0j3D3uo53ASkIZOFRlLnqaCTnwzOG2_Wg"",""Direct li"&amp;"nks Without Sizes!D2:D""),IMPORTRANGE(""1NK5L1mviMn0j3D3uo53ASkIZOFRlLnqaCTnwzOG2_Wg"",""Direct links Without Sizes!E2:E""))),"""")"),"")</f>
        <v/>
      </c>
      <c r="H762" s="41"/>
      <c r="I762" s="4"/>
      <c r="J762" s="4"/>
      <c r="K762" s="10" t="str">
        <f t="shared" si="1"/>
        <v/>
      </c>
      <c r="L762" s="10"/>
      <c r="M762" s="10" t="str">
        <f t="shared" si="2"/>
        <v/>
      </c>
    </row>
    <row r="763">
      <c r="A763" s="4"/>
      <c r="B763" s="15"/>
      <c r="C763" s="7" t="str">
        <f>IFERROR(__xludf.DUMMYFUNCTION("iferror(iferror(INDEX(IMPORTRANGE(""12vtnxaE_Q1s4tyr10kZQx7ZF_xG0lBFae4jQEUtgsMU"",""All!B2:B""),MATCH($B763,IMPORTRANGE(""12vtnxaE_Q1s4tyr10kZQx7ZF_xG0lBFae4jQEUtgsMU"",""All!A2:A""),0)),INDEX(IMPORTRANGE(""13KC70HngS4DDi8y9E5khtSpQEPG6owaQ9z4E-tR5mnY"","&amp;"""Non-Food!B2:B""),MATCH($B763,IMPORTRANGE(""13KC70HngS4DDi8y9E5khtSpQEPG6owaQ9z4E-tR5mnY"",""Non-Food!A2:A""),0))),"""")"),"")</f>
        <v/>
      </c>
      <c r="D763" s="15"/>
      <c r="E763" s="15"/>
      <c r="F763" s="36"/>
      <c r="G763" s="24" t="str">
        <f>IFERROR(__xludf.DUMMYFUNCTION("iferror(iferror(iferror(index(IMPORTRANGE(""1NK5L1mviMn0j3D3uo53ASkIZOFRlLnqaCTnwzOG2_Wg"",""Direct Link!B2:B""),MATCH($B763,IMPORTRANGE(""1NK5L1mviMn0j3D3uo53ASkIZOFRlLnqaCTnwzOG2_Wg"",""Direct Link!A2:A""),0)),XLOOKUP($B763,IMPORTRANGE(""1NK5L1mviMn0j3D"&amp;"3uo53ASkIZOFRlLnqaCTnwzOG2_Wg"",""Direct links Without Sizes!A2:A""),IMPORTRANGE(""1NK5L1mviMn0j3D3uo53ASkIZOFRlLnqaCTnwzOG2_Wg"",""Direct links Without Sizes!B2:B""))),XLOOKUP($B763,IMPORTRANGE(""1NK5L1mviMn0j3D3uo53ASkIZOFRlLnqaCTnwzOG2_Wg"",""Direct li"&amp;"nks Without Sizes!D2:D""),IMPORTRANGE(""1NK5L1mviMn0j3D3uo53ASkIZOFRlLnqaCTnwzOG2_Wg"",""Direct links Without Sizes!E2:E""))),"""")"),"")</f>
        <v/>
      </c>
      <c r="H763" s="41"/>
      <c r="I763" s="4"/>
      <c r="J763" s="4"/>
      <c r="K763" s="10" t="str">
        <f t="shared" si="1"/>
        <v/>
      </c>
      <c r="L763" s="10"/>
      <c r="M763" s="10" t="str">
        <f t="shared" si="2"/>
        <v/>
      </c>
    </row>
    <row r="764">
      <c r="A764" s="4"/>
      <c r="B764" s="15"/>
      <c r="C764" s="7" t="str">
        <f>IFERROR(__xludf.DUMMYFUNCTION("iferror(iferror(INDEX(IMPORTRANGE(""12vtnxaE_Q1s4tyr10kZQx7ZF_xG0lBFae4jQEUtgsMU"",""All!B2:B""),MATCH($B764,IMPORTRANGE(""12vtnxaE_Q1s4tyr10kZQx7ZF_xG0lBFae4jQEUtgsMU"",""All!A2:A""),0)),INDEX(IMPORTRANGE(""13KC70HngS4DDi8y9E5khtSpQEPG6owaQ9z4E-tR5mnY"","&amp;"""Non-Food!B2:B""),MATCH($B764,IMPORTRANGE(""13KC70HngS4DDi8y9E5khtSpQEPG6owaQ9z4E-tR5mnY"",""Non-Food!A2:A""),0))),"""")"),"")</f>
        <v/>
      </c>
      <c r="D764" s="15"/>
      <c r="E764" s="15"/>
      <c r="F764" s="36"/>
      <c r="G764" s="24" t="str">
        <f>IFERROR(__xludf.DUMMYFUNCTION("iferror(iferror(iferror(index(IMPORTRANGE(""1NK5L1mviMn0j3D3uo53ASkIZOFRlLnqaCTnwzOG2_Wg"",""Direct Link!B2:B""),MATCH($B764,IMPORTRANGE(""1NK5L1mviMn0j3D3uo53ASkIZOFRlLnqaCTnwzOG2_Wg"",""Direct Link!A2:A""),0)),XLOOKUP($B764,IMPORTRANGE(""1NK5L1mviMn0j3D"&amp;"3uo53ASkIZOFRlLnqaCTnwzOG2_Wg"",""Direct links Without Sizes!A2:A""),IMPORTRANGE(""1NK5L1mviMn0j3D3uo53ASkIZOFRlLnqaCTnwzOG2_Wg"",""Direct links Without Sizes!B2:B""))),XLOOKUP($B764,IMPORTRANGE(""1NK5L1mviMn0j3D3uo53ASkIZOFRlLnqaCTnwzOG2_Wg"",""Direct li"&amp;"nks Without Sizes!D2:D""),IMPORTRANGE(""1NK5L1mviMn0j3D3uo53ASkIZOFRlLnqaCTnwzOG2_Wg"",""Direct links Without Sizes!E2:E""))),"""")"),"")</f>
        <v/>
      </c>
      <c r="H764" s="41"/>
      <c r="I764" s="4"/>
      <c r="J764" s="4"/>
      <c r="K764" s="10" t="str">
        <f t="shared" si="1"/>
        <v/>
      </c>
      <c r="L764" s="10"/>
      <c r="M764" s="10" t="str">
        <f t="shared" si="2"/>
        <v/>
      </c>
    </row>
    <row r="765">
      <c r="A765" s="4"/>
      <c r="B765" s="15"/>
      <c r="C765" s="7" t="str">
        <f>IFERROR(__xludf.DUMMYFUNCTION("iferror(iferror(INDEX(IMPORTRANGE(""12vtnxaE_Q1s4tyr10kZQx7ZF_xG0lBFae4jQEUtgsMU"",""All!B2:B""),MATCH($B765,IMPORTRANGE(""12vtnxaE_Q1s4tyr10kZQx7ZF_xG0lBFae4jQEUtgsMU"",""All!A2:A""),0)),INDEX(IMPORTRANGE(""13KC70HngS4DDi8y9E5khtSpQEPG6owaQ9z4E-tR5mnY"","&amp;"""Non-Food!B2:B""),MATCH($B765,IMPORTRANGE(""13KC70HngS4DDi8y9E5khtSpQEPG6owaQ9z4E-tR5mnY"",""Non-Food!A2:A""),0))),"""")"),"")</f>
        <v/>
      </c>
      <c r="D765" s="15"/>
      <c r="E765" s="15"/>
      <c r="F765" s="36"/>
      <c r="G765" s="24" t="str">
        <f>IFERROR(__xludf.DUMMYFUNCTION("iferror(iferror(iferror(index(IMPORTRANGE(""1NK5L1mviMn0j3D3uo53ASkIZOFRlLnqaCTnwzOG2_Wg"",""Direct Link!B2:B""),MATCH($B765,IMPORTRANGE(""1NK5L1mviMn0j3D3uo53ASkIZOFRlLnqaCTnwzOG2_Wg"",""Direct Link!A2:A""),0)),XLOOKUP($B765,IMPORTRANGE(""1NK5L1mviMn0j3D"&amp;"3uo53ASkIZOFRlLnqaCTnwzOG2_Wg"",""Direct links Without Sizes!A2:A""),IMPORTRANGE(""1NK5L1mviMn0j3D3uo53ASkIZOFRlLnqaCTnwzOG2_Wg"",""Direct links Without Sizes!B2:B""))),XLOOKUP($B765,IMPORTRANGE(""1NK5L1mviMn0j3D3uo53ASkIZOFRlLnqaCTnwzOG2_Wg"",""Direct li"&amp;"nks Without Sizes!D2:D""),IMPORTRANGE(""1NK5L1mviMn0j3D3uo53ASkIZOFRlLnqaCTnwzOG2_Wg"",""Direct links Without Sizes!E2:E""))),"""")"),"")</f>
        <v/>
      </c>
      <c r="H765" s="41"/>
      <c r="I765" s="4"/>
      <c r="J765" s="4"/>
      <c r="K765" s="10" t="str">
        <f t="shared" si="1"/>
        <v/>
      </c>
      <c r="L765" s="10"/>
      <c r="M765" s="10" t="str">
        <f t="shared" si="2"/>
        <v/>
      </c>
    </row>
    <row r="766">
      <c r="A766" s="4"/>
      <c r="B766" s="15"/>
      <c r="C766" s="7" t="str">
        <f>IFERROR(__xludf.DUMMYFUNCTION("iferror(iferror(INDEX(IMPORTRANGE(""12vtnxaE_Q1s4tyr10kZQx7ZF_xG0lBFae4jQEUtgsMU"",""All!B2:B""),MATCH($B766,IMPORTRANGE(""12vtnxaE_Q1s4tyr10kZQx7ZF_xG0lBFae4jQEUtgsMU"",""All!A2:A""),0)),INDEX(IMPORTRANGE(""13KC70HngS4DDi8y9E5khtSpQEPG6owaQ9z4E-tR5mnY"","&amp;"""Non-Food!B2:B""),MATCH($B766,IMPORTRANGE(""13KC70HngS4DDi8y9E5khtSpQEPG6owaQ9z4E-tR5mnY"",""Non-Food!A2:A""),0))),"""")"),"")</f>
        <v/>
      </c>
      <c r="D766" s="15"/>
      <c r="E766" s="15"/>
      <c r="F766" s="36"/>
      <c r="G766" s="24" t="str">
        <f>IFERROR(__xludf.DUMMYFUNCTION("iferror(iferror(iferror(index(IMPORTRANGE(""1NK5L1mviMn0j3D3uo53ASkIZOFRlLnqaCTnwzOG2_Wg"",""Direct Link!B2:B""),MATCH($B766,IMPORTRANGE(""1NK5L1mviMn0j3D3uo53ASkIZOFRlLnqaCTnwzOG2_Wg"",""Direct Link!A2:A""),0)),XLOOKUP($B766,IMPORTRANGE(""1NK5L1mviMn0j3D"&amp;"3uo53ASkIZOFRlLnqaCTnwzOG2_Wg"",""Direct links Without Sizes!A2:A""),IMPORTRANGE(""1NK5L1mviMn0j3D3uo53ASkIZOFRlLnqaCTnwzOG2_Wg"",""Direct links Without Sizes!B2:B""))),XLOOKUP($B766,IMPORTRANGE(""1NK5L1mviMn0j3D3uo53ASkIZOFRlLnqaCTnwzOG2_Wg"",""Direct li"&amp;"nks Without Sizes!D2:D""),IMPORTRANGE(""1NK5L1mviMn0j3D3uo53ASkIZOFRlLnqaCTnwzOG2_Wg"",""Direct links Without Sizes!E2:E""))),"""")"),"")</f>
        <v/>
      </c>
      <c r="H766" s="41"/>
      <c r="I766" s="4"/>
      <c r="J766" s="4"/>
      <c r="K766" s="10" t="str">
        <f t="shared" si="1"/>
        <v/>
      </c>
      <c r="L766" s="10"/>
      <c r="M766" s="10" t="str">
        <f t="shared" si="2"/>
        <v/>
      </c>
    </row>
    <row r="767">
      <c r="A767" s="4"/>
      <c r="B767" s="15"/>
      <c r="C767" s="7" t="str">
        <f>IFERROR(__xludf.DUMMYFUNCTION("iferror(iferror(INDEX(IMPORTRANGE(""12vtnxaE_Q1s4tyr10kZQx7ZF_xG0lBFae4jQEUtgsMU"",""All!B2:B""),MATCH($B767,IMPORTRANGE(""12vtnxaE_Q1s4tyr10kZQx7ZF_xG0lBFae4jQEUtgsMU"",""All!A2:A""),0)),INDEX(IMPORTRANGE(""13KC70HngS4DDi8y9E5khtSpQEPG6owaQ9z4E-tR5mnY"","&amp;"""Non-Food!B2:B""),MATCH($B767,IMPORTRANGE(""13KC70HngS4DDi8y9E5khtSpQEPG6owaQ9z4E-tR5mnY"",""Non-Food!A2:A""),0))),"""")"),"")</f>
        <v/>
      </c>
      <c r="D767" s="15"/>
      <c r="E767" s="15"/>
      <c r="F767" s="36"/>
      <c r="G767" s="24" t="str">
        <f>IFERROR(__xludf.DUMMYFUNCTION("iferror(iferror(iferror(index(IMPORTRANGE(""1NK5L1mviMn0j3D3uo53ASkIZOFRlLnqaCTnwzOG2_Wg"",""Direct Link!B2:B""),MATCH($B767,IMPORTRANGE(""1NK5L1mviMn0j3D3uo53ASkIZOFRlLnqaCTnwzOG2_Wg"",""Direct Link!A2:A""),0)),XLOOKUP($B767,IMPORTRANGE(""1NK5L1mviMn0j3D"&amp;"3uo53ASkIZOFRlLnqaCTnwzOG2_Wg"",""Direct links Without Sizes!A2:A""),IMPORTRANGE(""1NK5L1mviMn0j3D3uo53ASkIZOFRlLnqaCTnwzOG2_Wg"",""Direct links Without Sizes!B2:B""))),XLOOKUP($B767,IMPORTRANGE(""1NK5L1mviMn0j3D3uo53ASkIZOFRlLnqaCTnwzOG2_Wg"",""Direct li"&amp;"nks Without Sizes!D2:D""),IMPORTRANGE(""1NK5L1mviMn0j3D3uo53ASkIZOFRlLnqaCTnwzOG2_Wg"",""Direct links Without Sizes!E2:E""))),"""")"),"")</f>
        <v/>
      </c>
      <c r="H767" s="41"/>
      <c r="I767" s="4"/>
      <c r="J767" s="4"/>
      <c r="K767" s="10" t="str">
        <f t="shared" si="1"/>
        <v/>
      </c>
      <c r="L767" s="10"/>
      <c r="M767" s="10" t="str">
        <f t="shared" si="2"/>
        <v/>
      </c>
    </row>
    <row r="768">
      <c r="A768" s="4"/>
      <c r="B768" s="15"/>
      <c r="C768" s="7" t="str">
        <f>IFERROR(__xludf.DUMMYFUNCTION("iferror(iferror(INDEX(IMPORTRANGE(""12vtnxaE_Q1s4tyr10kZQx7ZF_xG0lBFae4jQEUtgsMU"",""All!B2:B""),MATCH($B768,IMPORTRANGE(""12vtnxaE_Q1s4tyr10kZQx7ZF_xG0lBFae4jQEUtgsMU"",""All!A2:A""),0)),INDEX(IMPORTRANGE(""13KC70HngS4DDi8y9E5khtSpQEPG6owaQ9z4E-tR5mnY"","&amp;"""Non-Food!B2:B""),MATCH($B768,IMPORTRANGE(""13KC70HngS4DDi8y9E5khtSpQEPG6owaQ9z4E-tR5mnY"",""Non-Food!A2:A""),0))),"""")"),"")</f>
        <v/>
      </c>
      <c r="D768" s="15"/>
      <c r="E768" s="15"/>
      <c r="F768" s="36"/>
      <c r="G768" s="24" t="str">
        <f>IFERROR(__xludf.DUMMYFUNCTION("iferror(iferror(iferror(index(IMPORTRANGE(""1NK5L1mviMn0j3D3uo53ASkIZOFRlLnqaCTnwzOG2_Wg"",""Direct Link!B2:B""),MATCH($B768,IMPORTRANGE(""1NK5L1mviMn0j3D3uo53ASkIZOFRlLnqaCTnwzOG2_Wg"",""Direct Link!A2:A""),0)),XLOOKUP($B768,IMPORTRANGE(""1NK5L1mviMn0j3D"&amp;"3uo53ASkIZOFRlLnqaCTnwzOG2_Wg"",""Direct links Without Sizes!A2:A""),IMPORTRANGE(""1NK5L1mviMn0j3D3uo53ASkIZOFRlLnqaCTnwzOG2_Wg"",""Direct links Without Sizes!B2:B""))),XLOOKUP($B768,IMPORTRANGE(""1NK5L1mviMn0j3D3uo53ASkIZOFRlLnqaCTnwzOG2_Wg"",""Direct li"&amp;"nks Without Sizes!D2:D""),IMPORTRANGE(""1NK5L1mviMn0j3D3uo53ASkIZOFRlLnqaCTnwzOG2_Wg"",""Direct links Without Sizes!E2:E""))),"""")"),"")</f>
        <v/>
      </c>
      <c r="H768" s="41"/>
      <c r="I768" s="4"/>
      <c r="J768" s="4"/>
      <c r="K768" s="10" t="str">
        <f t="shared" si="1"/>
        <v/>
      </c>
      <c r="L768" s="10"/>
      <c r="M768" s="10" t="str">
        <f t="shared" si="2"/>
        <v/>
      </c>
    </row>
    <row r="769">
      <c r="A769" s="4"/>
      <c r="B769" s="15"/>
      <c r="C769" s="7" t="str">
        <f>IFERROR(__xludf.DUMMYFUNCTION("iferror(iferror(INDEX(IMPORTRANGE(""12vtnxaE_Q1s4tyr10kZQx7ZF_xG0lBFae4jQEUtgsMU"",""All!B2:B""),MATCH($B769,IMPORTRANGE(""12vtnxaE_Q1s4tyr10kZQx7ZF_xG0lBFae4jQEUtgsMU"",""All!A2:A""),0)),INDEX(IMPORTRANGE(""13KC70HngS4DDi8y9E5khtSpQEPG6owaQ9z4E-tR5mnY"","&amp;"""Non-Food!B2:B""),MATCH($B769,IMPORTRANGE(""13KC70HngS4DDi8y9E5khtSpQEPG6owaQ9z4E-tR5mnY"",""Non-Food!A2:A""),0))),"""")"),"")</f>
        <v/>
      </c>
      <c r="D769" s="15"/>
      <c r="E769" s="15"/>
      <c r="F769" s="36"/>
      <c r="G769" s="24" t="str">
        <f>IFERROR(__xludf.DUMMYFUNCTION("iferror(iferror(iferror(index(IMPORTRANGE(""1NK5L1mviMn0j3D3uo53ASkIZOFRlLnqaCTnwzOG2_Wg"",""Direct Link!B2:B""),MATCH($B769,IMPORTRANGE(""1NK5L1mviMn0j3D3uo53ASkIZOFRlLnqaCTnwzOG2_Wg"",""Direct Link!A2:A""),0)),XLOOKUP($B769,IMPORTRANGE(""1NK5L1mviMn0j3D"&amp;"3uo53ASkIZOFRlLnqaCTnwzOG2_Wg"",""Direct links Without Sizes!A2:A""),IMPORTRANGE(""1NK5L1mviMn0j3D3uo53ASkIZOFRlLnqaCTnwzOG2_Wg"",""Direct links Without Sizes!B2:B""))),XLOOKUP($B769,IMPORTRANGE(""1NK5L1mviMn0j3D3uo53ASkIZOFRlLnqaCTnwzOG2_Wg"",""Direct li"&amp;"nks Without Sizes!D2:D""),IMPORTRANGE(""1NK5L1mviMn0j3D3uo53ASkIZOFRlLnqaCTnwzOG2_Wg"",""Direct links Without Sizes!E2:E""))),"""")"),"")</f>
        <v/>
      </c>
      <c r="H769" s="41"/>
      <c r="I769" s="4"/>
      <c r="J769" s="4"/>
      <c r="K769" s="10" t="str">
        <f t="shared" si="1"/>
        <v/>
      </c>
      <c r="L769" s="10"/>
      <c r="M769" s="10" t="str">
        <f t="shared" si="2"/>
        <v/>
      </c>
    </row>
    <row r="770">
      <c r="A770" s="4"/>
      <c r="B770" s="15"/>
      <c r="C770" s="7" t="str">
        <f>IFERROR(__xludf.DUMMYFUNCTION("iferror(iferror(INDEX(IMPORTRANGE(""12vtnxaE_Q1s4tyr10kZQx7ZF_xG0lBFae4jQEUtgsMU"",""All!B2:B""),MATCH($B770,IMPORTRANGE(""12vtnxaE_Q1s4tyr10kZQx7ZF_xG0lBFae4jQEUtgsMU"",""All!A2:A""),0)),INDEX(IMPORTRANGE(""13KC70HngS4DDi8y9E5khtSpQEPG6owaQ9z4E-tR5mnY"","&amp;"""Non-Food!B2:B""),MATCH($B770,IMPORTRANGE(""13KC70HngS4DDi8y9E5khtSpQEPG6owaQ9z4E-tR5mnY"",""Non-Food!A2:A""),0))),"""")"),"")</f>
        <v/>
      </c>
      <c r="D770" s="15"/>
      <c r="E770" s="15"/>
      <c r="F770" s="36"/>
      <c r="G770" s="24" t="str">
        <f>IFERROR(__xludf.DUMMYFUNCTION("iferror(iferror(iferror(index(IMPORTRANGE(""1NK5L1mviMn0j3D3uo53ASkIZOFRlLnqaCTnwzOG2_Wg"",""Direct Link!B2:B""),MATCH($B770,IMPORTRANGE(""1NK5L1mviMn0j3D3uo53ASkIZOFRlLnqaCTnwzOG2_Wg"",""Direct Link!A2:A""),0)),XLOOKUP($B770,IMPORTRANGE(""1NK5L1mviMn0j3D"&amp;"3uo53ASkIZOFRlLnqaCTnwzOG2_Wg"",""Direct links Without Sizes!A2:A""),IMPORTRANGE(""1NK5L1mviMn0j3D3uo53ASkIZOFRlLnqaCTnwzOG2_Wg"",""Direct links Without Sizes!B2:B""))),XLOOKUP($B770,IMPORTRANGE(""1NK5L1mviMn0j3D3uo53ASkIZOFRlLnqaCTnwzOG2_Wg"",""Direct li"&amp;"nks Without Sizes!D2:D""),IMPORTRANGE(""1NK5L1mviMn0j3D3uo53ASkIZOFRlLnqaCTnwzOG2_Wg"",""Direct links Without Sizes!E2:E""))),"""")"),"")</f>
        <v/>
      </c>
      <c r="H770" s="41"/>
      <c r="I770" s="4"/>
      <c r="J770" s="4"/>
      <c r="K770" s="10" t="str">
        <f t="shared" si="1"/>
        <v/>
      </c>
      <c r="L770" s="10"/>
      <c r="M770" s="10" t="str">
        <f t="shared" si="2"/>
        <v/>
      </c>
    </row>
    <row r="771">
      <c r="A771" s="4"/>
      <c r="B771" s="15"/>
      <c r="C771" s="7" t="str">
        <f>IFERROR(__xludf.DUMMYFUNCTION("iferror(iferror(INDEX(IMPORTRANGE(""12vtnxaE_Q1s4tyr10kZQx7ZF_xG0lBFae4jQEUtgsMU"",""All!B2:B""),MATCH($B771,IMPORTRANGE(""12vtnxaE_Q1s4tyr10kZQx7ZF_xG0lBFae4jQEUtgsMU"",""All!A2:A""),0)),INDEX(IMPORTRANGE(""13KC70HngS4DDi8y9E5khtSpQEPG6owaQ9z4E-tR5mnY"","&amp;"""Non-Food!B2:B""),MATCH($B771,IMPORTRANGE(""13KC70HngS4DDi8y9E5khtSpQEPG6owaQ9z4E-tR5mnY"",""Non-Food!A2:A""),0))),"""")"),"")</f>
        <v/>
      </c>
      <c r="D771" s="15"/>
      <c r="E771" s="15"/>
      <c r="F771" s="36"/>
      <c r="G771" s="24" t="str">
        <f>IFERROR(__xludf.DUMMYFUNCTION("iferror(iferror(iferror(index(IMPORTRANGE(""1NK5L1mviMn0j3D3uo53ASkIZOFRlLnqaCTnwzOG2_Wg"",""Direct Link!B2:B""),MATCH($B771,IMPORTRANGE(""1NK5L1mviMn0j3D3uo53ASkIZOFRlLnqaCTnwzOG2_Wg"",""Direct Link!A2:A""),0)),XLOOKUP($B771,IMPORTRANGE(""1NK5L1mviMn0j3D"&amp;"3uo53ASkIZOFRlLnqaCTnwzOG2_Wg"",""Direct links Without Sizes!A2:A""),IMPORTRANGE(""1NK5L1mviMn0j3D3uo53ASkIZOFRlLnqaCTnwzOG2_Wg"",""Direct links Without Sizes!B2:B""))),XLOOKUP($B771,IMPORTRANGE(""1NK5L1mviMn0j3D3uo53ASkIZOFRlLnqaCTnwzOG2_Wg"",""Direct li"&amp;"nks Without Sizes!D2:D""),IMPORTRANGE(""1NK5L1mviMn0j3D3uo53ASkIZOFRlLnqaCTnwzOG2_Wg"",""Direct links Without Sizes!E2:E""))),"""")"),"")</f>
        <v/>
      </c>
      <c r="H771" s="41"/>
      <c r="I771" s="4"/>
      <c r="J771" s="4"/>
      <c r="K771" s="10" t="str">
        <f t="shared" si="1"/>
        <v/>
      </c>
      <c r="L771" s="10"/>
      <c r="M771" s="10" t="str">
        <f t="shared" si="2"/>
        <v/>
      </c>
    </row>
    <row r="772">
      <c r="A772" s="4"/>
      <c r="B772" s="15"/>
      <c r="C772" s="7" t="str">
        <f>IFERROR(__xludf.DUMMYFUNCTION("iferror(iferror(INDEX(IMPORTRANGE(""12vtnxaE_Q1s4tyr10kZQx7ZF_xG0lBFae4jQEUtgsMU"",""All!B2:B""),MATCH($B772,IMPORTRANGE(""12vtnxaE_Q1s4tyr10kZQx7ZF_xG0lBFae4jQEUtgsMU"",""All!A2:A""),0)),INDEX(IMPORTRANGE(""13KC70HngS4DDi8y9E5khtSpQEPG6owaQ9z4E-tR5mnY"","&amp;"""Non-Food!B2:B""),MATCH($B772,IMPORTRANGE(""13KC70HngS4DDi8y9E5khtSpQEPG6owaQ9z4E-tR5mnY"",""Non-Food!A2:A""),0))),"""")"),"")</f>
        <v/>
      </c>
      <c r="D772" s="15"/>
      <c r="E772" s="15"/>
      <c r="F772" s="36"/>
      <c r="G772" s="24" t="str">
        <f>IFERROR(__xludf.DUMMYFUNCTION("iferror(iferror(iferror(index(IMPORTRANGE(""1NK5L1mviMn0j3D3uo53ASkIZOFRlLnqaCTnwzOG2_Wg"",""Direct Link!B2:B""),MATCH($B772,IMPORTRANGE(""1NK5L1mviMn0j3D3uo53ASkIZOFRlLnqaCTnwzOG2_Wg"",""Direct Link!A2:A""),0)),XLOOKUP($B772,IMPORTRANGE(""1NK5L1mviMn0j3D"&amp;"3uo53ASkIZOFRlLnqaCTnwzOG2_Wg"",""Direct links Without Sizes!A2:A""),IMPORTRANGE(""1NK5L1mviMn0j3D3uo53ASkIZOFRlLnqaCTnwzOG2_Wg"",""Direct links Without Sizes!B2:B""))),XLOOKUP($B772,IMPORTRANGE(""1NK5L1mviMn0j3D3uo53ASkIZOFRlLnqaCTnwzOG2_Wg"",""Direct li"&amp;"nks Without Sizes!D2:D""),IMPORTRANGE(""1NK5L1mviMn0j3D3uo53ASkIZOFRlLnqaCTnwzOG2_Wg"",""Direct links Without Sizes!E2:E""))),"""")"),"")</f>
        <v/>
      </c>
      <c r="H772" s="41"/>
      <c r="I772" s="4"/>
      <c r="J772" s="4"/>
      <c r="K772" s="10" t="str">
        <f t="shared" si="1"/>
        <v/>
      </c>
      <c r="L772" s="10"/>
      <c r="M772" s="10" t="str">
        <f t="shared" si="2"/>
        <v/>
      </c>
    </row>
    <row r="773">
      <c r="A773" s="4"/>
      <c r="B773" s="15"/>
      <c r="C773" s="7" t="str">
        <f>IFERROR(__xludf.DUMMYFUNCTION("iferror(iferror(INDEX(IMPORTRANGE(""12vtnxaE_Q1s4tyr10kZQx7ZF_xG0lBFae4jQEUtgsMU"",""All!B2:B""),MATCH($B773,IMPORTRANGE(""12vtnxaE_Q1s4tyr10kZQx7ZF_xG0lBFae4jQEUtgsMU"",""All!A2:A""),0)),INDEX(IMPORTRANGE(""13KC70HngS4DDi8y9E5khtSpQEPG6owaQ9z4E-tR5mnY"","&amp;"""Non-Food!B2:B""),MATCH($B773,IMPORTRANGE(""13KC70HngS4DDi8y9E5khtSpQEPG6owaQ9z4E-tR5mnY"",""Non-Food!A2:A""),0))),"""")"),"")</f>
        <v/>
      </c>
      <c r="D773" s="15"/>
      <c r="E773" s="15"/>
      <c r="F773" s="36"/>
      <c r="G773" s="24" t="str">
        <f>IFERROR(__xludf.DUMMYFUNCTION("iferror(iferror(iferror(index(IMPORTRANGE(""1NK5L1mviMn0j3D3uo53ASkIZOFRlLnqaCTnwzOG2_Wg"",""Direct Link!B2:B""),MATCH($B773,IMPORTRANGE(""1NK5L1mviMn0j3D3uo53ASkIZOFRlLnqaCTnwzOG2_Wg"",""Direct Link!A2:A""),0)),XLOOKUP($B773,IMPORTRANGE(""1NK5L1mviMn0j3D"&amp;"3uo53ASkIZOFRlLnqaCTnwzOG2_Wg"",""Direct links Without Sizes!A2:A""),IMPORTRANGE(""1NK5L1mviMn0j3D3uo53ASkIZOFRlLnqaCTnwzOG2_Wg"",""Direct links Without Sizes!B2:B""))),XLOOKUP($B773,IMPORTRANGE(""1NK5L1mviMn0j3D3uo53ASkIZOFRlLnqaCTnwzOG2_Wg"",""Direct li"&amp;"nks Without Sizes!D2:D""),IMPORTRANGE(""1NK5L1mviMn0j3D3uo53ASkIZOFRlLnqaCTnwzOG2_Wg"",""Direct links Without Sizes!E2:E""))),"""")"),"")</f>
        <v/>
      </c>
      <c r="H773" s="41"/>
      <c r="I773" s="4"/>
      <c r="J773" s="4"/>
      <c r="K773" s="10" t="str">
        <f t="shared" si="1"/>
        <v/>
      </c>
      <c r="L773" s="10"/>
      <c r="M773" s="10" t="str">
        <f t="shared" si="2"/>
        <v/>
      </c>
    </row>
    <row r="774">
      <c r="A774" s="4"/>
      <c r="B774" s="15"/>
      <c r="C774" s="7" t="str">
        <f>IFERROR(__xludf.DUMMYFUNCTION("iferror(iferror(INDEX(IMPORTRANGE(""12vtnxaE_Q1s4tyr10kZQx7ZF_xG0lBFae4jQEUtgsMU"",""All!B2:B""),MATCH($B774,IMPORTRANGE(""12vtnxaE_Q1s4tyr10kZQx7ZF_xG0lBFae4jQEUtgsMU"",""All!A2:A""),0)),INDEX(IMPORTRANGE(""13KC70HngS4DDi8y9E5khtSpQEPG6owaQ9z4E-tR5mnY"","&amp;"""Non-Food!B2:B""),MATCH($B774,IMPORTRANGE(""13KC70HngS4DDi8y9E5khtSpQEPG6owaQ9z4E-tR5mnY"",""Non-Food!A2:A""),0))),"""")"),"")</f>
        <v/>
      </c>
      <c r="D774" s="15"/>
      <c r="E774" s="15"/>
      <c r="F774" s="36"/>
      <c r="G774" s="24" t="str">
        <f>IFERROR(__xludf.DUMMYFUNCTION("iferror(iferror(iferror(index(IMPORTRANGE(""1NK5L1mviMn0j3D3uo53ASkIZOFRlLnqaCTnwzOG2_Wg"",""Direct Link!B2:B""),MATCH($B774,IMPORTRANGE(""1NK5L1mviMn0j3D3uo53ASkIZOFRlLnqaCTnwzOG2_Wg"",""Direct Link!A2:A""),0)),XLOOKUP($B774,IMPORTRANGE(""1NK5L1mviMn0j3D"&amp;"3uo53ASkIZOFRlLnqaCTnwzOG2_Wg"",""Direct links Without Sizes!A2:A""),IMPORTRANGE(""1NK5L1mviMn0j3D3uo53ASkIZOFRlLnqaCTnwzOG2_Wg"",""Direct links Without Sizes!B2:B""))),XLOOKUP($B774,IMPORTRANGE(""1NK5L1mviMn0j3D3uo53ASkIZOFRlLnqaCTnwzOG2_Wg"",""Direct li"&amp;"nks Without Sizes!D2:D""),IMPORTRANGE(""1NK5L1mviMn0j3D3uo53ASkIZOFRlLnqaCTnwzOG2_Wg"",""Direct links Without Sizes!E2:E""))),"""")"),"")</f>
        <v/>
      </c>
      <c r="H774" s="41"/>
      <c r="I774" s="4"/>
      <c r="J774" s="4"/>
      <c r="K774" s="10" t="str">
        <f t="shared" si="1"/>
        <v/>
      </c>
      <c r="L774" s="10"/>
      <c r="M774" s="10" t="str">
        <f t="shared" si="2"/>
        <v/>
      </c>
    </row>
    <row r="775">
      <c r="A775" s="4"/>
      <c r="B775" s="15"/>
      <c r="C775" s="7" t="str">
        <f>IFERROR(__xludf.DUMMYFUNCTION("iferror(iferror(INDEX(IMPORTRANGE(""12vtnxaE_Q1s4tyr10kZQx7ZF_xG0lBFae4jQEUtgsMU"",""All!B2:B""),MATCH($B775,IMPORTRANGE(""12vtnxaE_Q1s4tyr10kZQx7ZF_xG0lBFae4jQEUtgsMU"",""All!A2:A""),0)),INDEX(IMPORTRANGE(""13KC70HngS4DDi8y9E5khtSpQEPG6owaQ9z4E-tR5mnY"","&amp;"""Non-Food!B2:B""),MATCH($B775,IMPORTRANGE(""13KC70HngS4DDi8y9E5khtSpQEPG6owaQ9z4E-tR5mnY"",""Non-Food!A2:A""),0))),"""")"),"")</f>
        <v/>
      </c>
      <c r="D775" s="15"/>
      <c r="E775" s="15"/>
      <c r="F775" s="36"/>
      <c r="G775" s="24" t="str">
        <f>IFERROR(__xludf.DUMMYFUNCTION("iferror(iferror(iferror(index(IMPORTRANGE(""1NK5L1mviMn0j3D3uo53ASkIZOFRlLnqaCTnwzOG2_Wg"",""Direct Link!B2:B""),MATCH($B775,IMPORTRANGE(""1NK5L1mviMn0j3D3uo53ASkIZOFRlLnqaCTnwzOG2_Wg"",""Direct Link!A2:A""),0)),XLOOKUP($B775,IMPORTRANGE(""1NK5L1mviMn0j3D"&amp;"3uo53ASkIZOFRlLnqaCTnwzOG2_Wg"",""Direct links Without Sizes!A2:A""),IMPORTRANGE(""1NK5L1mviMn0j3D3uo53ASkIZOFRlLnqaCTnwzOG2_Wg"",""Direct links Without Sizes!B2:B""))),XLOOKUP($B775,IMPORTRANGE(""1NK5L1mviMn0j3D3uo53ASkIZOFRlLnqaCTnwzOG2_Wg"",""Direct li"&amp;"nks Without Sizes!D2:D""),IMPORTRANGE(""1NK5L1mviMn0j3D3uo53ASkIZOFRlLnqaCTnwzOG2_Wg"",""Direct links Without Sizes!E2:E""))),"""")"),"")</f>
        <v/>
      </c>
      <c r="H775" s="41"/>
      <c r="I775" s="4"/>
      <c r="J775" s="4"/>
      <c r="K775" s="10" t="str">
        <f t="shared" si="1"/>
        <v/>
      </c>
      <c r="L775" s="10"/>
      <c r="M775" s="10" t="str">
        <f t="shared" si="2"/>
        <v/>
      </c>
    </row>
    <row r="776">
      <c r="A776" s="4"/>
      <c r="B776" s="15"/>
      <c r="C776" s="7" t="str">
        <f>IFERROR(__xludf.DUMMYFUNCTION("iferror(iferror(INDEX(IMPORTRANGE(""12vtnxaE_Q1s4tyr10kZQx7ZF_xG0lBFae4jQEUtgsMU"",""All!B2:B""),MATCH($B776,IMPORTRANGE(""12vtnxaE_Q1s4tyr10kZQx7ZF_xG0lBFae4jQEUtgsMU"",""All!A2:A""),0)),INDEX(IMPORTRANGE(""13KC70HngS4DDi8y9E5khtSpQEPG6owaQ9z4E-tR5mnY"","&amp;"""Non-Food!B2:B""),MATCH($B776,IMPORTRANGE(""13KC70HngS4DDi8y9E5khtSpQEPG6owaQ9z4E-tR5mnY"",""Non-Food!A2:A""),0))),"""")"),"")</f>
        <v/>
      </c>
      <c r="D776" s="15"/>
      <c r="E776" s="15"/>
      <c r="F776" s="36"/>
      <c r="G776" s="24" t="str">
        <f>IFERROR(__xludf.DUMMYFUNCTION("iferror(iferror(iferror(index(IMPORTRANGE(""1NK5L1mviMn0j3D3uo53ASkIZOFRlLnqaCTnwzOG2_Wg"",""Direct Link!B2:B""),MATCH($B776,IMPORTRANGE(""1NK5L1mviMn0j3D3uo53ASkIZOFRlLnqaCTnwzOG2_Wg"",""Direct Link!A2:A""),0)),XLOOKUP($B776,IMPORTRANGE(""1NK5L1mviMn0j3D"&amp;"3uo53ASkIZOFRlLnqaCTnwzOG2_Wg"",""Direct links Without Sizes!A2:A""),IMPORTRANGE(""1NK5L1mviMn0j3D3uo53ASkIZOFRlLnqaCTnwzOG2_Wg"",""Direct links Without Sizes!B2:B""))),XLOOKUP($B776,IMPORTRANGE(""1NK5L1mviMn0j3D3uo53ASkIZOFRlLnqaCTnwzOG2_Wg"",""Direct li"&amp;"nks Without Sizes!D2:D""),IMPORTRANGE(""1NK5L1mviMn0j3D3uo53ASkIZOFRlLnqaCTnwzOG2_Wg"",""Direct links Without Sizes!E2:E""))),"""")"),"")</f>
        <v/>
      </c>
      <c r="H776" s="41"/>
      <c r="I776" s="4"/>
      <c r="J776" s="4"/>
      <c r="K776" s="10" t="str">
        <f t="shared" si="1"/>
        <v/>
      </c>
      <c r="L776" s="10"/>
      <c r="M776" s="10" t="str">
        <f t="shared" si="2"/>
        <v/>
      </c>
    </row>
    <row r="777">
      <c r="A777" s="4"/>
      <c r="B777" s="15"/>
      <c r="C777" s="7" t="str">
        <f>IFERROR(__xludf.DUMMYFUNCTION("iferror(iferror(INDEX(IMPORTRANGE(""12vtnxaE_Q1s4tyr10kZQx7ZF_xG0lBFae4jQEUtgsMU"",""All!B2:B""),MATCH($B777,IMPORTRANGE(""12vtnxaE_Q1s4tyr10kZQx7ZF_xG0lBFae4jQEUtgsMU"",""All!A2:A""),0)),INDEX(IMPORTRANGE(""13KC70HngS4DDi8y9E5khtSpQEPG6owaQ9z4E-tR5mnY"","&amp;"""Non-Food!B2:B""),MATCH($B777,IMPORTRANGE(""13KC70HngS4DDi8y9E5khtSpQEPG6owaQ9z4E-tR5mnY"",""Non-Food!A2:A""),0))),"""")"),"")</f>
        <v/>
      </c>
      <c r="D777" s="15"/>
      <c r="E777" s="15"/>
      <c r="F777" s="36"/>
      <c r="G777" s="24" t="str">
        <f>IFERROR(__xludf.DUMMYFUNCTION("iferror(iferror(iferror(index(IMPORTRANGE(""1NK5L1mviMn0j3D3uo53ASkIZOFRlLnqaCTnwzOG2_Wg"",""Direct Link!B2:B""),MATCH($B777,IMPORTRANGE(""1NK5L1mviMn0j3D3uo53ASkIZOFRlLnqaCTnwzOG2_Wg"",""Direct Link!A2:A""),0)),XLOOKUP($B777,IMPORTRANGE(""1NK5L1mviMn0j3D"&amp;"3uo53ASkIZOFRlLnqaCTnwzOG2_Wg"",""Direct links Without Sizes!A2:A""),IMPORTRANGE(""1NK5L1mviMn0j3D3uo53ASkIZOFRlLnqaCTnwzOG2_Wg"",""Direct links Without Sizes!B2:B""))),XLOOKUP($B777,IMPORTRANGE(""1NK5L1mviMn0j3D3uo53ASkIZOFRlLnqaCTnwzOG2_Wg"",""Direct li"&amp;"nks Without Sizes!D2:D""),IMPORTRANGE(""1NK5L1mviMn0j3D3uo53ASkIZOFRlLnqaCTnwzOG2_Wg"",""Direct links Without Sizes!E2:E""))),"""")"),"")</f>
        <v/>
      </c>
      <c r="H777" s="41"/>
      <c r="I777" s="4"/>
      <c r="J777" s="4"/>
      <c r="K777" s="10" t="str">
        <f t="shared" si="1"/>
        <v/>
      </c>
      <c r="L777" s="10"/>
      <c r="M777" s="10" t="str">
        <f t="shared" si="2"/>
        <v/>
      </c>
    </row>
    <row r="778">
      <c r="A778" s="4"/>
      <c r="B778" s="15"/>
      <c r="C778" s="7" t="str">
        <f>IFERROR(__xludf.DUMMYFUNCTION("iferror(iferror(INDEX(IMPORTRANGE(""12vtnxaE_Q1s4tyr10kZQx7ZF_xG0lBFae4jQEUtgsMU"",""All!B2:B""),MATCH($B778,IMPORTRANGE(""12vtnxaE_Q1s4tyr10kZQx7ZF_xG0lBFae4jQEUtgsMU"",""All!A2:A""),0)),INDEX(IMPORTRANGE(""13KC70HngS4DDi8y9E5khtSpQEPG6owaQ9z4E-tR5mnY"","&amp;"""Non-Food!B2:B""),MATCH($B778,IMPORTRANGE(""13KC70HngS4DDi8y9E5khtSpQEPG6owaQ9z4E-tR5mnY"",""Non-Food!A2:A""),0))),"""")"),"")</f>
        <v/>
      </c>
      <c r="D778" s="15"/>
      <c r="E778" s="15"/>
      <c r="F778" s="36"/>
      <c r="G778" s="24" t="str">
        <f>IFERROR(__xludf.DUMMYFUNCTION("iferror(iferror(iferror(index(IMPORTRANGE(""1NK5L1mviMn0j3D3uo53ASkIZOFRlLnqaCTnwzOG2_Wg"",""Direct Link!B2:B""),MATCH($B778,IMPORTRANGE(""1NK5L1mviMn0j3D3uo53ASkIZOFRlLnqaCTnwzOG2_Wg"",""Direct Link!A2:A""),0)),XLOOKUP($B778,IMPORTRANGE(""1NK5L1mviMn0j3D"&amp;"3uo53ASkIZOFRlLnqaCTnwzOG2_Wg"",""Direct links Without Sizes!A2:A""),IMPORTRANGE(""1NK5L1mviMn0j3D3uo53ASkIZOFRlLnqaCTnwzOG2_Wg"",""Direct links Without Sizes!B2:B""))),XLOOKUP($B778,IMPORTRANGE(""1NK5L1mviMn0j3D3uo53ASkIZOFRlLnqaCTnwzOG2_Wg"",""Direct li"&amp;"nks Without Sizes!D2:D""),IMPORTRANGE(""1NK5L1mviMn0j3D3uo53ASkIZOFRlLnqaCTnwzOG2_Wg"",""Direct links Without Sizes!E2:E""))),"""")"),"")</f>
        <v/>
      </c>
      <c r="H778" s="41"/>
      <c r="I778" s="4"/>
      <c r="J778" s="4"/>
      <c r="K778" s="10" t="str">
        <f t="shared" si="1"/>
        <v/>
      </c>
      <c r="L778" s="10"/>
      <c r="M778" s="10" t="str">
        <f t="shared" si="2"/>
        <v/>
      </c>
    </row>
    <row r="779">
      <c r="A779" s="4"/>
      <c r="B779" s="15"/>
      <c r="C779" s="7" t="str">
        <f>IFERROR(__xludf.DUMMYFUNCTION("iferror(iferror(INDEX(IMPORTRANGE(""12vtnxaE_Q1s4tyr10kZQx7ZF_xG0lBFae4jQEUtgsMU"",""All!B2:B""),MATCH($B779,IMPORTRANGE(""12vtnxaE_Q1s4tyr10kZQx7ZF_xG0lBFae4jQEUtgsMU"",""All!A2:A""),0)),INDEX(IMPORTRANGE(""13KC70HngS4DDi8y9E5khtSpQEPG6owaQ9z4E-tR5mnY"","&amp;"""Non-Food!B2:B""),MATCH($B779,IMPORTRANGE(""13KC70HngS4DDi8y9E5khtSpQEPG6owaQ9z4E-tR5mnY"",""Non-Food!A2:A""),0))),"""")"),"")</f>
        <v/>
      </c>
      <c r="D779" s="15"/>
      <c r="E779" s="15"/>
      <c r="F779" s="36"/>
      <c r="G779" s="24" t="str">
        <f>IFERROR(__xludf.DUMMYFUNCTION("iferror(iferror(iferror(index(IMPORTRANGE(""1NK5L1mviMn0j3D3uo53ASkIZOFRlLnqaCTnwzOG2_Wg"",""Direct Link!B2:B""),MATCH($B779,IMPORTRANGE(""1NK5L1mviMn0j3D3uo53ASkIZOFRlLnqaCTnwzOG2_Wg"",""Direct Link!A2:A""),0)),XLOOKUP($B779,IMPORTRANGE(""1NK5L1mviMn0j3D"&amp;"3uo53ASkIZOFRlLnqaCTnwzOG2_Wg"",""Direct links Without Sizes!A2:A""),IMPORTRANGE(""1NK5L1mviMn0j3D3uo53ASkIZOFRlLnqaCTnwzOG2_Wg"",""Direct links Without Sizes!B2:B""))),XLOOKUP($B779,IMPORTRANGE(""1NK5L1mviMn0j3D3uo53ASkIZOFRlLnqaCTnwzOG2_Wg"",""Direct li"&amp;"nks Without Sizes!D2:D""),IMPORTRANGE(""1NK5L1mviMn0j3D3uo53ASkIZOFRlLnqaCTnwzOG2_Wg"",""Direct links Without Sizes!E2:E""))),"""")"),"")</f>
        <v/>
      </c>
      <c r="H779" s="41"/>
      <c r="I779" s="4"/>
      <c r="J779" s="4"/>
      <c r="K779" s="10" t="str">
        <f t="shared" si="1"/>
        <v/>
      </c>
      <c r="L779" s="10"/>
      <c r="M779" s="10" t="str">
        <f t="shared" si="2"/>
        <v/>
      </c>
    </row>
    <row r="780">
      <c r="A780" s="4"/>
      <c r="B780" s="15"/>
      <c r="C780" s="7" t="str">
        <f>IFERROR(__xludf.DUMMYFUNCTION("iferror(iferror(INDEX(IMPORTRANGE(""12vtnxaE_Q1s4tyr10kZQx7ZF_xG0lBFae4jQEUtgsMU"",""All!B2:B""),MATCH($B780,IMPORTRANGE(""12vtnxaE_Q1s4tyr10kZQx7ZF_xG0lBFae4jQEUtgsMU"",""All!A2:A""),0)),INDEX(IMPORTRANGE(""13KC70HngS4DDi8y9E5khtSpQEPG6owaQ9z4E-tR5mnY"","&amp;"""Non-Food!B2:B""),MATCH($B780,IMPORTRANGE(""13KC70HngS4DDi8y9E5khtSpQEPG6owaQ9z4E-tR5mnY"",""Non-Food!A2:A""),0))),"""")"),"")</f>
        <v/>
      </c>
      <c r="D780" s="15"/>
      <c r="E780" s="15"/>
      <c r="F780" s="36"/>
      <c r="G780" s="24" t="str">
        <f>IFERROR(__xludf.DUMMYFUNCTION("iferror(iferror(iferror(index(IMPORTRANGE(""1NK5L1mviMn0j3D3uo53ASkIZOFRlLnqaCTnwzOG2_Wg"",""Direct Link!B2:B""),MATCH($B780,IMPORTRANGE(""1NK5L1mviMn0j3D3uo53ASkIZOFRlLnqaCTnwzOG2_Wg"",""Direct Link!A2:A""),0)),XLOOKUP($B780,IMPORTRANGE(""1NK5L1mviMn0j3D"&amp;"3uo53ASkIZOFRlLnqaCTnwzOG2_Wg"",""Direct links Without Sizes!A2:A""),IMPORTRANGE(""1NK5L1mviMn0j3D3uo53ASkIZOFRlLnqaCTnwzOG2_Wg"",""Direct links Without Sizes!B2:B""))),XLOOKUP($B780,IMPORTRANGE(""1NK5L1mviMn0j3D3uo53ASkIZOFRlLnqaCTnwzOG2_Wg"",""Direct li"&amp;"nks Without Sizes!D2:D""),IMPORTRANGE(""1NK5L1mviMn0j3D3uo53ASkIZOFRlLnqaCTnwzOG2_Wg"",""Direct links Without Sizes!E2:E""))),"""")"),"")</f>
        <v/>
      </c>
      <c r="H780" s="41"/>
      <c r="I780" s="4"/>
      <c r="J780" s="4"/>
      <c r="K780" s="10" t="str">
        <f t="shared" si="1"/>
        <v/>
      </c>
      <c r="L780" s="10"/>
      <c r="M780" s="10" t="str">
        <f t="shared" si="2"/>
        <v/>
      </c>
    </row>
    <row r="781">
      <c r="A781" s="4"/>
      <c r="B781" s="15"/>
      <c r="C781" s="7" t="str">
        <f>IFERROR(__xludf.DUMMYFUNCTION("iferror(iferror(INDEX(IMPORTRANGE(""12vtnxaE_Q1s4tyr10kZQx7ZF_xG0lBFae4jQEUtgsMU"",""All!B2:B""),MATCH($B781,IMPORTRANGE(""12vtnxaE_Q1s4tyr10kZQx7ZF_xG0lBFae4jQEUtgsMU"",""All!A2:A""),0)),INDEX(IMPORTRANGE(""13KC70HngS4DDi8y9E5khtSpQEPG6owaQ9z4E-tR5mnY"","&amp;"""Non-Food!B2:B""),MATCH($B781,IMPORTRANGE(""13KC70HngS4DDi8y9E5khtSpQEPG6owaQ9z4E-tR5mnY"",""Non-Food!A2:A""),0))),"""")"),"")</f>
        <v/>
      </c>
      <c r="D781" s="15"/>
      <c r="E781" s="15"/>
      <c r="F781" s="36"/>
      <c r="G781" s="24" t="str">
        <f>IFERROR(__xludf.DUMMYFUNCTION("iferror(iferror(iferror(index(IMPORTRANGE(""1NK5L1mviMn0j3D3uo53ASkIZOFRlLnqaCTnwzOG2_Wg"",""Direct Link!B2:B""),MATCH($B781,IMPORTRANGE(""1NK5L1mviMn0j3D3uo53ASkIZOFRlLnqaCTnwzOG2_Wg"",""Direct Link!A2:A""),0)),XLOOKUP($B781,IMPORTRANGE(""1NK5L1mviMn0j3D"&amp;"3uo53ASkIZOFRlLnqaCTnwzOG2_Wg"",""Direct links Without Sizes!A2:A""),IMPORTRANGE(""1NK5L1mviMn0j3D3uo53ASkIZOFRlLnqaCTnwzOG2_Wg"",""Direct links Without Sizes!B2:B""))),XLOOKUP($B781,IMPORTRANGE(""1NK5L1mviMn0j3D3uo53ASkIZOFRlLnqaCTnwzOG2_Wg"",""Direct li"&amp;"nks Without Sizes!D2:D""),IMPORTRANGE(""1NK5L1mviMn0j3D3uo53ASkIZOFRlLnqaCTnwzOG2_Wg"",""Direct links Without Sizes!E2:E""))),"""")"),"")</f>
        <v/>
      </c>
      <c r="H781" s="41"/>
      <c r="I781" s="4"/>
      <c r="J781" s="4"/>
      <c r="K781" s="10" t="str">
        <f t="shared" si="1"/>
        <v/>
      </c>
      <c r="L781" s="10"/>
      <c r="M781" s="10" t="str">
        <f t="shared" si="2"/>
        <v/>
      </c>
    </row>
    <row r="782">
      <c r="A782" s="4"/>
      <c r="B782" s="15"/>
      <c r="C782" s="7" t="str">
        <f>IFERROR(__xludf.DUMMYFUNCTION("iferror(iferror(INDEX(IMPORTRANGE(""12vtnxaE_Q1s4tyr10kZQx7ZF_xG0lBFae4jQEUtgsMU"",""All!B2:B""),MATCH($B782,IMPORTRANGE(""12vtnxaE_Q1s4tyr10kZQx7ZF_xG0lBFae4jQEUtgsMU"",""All!A2:A""),0)),INDEX(IMPORTRANGE(""13KC70HngS4DDi8y9E5khtSpQEPG6owaQ9z4E-tR5mnY"","&amp;"""Non-Food!B2:B""),MATCH($B782,IMPORTRANGE(""13KC70HngS4DDi8y9E5khtSpQEPG6owaQ9z4E-tR5mnY"",""Non-Food!A2:A""),0))),"""")"),"")</f>
        <v/>
      </c>
      <c r="D782" s="15"/>
      <c r="E782" s="15"/>
      <c r="F782" s="36"/>
      <c r="G782" s="24" t="str">
        <f>IFERROR(__xludf.DUMMYFUNCTION("iferror(iferror(iferror(index(IMPORTRANGE(""1NK5L1mviMn0j3D3uo53ASkIZOFRlLnqaCTnwzOG2_Wg"",""Direct Link!B2:B""),MATCH($B782,IMPORTRANGE(""1NK5L1mviMn0j3D3uo53ASkIZOFRlLnqaCTnwzOG2_Wg"",""Direct Link!A2:A""),0)),XLOOKUP($B782,IMPORTRANGE(""1NK5L1mviMn0j3D"&amp;"3uo53ASkIZOFRlLnqaCTnwzOG2_Wg"",""Direct links Without Sizes!A2:A""),IMPORTRANGE(""1NK5L1mviMn0j3D3uo53ASkIZOFRlLnqaCTnwzOG2_Wg"",""Direct links Without Sizes!B2:B""))),XLOOKUP($B782,IMPORTRANGE(""1NK5L1mviMn0j3D3uo53ASkIZOFRlLnqaCTnwzOG2_Wg"",""Direct li"&amp;"nks Without Sizes!D2:D""),IMPORTRANGE(""1NK5L1mviMn0j3D3uo53ASkIZOFRlLnqaCTnwzOG2_Wg"",""Direct links Without Sizes!E2:E""))),"""")"),"")</f>
        <v/>
      </c>
      <c r="H782" s="41"/>
      <c r="I782" s="4"/>
      <c r="J782" s="4"/>
      <c r="K782" s="10" t="str">
        <f t="shared" si="1"/>
        <v/>
      </c>
      <c r="L782" s="10"/>
      <c r="M782" s="10" t="str">
        <f t="shared" si="2"/>
        <v/>
      </c>
    </row>
    <row r="783">
      <c r="A783" s="4"/>
      <c r="B783" s="15"/>
      <c r="C783" s="7" t="str">
        <f>IFERROR(__xludf.DUMMYFUNCTION("iferror(iferror(INDEX(IMPORTRANGE(""12vtnxaE_Q1s4tyr10kZQx7ZF_xG0lBFae4jQEUtgsMU"",""All!B2:B""),MATCH($B783,IMPORTRANGE(""12vtnxaE_Q1s4tyr10kZQx7ZF_xG0lBFae4jQEUtgsMU"",""All!A2:A""),0)),INDEX(IMPORTRANGE(""13KC70HngS4DDi8y9E5khtSpQEPG6owaQ9z4E-tR5mnY"","&amp;"""Non-Food!B2:B""),MATCH($B783,IMPORTRANGE(""13KC70HngS4DDi8y9E5khtSpQEPG6owaQ9z4E-tR5mnY"",""Non-Food!A2:A""),0))),"""")"),"")</f>
        <v/>
      </c>
      <c r="D783" s="15"/>
      <c r="E783" s="15"/>
      <c r="F783" s="36"/>
      <c r="G783" s="24" t="str">
        <f>IFERROR(__xludf.DUMMYFUNCTION("iferror(iferror(iferror(index(IMPORTRANGE(""1NK5L1mviMn0j3D3uo53ASkIZOFRlLnqaCTnwzOG2_Wg"",""Direct Link!B2:B""),MATCH($B783,IMPORTRANGE(""1NK5L1mviMn0j3D3uo53ASkIZOFRlLnqaCTnwzOG2_Wg"",""Direct Link!A2:A""),0)),XLOOKUP($B783,IMPORTRANGE(""1NK5L1mviMn0j3D"&amp;"3uo53ASkIZOFRlLnqaCTnwzOG2_Wg"",""Direct links Without Sizes!A2:A""),IMPORTRANGE(""1NK5L1mviMn0j3D3uo53ASkIZOFRlLnqaCTnwzOG2_Wg"",""Direct links Without Sizes!B2:B""))),XLOOKUP($B783,IMPORTRANGE(""1NK5L1mviMn0j3D3uo53ASkIZOFRlLnqaCTnwzOG2_Wg"",""Direct li"&amp;"nks Without Sizes!D2:D""),IMPORTRANGE(""1NK5L1mviMn0j3D3uo53ASkIZOFRlLnqaCTnwzOG2_Wg"",""Direct links Without Sizes!E2:E""))),"""")"),"")</f>
        <v/>
      </c>
      <c r="H783" s="41"/>
      <c r="I783" s="4"/>
      <c r="J783" s="4"/>
      <c r="K783" s="10" t="str">
        <f t="shared" si="1"/>
        <v/>
      </c>
      <c r="L783" s="10"/>
      <c r="M783" s="10" t="str">
        <f t="shared" si="2"/>
        <v/>
      </c>
    </row>
    <row r="784">
      <c r="A784" s="4"/>
      <c r="B784" s="15"/>
      <c r="C784" s="7" t="str">
        <f>IFERROR(__xludf.DUMMYFUNCTION("iferror(iferror(INDEX(IMPORTRANGE(""12vtnxaE_Q1s4tyr10kZQx7ZF_xG0lBFae4jQEUtgsMU"",""All!B2:B""),MATCH($B784,IMPORTRANGE(""12vtnxaE_Q1s4tyr10kZQx7ZF_xG0lBFae4jQEUtgsMU"",""All!A2:A""),0)),INDEX(IMPORTRANGE(""13KC70HngS4DDi8y9E5khtSpQEPG6owaQ9z4E-tR5mnY"","&amp;"""Non-Food!B2:B""),MATCH($B784,IMPORTRANGE(""13KC70HngS4DDi8y9E5khtSpQEPG6owaQ9z4E-tR5mnY"",""Non-Food!A2:A""),0))),"""")"),"")</f>
        <v/>
      </c>
      <c r="D784" s="15"/>
      <c r="E784" s="15"/>
      <c r="F784" s="36"/>
      <c r="G784" s="24" t="str">
        <f>IFERROR(__xludf.DUMMYFUNCTION("iferror(iferror(iferror(index(IMPORTRANGE(""1NK5L1mviMn0j3D3uo53ASkIZOFRlLnqaCTnwzOG2_Wg"",""Direct Link!B2:B""),MATCH($B784,IMPORTRANGE(""1NK5L1mviMn0j3D3uo53ASkIZOFRlLnqaCTnwzOG2_Wg"",""Direct Link!A2:A""),0)),XLOOKUP($B784,IMPORTRANGE(""1NK5L1mviMn0j3D"&amp;"3uo53ASkIZOFRlLnqaCTnwzOG2_Wg"",""Direct links Without Sizes!A2:A""),IMPORTRANGE(""1NK5L1mviMn0j3D3uo53ASkIZOFRlLnqaCTnwzOG2_Wg"",""Direct links Without Sizes!B2:B""))),XLOOKUP($B784,IMPORTRANGE(""1NK5L1mviMn0j3D3uo53ASkIZOFRlLnqaCTnwzOG2_Wg"",""Direct li"&amp;"nks Without Sizes!D2:D""),IMPORTRANGE(""1NK5L1mviMn0j3D3uo53ASkIZOFRlLnqaCTnwzOG2_Wg"",""Direct links Without Sizes!E2:E""))),"""")"),"")</f>
        <v/>
      </c>
      <c r="H784" s="41"/>
      <c r="I784" s="4"/>
      <c r="J784" s="4"/>
      <c r="K784" s="10" t="str">
        <f t="shared" si="1"/>
        <v/>
      </c>
      <c r="L784" s="10"/>
      <c r="M784" s="10" t="str">
        <f t="shared" si="2"/>
        <v/>
      </c>
    </row>
    <row r="785">
      <c r="A785" s="4"/>
      <c r="B785" s="15"/>
      <c r="C785" s="7" t="str">
        <f>IFERROR(__xludf.DUMMYFUNCTION("iferror(iferror(INDEX(IMPORTRANGE(""12vtnxaE_Q1s4tyr10kZQx7ZF_xG0lBFae4jQEUtgsMU"",""All!B2:B""),MATCH($B785,IMPORTRANGE(""12vtnxaE_Q1s4tyr10kZQx7ZF_xG0lBFae4jQEUtgsMU"",""All!A2:A""),0)),INDEX(IMPORTRANGE(""13KC70HngS4DDi8y9E5khtSpQEPG6owaQ9z4E-tR5mnY"","&amp;"""Non-Food!B2:B""),MATCH($B785,IMPORTRANGE(""13KC70HngS4DDi8y9E5khtSpQEPG6owaQ9z4E-tR5mnY"",""Non-Food!A2:A""),0))),"""")"),"")</f>
        <v/>
      </c>
      <c r="D785" s="15"/>
      <c r="E785" s="15"/>
      <c r="F785" s="36"/>
      <c r="G785" s="24" t="str">
        <f>IFERROR(__xludf.DUMMYFUNCTION("iferror(iferror(iferror(index(IMPORTRANGE(""1NK5L1mviMn0j3D3uo53ASkIZOFRlLnqaCTnwzOG2_Wg"",""Direct Link!B2:B""),MATCH($B785,IMPORTRANGE(""1NK5L1mviMn0j3D3uo53ASkIZOFRlLnqaCTnwzOG2_Wg"",""Direct Link!A2:A""),0)),XLOOKUP($B785,IMPORTRANGE(""1NK5L1mviMn0j3D"&amp;"3uo53ASkIZOFRlLnqaCTnwzOG2_Wg"",""Direct links Without Sizes!A2:A""),IMPORTRANGE(""1NK5L1mviMn0j3D3uo53ASkIZOFRlLnqaCTnwzOG2_Wg"",""Direct links Without Sizes!B2:B""))),XLOOKUP($B785,IMPORTRANGE(""1NK5L1mviMn0j3D3uo53ASkIZOFRlLnqaCTnwzOG2_Wg"",""Direct li"&amp;"nks Without Sizes!D2:D""),IMPORTRANGE(""1NK5L1mviMn0j3D3uo53ASkIZOFRlLnqaCTnwzOG2_Wg"",""Direct links Without Sizes!E2:E""))),"""")"),"")</f>
        <v/>
      </c>
      <c r="H785" s="41"/>
      <c r="I785" s="4"/>
      <c r="J785" s="4"/>
      <c r="K785" s="10" t="str">
        <f t="shared" si="1"/>
        <v/>
      </c>
      <c r="L785" s="10"/>
      <c r="M785" s="10" t="str">
        <f t="shared" si="2"/>
        <v/>
      </c>
    </row>
    <row r="786">
      <c r="A786" s="4"/>
      <c r="B786" s="15"/>
      <c r="C786" s="7" t="str">
        <f>IFERROR(__xludf.DUMMYFUNCTION("iferror(iferror(INDEX(IMPORTRANGE(""12vtnxaE_Q1s4tyr10kZQx7ZF_xG0lBFae4jQEUtgsMU"",""All!B2:B""),MATCH($B786,IMPORTRANGE(""12vtnxaE_Q1s4tyr10kZQx7ZF_xG0lBFae4jQEUtgsMU"",""All!A2:A""),0)),INDEX(IMPORTRANGE(""13KC70HngS4DDi8y9E5khtSpQEPG6owaQ9z4E-tR5mnY"","&amp;"""Non-Food!B2:B""),MATCH($B786,IMPORTRANGE(""13KC70HngS4DDi8y9E5khtSpQEPG6owaQ9z4E-tR5mnY"",""Non-Food!A2:A""),0))),"""")"),"")</f>
        <v/>
      </c>
      <c r="D786" s="15"/>
      <c r="E786" s="15"/>
      <c r="F786" s="36"/>
      <c r="G786" s="24" t="str">
        <f>IFERROR(__xludf.DUMMYFUNCTION("iferror(iferror(iferror(index(IMPORTRANGE(""1NK5L1mviMn0j3D3uo53ASkIZOFRlLnqaCTnwzOG2_Wg"",""Direct Link!B2:B""),MATCH($B786,IMPORTRANGE(""1NK5L1mviMn0j3D3uo53ASkIZOFRlLnqaCTnwzOG2_Wg"",""Direct Link!A2:A""),0)),XLOOKUP($B786,IMPORTRANGE(""1NK5L1mviMn0j3D"&amp;"3uo53ASkIZOFRlLnqaCTnwzOG2_Wg"",""Direct links Without Sizes!A2:A""),IMPORTRANGE(""1NK5L1mviMn0j3D3uo53ASkIZOFRlLnqaCTnwzOG2_Wg"",""Direct links Without Sizes!B2:B""))),XLOOKUP($B786,IMPORTRANGE(""1NK5L1mviMn0j3D3uo53ASkIZOFRlLnqaCTnwzOG2_Wg"",""Direct li"&amp;"nks Without Sizes!D2:D""),IMPORTRANGE(""1NK5L1mviMn0j3D3uo53ASkIZOFRlLnqaCTnwzOG2_Wg"",""Direct links Without Sizes!E2:E""))),"""")"),"")</f>
        <v/>
      </c>
      <c r="H786" s="41"/>
      <c r="I786" s="4"/>
      <c r="J786" s="4"/>
      <c r="K786" s="10" t="str">
        <f t="shared" si="1"/>
        <v/>
      </c>
      <c r="L786" s="10"/>
      <c r="M786" s="10" t="str">
        <f t="shared" si="2"/>
        <v/>
      </c>
    </row>
    <row r="787">
      <c r="A787" s="4"/>
      <c r="B787" s="15"/>
      <c r="C787" s="7" t="str">
        <f>IFERROR(__xludf.DUMMYFUNCTION("iferror(iferror(INDEX(IMPORTRANGE(""12vtnxaE_Q1s4tyr10kZQx7ZF_xG0lBFae4jQEUtgsMU"",""All!B2:B""),MATCH($B787,IMPORTRANGE(""12vtnxaE_Q1s4tyr10kZQx7ZF_xG0lBFae4jQEUtgsMU"",""All!A2:A""),0)),INDEX(IMPORTRANGE(""13KC70HngS4DDi8y9E5khtSpQEPG6owaQ9z4E-tR5mnY"","&amp;"""Non-Food!B2:B""),MATCH($B787,IMPORTRANGE(""13KC70HngS4DDi8y9E5khtSpQEPG6owaQ9z4E-tR5mnY"",""Non-Food!A2:A""),0))),"""")"),"")</f>
        <v/>
      </c>
      <c r="D787" s="15"/>
      <c r="E787" s="15"/>
      <c r="F787" s="36"/>
      <c r="G787" s="24" t="str">
        <f>IFERROR(__xludf.DUMMYFUNCTION("iferror(iferror(iferror(index(IMPORTRANGE(""1NK5L1mviMn0j3D3uo53ASkIZOFRlLnqaCTnwzOG2_Wg"",""Direct Link!B2:B""),MATCH($B787,IMPORTRANGE(""1NK5L1mviMn0j3D3uo53ASkIZOFRlLnqaCTnwzOG2_Wg"",""Direct Link!A2:A""),0)),XLOOKUP($B787,IMPORTRANGE(""1NK5L1mviMn0j3D"&amp;"3uo53ASkIZOFRlLnqaCTnwzOG2_Wg"",""Direct links Without Sizes!A2:A""),IMPORTRANGE(""1NK5L1mviMn0j3D3uo53ASkIZOFRlLnqaCTnwzOG2_Wg"",""Direct links Without Sizes!B2:B""))),XLOOKUP($B787,IMPORTRANGE(""1NK5L1mviMn0j3D3uo53ASkIZOFRlLnqaCTnwzOG2_Wg"",""Direct li"&amp;"nks Without Sizes!D2:D""),IMPORTRANGE(""1NK5L1mviMn0j3D3uo53ASkIZOFRlLnqaCTnwzOG2_Wg"",""Direct links Without Sizes!E2:E""))),"""")"),"")</f>
        <v/>
      </c>
      <c r="H787" s="41"/>
      <c r="I787" s="4"/>
      <c r="J787" s="4"/>
      <c r="K787" s="10" t="str">
        <f t="shared" si="1"/>
        <v/>
      </c>
      <c r="L787" s="10"/>
      <c r="M787" s="10" t="str">
        <f t="shared" si="2"/>
        <v/>
      </c>
    </row>
    <row r="788">
      <c r="A788" s="4"/>
      <c r="B788" s="15"/>
      <c r="C788" s="7" t="str">
        <f>IFERROR(__xludf.DUMMYFUNCTION("iferror(iferror(INDEX(IMPORTRANGE(""12vtnxaE_Q1s4tyr10kZQx7ZF_xG0lBFae4jQEUtgsMU"",""All!B2:B""),MATCH($B788,IMPORTRANGE(""12vtnxaE_Q1s4tyr10kZQx7ZF_xG0lBFae4jQEUtgsMU"",""All!A2:A""),0)),INDEX(IMPORTRANGE(""13KC70HngS4DDi8y9E5khtSpQEPG6owaQ9z4E-tR5mnY"","&amp;"""Non-Food!B2:B""),MATCH($B788,IMPORTRANGE(""13KC70HngS4DDi8y9E5khtSpQEPG6owaQ9z4E-tR5mnY"",""Non-Food!A2:A""),0))),"""")"),"")</f>
        <v/>
      </c>
      <c r="D788" s="15"/>
      <c r="E788" s="15"/>
      <c r="F788" s="36"/>
      <c r="G788" s="24" t="str">
        <f>IFERROR(__xludf.DUMMYFUNCTION("iferror(iferror(iferror(index(IMPORTRANGE(""1NK5L1mviMn0j3D3uo53ASkIZOFRlLnqaCTnwzOG2_Wg"",""Direct Link!B2:B""),MATCH($B788,IMPORTRANGE(""1NK5L1mviMn0j3D3uo53ASkIZOFRlLnqaCTnwzOG2_Wg"",""Direct Link!A2:A""),0)),XLOOKUP($B788,IMPORTRANGE(""1NK5L1mviMn0j3D"&amp;"3uo53ASkIZOFRlLnqaCTnwzOG2_Wg"",""Direct links Without Sizes!A2:A""),IMPORTRANGE(""1NK5L1mviMn0j3D3uo53ASkIZOFRlLnqaCTnwzOG2_Wg"",""Direct links Without Sizes!B2:B""))),XLOOKUP($B788,IMPORTRANGE(""1NK5L1mviMn0j3D3uo53ASkIZOFRlLnqaCTnwzOG2_Wg"",""Direct li"&amp;"nks Without Sizes!D2:D""),IMPORTRANGE(""1NK5L1mviMn0j3D3uo53ASkIZOFRlLnqaCTnwzOG2_Wg"",""Direct links Without Sizes!E2:E""))),"""")"),"")</f>
        <v/>
      </c>
      <c r="H788" s="41"/>
      <c r="I788" s="4"/>
      <c r="J788" s="4"/>
      <c r="K788" s="10" t="str">
        <f t="shared" si="1"/>
        <v/>
      </c>
      <c r="L788" s="10"/>
      <c r="M788" s="10" t="str">
        <f t="shared" si="2"/>
        <v/>
      </c>
    </row>
    <row r="789">
      <c r="A789" s="4"/>
      <c r="B789" s="15"/>
      <c r="C789" s="7" t="str">
        <f>IFERROR(__xludf.DUMMYFUNCTION("iferror(iferror(INDEX(IMPORTRANGE(""12vtnxaE_Q1s4tyr10kZQx7ZF_xG0lBFae4jQEUtgsMU"",""All!B2:B""),MATCH($B789,IMPORTRANGE(""12vtnxaE_Q1s4tyr10kZQx7ZF_xG0lBFae4jQEUtgsMU"",""All!A2:A""),0)),INDEX(IMPORTRANGE(""13KC70HngS4DDi8y9E5khtSpQEPG6owaQ9z4E-tR5mnY"","&amp;"""Non-Food!B2:B""),MATCH($B789,IMPORTRANGE(""13KC70HngS4DDi8y9E5khtSpQEPG6owaQ9z4E-tR5mnY"",""Non-Food!A2:A""),0))),"""")"),"")</f>
        <v/>
      </c>
      <c r="D789" s="15"/>
      <c r="E789" s="15"/>
      <c r="F789" s="36"/>
      <c r="G789" s="24" t="str">
        <f>IFERROR(__xludf.DUMMYFUNCTION("iferror(iferror(iferror(index(IMPORTRANGE(""1NK5L1mviMn0j3D3uo53ASkIZOFRlLnqaCTnwzOG2_Wg"",""Direct Link!B2:B""),MATCH($B789,IMPORTRANGE(""1NK5L1mviMn0j3D3uo53ASkIZOFRlLnqaCTnwzOG2_Wg"",""Direct Link!A2:A""),0)),XLOOKUP($B789,IMPORTRANGE(""1NK5L1mviMn0j3D"&amp;"3uo53ASkIZOFRlLnqaCTnwzOG2_Wg"",""Direct links Without Sizes!A2:A""),IMPORTRANGE(""1NK5L1mviMn0j3D3uo53ASkIZOFRlLnqaCTnwzOG2_Wg"",""Direct links Without Sizes!B2:B""))),XLOOKUP($B789,IMPORTRANGE(""1NK5L1mviMn0j3D3uo53ASkIZOFRlLnqaCTnwzOG2_Wg"",""Direct li"&amp;"nks Without Sizes!D2:D""),IMPORTRANGE(""1NK5L1mviMn0j3D3uo53ASkIZOFRlLnqaCTnwzOG2_Wg"",""Direct links Without Sizes!E2:E""))),"""")"),"")</f>
        <v/>
      </c>
      <c r="H789" s="41"/>
      <c r="I789" s="4"/>
      <c r="J789" s="4"/>
      <c r="K789" s="10" t="str">
        <f t="shared" si="1"/>
        <v/>
      </c>
      <c r="L789" s="10"/>
      <c r="M789" s="10" t="str">
        <f t="shared" si="2"/>
        <v/>
      </c>
    </row>
    <row r="790">
      <c r="A790" s="4"/>
      <c r="B790" s="15"/>
      <c r="C790" s="7" t="str">
        <f>IFERROR(__xludf.DUMMYFUNCTION("iferror(iferror(INDEX(IMPORTRANGE(""12vtnxaE_Q1s4tyr10kZQx7ZF_xG0lBFae4jQEUtgsMU"",""All!B2:B""),MATCH($B790,IMPORTRANGE(""12vtnxaE_Q1s4tyr10kZQx7ZF_xG0lBFae4jQEUtgsMU"",""All!A2:A""),0)),INDEX(IMPORTRANGE(""13KC70HngS4DDi8y9E5khtSpQEPG6owaQ9z4E-tR5mnY"","&amp;"""Non-Food!B2:B""),MATCH($B790,IMPORTRANGE(""13KC70HngS4DDi8y9E5khtSpQEPG6owaQ9z4E-tR5mnY"",""Non-Food!A2:A""),0))),"""")"),"")</f>
        <v/>
      </c>
      <c r="D790" s="15"/>
      <c r="E790" s="15"/>
      <c r="F790" s="36"/>
      <c r="G790" s="24" t="str">
        <f>IFERROR(__xludf.DUMMYFUNCTION("iferror(iferror(iferror(index(IMPORTRANGE(""1NK5L1mviMn0j3D3uo53ASkIZOFRlLnqaCTnwzOG2_Wg"",""Direct Link!B2:B""),MATCH($B790,IMPORTRANGE(""1NK5L1mviMn0j3D3uo53ASkIZOFRlLnqaCTnwzOG2_Wg"",""Direct Link!A2:A""),0)),XLOOKUP($B790,IMPORTRANGE(""1NK5L1mviMn0j3D"&amp;"3uo53ASkIZOFRlLnqaCTnwzOG2_Wg"",""Direct links Without Sizes!A2:A""),IMPORTRANGE(""1NK5L1mviMn0j3D3uo53ASkIZOFRlLnqaCTnwzOG2_Wg"",""Direct links Without Sizes!B2:B""))),XLOOKUP($B790,IMPORTRANGE(""1NK5L1mviMn0j3D3uo53ASkIZOFRlLnqaCTnwzOG2_Wg"",""Direct li"&amp;"nks Without Sizes!D2:D""),IMPORTRANGE(""1NK5L1mviMn0j3D3uo53ASkIZOFRlLnqaCTnwzOG2_Wg"",""Direct links Without Sizes!E2:E""))),"""")"),"")</f>
        <v/>
      </c>
      <c r="H790" s="41"/>
      <c r="I790" s="4"/>
      <c r="J790" s="4"/>
      <c r="K790" s="10" t="str">
        <f t="shared" si="1"/>
        <v/>
      </c>
      <c r="L790" s="10"/>
      <c r="M790" s="10" t="str">
        <f t="shared" si="2"/>
        <v/>
      </c>
    </row>
    <row r="791">
      <c r="A791" s="4"/>
      <c r="B791" s="15"/>
      <c r="C791" s="7" t="str">
        <f>IFERROR(__xludf.DUMMYFUNCTION("iferror(iferror(INDEX(IMPORTRANGE(""12vtnxaE_Q1s4tyr10kZQx7ZF_xG0lBFae4jQEUtgsMU"",""All!B2:B""),MATCH($B791,IMPORTRANGE(""12vtnxaE_Q1s4tyr10kZQx7ZF_xG0lBFae4jQEUtgsMU"",""All!A2:A""),0)),INDEX(IMPORTRANGE(""13KC70HngS4DDi8y9E5khtSpQEPG6owaQ9z4E-tR5mnY"","&amp;"""Non-Food!B2:B""),MATCH($B791,IMPORTRANGE(""13KC70HngS4DDi8y9E5khtSpQEPG6owaQ9z4E-tR5mnY"",""Non-Food!A2:A""),0))),"""")"),"")</f>
        <v/>
      </c>
      <c r="D791" s="15"/>
      <c r="E791" s="15"/>
      <c r="F791" s="36"/>
      <c r="G791" s="24" t="str">
        <f>IFERROR(__xludf.DUMMYFUNCTION("iferror(iferror(iferror(index(IMPORTRANGE(""1NK5L1mviMn0j3D3uo53ASkIZOFRlLnqaCTnwzOG2_Wg"",""Direct Link!B2:B""),MATCH($B791,IMPORTRANGE(""1NK5L1mviMn0j3D3uo53ASkIZOFRlLnqaCTnwzOG2_Wg"",""Direct Link!A2:A""),0)),XLOOKUP($B791,IMPORTRANGE(""1NK5L1mviMn0j3D"&amp;"3uo53ASkIZOFRlLnqaCTnwzOG2_Wg"",""Direct links Without Sizes!A2:A""),IMPORTRANGE(""1NK5L1mviMn0j3D3uo53ASkIZOFRlLnqaCTnwzOG2_Wg"",""Direct links Without Sizes!B2:B""))),XLOOKUP($B791,IMPORTRANGE(""1NK5L1mviMn0j3D3uo53ASkIZOFRlLnqaCTnwzOG2_Wg"",""Direct li"&amp;"nks Without Sizes!D2:D""),IMPORTRANGE(""1NK5L1mviMn0j3D3uo53ASkIZOFRlLnqaCTnwzOG2_Wg"",""Direct links Without Sizes!E2:E""))),"""")"),"")</f>
        <v/>
      </c>
      <c r="H791" s="41"/>
      <c r="I791" s="4"/>
      <c r="J791" s="4"/>
      <c r="K791" s="10" t="str">
        <f t="shared" si="1"/>
        <v/>
      </c>
      <c r="L791" s="10"/>
      <c r="M791" s="10" t="str">
        <f t="shared" si="2"/>
        <v/>
      </c>
    </row>
    <row r="792">
      <c r="A792" s="4"/>
      <c r="B792" s="15"/>
      <c r="C792" s="7" t="str">
        <f>IFERROR(__xludf.DUMMYFUNCTION("iferror(iferror(INDEX(IMPORTRANGE(""12vtnxaE_Q1s4tyr10kZQx7ZF_xG0lBFae4jQEUtgsMU"",""All!B2:B""),MATCH($B792,IMPORTRANGE(""12vtnxaE_Q1s4tyr10kZQx7ZF_xG0lBFae4jQEUtgsMU"",""All!A2:A""),0)),INDEX(IMPORTRANGE(""13KC70HngS4DDi8y9E5khtSpQEPG6owaQ9z4E-tR5mnY"","&amp;"""Non-Food!B2:B""),MATCH($B792,IMPORTRANGE(""13KC70HngS4DDi8y9E5khtSpQEPG6owaQ9z4E-tR5mnY"",""Non-Food!A2:A""),0))),"""")"),"")</f>
        <v/>
      </c>
      <c r="D792" s="15"/>
      <c r="E792" s="15"/>
      <c r="F792" s="36"/>
      <c r="G792" s="24" t="str">
        <f>IFERROR(__xludf.DUMMYFUNCTION("iferror(iferror(iferror(index(IMPORTRANGE(""1NK5L1mviMn0j3D3uo53ASkIZOFRlLnqaCTnwzOG2_Wg"",""Direct Link!B2:B""),MATCH($B792,IMPORTRANGE(""1NK5L1mviMn0j3D3uo53ASkIZOFRlLnqaCTnwzOG2_Wg"",""Direct Link!A2:A""),0)),XLOOKUP($B792,IMPORTRANGE(""1NK5L1mviMn0j3D"&amp;"3uo53ASkIZOFRlLnqaCTnwzOG2_Wg"",""Direct links Without Sizes!A2:A""),IMPORTRANGE(""1NK5L1mviMn0j3D3uo53ASkIZOFRlLnqaCTnwzOG2_Wg"",""Direct links Without Sizes!B2:B""))),XLOOKUP($B792,IMPORTRANGE(""1NK5L1mviMn0j3D3uo53ASkIZOFRlLnqaCTnwzOG2_Wg"",""Direct li"&amp;"nks Without Sizes!D2:D""),IMPORTRANGE(""1NK5L1mviMn0j3D3uo53ASkIZOFRlLnqaCTnwzOG2_Wg"",""Direct links Without Sizes!E2:E""))),"""")"),"")</f>
        <v/>
      </c>
      <c r="H792" s="41"/>
      <c r="I792" s="4"/>
      <c r="J792" s="4"/>
      <c r="K792" s="10" t="str">
        <f t="shared" si="1"/>
        <v/>
      </c>
      <c r="L792" s="10"/>
      <c r="M792" s="10" t="str">
        <f t="shared" si="2"/>
        <v/>
      </c>
    </row>
    <row r="793">
      <c r="A793" s="4"/>
      <c r="B793" s="15"/>
      <c r="C793" s="7" t="str">
        <f>IFERROR(__xludf.DUMMYFUNCTION("iferror(iferror(INDEX(IMPORTRANGE(""12vtnxaE_Q1s4tyr10kZQx7ZF_xG0lBFae4jQEUtgsMU"",""All!B2:B""),MATCH($B793,IMPORTRANGE(""12vtnxaE_Q1s4tyr10kZQx7ZF_xG0lBFae4jQEUtgsMU"",""All!A2:A""),0)),INDEX(IMPORTRANGE(""13KC70HngS4DDi8y9E5khtSpQEPG6owaQ9z4E-tR5mnY"","&amp;"""Non-Food!B2:B""),MATCH($B793,IMPORTRANGE(""13KC70HngS4DDi8y9E5khtSpQEPG6owaQ9z4E-tR5mnY"",""Non-Food!A2:A""),0))),"""")"),"")</f>
        <v/>
      </c>
      <c r="D793" s="15"/>
      <c r="E793" s="15"/>
      <c r="F793" s="36"/>
      <c r="G793" s="24" t="str">
        <f>IFERROR(__xludf.DUMMYFUNCTION("iferror(iferror(iferror(index(IMPORTRANGE(""1NK5L1mviMn0j3D3uo53ASkIZOFRlLnqaCTnwzOG2_Wg"",""Direct Link!B2:B""),MATCH($B793,IMPORTRANGE(""1NK5L1mviMn0j3D3uo53ASkIZOFRlLnqaCTnwzOG2_Wg"",""Direct Link!A2:A""),0)),XLOOKUP($B793,IMPORTRANGE(""1NK5L1mviMn0j3D"&amp;"3uo53ASkIZOFRlLnqaCTnwzOG2_Wg"",""Direct links Without Sizes!A2:A""),IMPORTRANGE(""1NK5L1mviMn0j3D3uo53ASkIZOFRlLnqaCTnwzOG2_Wg"",""Direct links Without Sizes!B2:B""))),XLOOKUP($B793,IMPORTRANGE(""1NK5L1mviMn0j3D3uo53ASkIZOFRlLnqaCTnwzOG2_Wg"",""Direct li"&amp;"nks Without Sizes!D2:D""),IMPORTRANGE(""1NK5L1mviMn0j3D3uo53ASkIZOFRlLnqaCTnwzOG2_Wg"",""Direct links Without Sizes!E2:E""))),"""")"),"")</f>
        <v/>
      </c>
      <c r="H793" s="41"/>
      <c r="I793" s="4"/>
      <c r="J793" s="4"/>
      <c r="K793" s="10" t="str">
        <f t="shared" si="1"/>
        <v/>
      </c>
      <c r="L793" s="10"/>
      <c r="M793" s="10" t="str">
        <f t="shared" si="2"/>
        <v/>
      </c>
    </row>
    <row r="794">
      <c r="A794" s="4"/>
      <c r="B794" s="15"/>
      <c r="C794" s="7" t="str">
        <f>IFERROR(__xludf.DUMMYFUNCTION("iferror(iferror(INDEX(IMPORTRANGE(""12vtnxaE_Q1s4tyr10kZQx7ZF_xG0lBFae4jQEUtgsMU"",""All!B2:B""),MATCH($B794,IMPORTRANGE(""12vtnxaE_Q1s4tyr10kZQx7ZF_xG0lBFae4jQEUtgsMU"",""All!A2:A""),0)),INDEX(IMPORTRANGE(""13KC70HngS4DDi8y9E5khtSpQEPG6owaQ9z4E-tR5mnY"","&amp;"""Non-Food!B2:B""),MATCH($B794,IMPORTRANGE(""13KC70HngS4DDi8y9E5khtSpQEPG6owaQ9z4E-tR5mnY"",""Non-Food!A2:A""),0))),"""")"),"")</f>
        <v/>
      </c>
      <c r="D794" s="15"/>
      <c r="E794" s="15"/>
      <c r="F794" s="36"/>
      <c r="G794" s="24" t="str">
        <f>IFERROR(__xludf.DUMMYFUNCTION("iferror(iferror(iferror(index(IMPORTRANGE(""1NK5L1mviMn0j3D3uo53ASkIZOFRlLnqaCTnwzOG2_Wg"",""Direct Link!B2:B""),MATCH($B794,IMPORTRANGE(""1NK5L1mviMn0j3D3uo53ASkIZOFRlLnqaCTnwzOG2_Wg"",""Direct Link!A2:A""),0)),XLOOKUP($B794,IMPORTRANGE(""1NK5L1mviMn0j3D"&amp;"3uo53ASkIZOFRlLnqaCTnwzOG2_Wg"",""Direct links Without Sizes!A2:A""),IMPORTRANGE(""1NK5L1mviMn0j3D3uo53ASkIZOFRlLnqaCTnwzOG2_Wg"",""Direct links Without Sizes!B2:B""))),XLOOKUP($B794,IMPORTRANGE(""1NK5L1mviMn0j3D3uo53ASkIZOFRlLnqaCTnwzOG2_Wg"",""Direct li"&amp;"nks Without Sizes!D2:D""),IMPORTRANGE(""1NK5L1mviMn0j3D3uo53ASkIZOFRlLnqaCTnwzOG2_Wg"",""Direct links Without Sizes!E2:E""))),"""")"),"")</f>
        <v/>
      </c>
      <c r="H794" s="41"/>
      <c r="I794" s="4"/>
      <c r="J794" s="4"/>
      <c r="K794" s="10" t="str">
        <f t="shared" si="1"/>
        <v/>
      </c>
      <c r="L794" s="10"/>
      <c r="M794" s="10" t="str">
        <f t="shared" si="2"/>
        <v/>
      </c>
    </row>
    <row r="795">
      <c r="A795" s="4"/>
      <c r="B795" s="15"/>
      <c r="C795" s="7" t="str">
        <f>IFERROR(__xludf.DUMMYFUNCTION("iferror(iferror(INDEX(IMPORTRANGE(""12vtnxaE_Q1s4tyr10kZQx7ZF_xG0lBFae4jQEUtgsMU"",""All!B2:B""),MATCH($B795,IMPORTRANGE(""12vtnxaE_Q1s4tyr10kZQx7ZF_xG0lBFae4jQEUtgsMU"",""All!A2:A""),0)),INDEX(IMPORTRANGE(""13KC70HngS4DDi8y9E5khtSpQEPG6owaQ9z4E-tR5mnY"","&amp;"""Non-Food!B2:B""),MATCH($B795,IMPORTRANGE(""13KC70HngS4DDi8y9E5khtSpQEPG6owaQ9z4E-tR5mnY"",""Non-Food!A2:A""),0))),"""")"),"")</f>
        <v/>
      </c>
      <c r="D795" s="15"/>
      <c r="E795" s="15"/>
      <c r="F795" s="36"/>
      <c r="G795" s="24" t="str">
        <f>IFERROR(__xludf.DUMMYFUNCTION("iferror(iferror(iferror(index(IMPORTRANGE(""1NK5L1mviMn0j3D3uo53ASkIZOFRlLnqaCTnwzOG2_Wg"",""Direct Link!B2:B""),MATCH($B795,IMPORTRANGE(""1NK5L1mviMn0j3D3uo53ASkIZOFRlLnqaCTnwzOG2_Wg"",""Direct Link!A2:A""),0)),XLOOKUP($B795,IMPORTRANGE(""1NK5L1mviMn0j3D"&amp;"3uo53ASkIZOFRlLnqaCTnwzOG2_Wg"",""Direct links Without Sizes!A2:A""),IMPORTRANGE(""1NK5L1mviMn0j3D3uo53ASkIZOFRlLnqaCTnwzOG2_Wg"",""Direct links Without Sizes!B2:B""))),XLOOKUP($B795,IMPORTRANGE(""1NK5L1mviMn0j3D3uo53ASkIZOFRlLnqaCTnwzOG2_Wg"",""Direct li"&amp;"nks Without Sizes!D2:D""),IMPORTRANGE(""1NK5L1mviMn0j3D3uo53ASkIZOFRlLnqaCTnwzOG2_Wg"",""Direct links Without Sizes!E2:E""))),"""")"),"")</f>
        <v/>
      </c>
      <c r="H795" s="41"/>
      <c r="I795" s="4"/>
      <c r="J795" s="4"/>
      <c r="K795" s="10" t="str">
        <f t="shared" si="1"/>
        <v/>
      </c>
      <c r="L795" s="10"/>
      <c r="M795" s="10" t="str">
        <f t="shared" si="2"/>
        <v/>
      </c>
    </row>
    <row r="796">
      <c r="A796" s="4"/>
      <c r="B796" s="15"/>
      <c r="C796" s="7" t="str">
        <f>IFERROR(__xludf.DUMMYFUNCTION("iferror(iferror(INDEX(IMPORTRANGE(""12vtnxaE_Q1s4tyr10kZQx7ZF_xG0lBFae4jQEUtgsMU"",""All!B2:B""),MATCH($B796,IMPORTRANGE(""12vtnxaE_Q1s4tyr10kZQx7ZF_xG0lBFae4jQEUtgsMU"",""All!A2:A""),0)),INDEX(IMPORTRANGE(""13KC70HngS4DDi8y9E5khtSpQEPG6owaQ9z4E-tR5mnY"","&amp;"""Non-Food!B2:B""),MATCH($B796,IMPORTRANGE(""13KC70HngS4DDi8y9E5khtSpQEPG6owaQ9z4E-tR5mnY"",""Non-Food!A2:A""),0))),"""")"),"")</f>
        <v/>
      </c>
      <c r="D796" s="15"/>
      <c r="E796" s="15"/>
      <c r="F796" s="36"/>
      <c r="G796" s="24" t="str">
        <f>IFERROR(__xludf.DUMMYFUNCTION("iferror(iferror(iferror(index(IMPORTRANGE(""1NK5L1mviMn0j3D3uo53ASkIZOFRlLnqaCTnwzOG2_Wg"",""Direct Link!B2:B""),MATCH($B796,IMPORTRANGE(""1NK5L1mviMn0j3D3uo53ASkIZOFRlLnqaCTnwzOG2_Wg"",""Direct Link!A2:A""),0)),XLOOKUP($B796,IMPORTRANGE(""1NK5L1mviMn0j3D"&amp;"3uo53ASkIZOFRlLnqaCTnwzOG2_Wg"",""Direct links Without Sizes!A2:A""),IMPORTRANGE(""1NK5L1mviMn0j3D3uo53ASkIZOFRlLnqaCTnwzOG2_Wg"",""Direct links Without Sizes!B2:B""))),XLOOKUP($B796,IMPORTRANGE(""1NK5L1mviMn0j3D3uo53ASkIZOFRlLnqaCTnwzOG2_Wg"",""Direct li"&amp;"nks Without Sizes!D2:D""),IMPORTRANGE(""1NK5L1mviMn0j3D3uo53ASkIZOFRlLnqaCTnwzOG2_Wg"",""Direct links Without Sizes!E2:E""))),"""")"),"")</f>
        <v/>
      </c>
      <c r="H796" s="41"/>
      <c r="I796" s="4"/>
      <c r="J796" s="4"/>
      <c r="K796" s="10" t="str">
        <f t="shared" si="1"/>
        <v/>
      </c>
      <c r="L796" s="10"/>
      <c r="M796" s="10" t="str">
        <f t="shared" si="2"/>
        <v/>
      </c>
    </row>
    <row r="797">
      <c r="A797" s="4"/>
      <c r="B797" s="15"/>
      <c r="C797" s="7" t="str">
        <f>IFERROR(__xludf.DUMMYFUNCTION("iferror(iferror(INDEX(IMPORTRANGE(""12vtnxaE_Q1s4tyr10kZQx7ZF_xG0lBFae4jQEUtgsMU"",""All!B2:B""),MATCH($B797,IMPORTRANGE(""12vtnxaE_Q1s4tyr10kZQx7ZF_xG0lBFae4jQEUtgsMU"",""All!A2:A""),0)),INDEX(IMPORTRANGE(""13KC70HngS4DDi8y9E5khtSpQEPG6owaQ9z4E-tR5mnY"","&amp;"""Non-Food!B2:B""),MATCH($B797,IMPORTRANGE(""13KC70HngS4DDi8y9E5khtSpQEPG6owaQ9z4E-tR5mnY"",""Non-Food!A2:A""),0))),"""")"),"")</f>
        <v/>
      </c>
      <c r="D797" s="15"/>
      <c r="E797" s="15"/>
      <c r="F797" s="36"/>
      <c r="G797" s="24" t="str">
        <f>IFERROR(__xludf.DUMMYFUNCTION("iferror(iferror(iferror(index(IMPORTRANGE(""1NK5L1mviMn0j3D3uo53ASkIZOFRlLnqaCTnwzOG2_Wg"",""Direct Link!B2:B""),MATCH($B797,IMPORTRANGE(""1NK5L1mviMn0j3D3uo53ASkIZOFRlLnqaCTnwzOG2_Wg"",""Direct Link!A2:A""),0)),XLOOKUP($B797,IMPORTRANGE(""1NK5L1mviMn0j3D"&amp;"3uo53ASkIZOFRlLnqaCTnwzOG2_Wg"",""Direct links Without Sizes!A2:A""),IMPORTRANGE(""1NK5L1mviMn0j3D3uo53ASkIZOFRlLnqaCTnwzOG2_Wg"",""Direct links Without Sizes!B2:B""))),XLOOKUP($B797,IMPORTRANGE(""1NK5L1mviMn0j3D3uo53ASkIZOFRlLnqaCTnwzOG2_Wg"",""Direct li"&amp;"nks Without Sizes!D2:D""),IMPORTRANGE(""1NK5L1mviMn0j3D3uo53ASkIZOFRlLnqaCTnwzOG2_Wg"",""Direct links Without Sizes!E2:E""))),"""")"),"")</f>
        <v/>
      </c>
      <c r="H797" s="41"/>
      <c r="I797" s="4"/>
      <c r="J797" s="4"/>
      <c r="K797" s="10" t="str">
        <f t="shared" si="1"/>
        <v/>
      </c>
      <c r="L797" s="10"/>
      <c r="M797" s="10" t="str">
        <f t="shared" si="2"/>
        <v/>
      </c>
    </row>
    <row r="798">
      <c r="A798" s="4"/>
      <c r="B798" s="15"/>
      <c r="C798" s="7" t="str">
        <f>IFERROR(__xludf.DUMMYFUNCTION("iferror(iferror(INDEX(IMPORTRANGE(""12vtnxaE_Q1s4tyr10kZQx7ZF_xG0lBFae4jQEUtgsMU"",""All!B2:B""),MATCH($B798,IMPORTRANGE(""12vtnxaE_Q1s4tyr10kZQx7ZF_xG0lBFae4jQEUtgsMU"",""All!A2:A""),0)),INDEX(IMPORTRANGE(""13KC70HngS4DDi8y9E5khtSpQEPG6owaQ9z4E-tR5mnY"","&amp;"""Non-Food!B2:B""),MATCH($B798,IMPORTRANGE(""13KC70HngS4DDi8y9E5khtSpQEPG6owaQ9z4E-tR5mnY"",""Non-Food!A2:A""),0))),"""")"),"")</f>
        <v/>
      </c>
      <c r="D798" s="15"/>
      <c r="E798" s="15"/>
      <c r="F798" s="36"/>
      <c r="G798" s="24" t="str">
        <f>IFERROR(__xludf.DUMMYFUNCTION("iferror(iferror(iferror(index(IMPORTRANGE(""1NK5L1mviMn0j3D3uo53ASkIZOFRlLnqaCTnwzOG2_Wg"",""Direct Link!B2:B""),MATCH($B798,IMPORTRANGE(""1NK5L1mviMn0j3D3uo53ASkIZOFRlLnqaCTnwzOG2_Wg"",""Direct Link!A2:A""),0)),XLOOKUP($B798,IMPORTRANGE(""1NK5L1mviMn0j3D"&amp;"3uo53ASkIZOFRlLnqaCTnwzOG2_Wg"",""Direct links Without Sizes!A2:A""),IMPORTRANGE(""1NK5L1mviMn0j3D3uo53ASkIZOFRlLnqaCTnwzOG2_Wg"",""Direct links Without Sizes!B2:B""))),XLOOKUP($B798,IMPORTRANGE(""1NK5L1mviMn0j3D3uo53ASkIZOFRlLnqaCTnwzOG2_Wg"",""Direct li"&amp;"nks Without Sizes!D2:D""),IMPORTRANGE(""1NK5L1mviMn0j3D3uo53ASkIZOFRlLnqaCTnwzOG2_Wg"",""Direct links Without Sizes!E2:E""))),"""")"),"")</f>
        <v/>
      </c>
      <c r="H798" s="41"/>
      <c r="I798" s="4"/>
      <c r="J798" s="4"/>
      <c r="K798" s="10" t="str">
        <f t="shared" si="1"/>
        <v/>
      </c>
      <c r="L798" s="10"/>
      <c r="M798" s="10" t="str">
        <f t="shared" si="2"/>
        <v/>
      </c>
    </row>
    <row r="799">
      <c r="A799" s="4"/>
      <c r="B799" s="15"/>
      <c r="C799" s="7" t="str">
        <f>IFERROR(__xludf.DUMMYFUNCTION("iferror(iferror(INDEX(IMPORTRANGE(""12vtnxaE_Q1s4tyr10kZQx7ZF_xG0lBFae4jQEUtgsMU"",""All!B2:B""),MATCH($B799,IMPORTRANGE(""12vtnxaE_Q1s4tyr10kZQx7ZF_xG0lBFae4jQEUtgsMU"",""All!A2:A""),0)),INDEX(IMPORTRANGE(""13KC70HngS4DDi8y9E5khtSpQEPG6owaQ9z4E-tR5mnY"","&amp;"""Non-Food!B2:B""),MATCH($B799,IMPORTRANGE(""13KC70HngS4DDi8y9E5khtSpQEPG6owaQ9z4E-tR5mnY"",""Non-Food!A2:A""),0))),"""")"),"")</f>
        <v/>
      </c>
      <c r="D799" s="15"/>
      <c r="E799" s="15"/>
      <c r="F799" s="36"/>
      <c r="G799" s="24" t="str">
        <f>IFERROR(__xludf.DUMMYFUNCTION("iferror(iferror(iferror(index(IMPORTRANGE(""1NK5L1mviMn0j3D3uo53ASkIZOFRlLnqaCTnwzOG2_Wg"",""Direct Link!B2:B""),MATCH($B799,IMPORTRANGE(""1NK5L1mviMn0j3D3uo53ASkIZOFRlLnqaCTnwzOG2_Wg"",""Direct Link!A2:A""),0)),XLOOKUP($B799,IMPORTRANGE(""1NK5L1mviMn0j3D"&amp;"3uo53ASkIZOFRlLnqaCTnwzOG2_Wg"",""Direct links Without Sizes!A2:A""),IMPORTRANGE(""1NK5L1mviMn0j3D3uo53ASkIZOFRlLnqaCTnwzOG2_Wg"",""Direct links Without Sizes!B2:B""))),XLOOKUP($B799,IMPORTRANGE(""1NK5L1mviMn0j3D3uo53ASkIZOFRlLnqaCTnwzOG2_Wg"",""Direct li"&amp;"nks Without Sizes!D2:D""),IMPORTRANGE(""1NK5L1mviMn0j3D3uo53ASkIZOFRlLnqaCTnwzOG2_Wg"",""Direct links Without Sizes!E2:E""))),"""")"),"")</f>
        <v/>
      </c>
      <c r="H799" s="41"/>
      <c r="I799" s="4"/>
      <c r="J799" s="4"/>
      <c r="K799" s="10" t="str">
        <f t="shared" si="1"/>
        <v/>
      </c>
      <c r="L799" s="10"/>
      <c r="M799" s="10" t="str">
        <f t="shared" si="2"/>
        <v/>
      </c>
    </row>
    <row r="800">
      <c r="A800" s="4"/>
      <c r="B800" s="15"/>
      <c r="C800" s="7" t="str">
        <f>IFERROR(__xludf.DUMMYFUNCTION("iferror(iferror(INDEX(IMPORTRANGE(""12vtnxaE_Q1s4tyr10kZQx7ZF_xG0lBFae4jQEUtgsMU"",""All!B2:B""),MATCH($B800,IMPORTRANGE(""12vtnxaE_Q1s4tyr10kZQx7ZF_xG0lBFae4jQEUtgsMU"",""All!A2:A""),0)),INDEX(IMPORTRANGE(""13KC70HngS4DDi8y9E5khtSpQEPG6owaQ9z4E-tR5mnY"","&amp;"""Non-Food!B2:B""),MATCH($B800,IMPORTRANGE(""13KC70HngS4DDi8y9E5khtSpQEPG6owaQ9z4E-tR5mnY"",""Non-Food!A2:A""),0))),"""")"),"")</f>
        <v/>
      </c>
      <c r="D800" s="15"/>
      <c r="E800" s="15"/>
      <c r="F800" s="36"/>
      <c r="G800" s="24" t="str">
        <f>IFERROR(__xludf.DUMMYFUNCTION("iferror(iferror(iferror(index(IMPORTRANGE(""1NK5L1mviMn0j3D3uo53ASkIZOFRlLnqaCTnwzOG2_Wg"",""Direct Link!B2:B""),MATCH($B800,IMPORTRANGE(""1NK5L1mviMn0j3D3uo53ASkIZOFRlLnqaCTnwzOG2_Wg"",""Direct Link!A2:A""),0)),XLOOKUP($B800,IMPORTRANGE(""1NK5L1mviMn0j3D"&amp;"3uo53ASkIZOFRlLnqaCTnwzOG2_Wg"",""Direct links Without Sizes!A2:A""),IMPORTRANGE(""1NK5L1mviMn0j3D3uo53ASkIZOFRlLnqaCTnwzOG2_Wg"",""Direct links Without Sizes!B2:B""))),XLOOKUP($B800,IMPORTRANGE(""1NK5L1mviMn0j3D3uo53ASkIZOFRlLnqaCTnwzOG2_Wg"",""Direct li"&amp;"nks Without Sizes!D2:D""),IMPORTRANGE(""1NK5L1mviMn0j3D3uo53ASkIZOFRlLnqaCTnwzOG2_Wg"",""Direct links Without Sizes!E2:E""))),"""")"),"")</f>
        <v/>
      </c>
      <c r="H800" s="41"/>
      <c r="I800" s="4"/>
      <c r="J800" s="4"/>
      <c r="K800" s="10" t="str">
        <f t="shared" si="1"/>
        <v/>
      </c>
      <c r="L800" s="10"/>
      <c r="M800" s="10" t="str">
        <f t="shared" si="2"/>
        <v/>
      </c>
    </row>
    <row r="801">
      <c r="A801" s="4"/>
      <c r="B801" s="15"/>
      <c r="C801" s="7" t="str">
        <f>IFERROR(__xludf.DUMMYFUNCTION("iferror(iferror(INDEX(IMPORTRANGE(""12vtnxaE_Q1s4tyr10kZQx7ZF_xG0lBFae4jQEUtgsMU"",""All!B2:B""),MATCH($B801,IMPORTRANGE(""12vtnxaE_Q1s4tyr10kZQx7ZF_xG0lBFae4jQEUtgsMU"",""All!A2:A""),0)),INDEX(IMPORTRANGE(""13KC70HngS4DDi8y9E5khtSpQEPG6owaQ9z4E-tR5mnY"","&amp;"""Non-Food!B2:B""),MATCH($B801,IMPORTRANGE(""13KC70HngS4DDi8y9E5khtSpQEPG6owaQ9z4E-tR5mnY"",""Non-Food!A2:A""),0))),"""")"),"")</f>
        <v/>
      </c>
      <c r="D801" s="15"/>
      <c r="E801" s="15"/>
      <c r="F801" s="36"/>
      <c r="G801" s="24" t="str">
        <f>IFERROR(__xludf.DUMMYFUNCTION("iferror(iferror(iferror(index(IMPORTRANGE(""1NK5L1mviMn0j3D3uo53ASkIZOFRlLnqaCTnwzOG2_Wg"",""Direct Link!B2:B""),MATCH($B801,IMPORTRANGE(""1NK5L1mviMn0j3D3uo53ASkIZOFRlLnqaCTnwzOG2_Wg"",""Direct Link!A2:A""),0)),XLOOKUP($B801,IMPORTRANGE(""1NK5L1mviMn0j3D"&amp;"3uo53ASkIZOFRlLnqaCTnwzOG2_Wg"",""Direct links Without Sizes!A2:A""),IMPORTRANGE(""1NK5L1mviMn0j3D3uo53ASkIZOFRlLnqaCTnwzOG2_Wg"",""Direct links Without Sizes!B2:B""))),XLOOKUP($B801,IMPORTRANGE(""1NK5L1mviMn0j3D3uo53ASkIZOFRlLnqaCTnwzOG2_Wg"",""Direct li"&amp;"nks Without Sizes!D2:D""),IMPORTRANGE(""1NK5L1mviMn0j3D3uo53ASkIZOFRlLnqaCTnwzOG2_Wg"",""Direct links Without Sizes!E2:E""))),"""")"),"")</f>
        <v/>
      </c>
      <c r="H801" s="41"/>
      <c r="I801" s="4"/>
      <c r="J801" s="4"/>
      <c r="K801" s="10" t="str">
        <f t="shared" si="1"/>
        <v/>
      </c>
      <c r="L801" s="10"/>
      <c r="M801" s="10" t="str">
        <f t="shared" si="2"/>
        <v/>
      </c>
    </row>
    <row r="802">
      <c r="A802" s="4"/>
      <c r="B802" s="15"/>
      <c r="C802" s="7" t="str">
        <f>IFERROR(__xludf.DUMMYFUNCTION("iferror(iferror(INDEX(IMPORTRANGE(""12vtnxaE_Q1s4tyr10kZQx7ZF_xG0lBFae4jQEUtgsMU"",""All!B2:B""),MATCH($B802,IMPORTRANGE(""12vtnxaE_Q1s4tyr10kZQx7ZF_xG0lBFae4jQEUtgsMU"",""All!A2:A""),0)),INDEX(IMPORTRANGE(""13KC70HngS4DDi8y9E5khtSpQEPG6owaQ9z4E-tR5mnY"","&amp;"""Non-Food!B2:B""),MATCH($B802,IMPORTRANGE(""13KC70HngS4DDi8y9E5khtSpQEPG6owaQ9z4E-tR5mnY"",""Non-Food!A2:A""),0))),"""")"),"")</f>
        <v/>
      </c>
      <c r="D802" s="15"/>
      <c r="E802" s="15"/>
      <c r="F802" s="36"/>
      <c r="G802" s="24" t="str">
        <f>IFERROR(__xludf.DUMMYFUNCTION("iferror(iferror(iferror(index(IMPORTRANGE(""1NK5L1mviMn0j3D3uo53ASkIZOFRlLnqaCTnwzOG2_Wg"",""Direct Link!B2:B""),MATCH($B802,IMPORTRANGE(""1NK5L1mviMn0j3D3uo53ASkIZOFRlLnqaCTnwzOG2_Wg"",""Direct Link!A2:A""),0)),XLOOKUP($B802,IMPORTRANGE(""1NK5L1mviMn0j3D"&amp;"3uo53ASkIZOFRlLnqaCTnwzOG2_Wg"",""Direct links Without Sizes!A2:A""),IMPORTRANGE(""1NK5L1mviMn0j3D3uo53ASkIZOFRlLnqaCTnwzOG2_Wg"",""Direct links Without Sizes!B2:B""))),XLOOKUP($B802,IMPORTRANGE(""1NK5L1mviMn0j3D3uo53ASkIZOFRlLnqaCTnwzOG2_Wg"",""Direct li"&amp;"nks Without Sizes!D2:D""),IMPORTRANGE(""1NK5L1mviMn0j3D3uo53ASkIZOFRlLnqaCTnwzOG2_Wg"",""Direct links Without Sizes!E2:E""))),"""")"),"")</f>
        <v/>
      </c>
      <c r="H802" s="41"/>
      <c r="I802" s="4"/>
      <c r="J802" s="4"/>
      <c r="K802" s="10" t="str">
        <f t="shared" si="1"/>
        <v/>
      </c>
      <c r="L802" s="10"/>
      <c r="M802" s="10" t="str">
        <f t="shared" si="2"/>
        <v/>
      </c>
    </row>
    <row r="803">
      <c r="A803" s="4"/>
      <c r="B803" s="15"/>
      <c r="C803" s="7" t="str">
        <f>IFERROR(__xludf.DUMMYFUNCTION("iferror(iferror(INDEX(IMPORTRANGE(""12vtnxaE_Q1s4tyr10kZQx7ZF_xG0lBFae4jQEUtgsMU"",""All!B2:B""),MATCH($B803,IMPORTRANGE(""12vtnxaE_Q1s4tyr10kZQx7ZF_xG0lBFae4jQEUtgsMU"",""All!A2:A""),0)),INDEX(IMPORTRANGE(""13KC70HngS4DDi8y9E5khtSpQEPG6owaQ9z4E-tR5mnY"","&amp;"""Non-Food!B2:B""),MATCH($B803,IMPORTRANGE(""13KC70HngS4DDi8y9E5khtSpQEPG6owaQ9z4E-tR5mnY"",""Non-Food!A2:A""),0))),"""")"),"")</f>
        <v/>
      </c>
      <c r="D803" s="15"/>
      <c r="E803" s="15"/>
      <c r="F803" s="36"/>
      <c r="G803" s="24" t="str">
        <f>IFERROR(__xludf.DUMMYFUNCTION("iferror(iferror(iferror(index(IMPORTRANGE(""1NK5L1mviMn0j3D3uo53ASkIZOFRlLnqaCTnwzOG2_Wg"",""Direct Link!B2:B""),MATCH($B803,IMPORTRANGE(""1NK5L1mviMn0j3D3uo53ASkIZOFRlLnqaCTnwzOG2_Wg"",""Direct Link!A2:A""),0)),XLOOKUP($B803,IMPORTRANGE(""1NK5L1mviMn0j3D"&amp;"3uo53ASkIZOFRlLnqaCTnwzOG2_Wg"",""Direct links Without Sizes!A2:A""),IMPORTRANGE(""1NK5L1mviMn0j3D3uo53ASkIZOFRlLnqaCTnwzOG2_Wg"",""Direct links Without Sizes!B2:B""))),XLOOKUP($B803,IMPORTRANGE(""1NK5L1mviMn0j3D3uo53ASkIZOFRlLnqaCTnwzOG2_Wg"",""Direct li"&amp;"nks Without Sizes!D2:D""),IMPORTRANGE(""1NK5L1mviMn0j3D3uo53ASkIZOFRlLnqaCTnwzOG2_Wg"",""Direct links Without Sizes!E2:E""))),"""")"),"")</f>
        <v/>
      </c>
      <c r="H803" s="41"/>
      <c r="I803" s="4"/>
      <c r="J803" s="4"/>
      <c r="K803" s="10" t="str">
        <f t="shared" si="1"/>
        <v/>
      </c>
      <c r="L803" s="10"/>
      <c r="M803" s="10" t="str">
        <f t="shared" si="2"/>
        <v/>
      </c>
    </row>
    <row r="804">
      <c r="A804" s="4"/>
      <c r="B804" s="15"/>
      <c r="C804" s="7" t="str">
        <f>IFERROR(__xludf.DUMMYFUNCTION("iferror(iferror(INDEX(IMPORTRANGE(""12vtnxaE_Q1s4tyr10kZQx7ZF_xG0lBFae4jQEUtgsMU"",""All!B2:B""),MATCH($B804,IMPORTRANGE(""12vtnxaE_Q1s4tyr10kZQx7ZF_xG0lBFae4jQEUtgsMU"",""All!A2:A""),0)),INDEX(IMPORTRANGE(""13KC70HngS4DDi8y9E5khtSpQEPG6owaQ9z4E-tR5mnY"","&amp;"""Non-Food!B2:B""),MATCH($B804,IMPORTRANGE(""13KC70HngS4DDi8y9E5khtSpQEPG6owaQ9z4E-tR5mnY"",""Non-Food!A2:A""),0))),"""")"),"")</f>
        <v/>
      </c>
      <c r="D804" s="15"/>
      <c r="E804" s="15"/>
      <c r="F804" s="36"/>
      <c r="G804" s="24" t="str">
        <f>IFERROR(__xludf.DUMMYFUNCTION("iferror(iferror(iferror(index(IMPORTRANGE(""1NK5L1mviMn0j3D3uo53ASkIZOFRlLnqaCTnwzOG2_Wg"",""Direct Link!B2:B""),MATCH($B804,IMPORTRANGE(""1NK5L1mviMn0j3D3uo53ASkIZOFRlLnqaCTnwzOG2_Wg"",""Direct Link!A2:A""),0)),XLOOKUP($B804,IMPORTRANGE(""1NK5L1mviMn0j3D"&amp;"3uo53ASkIZOFRlLnqaCTnwzOG2_Wg"",""Direct links Without Sizes!A2:A""),IMPORTRANGE(""1NK5L1mviMn0j3D3uo53ASkIZOFRlLnqaCTnwzOG2_Wg"",""Direct links Without Sizes!B2:B""))),XLOOKUP($B804,IMPORTRANGE(""1NK5L1mviMn0j3D3uo53ASkIZOFRlLnqaCTnwzOG2_Wg"",""Direct li"&amp;"nks Without Sizes!D2:D""),IMPORTRANGE(""1NK5L1mviMn0j3D3uo53ASkIZOFRlLnqaCTnwzOG2_Wg"",""Direct links Without Sizes!E2:E""))),"""")"),"")</f>
        <v/>
      </c>
      <c r="H804" s="41"/>
      <c r="I804" s="4"/>
      <c r="J804" s="4"/>
      <c r="K804" s="10" t="str">
        <f t="shared" si="1"/>
        <v/>
      </c>
      <c r="L804" s="10"/>
      <c r="M804" s="10" t="str">
        <f t="shared" si="2"/>
        <v/>
      </c>
    </row>
    <row r="805">
      <c r="A805" s="4"/>
      <c r="B805" s="15"/>
      <c r="C805" s="7" t="str">
        <f>IFERROR(__xludf.DUMMYFUNCTION("iferror(iferror(INDEX(IMPORTRANGE(""12vtnxaE_Q1s4tyr10kZQx7ZF_xG0lBFae4jQEUtgsMU"",""All!B2:B""),MATCH($B805,IMPORTRANGE(""12vtnxaE_Q1s4tyr10kZQx7ZF_xG0lBFae4jQEUtgsMU"",""All!A2:A""),0)),INDEX(IMPORTRANGE(""13KC70HngS4DDi8y9E5khtSpQEPG6owaQ9z4E-tR5mnY"","&amp;"""Non-Food!B2:B""),MATCH($B805,IMPORTRANGE(""13KC70HngS4DDi8y9E5khtSpQEPG6owaQ9z4E-tR5mnY"",""Non-Food!A2:A""),0))),"""")"),"")</f>
        <v/>
      </c>
      <c r="D805" s="15"/>
      <c r="E805" s="15"/>
      <c r="F805" s="36"/>
      <c r="G805" s="24" t="str">
        <f>IFERROR(__xludf.DUMMYFUNCTION("iferror(iferror(iferror(index(IMPORTRANGE(""1NK5L1mviMn0j3D3uo53ASkIZOFRlLnqaCTnwzOG2_Wg"",""Direct Link!B2:B""),MATCH($B805,IMPORTRANGE(""1NK5L1mviMn0j3D3uo53ASkIZOFRlLnqaCTnwzOG2_Wg"",""Direct Link!A2:A""),0)),XLOOKUP($B805,IMPORTRANGE(""1NK5L1mviMn0j3D"&amp;"3uo53ASkIZOFRlLnqaCTnwzOG2_Wg"",""Direct links Without Sizes!A2:A""),IMPORTRANGE(""1NK5L1mviMn0j3D3uo53ASkIZOFRlLnqaCTnwzOG2_Wg"",""Direct links Without Sizes!B2:B""))),XLOOKUP($B805,IMPORTRANGE(""1NK5L1mviMn0j3D3uo53ASkIZOFRlLnqaCTnwzOG2_Wg"",""Direct li"&amp;"nks Without Sizes!D2:D""),IMPORTRANGE(""1NK5L1mviMn0j3D3uo53ASkIZOFRlLnqaCTnwzOG2_Wg"",""Direct links Without Sizes!E2:E""))),"""")"),"")</f>
        <v/>
      </c>
      <c r="H805" s="41"/>
      <c r="I805" s="4"/>
      <c r="J805" s="4"/>
      <c r="K805" s="10" t="str">
        <f t="shared" si="1"/>
        <v/>
      </c>
      <c r="L805" s="10"/>
      <c r="M805" s="10" t="str">
        <f t="shared" si="2"/>
        <v/>
      </c>
    </row>
    <row r="806">
      <c r="A806" s="4"/>
      <c r="B806" s="15"/>
      <c r="C806" s="7" t="str">
        <f>IFERROR(__xludf.DUMMYFUNCTION("iferror(iferror(INDEX(IMPORTRANGE(""12vtnxaE_Q1s4tyr10kZQx7ZF_xG0lBFae4jQEUtgsMU"",""All!B2:B""),MATCH($B806,IMPORTRANGE(""12vtnxaE_Q1s4tyr10kZQx7ZF_xG0lBFae4jQEUtgsMU"",""All!A2:A""),0)),INDEX(IMPORTRANGE(""13KC70HngS4DDi8y9E5khtSpQEPG6owaQ9z4E-tR5mnY"","&amp;"""Non-Food!B2:B""),MATCH($B806,IMPORTRANGE(""13KC70HngS4DDi8y9E5khtSpQEPG6owaQ9z4E-tR5mnY"",""Non-Food!A2:A""),0))),"""")"),"")</f>
        <v/>
      </c>
      <c r="D806" s="15"/>
      <c r="E806" s="15"/>
      <c r="F806" s="36"/>
      <c r="G806" s="24" t="str">
        <f>IFERROR(__xludf.DUMMYFUNCTION("iferror(iferror(iferror(index(IMPORTRANGE(""1NK5L1mviMn0j3D3uo53ASkIZOFRlLnqaCTnwzOG2_Wg"",""Direct Link!B2:B""),MATCH($B806,IMPORTRANGE(""1NK5L1mviMn0j3D3uo53ASkIZOFRlLnqaCTnwzOG2_Wg"",""Direct Link!A2:A""),0)),XLOOKUP($B806,IMPORTRANGE(""1NK5L1mviMn0j3D"&amp;"3uo53ASkIZOFRlLnqaCTnwzOG2_Wg"",""Direct links Without Sizes!A2:A""),IMPORTRANGE(""1NK5L1mviMn0j3D3uo53ASkIZOFRlLnqaCTnwzOG2_Wg"",""Direct links Without Sizes!B2:B""))),XLOOKUP($B806,IMPORTRANGE(""1NK5L1mviMn0j3D3uo53ASkIZOFRlLnqaCTnwzOG2_Wg"",""Direct li"&amp;"nks Without Sizes!D2:D""),IMPORTRANGE(""1NK5L1mviMn0j3D3uo53ASkIZOFRlLnqaCTnwzOG2_Wg"",""Direct links Without Sizes!E2:E""))),"""")"),"")</f>
        <v/>
      </c>
      <c r="H806" s="41"/>
      <c r="I806" s="4"/>
      <c r="J806" s="4"/>
      <c r="K806" s="10" t="str">
        <f t="shared" si="1"/>
        <v/>
      </c>
      <c r="L806" s="10"/>
      <c r="M806" s="10" t="str">
        <f t="shared" si="2"/>
        <v/>
      </c>
    </row>
    <row r="807">
      <c r="A807" s="4"/>
      <c r="B807" s="15"/>
      <c r="C807" s="7" t="str">
        <f>IFERROR(__xludf.DUMMYFUNCTION("iferror(iferror(INDEX(IMPORTRANGE(""12vtnxaE_Q1s4tyr10kZQx7ZF_xG0lBFae4jQEUtgsMU"",""All!B2:B""),MATCH($B807,IMPORTRANGE(""12vtnxaE_Q1s4tyr10kZQx7ZF_xG0lBFae4jQEUtgsMU"",""All!A2:A""),0)),INDEX(IMPORTRANGE(""13KC70HngS4DDi8y9E5khtSpQEPG6owaQ9z4E-tR5mnY"","&amp;"""Non-Food!B2:B""),MATCH($B807,IMPORTRANGE(""13KC70HngS4DDi8y9E5khtSpQEPG6owaQ9z4E-tR5mnY"",""Non-Food!A2:A""),0))),"""")"),"")</f>
        <v/>
      </c>
      <c r="D807" s="15"/>
      <c r="E807" s="15"/>
      <c r="F807" s="36"/>
      <c r="G807" s="24" t="str">
        <f>IFERROR(__xludf.DUMMYFUNCTION("iferror(iferror(iferror(index(IMPORTRANGE(""1NK5L1mviMn0j3D3uo53ASkIZOFRlLnqaCTnwzOG2_Wg"",""Direct Link!B2:B""),MATCH($B807,IMPORTRANGE(""1NK5L1mviMn0j3D3uo53ASkIZOFRlLnqaCTnwzOG2_Wg"",""Direct Link!A2:A""),0)),XLOOKUP($B807,IMPORTRANGE(""1NK5L1mviMn0j3D"&amp;"3uo53ASkIZOFRlLnqaCTnwzOG2_Wg"",""Direct links Without Sizes!A2:A""),IMPORTRANGE(""1NK5L1mviMn0j3D3uo53ASkIZOFRlLnqaCTnwzOG2_Wg"",""Direct links Without Sizes!B2:B""))),XLOOKUP($B807,IMPORTRANGE(""1NK5L1mviMn0j3D3uo53ASkIZOFRlLnqaCTnwzOG2_Wg"",""Direct li"&amp;"nks Without Sizes!D2:D""),IMPORTRANGE(""1NK5L1mviMn0j3D3uo53ASkIZOFRlLnqaCTnwzOG2_Wg"",""Direct links Without Sizes!E2:E""))),"""")"),"")</f>
        <v/>
      </c>
      <c r="H807" s="41"/>
      <c r="I807" s="4"/>
      <c r="J807" s="4"/>
      <c r="K807" s="10" t="str">
        <f t="shared" si="1"/>
        <v/>
      </c>
      <c r="L807" s="10"/>
      <c r="M807" s="10" t="str">
        <f t="shared" si="2"/>
        <v/>
      </c>
    </row>
    <row r="808">
      <c r="A808" s="4"/>
      <c r="B808" s="15"/>
      <c r="C808" s="7" t="str">
        <f>IFERROR(__xludf.DUMMYFUNCTION("iferror(iferror(INDEX(IMPORTRANGE(""12vtnxaE_Q1s4tyr10kZQx7ZF_xG0lBFae4jQEUtgsMU"",""All!B2:B""),MATCH($B808,IMPORTRANGE(""12vtnxaE_Q1s4tyr10kZQx7ZF_xG0lBFae4jQEUtgsMU"",""All!A2:A""),0)),INDEX(IMPORTRANGE(""13KC70HngS4DDi8y9E5khtSpQEPG6owaQ9z4E-tR5mnY"","&amp;"""Non-Food!B2:B""),MATCH($B808,IMPORTRANGE(""13KC70HngS4DDi8y9E5khtSpQEPG6owaQ9z4E-tR5mnY"",""Non-Food!A2:A""),0))),"""")"),"")</f>
        <v/>
      </c>
      <c r="D808" s="15"/>
      <c r="E808" s="15"/>
      <c r="F808" s="36"/>
      <c r="G808" s="24" t="str">
        <f>IFERROR(__xludf.DUMMYFUNCTION("iferror(iferror(iferror(index(IMPORTRANGE(""1NK5L1mviMn0j3D3uo53ASkIZOFRlLnqaCTnwzOG2_Wg"",""Direct Link!B2:B""),MATCH($B808,IMPORTRANGE(""1NK5L1mviMn0j3D3uo53ASkIZOFRlLnqaCTnwzOG2_Wg"",""Direct Link!A2:A""),0)),XLOOKUP($B808,IMPORTRANGE(""1NK5L1mviMn0j3D"&amp;"3uo53ASkIZOFRlLnqaCTnwzOG2_Wg"",""Direct links Without Sizes!A2:A""),IMPORTRANGE(""1NK5L1mviMn0j3D3uo53ASkIZOFRlLnqaCTnwzOG2_Wg"",""Direct links Without Sizes!B2:B""))),XLOOKUP($B808,IMPORTRANGE(""1NK5L1mviMn0j3D3uo53ASkIZOFRlLnqaCTnwzOG2_Wg"",""Direct li"&amp;"nks Without Sizes!D2:D""),IMPORTRANGE(""1NK5L1mviMn0j3D3uo53ASkIZOFRlLnqaCTnwzOG2_Wg"",""Direct links Without Sizes!E2:E""))),"""")"),"")</f>
        <v/>
      </c>
      <c r="H808" s="41"/>
      <c r="I808" s="4"/>
      <c r="J808" s="4"/>
      <c r="K808" s="10" t="str">
        <f t="shared" si="1"/>
        <v/>
      </c>
      <c r="L808" s="10"/>
      <c r="M808" s="10" t="str">
        <f t="shared" si="2"/>
        <v/>
      </c>
    </row>
    <row r="809">
      <c r="A809" s="4"/>
      <c r="B809" s="15"/>
      <c r="C809" s="7" t="str">
        <f>IFERROR(__xludf.DUMMYFUNCTION("iferror(iferror(INDEX(IMPORTRANGE(""12vtnxaE_Q1s4tyr10kZQx7ZF_xG0lBFae4jQEUtgsMU"",""All!B2:B""),MATCH($B809,IMPORTRANGE(""12vtnxaE_Q1s4tyr10kZQx7ZF_xG0lBFae4jQEUtgsMU"",""All!A2:A""),0)),INDEX(IMPORTRANGE(""13KC70HngS4DDi8y9E5khtSpQEPG6owaQ9z4E-tR5mnY"","&amp;"""Non-Food!B2:B""),MATCH($B809,IMPORTRANGE(""13KC70HngS4DDi8y9E5khtSpQEPG6owaQ9z4E-tR5mnY"",""Non-Food!A2:A""),0))),"""")"),"")</f>
        <v/>
      </c>
      <c r="D809" s="15"/>
      <c r="E809" s="15"/>
      <c r="F809" s="36"/>
      <c r="G809" s="24" t="str">
        <f>IFERROR(__xludf.DUMMYFUNCTION("iferror(iferror(iferror(index(IMPORTRANGE(""1NK5L1mviMn0j3D3uo53ASkIZOFRlLnqaCTnwzOG2_Wg"",""Direct Link!B2:B""),MATCH($B809,IMPORTRANGE(""1NK5L1mviMn0j3D3uo53ASkIZOFRlLnqaCTnwzOG2_Wg"",""Direct Link!A2:A""),0)),XLOOKUP($B809,IMPORTRANGE(""1NK5L1mviMn0j3D"&amp;"3uo53ASkIZOFRlLnqaCTnwzOG2_Wg"",""Direct links Without Sizes!A2:A""),IMPORTRANGE(""1NK5L1mviMn0j3D3uo53ASkIZOFRlLnqaCTnwzOG2_Wg"",""Direct links Without Sizes!B2:B""))),XLOOKUP($B809,IMPORTRANGE(""1NK5L1mviMn0j3D3uo53ASkIZOFRlLnqaCTnwzOG2_Wg"",""Direct li"&amp;"nks Without Sizes!D2:D""),IMPORTRANGE(""1NK5L1mviMn0j3D3uo53ASkIZOFRlLnqaCTnwzOG2_Wg"",""Direct links Without Sizes!E2:E""))),"""")"),"")</f>
        <v/>
      </c>
      <c r="H809" s="41"/>
      <c r="I809" s="4"/>
      <c r="J809" s="4"/>
      <c r="K809" s="10" t="str">
        <f t="shared" si="1"/>
        <v/>
      </c>
      <c r="L809" s="10"/>
      <c r="M809" s="10" t="str">
        <f t="shared" si="2"/>
        <v/>
      </c>
    </row>
    <row r="810">
      <c r="A810" s="4"/>
      <c r="B810" s="15"/>
      <c r="C810" s="7" t="str">
        <f>IFERROR(__xludf.DUMMYFUNCTION("iferror(iferror(INDEX(IMPORTRANGE(""12vtnxaE_Q1s4tyr10kZQx7ZF_xG0lBFae4jQEUtgsMU"",""All!B2:B""),MATCH($B810,IMPORTRANGE(""12vtnxaE_Q1s4tyr10kZQx7ZF_xG0lBFae4jQEUtgsMU"",""All!A2:A""),0)),INDEX(IMPORTRANGE(""13KC70HngS4DDi8y9E5khtSpQEPG6owaQ9z4E-tR5mnY"","&amp;"""Non-Food!B2:B""),MATCH($B810,IMPORTRANGE(""13KC70HngS4DDi8y9E5khtSpQEPG6owaQ9z4E-tR5mnY"",""Non-Food!A2:A""),0))),"""")"),"")</f>
        <v/>
      </c>
      <c r="D810" s="15"/>
      <c r="E810" s="15"/>
      <c r="F810" s="36"/>
      <c r="G810" s="24" t="str">
        <f>IFERROR(__xludf.DUMMYFUNCTION("iferror(iferror(iferror(index(IMPORTRANGE(""1NK5L1mviMn0j3D3uo53ASkIZOFRlLnqaCTnwzOG2_Wg"",""Direct Link!B2:B""),MATCH($B810,IMPORTRANGE(""1NK5L1mviMn0j3D3uo53ASkIZOFRlLnqaCTnwzOG2_Wg"",""Direct Link!A2:A""),0)),XLOOKUP($B810,IMPORTRANGE(""1NK5L1mviMn0j3D"&amp;"3uo53ASkIZOFRlLnqaCTnwzOG2_Wg"",""Direct links Without Sizes!A2:A""),IMPORTRANGE(""1NK5L1mviMn0j3D3uo53ASkIZOFRlLnqaCTnwzOG2_Wg"",""Direct links Without Sizes!B2:B""))),XLOOKUP($B810,IMPORTRANGE(""1NK5L1mviMn0j3D3uo53ASkIZOFRlLnqaCTnwzOG2_Wg"",""Direct li"&amp;"nks Without Sizes!D2:D""),IMPORTRANGE(""1NK5L1mviMn0j3D3uo53ASkIZOFRlLnqaCTnwzOG2_Wg"",""Direct links Without Sizes!E2:E""))),"""")"),"")</f>
        <v/>
      </c>
      <c r="H810" s="41"/>
      <c r="I810" s="4"/>
      <c r="J810" s="4"/>
      <c r="K810" s="10" t="str">
        <f t="shared" si="1"/>
        <v/>
      </c>
      <c r="L810" s="10"/>
      <c r="M810" s="10" t="str">
        <f t="shared" si="2"/>
        <v/>
      </c>
    </row>
    <row r="811">
      <c r="A811" s="4"/>
      <c r="B811" s="15"/>
      <c r="C811" s="7" t="str">
        <f>IFERROR(__xludf.DUMMYFUNCTION("iferror(iferror(INDEX(IMPORTRANGE(""12vtnxaE_Q1s4tyr10kZQx7ZF_xG0lBFae4jQEUtgsMU"",""All!B2:B""),MATCH($B811,IMPORTRANGE(""12vtnxaE_Q1s4tyr10kZQx7ZF_xG0lBFae4jQEUtgsMU"",""All!A2:A""),0)),INDEX(IMPORTRANGE(""13KC70HngS4DDi8y9E5khtSpQEPG6owaQ9z4E-tR5mnY"","&amp;"""Non-Food!B2:B""),MATCH($B811,IMPORTRANGE(""13KC70HngS4DDi8y9E5khtSpQEPG6owaQ9z4E-tR5mnY"",""Non-Food!A2:A""),0))),"""")"),"")</f>
        <v/>
      </c>
      <c r="D811" s="15"/>
      <c r="E811" s="15"/>
      <c r="F811" s="36"/>
      <c r="G811" s="24" t="str">
        <f>IFERROR(__xludf.DUMMYFUNCTION("iferror(iferror(iferror(index(IMPORTRANGE(""1NK5L1mviMn0j3D3uo53ASkIZOFRlLnqaCTnwzOG2_Wg"",""Direct Link!B2:B""),MATCH($B811,IMPORTRANGE(""1NK5L1mviMn0j3D3uo53ASkIZOFRlLnqaCTnwzOG2_Wg"",""Direct Link!A2:A""),0)),XLOOKUP($B811,IMPORTRANGE(""1NK5L1mviMn0j3D"&amp;"3uo53ASkIZOFRlLnqaCTnwzOG2_Wg"",""Direct links Without Sizes!A2:A""),IMPORTRANGE(""1NK5L1mviMn0j3D3uo53ASkIZOFRlLnqaCTnwzOG2_Wg"",""Direct links Without Sizes!B2:B""))),XLOOKUP($B811,IMPORTRANGE(""1NK5L1mviMn0j3D3uo53ASkIZOFRlLnqaCTnwzOG2_Wg"",""Direct li"&amp;"nks Without Sizes!D2:D""),IMPORTRANGE(""1NK5L1mviMn0j3D3uo53ASkIZOFRlLnqaCTnwzOG2_Wg"",""Direct links Without Sizes!E2:E""))),"""")"),"")</f>
        <v/>
      </c>
      <c r="H811" s="41"/>
      <c r="I811" s="4"/>
      <c r="J811" s="4"/>
      <c r="K811" s="10" t="str">
        <f t="shared" si="1"/>
        <v/>
      </c>
      <c r="L811" s="10"/>
      <c r="M811" s="10" t="str">
        <f t="shared" si="2"/>
        <v/>
      </c>
    </row>
    <row r="812">
      <c r="A812" s="4"/>
      <c r="B812" s="15"/>
      <c r="C812" s="7" t="str">
        <f>IFERROR(__xludf.DUMMYFUNCTION("iferror(iferror(INDEX(IMPORTRANGE(""12vtnxaE_Q1s4tyr10kZQx7ZF_xG0lBFae4jQEUtgsMU"",""All!B2:B""),MATCH($B812,IMPORTRANGE(""12vtnxaE_Q1s4tyr10kZQx7ZF_xG0lBFae4jQEUtgsMU"",""All!A2:A""),0)),INDEX(IMPORTRANGE(""13KC70HngS4DDi8y9E5khtSpQEPG6owaQ9z4E-tR5mnY"","&amp;"""Non-Food!B2:B""),MATCH($B812,IMPORTRANGE(""13KC70HngS4DDi8y9E5khtSpQEPG6owaQ9z4E-tR5mnY"",""Non-Food!A2:A""),0))),"""")"),"")</f>
        <v/>
      </c>
      <c r="D812" s="15"/>
      <c r="E812" s="15"/>
      <c r="F812" s="36"/>
      <c r="G812" s="24" t="str">
        <f>IFERROR(__xludf.DUMMYFUNCTION("iferror(iferror(iferror(index(IMPORTRANGE(""1NK5L1mviMn0j3D3uo53ASkIZOFRlLnqaCTnwzOG2_Wg"",""Direct Link!B2:B""),MATCH($B812,IMPORTRANGE(""1NK5L1mviMn0j3D3uo53ASkIZOFRlLnqaCTnwzOG2_Wg"",""Direct Link!A2:A""),0)),XLOOKUP($B812,IMPORTRANGE(""1NK5L1mviMn0j3D"&amp;"3uo53ASkIZOFRlLnqaCTnwzOG2_Wg"",""Direct links Without Sizes!A2:A""),IMPORTRANGE(""1NK5L1mviMn0j3D3uo53ASkIZOFRlLnqaCTnwzOG2_Wg"",""Direct links Without Sizes!B2:B""))),XLOOKUP($B812,IMPORTRANGE(""1NK5L1mviMn0j3D3uo53ASkIZOFRlLnqaCTnwzOG2_Wg"",""Direct li"&amp;"nks Without Sizes!D2:D""),IMPORTRANGE(""1NK5L1mviMn0j3D3uo53ASkIZOFRlLnqaCTnwzOG2_Wg"",""Direct links Without Sizes!E2:E""))),"""")"),"")</f>
        <v/>
      </c>
      <c r="H812" s="41"/>
      <c r="I812" s="4"/>
      <c r="J812" s="4"/>
      <c r="K812" s="10" t="str">
        <f t="shared" si="1"/>
        <v/>
      </c>
      <c r="L812" s="10"/>
      <c r="M812" s="10" t="str">
        <f t="shared" si="2"/>
        <v/>
      </c>
    </row>
    <row r="813">
      <c r="A813" s="4"/>
      <c r="B813" s="15"/>
      <c r="C813" s="7" t="str">
        <f>IFERROR(__xludf.DUMMYFUNCTION("iferror(iferror(INDEX(IMPORTRANGE(""12vtnxaE_Q1s4tyr10kZQx7ZF_xG0lBFae4jQEUtgsMU"",""All!B2:B""),MATCH($B813,IMPORTRANGE(""12vtnxaE_Q1s4tyr10kZQx7ZF_xG0lBFae4jQEUtgsMU"",""All!A2:A""),0)),INDEX(IMPORTRANGE(""13KC70HngS4DDi8y9E5khtSpQEPG6owaQ9z4E-tR5mnY"","&amp;"""Non-Food!B2:B""),MATCH($B813,IMPORTRANGE(""13KC70HngS4DDi8y9E5khtSpQEPG6owaQ9z4E-tR5mnY"",""Non-Food!A2:A""),0))),"""")"),"")</f>
        <v/>
      </c>
      <c r="D813" s="15"/>
      <c r="E813" s="15"/>
      <c r="F813" s="36"/>
      <c r="G813" s="24" t="str">
        <f>IFERROR(__xludf.DUMMYFUNCTION("iferror(iferror(iferror(index(IMPORTRANGE(""1NK5L1mviMn0j3D3uo53ASkIZOFRlLnqaCTnwzOG2_Wg"",""Direct Link!B2:B""),MATCH($B813,IMPORTRANGE(""1NK5L1mviMn0j3D3uo53ASkIZOFRlLnqaCTnwzOG2_Wg"",""Direct Link!A2:A""),0)),XLOOKUP($B813,IMPORTRANGE(""1NK5L1mviMn0j3D"&amp;"3uo53ASkIZOFRlLnqaCTnwzOG2_Wg"",""Direct links Without Sizes!A2:A""),IMPORTRANGE(""1NK5L1mviMn0j3D3uo53ASkIZOFRlLnqaCTnwzOG2_Wg"",""Direct links Without Sizes!B2:B""))),XLOOKUP($B813,IMPORTRANGE(""1NK5L1mviMn0j3D3uo53ASkIZOFRlLnqaCTnwzOG2_Wg"",""Direct li"&amp;"nks Without Sizes!D2:D""),IMPORTRANGE(""1NK5L1mviMn0j3D3uo53ASkIZOFRlLnqaCTnwzOG2_Wg"",""Direct links Without Sizes!E2:E""))),"""")"),"")</f>
        <v/>
      </c>
      <c r="H813" s="41"/>
      <c r="I813" s="4"/>
      <c r="J813" s="4"/>
      <c r="K813" s="10" t="str">
        <f t="shared" si="1"/>
        <v/>
      </c>
      <c r="L813" s="10"/>
      <c r="M813" s="10" t="str">
        <f t="shared" si="2"/>
        <v/>
      </c>
    </row>
    <row r="814">
      <c r="A814" s="4"/>
      <c r="B814" s="15"/>
      <c r="C814" s="7" t="str">
        <f>IFERROR(__xludf.DUMMYFUNCTION("iferror(iferror(INDEX(IMPORTRANGE(""12vtnxaE_Q1s4tyr10kZQx7ZF_xG0lBFae4jQEUtgsMU"",""All!B2:B""),MATCH($B814,IMPORTRANGE(""12vtnxaE_Q1s4tyr10kZQx7ZF_xG0lBFae4jQEUtgsMU"",""All!A2:A""),0)),INDEX(IMPORTRANGE(""13KC70HngS4DDi8y9E5khtSpQEPG6owaQ9z4E-tR5mnY"","&amp;"""Non-Food!B2:B""),MATCH($B814,IMPORTRANGE(""13KC70HngS4DDi8y9E5khtSpQEPG6owaQ9z4E-tR5mnY"",""Non-Food!A2:A""),0))),"""")"),"")</f>
        <v/>
      </c>
      <c r="D814" s="15"/>
      <c r="E814" s="15"/>
      <c r="F814" s="36"/>
      <c r="G814" s="24" t="str">
        <f>IFERROR(__xludf.DUMMYFUNCTION("iferror(iferror(iferror(index(IMPORTRANGE(""1NK5L1mviMn0j3D3uo53ASkIZOFRlLnqaCTnwzOG2_Wg"",""Direct Link!B2:B""),MATCH($B814,IMPORTRANGE(""1NK5L1mviMn0j3D3uo53ASkIZOFRlLnqaCTnwzOG2_Wg"",""Direct Link!A2:A""),0)),XLOOKUP($B814,IMPORTRANGE(""1NK5L1mviMn0j3D"&amp;"3uo53ASkIZOFRlLnqaCTnwzOG2_Wg"",""Direct links Without Sizes!A2:A""),IMPORTRANGE(""1NK5L1mviMn0j3D3uo53ASkIZOFRlLnqaCTnwzOG2_Wg"",""Direct links Without Sizes!B2:B""))),XLOOKUP($B814,IMPORTRANGE(""1NK5L1mviMn0j3D3uo53ASkIZOFRlLnqaCTnwzOG2_Wg"",""Direct li"&amp;"nks Without Sizes!D2:D""),IMPORTRANGE(""1NK5L1mviMn0j3D3uo53ASkIZOFRlLnqaCTnwzOG2_Wg"",""Direct links Without Sizes!E2:E""))),"""")"),"")</f>
        <v/>
      </c>
      <c r="H814" s="41"/>
      <c r="I814" s="4"/>
      <c r="J814" s="4"/>
      <c r="K814" s="10" t="str">
        <f t="shared" si="1"/>
        <v/>
      </c>
      <c r="L814" s="10"/>
      <c r="M814" s="10" t="str">
        <f t="shared" si="2"/>
        <v/>
      </c>
    </row>
    <row r="815">
      <c r="A815" s="4"/>
      <c r="B815" s="15"/>
      <c r="C815" s="7" t="str">
        <f>IFERROR(__xludf.DUMMYFUNCTION("iferror(iferror(INDEX(IMPORTRANGE(""12vtnxaE_Q1s4tyr10kZQx7ZF_xG0lBFae4jQEUtgsMU"",""All!B2:B""),MATCH($B815,IMPORTRANGE(""12vtnxaE_Q1s4tyr10kZQx7ZF_xG0lBFae4jQEUtgsMU"",""All!A2:A""),0)),INDEX(IMPORTRANGE(""13KC70HngS4DDi8y9E5khtSpQEPG6owaQ9z4E-tR5mnY"","&amp;"""Non-Food!B2:B""),MATCH($B815,IMPORTRANGE(""13KC70HngS4DDi8y9E5khtSpQEPG6owaQ9z4E-tR5mnY"",""Non-Food!A2:A""),0))),"""")"),"")</f>
        <v/>
      </c>
      <c r="D815" s="15"/>
      <c r="E815" s="15"/>
      <c r="F815" s="36"/>
      <c r="G815" s="24" t="str">
        <f>IFERROR(__xludf.DUMMYFUNCTION("iferror(iferror(iferror(index(IMPORTRANGE(""1NK5L1mviMn0j3D3uo53ASkIZOFRlLnqaCTnwzOG2_Wg"",""Direct Link!B2:B""),MATCH($B815,IMPORTRANGE(""1NK5L1mviMn0j3D3uo53ASkIZOFRlLnqaCTnwzOG2_Wg"",""Direct Link!A2:A""),0)),XLOOKUP($B815,IMPORTRANGE(""1NK5L1mviMn0j3D"&amp;"3uo53ASkIZOFRlLnqaCTnwzOG2_Wg"",""Direct links Without Sizes!A2:A""),IMPORTRANGE(""1NK5L1mviMn0j3D3uo53ASkIZOFRlLnqaCTnwzOG2_Wg"",""Direct links Without Sizes!B2:B""))),XLOOKUP($B815,IMPORTRANGE(""1NK5L1mviMn0j3D3uo53ASkIZOFRlLnqaCTnwzOG2_Wg"",""Direct li"&amp;"nks Without Sizes!D2:D""),IMPORTRANGE(""1NK5L1mviMn0j3D3uo53ASkIZOFRlLnqaCTnwzOG2_Wg"",""Direct links Without Sizes!E2:E""))),"""")"),"")</f>
        <v/>
      </c>
      <c r="H815" s="41"/>
      <c r="I815" s="4"/>
      <c r="J815" s="4"/>
      <c r="K815" s="10" t="str">
        <f t="shared" si="1"/>
        <v/>
      </c>
      <c r="L815" s="10"/>
      <c r="M815" s="10" t="str">
        <f t="shared" si="2"/>
        <v/>
      </c>
    </row>
    <row r="816">
      <c r="A816" s="4"/>
      <c r="B816" s="15"/>
      <c r="C816" s="7" t="str">
        <f>IFERROR(__xludf.DUMMYFUNCTION("iferror(iferror(INDEX(IMPORTRANGE(""12vtnxaE_Q1s4tyr10kZQx7ZF_xG0lBFae4jQEUtgsMU"",""All!B2:B""),MATCH($B816,IMPORTRANGE(""12vtnxaE_Q1s4tyr10kZQx7ZF_xG0lBFae4jQEUtgsMU"",""All!A2:A""),0)),INDEX(IMPORTRANGE(""13KC70HngS4DDi8y9E5khtSpQEPG6owaQ9z4E-tR5mnY"","&amp;"""Non-Food!B2:B""),MATCH($B816,IMPORTRANGE(""13KC70HngS4DDi8y9E5khtSpQEPG6owaQ9z4E-tR5mnY"",""Non-Food!A2:A""),0))),"""")"),"")</f>
        <v/>
      </c>
      <c r="D816" s="15"/>
      <c r="E816" s="15"/>
      <c r="F816" s="36"/>
      <c r="G816" s="24" t="str">
        <f>IFERROR(__xludf.DUMMYFUNCTION("iferror(iferror(iferror(index(IMPORTRANGE(""1NK5L1mviMn0j3D3uo53ASkIZOFRlLnqaCTnwzOG2_Wg"",""Direct Link!B2:B""),MATCH($B816,IMPORTRANGE(""1NK5L1mviMn0j3D3uo53ASkIZOFRlLnqaCTnwzOG2_Wg"",""Direct Link!A2:A""),0)),XLOOKUP($B816,IMPORTRANGE(""1NK5L1mviMn0j3D"&amp;"3uo53ASkIZOFRlLnqaCTnwzOG2_Wg"",""Direct links Without Sizes!A2:A""),IMPORTRANGE(""1NK5L1mviMn0j3D3uo53ASkIZOFRlLnqaCTnwzOG2_Wg"",""Direct links Without Sizes!B2:B""))),XLOOKUP($B816,IMPORTRANGE(""1NK5L1mviMn0j3D3uo53ASkIZOFRlLnqaCTnwzOG2_Wg"",""Direct li"&amp;"nks Without Sizes!D2:D""),IMPORTRANGE(""1NK5L1mviMn0j3D3uo53ASkIZOFRlLnqaCTnwzOG2_Wg"",""Direct links Without Sizes!E2:E""))),"""")"),"")</f>
        <v/>
      </c>
      <c r="H816" s="41"/>
      <c r="I816" s="4"/>
      <c r="J816" s="4"/>
      <c r="K816" s="10" t="str">
        <f t="shared" si="1"/>
        <v/>
      </c>
      <c r="L816" s="10"/>
      <c r="M816" s="10" t="str">
        <f t="shared" si="2"/>
        <v/>
      </c>
    </row>
    <row r="817">
      <c r="A817" s="4"/>
      <c r="B817" s="15"/>
      <c r="C817" s="7" t="str">
        <f>IFERROR(__xludf.DUMMYFUNCTION("iferror(iferror(INDEX(IMPORTRANGE(""12vtnxaE_Q1s4tyr10kZQx7ZF_xG0lBFae4jQEUtgsMU"",""All!B2:B""),MATCH($B817,IMPORTRANGE(""12vtnxaE_Q1s4tyr10kZQx7ZF_xG0lBFae4jQEUtgsMU"",""All!A2:A""),0)),INDEX(IMPORTRANGE(""13KC70HngS4DDi8y9E5khtSpQEPG6owaQ9z4E-tR5mnY"","&amp;"""Non-Food!B2:B""),MATCH($B817,IMPORTRANGE(""13KC70HngS4DDi8y9E5khtSpQEPG6owaQ9z4E-tR5mnY"",""Non-Food!A2:A""),0))),"""")"),"")</f>
        <v/>
      </c>
      <c r="D817" s="15"/>
      <c r="E817" s="15"/>
      <c r="F817" s="36"/>
      <c r="G817" s="24" t="str">
        <f>IFERROR(__xludf.DUMMYFUNCTION("iferror(iferror(iferror(index(IMPORTRANGE(""1NK5L1mviMn0j3D3uo53ASkIZOFRlLnqaCTnwzOG2_Wg"",""Direct Link!B2:B""),MATCH($B817,IMPORTRANGE(""1NK5L1mviMn0j3D3uo53ASkIZOFRlLnqaCTnwzOG2_Wg"",""Direct Link!A2:A""),0)),XLOOKUP($B817,IMPORTRANGE(""1NK5L1mviMn0j3D"&amp;"3uo53ASkIZOFRlLnqaCTnwzOG2_Wg"",""Direct links Without Sizes!A2:A""),IMPORTRANGE(""1NK5L1mviMn0j3D3uo53ASkIZOFRlLnqaCTnwzOG2_Wg"",""Direct links Without Sizes!B2:B""))),XLOOKUP($B817,IMPORTRANGE(""1NK5L1mviMn0j3D3uo53ASkIZOFRlLnqaCTnwzOG2_Wg"",""Direct li"&amp;"nks Without Sizes!D2:D""),IMPORTRANGE(""1NK5L1mviMn0j3D3uo53ASkIZOFRlLnqaCTnwzOG2_Wg"",""Direct links Without Sizes!E2:E""))),"""")"),"")</f>
        <v/>
      </c>
      <c r="H817" s="41"/>
      <c r="I817" s="4"/>
      <c r="J817" s="4"/>
      <c r="K817" s="10" t="str">
        <f t="shared" si="1"/>
        <v/>
      </c>
      <c r="L817" s="10"/>
      <c r="M817" s="10" t="str">
        <f t="shared" si="2"/>
        <v/>
      </c>
    </row>
    <row r="818">
      <c r="A818" s="4"/>
      <c r="B818" s="15"/>
      <c r="C818" s="7" t="str">
        <f>IFERROR(__xludf.DUMMYFUNCTION("iferror(iferror(INDEX(IMPORTRANGE(""12vtnxaE_Q1s4tyr10kZQx7ZF_xG0lBFae4jQEUtgsMU"",""All!B2:B""),MATCH($B818,IMPORTRANGE(""12vtnxaE_Q1s4tyr10kZQx7ZF_xG0lBFae4jQEUtgsMU"",""All!A2:A""),0)),INDEX(IMPORTRANGE(""13KC70HngS4DDi8y9E5khtSpQEPG6owaQ9z4E-tR5mnY"","&amp;"""Non-Food!B2:B""),MATCH($B818,IMPORTRANGE(""13KC70HngS4DDi8y9E5khtSpQEPG6owaQ9z4E-tR5mnY"",""Non-Food!A2:A""),0))),"""")"),"")</f>
        <v/>
      </c>
      <c r="D818" s="15"/>
      <c r="E818" s="15"/>
      <c r="F818" s="36"/>
      <c r="G818" s="24" t="str">
        <f>IFERROR(__xludf.DUMMYFUNCTION("iferror(iferror(iferror(index(IMPORTRANGE(""1NK5L1mviMn0j3D3uo53ASkIZOFRlLnqaCTnwzOG2_Wg"",""Direct Link!B2:B""),MATCH($B818,IMPORTRANGE(""1NK5L1mviMn0j3D3uo53ASkIZOFRlLnqaCTnwzOG2_Wg"",""Direct Link!A2:A""),0)),XLOOKUP($B818,IMPORTRANGE(""1NK5L1mviMn0j3D"&amp;"3uo53ASkIZOFRlLnqaCTnwzOG2_Wg"",""Direct links Without Sizes!A2:A""),IMPORTRANGE(""1NK5L1mviMn0j3D3uo53ASkIZOFRlLnqaCTnwzOG2_Wg"",""Direct links Without Sizes!B2:B""))),XLOOKUP($B818,IMPORTRANGE(""1NK5L1mviMn0j3D3uo53ASkIZOFRlLnqaCTnwzOG2_Wg"",""Direct li"&amp;"nks Without Sizes!D2:D""),IMPORTRANGE(""1NK5L1mviMn0j3D3uo53ASkIZOFRlLnqaCTnwzOG2_Wg"",""Direct links Without Sizes!E2:E""))),"""")"),"")</f>
        <v/>
      </c>
      <c r="H818" s="41"/>
      <c r="I818" s="4"/>
      <c r="J818" s="4"/>
      <c r="K818" s="10" t="str">
        <f t="shared" si="1"/>
        <v/>
      </c>
      <c r="L818" s="10"/>
      <c r="M818" s="10" t="str">
        <f t="shared" si="2"/>
        <v/>
      </c>
    </row>
    <row r="819">
      <c r="A819" s="4"/>
      <c r="B819" s="15"/>
      <c r="C819" s="7" t="str">
        <f>IFERROR(__xludf.DUMMYFUNCTION("iferror(iferror(INDEX(IMPORTRANGE(""12vtnxaE_Q1s4tyr10kZQx7ZF_xG0lBFae4jQEUtgsMU"",""All!B2:B""),MATCH($B819,IMPORTRANGE(""12vtnxaE_Q1s4tyr10kZQx7ZF_xG0lBFae4jQEUtgsMU"",""All!A2:A""),0)),INDEX(IMPORTRANGE(""13KC70HngS4DDi8y9E5khtSpQEPG6owaQ9z4E-tR5mnY"","&amp;"""Non-Food!B2:B""),MATCH($B819,IMPORTRANGE(""13KC70HngS4DDi8y9E5khtSpQEPG6owaQ9z4E-tR5mnY"",""Non-Food!A2:A""),0))),"""")"),"")</f>
        <v/>
      </c>
      <c r="D819" s="15"/>
      <c r="E819" s="15"/>
      <c r="F819" s="36"/>
      <c r="G819" s="24" t="str">
        <f>IFERROR(__xludf.DUMMYFUNCTION("iferror(iferror(iferror(index(IMPORTRANGE(""1NK5L1mviMn0j3D3uo53ASkIZOFRlLnqaCTnwzOG2_Wg"",""Direct Link!B2:B""),MATCH($B819,IMPORTRANGE(""1NK5L1mviMn0j3D3uo53ASkIZOFRlLnqaCTnwzOG2_Wg"",""Direct Link!A2:A""),0)),XLOOKUP($B819,IMPORTRANGE(""1NK5L1mviMn0j3D"&amp;"3uo53ASkIZOFRlLnqaCTnwzOG2_Wg"",""Direct links Without Sizes!A2:A""),IMPORTRANGE(""1NK5L1mviMn0j3D3uo53ASkIZOFRlLnqaCTnwzOG2_Wg"",""Direct links Without Sizes!B2:B""))),XLOOKUP($B819,IMPORTRANGE(""1NK5L1mviMn0j3D3uo53ASkIZOFRlLnqaCTnwzOG2_Wg"",""Direct li"&amp;"nks Without Sizes!D2:D""),IMPORTRANGE(""1NK5L1mviMn0j3D3uo53ASkIZOFRlLnqaCTnwzOG2_Wg"",""Direct links Without Sizes!E2:E""))),"""")"),"")</f>
        <v/>
      </c>
      <c r="H819" s="41"/>
      <c r="I819" s="4"/>
      <c r="J819" s="4"/>
      <c r="K819" s="10" t="str">
        <f t="shared" si="1"/>
        <v/>
      </c>
      <c r="L819" s="10"/>
      <c r="M819" s="10" t="str">
        <f t="shared" si="2"/>
        <v/>
      </c>
    </row>
    <row r="820">
      <c r="A820" s="4"/>
      <c r="B820" s="15"/>
      <c r="C820" s="7" t="str">
        <f>IFERROR(__xludf.DUMMYFUNCTION("iferror(iferror(INDEX(IMPORTRANGE(""12vtnxaE_Q1s4tyr10kZQx7ZF_xG0lBFae4jQEUtgsMU"",""All!B2:B""),MATCH($B820,IMPORTRANGE(""12vtnxaE_Q1s4tyr10kZQx7ZF_xG0lBFae4jQEUtgsMU"",""All!A2:A""),0)),INDEX(IMPORTRANGE(""13KC70HngS4DDi8y9E5khtSpQEPG6owaQ9z4E-tR5mnY"","&amp;"""Non-Food!B2:B""),MATCH($B820,IMPORTRANGE(""13KC70HngS4DDi8y9E5khtSpQEPG6owaQ9z4E-tR5mnY"",""Non-Food!A2:A""),0))),"""")"),"")</f>
        <v/>
      </c>
      <c r="D820" s="15"/>
      <c r="E820" s="15"/>
      <c r="F820" s="36"/>
      <c r="G820" s="24" t="str">
        <f>IFERROR(__xludf.DUMMYFUNCTION("iferror(iferror(iferror(index(IMPORTRANGE(""1NK5L1mviMn0j3D3uo53ASkIZOFRlLnqaCTnwzOG2_Wg"",""Direct Link!B2:B""),MATCH($B820,IMPORTRANGE(""1NK5L1mviMn0j3D3uo53ASkIZOFRlLnqaCTnwzOG2_Wg"",""Direct Link!A2:A""),0)),XLOOKUP($B820,IMPORTRANGE(""1NK5L1mviMn0j3D"&amp;"3uo53ASkIZOFRlLnqaCTnwzOG2_Wg"",""Direct links Without Sizes!A2:A""),IMPORTRANGE(""1NK5L1mviMn0j3D3uo53ASkIZOFRlLnqaCTnwzOG2_Wg"",""Direct links Without Sizes!B2:B""))),XLOOKUP($B820,IMPORTRANGE(""1NK5L1mviMn0j3D3uo53ASkIZOFRlLnqaCTnwzOG2_Wg"",""Direct li"&amp;"nks Without Sizes!D2:D""),IMPORTRANGE(""1NK5L1mviMn0j3D3uo53ASkIZOFRlLnqaCTnwzOG2_Wg"",""Direct links Without Sizes!E2:E""))),"""")"),"")</f>
        <v/>
      </c>
      <c r="H820" s="41"/>
      <c r="I820" s="4"/>
      <c r="J820" s="4"/>
      <c r="K820" s="10" t="str">
        <f t="shared" si="1"/>
        <v/>
      </c>
      <c r="L820" s="10"/>
      <c r="M820" s="10" t="str">
        <f t="shared" si="2"/>
        <v/>
      </c>
    </row>
    <row r="821">
      <c r="A821" s="4"/>
      <c r="B821" s="15"/>
      <c r="C821" s="7" t="str">
        <f>IFERROR(__xludf.DUMMYFUNCTION("iferror(iferror(INDEX(IMPORTRANGE(""12vtnxaE_Q1s4tyr10kZQx7ZF_xG0lBFae4jQEUtgsMU"",""All!B2:B""),MATCH($B821,IMPORTRANGE(""12vtnxaE_Q1s4tyr10kZQx7ZF_xG0lBFae4jQEUtgsMU"",""All!A2:A""),0)),INDEX(IMPORTRANGE(""13KC70HngS4DDi8y9E5khtSpQEPG6owaQ9z4E-tR5mnY"","&amp;"""Non-Food!B2:B""),MATCH($B821,IMPORTRANGE(""13KC70HngS4DDi8y9E5khtSpQEPG6owaQ9z4E-tR5mnY"",""Non-Food!A2:A""),0))),"""")"),"")</f>
        <v/>
      </c>
      <c r="D821" s="15"/>
      <c r="E821" s="15"/>
      <c r="F821" s="36"/>
      <c r="G821" s="24" t="str">
        <f>IFERROR(__xludf.DUMMYFUNCTION("iferror(iferror(iferror(index(IMPORTRANGE(""1NK5L1mviMn0j3D3uo53ASkIZOFRlLnqaCTnwzOG2_Wg"",""Direct Link!B2:B""),MATCH($B821,IMPORTRANGE(""1NK5L1mviMn0j3D3uo53ASkIZOFRlLnqaCTnwzOG2_Wg"",""Direct Link!A2:A""),0)),XLOOKUP($B821,IMPORTRANGE(""1NK5L1mviMn0j3D"&amp;"3uo53ASkIZOFRlLnqaCTnwzOG2_Wg"",""Direct links Without Sizes!A2:A""),IMPORTRANGE(""1NK5L1mviMn0j3D3uo53ASkIZOFRlLnqaCTnwzOG2_Wg"",""Direct links Without Sizes!B2:B""))),XLOOKUP($B821,IMPORTRANGE(""1NK5L1mviMn0j3D3uo53ASkIZOFRlLnqaCTnwzOG2_Wg"",""Direct li"&amp;"nks Without Sizes!D2:D""),IMPORTRANGE(""1NK5L1mviMn0j3D3uo53ASkIZOFRlLnqaCTnwzOG2_Wg"",""Direct links Without Sizes!E2:E""))),"""")"),"")</f>
        <v/>
      </c>
      <c r="H821" s="41"/>
      <c r="I821" s="4"/>
      <c r="J821" s="4"/>
      <c r="K821" s="10" t="str">
        <f t="shared" si="1"/>
        <v/>
      </c>
      <c r="L821" s="10"/>
      <c r="M821" s="10" t="str">
        <f t="shared" si="2"/>
        <v/>
      </c>
    </row>
    <row r="822">
      <c r="A822" s="4"/>
      <c r="B822" s="15"/>
      <c r="C822" s="7" t="str">
        <f>IFERROR(__xludf.DUMMYFUNCTION("iferror(iferror(INDEX(IMPORTRANGE(""12vtnxaE_Q1s4tyr10kZQx7ZF_xG0lBFae4jQEUtgsMU"",""All!B2:B""),MATCH($B822,IMPORTRANGE(""12vtnxaE_Q1s4tyr10kZQx7ZF_xG0lBFae4jQEUtgsMU"",""All!A2:A""),0)),INDEX(IMPORTRANGE(""13KC70HngS4DDi8y9E5khtSpQEPG6owaQ9z4E-tR5mnY"","&amp;"""Non-Food!B2:B""),MATCH($B822,IMPORTRANGE(""13KC70HngS4DDi8y9E5khtSpQEPG6owaQ9z4E-tR5mnY"",""Non-Food!A2:A""),0))),"""")"),"")</f>
        <v/>
      </c>
      <c r="D822" s="15"/>
      <c r="E822" s="15"/>
      <c r="F822" s="36"/>
      <c r="G822" s="24" t="str">
        <f>IFERROR(__xludf.DUMMYFUNCTION("iferror(iferror(iferror(index(IMPORTRANGE(""1NK5L1mviMn0j3D3uo53ASkIZOFRlLnqaCTnwzOG2_Wg"",""Direct Link!B2:B""),MATCH($B822,IMPORTRANGE(""1NK5L1mviMn0j3D3uo53ASkIZOFRlLnqaCTnwzOG2_Wg"",""Direct Link!A2:A""),0)),XLOOKUP($B822,IMPORTRANGE(""1NK5L1mviMn0j3D"&amp;"3uo53ASkIZOFRlLnqaCTnwzOG2_Wg"",""Direct links Without Sizes!A2:A""),IMPORTRANGE(""1NK5L1mviMn0j3D3uo53ASkIZOFRlLnqaCTnwzOG2_Wg"",""Direct links Without Sizes!B2:B""))),XLOOKUP($B822,IMPORTRANGE(""1NK5L1mviMn0j3D3uo53ASkIZOFRlLnqaCTnwzOG2_Wg"",""Direct li"&amp;"nks Without Sizes!D2:D""),IMPORTRANGE(""1NK5L1mviMn0j3D3uo53ASkIZOFRlLnqaCTnwzOG2_Wg"",""Direct links Without Sizes!E2:E""))),"""")"),"")</f>
        <v/>
      </c>
      <c r="H822" s="41"/>
      <c r="I822" s="4"/>
      <c r="J822" s="4"/>
      <c r="K822" s="10" t="str">
        <f t="shared" si="1"/>
        <v/>
      </c>
      <c r="L822" s="10"/>
      <c r="M822" s="10" t="str">
        <f t="shared" si="2"/>
        <v/>
      </c>
    </row>
    <row r="823">
      <c r="A823" s="4"/>
      <c r="B823" s="15"/>
      <c r="C823" s="7" t="str">
        <f>IFERROR(__xludf.DUMMYFUNCTION("iferror(iferror(INDEX(IMPORTRANGE(""12vtnxaE_Q1s4tyr10kZQx7ZF_xG0lBFae4jQEUtgsMU"",""All!B2:B""),MATCH($B823,IMPORTRANGE(""12vtnxaE_Q1s4tyr10kZQx7ZF_xG0lBFae4jQEUtgsMU"",""All!A2:A""),0)),INDEX(IMPORTRANGE(""13KC70HngS4DDi8y9E5khtSpQEPG6owaQ9z4E-tR5mnY"","&amp;"""Non-Food!B2:B""),MATCH($B823,IMPORTRANGE(""13KC70HngS4DDi8y9E5khtSpQEPG6owaQ9z4E-tR5mnY"",""Non-Food!A2:A""),0))),"""")"),"")</f>
        <v/>
      </c>
      <c r="D823" s="15"/>
      <c r="E823" s="15"/>
      <c r="F823" s="36"/>
      <c r="G823" s="24" t="str">
        <f>IFERROR(__xludf.DUMMYFUNCTION("iferror(iferror(iferror(index(IMPORTRANGE(""1NK5L1mviMn0j3D3uo53ASkIZOFRlLnqaCTnwzOG2_Wg"",""Direct Link!B2:B""),MATCH($B823,IMPORTRANGE(""1NK5L1mviMn0j3D3uo53ASkIZOFRlLnqaCTnwzOG2_Wg"",""Direct Link!A2:A""),0)),XLOOKUP($B823,IMPORTRANGE(""1NK5L1mviMn0j3D"&amp;"3uo53ASkIZOFRlLnqaCTnwzOG2_Wg"",""Direct links Without Sizes!A2:A""),IMPORTRANGE(""1NK5L1mviMn0j3D3uo53ASkIZOFRlLnqaCTnwzOG2_Wg"",""Direct links Without Sizes!B2:B""))),XLOOKUP($B823,IMPORTRANGE(""1NK5L1mviMn0j3D3uo53ASkIZOFRlLnqaCTnwzOG2_Wg"",""Direct li"&amp;"nks Without Sizes!D2:D""),IMPORTRANGE(""1NK5L1mviMn0j3D3uo53ASkIZOFRlLnqaCTnwzOG2_Wg"",""Direct links Without Sizes!E2:E""))),"""")"),"")</f>
        <v/>
      </c>
      <c r="H823" s="41"/>
      <c r="I823" s="4"/>
      <c r="J823" s="4"/>
      <c r="K823" s="10" t="str">
        <f t="shared" si="1"/>
        <v/>
      </c>
      <c r="L823" s="10"/>
      <c r="M823" s="10" t="str">
        <f t="shared" si="2"/>
        <v/>
      </c>
    </row>
    <row r="824">
      <c r="A824" s="4"/>
      <c r="B824" s="15"/>
      <c r="C824" s="7" t="str">
        <f>IFERROR(__xludf.DUMMYFUNCTION("iferror(iferror(INDEX(IMPORTRANGE(""12vtnxaE_Q1s4tyr10kZQx7ZF_xG0lBFae4jQEUtgsMU"",""All!B2:B""),MATCH($B824,IMPORTRANGE(""12vtnxaE_Q1s4tyr10kZQx7ZF_xG0lBFae4jQEUtgsMU"",""All!A2:A""),0)),INDEX(IMPORTRANGE(""13KC70HngS4DDi8y9E5khtSpQEPG6owaQ9z4E-tR5mnY"","&amp;"""Non-Food!B2:B""),MATCH($B824,IMPORTRANGE(""13KC70HngS4DDi8y9E5khtSpQEPG6owaQ9z4E-tR5mnY"",""Non-Food!A2:A""),0))),"""")"),"")</f>
        <v/>
      </c>
      <c r="D824" s="15"/>
      <c r="E824" s="15"/>
      <c r="F824" s="36"/>
      <c r="G824" s="24" t="str">
        <f>IFERROR(__xludf.DUMMYFUNCTION("iferror(iferror(iferror(index(IMPORTRANGE(""1NK5L1mviMn0j3D3uo53ASkIZOFRlLnqaCTnwzOG2_Wg"",""Direct Link!B2:B""),MATCH($B824,IMPORTRANGE(""1NK5L1mviMn0j3D3uo53ASkIZOFRlLnqaCTnwzOG2_Wg"",""Direct Link!A2:A""),0)),XLOOKUP($B824,IMPORTRANGE(""1NK5L1mviMn0j3D"&amp;"3uo53ASkIZOFRlLnqaCTnwzOG2_Wg"",""Direct links Without Sizes!A2:A""),IMPORTRANGE(""1NK5L1mviMn0j3D3uo53ASkIZOFRlLnqaCTnwzOG2_Wg"",""Direct links Without Sizes!B2:B""))),XLOOKUP($B824,IMPORTRANGE(""1NK5L1mviMn0j3D3uo53ASkIZOFRlLnqaCTnwzOG2_Wg"",""Direct li"&amp;"nks Without Sizes!D2:D""),IMPORTRANGE(""1NK5L1mviMn0j3D3uo53ASkIZOFRlLnqaCTnwzOG2_Wg"",""Direct links Without Sizes!E2:E""))),"""")"),"")</f>
        <v/>
      </c>
      <c r="H824" s="41"/>
      <c r="I824" s="4"/>
      <c r="J824" s="4"/>
      <c r="K824" s="10" t="str">
        <f t="shared" si="1"/>
        <v/>
      </c>
      <c r="L824" s="10"/>
      <c r="M824" s="10" t="str">
        <f t="shared" si="2"/>
        <v/>
      </c>
    </row>
    <row r="825">
      <c r="A825" s="4"/>
      <c r="B825" s="15"/>
      <c r="C825" s="7" t="str">
        <f>IFERROR(__xludf.DUMMYFUNCTION("iferror(iferror(INDEX(IMPORTRANGE(""12vtnxaE_Q1s4tyr10kZQx7ZF_xG0lBFae4jQEUtgsMU"",""All!B2:B""),MATCH($B825,IMPORTRANGE(""12vtnxaE_Q1s4tyr10kZQx7ZF_xG0lBFae4jQEUtgsMU"",""All!A2:A""),0)),INDEX(IMPORTRANGE(""13KC70HngS4DDi8y9E5khtSpQEPG6owaQ9z4E-tR5mnY"","&amp;"""Non-Food!B2:B""),MATCH($B825,IMPORTRANGE(""13KC70HngS4DDi8y9E5khtSpQEPG6owaQ9z4E-tR5mnY"",""Non-Food!A2:A""),0))),"""")"),"")</f>
        <v/>
      </c>
      <c r="D825" s="15"/>
      <c r="E825" s="15"/>
      <c r="F825" s="36"/>
      <c r="G825" s="24" t="str">
        <f>IFERROR(__xludf.DUMMYFUNCTION("iferror(iferror(iferror(index(IMPORTRANGE(""1NK5L1mviMn0j3D3uo53ASkIZOFRlLnqaCTnwzOG2_Wg"",""Direct Link!B2:B""),MATCH($B825,IMPORTRANGE(""1NK5L1mviMn0j3D3uo53ASkIZOFRlLnqaCTnwzOG2_Wg"",""Direct Link!A2:A""),0)),XLOOKUP($B825,IMPORTRANGE(""1NK5L1mviMn0j3D"&amp;"3uo53ASkIZOFRlLnqaCTnwzOG2_Wg"",""Direct links Without Sizes!A2:A""),IMPORTRANGE(""1NK5L1mviMn0j3D3uo53ASkIZOFRlLnqaCTnwzOG2_Wg"",""Direct links Without Sizes!B2:B""))),XLOOKUP($B825,IMPORTRANGE(""1NK5L1mviMn0j3D3uo53ASkIZOFRlLnqaCTnwzOG2_Wg"",""Direct li"&amp;"nks Without Sizes!D2:D""),IMPORTRANGE(""1NK5L1mviMn0j3D3uo53ASkIZOFRlLnqaCTnwzOG2_Wg"",""Direct links Without Sizes!E2:E""))),"""")"),"")</f>
        <v/>
      </c>
      <c r="H825" s="41"/>
      <c r="I825" s="4"/>
      <c r="J825" s="4"/>
      <c r="K825" s="10" t="str">
        <f t="shared" si="1"/>
        <v/>
      </c>
      <c r="L825" s="10"/>
      <c r="M825" s="10" t="str">
        <f t="shared" si="2"/>
        <v/>
      </c>
    </row>
    <row r="826">
      <c r="A826" s="4"/>
      <c r="B826" s="15"/>
      <c r="C826" s="7" t="str">
        <f>IFERROR(__xludf.DUMMYFUNCTION("iferror(iferror(INDEX(IMPORTRANGE(""12vtnxaE_Q1s4tyr10kZQx7ZF_xG0lBFae4jQEUtgsMU"",""All!B2:B""),MATCH($B826,IMPORTRANGE(""12vtnxaE_Q1s4tyr10kZQx7ZF_xG0lBFae4jQEUtgsMU"",""All!A2:A""),0)),INDEX(IMPORTRANGE(""13KC70HngS4DDi8y9E5khtSpQEPG6owaQ9z4E-tR5mnY"","&amp;"""Non-Food!B2:B""),MATCH($B826,IMPORTRANGE(""13KC70HngS4DDi8y9E5khtSpQEPG6owaQ9z4E-tR5mnY"",""Non-Food!A2:A""),0))),"""")"),"")</f>
        <v/>
      </c>
      <c r="D826" s="15"/>
      <c r="E826" s="15"/>
      <c r="F826" s="36"/>
      <c r="G826" s="24" t="str">
        <f>IFERROR(__xludf.DUMMYFUNCTION("iferror(iferror(iferror(index(IMPORTRANGE(""1NK5L1mviMn0j3D3uo53ASkIZOFRlLnqaCTnwzOG2_Wg"",""Direct Link!B2:B""),MATCH($B826,IMPORTRANGE(""1NK5L1mviMn0j3D3uo53ASkIZOFRlLnqaCTnwzOG2_Wg"",""Direct Link!A2:A""),0)),XLOOKUP($B826,IMPORTRANGE(""1NK5L1mviMn0j3D"&amp;"3uo53ASkIZOFRlLnqaCTnwzOG2_Wg"",""Direct links Without Sizes!A2:A""),IMPORTRANGE(""1NK5L1mviMn0j3D3uo53ASkIZOFRlLnqaCTnwzOG2_Wg"",""Direct links Without Sizes!B2:B""))),XLOOKUP($B826,IMPORTRANGE(""1NK5L1mviMn0j3D3uo53ASkIZOFRlLnqaCTnwzOG2_Wg"",""Direct li"&amp;"nks Without Sizes!D2:D""),IMPORTRANGE(""1NK5L1mviMn0j3D3uo53ASkIZOFRlLnqaCTnwzOG2_Wg"",""Direct links Without Sizes!E2:E""))),"""")"),"")</f>
        <v/>
      </c>
      <c r="H826" s="41"/>
      <c r="I826" s="4"/>
      <c r="J826" s="4"/>
      <c r="K826" s="10" t="str">
        <f t="shared" si="1"/>
        <v/>
      </c>
      <c r="L826" s="10"/>
      <c r="M826" s="10" t="str">
        <f t="shared" si="2"/>
        <v/>
      </c>
    </row>
    <row r="827">
      <c r="A827" s="4"/>
      <c r="B827" s="15"/>
      <c r="C827" s="7" t="str">
        <f>IFERROR(__xludf.DUMMYFUNCTION("iferror(iferror(INDEX(IMPORTRANGE(""12vtnxaE_Q1s4tyr10kZQx7ZF_xG0lBFae4jQEUtgsMU"",""All!B2:B""),MATCH($B827,IMPORTRANGE(""12vtnxaE_Q1s4tyr10kZQx7ZF_xG0lBFae4jQEUtgsMU"",""All!A2:A""),0)),INDEX(IMPORTRANGE(""13KC70HngS4DDi8y9E5khtSpQEPG6owaQ9z4E-tR5mnY"","&amp;"""Non-Food!B2:B""),MATCH($B827,IMPORTRANGE(""13KC70HngS4DDi8y9E5khtSpQEPG6owaQ9z4E-tR5mnY"",""Non-Food!A2:A""),0))),"""")"),"")</f>
        <v/>
      </c>
      <c r="D827" s="15"/>
      <c r="E827" s="15"/>
      <c r="F827" s="36"/>
      <c r="G827" s="24" t="str">
        <f>IFERROR(__xludf.DUMMYFUNCTION("iferror(iferror(iferror(index(IMPORTRANGE(""1NK5L1mviMn0j3D3uo53ASkIZOFRlLnqaCTnwzOG2_Wg"",""Direct Link!B2:B""),MATCH($B827,IMPORTRANGE(""1NK5L1mviMn0j3D3uo53ASkIZOFRlLnqaCTnwzOG2_Wg"",""Direct Link!A2:A""),0)),XLOOKUP($B827,IMPORTRANGE(""1NK5L1mviMn0j3D"&amp;"3uo53ASkIZOFRlLnqaCTnwzOG2_Wg"",""Direct links Without Sizes!A2:A""),IMPORTRANGE(""1NK5L1mviMn0j3D3uo53ASkIZOFRlLnqaCTnwzOG2_Wg"",""Direct links Without Sizes!B2:B""))),XLOOKUP($B827,IMPORTRANGE(""1NK5L1mviMn0j3D3uo53ASkIZOFRlLnqaCTnwzOG2_Wg"",""Direct li"&amp;"nks Without Sizes!D2:D""),IMPORTRANGE(""1NK5L1mviMn0j3D3uo53ASkIZOFRlLnqaCTnwzOG2_Wg"",""Direct links Without Sizes!E2:E""))),"""")"),"")</f>
        <v/>
      </c>
      <c r="H827" s="41"/>
      <c r="I827" s="4"/>
      <c r="J827" s="4"/>
      <c r="K827" s="10" t="str">
        <f t="shared" si="1"/>
        <v/>
      </c>
      <c r="L827" s="10"/>
      <c r="M827" s="10" t="str">
        <f t="shared" si="2"/>
        <v/>
      </c>
    </row>
    <row r="828">
      <c r="A828" s="4"/>
      <c r="B828" s="15"/>
      <c r="C828" s="7" t="str">
        <f>IFERROR(__xludf.DUMMYFUNCTION("iferror(iferror(INDEX(IMPORTRANGE(""12vtnxaE_Q1s4tyr10kZQx7ZF_xG0lBFae4jQEUtgsMU"",""All!B2:B""),MATCH($B828,IMPORTRANGE(""12vtnxaE_Q1s4tyr10kZQx7ZF_xG0lBFae4jQEUtgsMU"",""All!A2:A""),0)),INDEX(IMPORTRANGE(""13KC70HngS4DDi8y9E5khtSpQEPG6owaQ9z4E-tR5mnY"","&amp;"""Non-Food!B2:B""),MATCH($B828,IMPORTRANGE(""13KC70HngS4DDi8y9E5khtSpQEPG6owaQ9z4E-tR5mnY"",""Non-Food!A2:A""),0))),"""")"),"")</f>
        <v/>
      </c>
      <c r="D828" s="15"/>
      <c r="E828" s="15"/>
      <c r="F828" s="36"/>
      <c r="G828" s="24" t="str">
        <f>IFERROR(__xludf.DUMMYFUNCTION("iferror(iferror(iferror(index(IMPORTRANGE(""1NK5L1mviMn0j3D3uo53ASkIZOFRlLnqaCTnwzOG2_Wg"",""Direct Link!B2:B""),MATCH($B828,IMPORTRANGE(""1NK5L1mviMn0j3D3uo53ASkIZOFRlLnqaCTnwzOG2_Wg"",""Direct Link!A2:A""),0)),XLOOKUP($B828,IMPORTRANGE(""1NK5L1mviMn0j3D"&amp;"3uo53ASkIZOFRlLnqaCTnwzOG2_Wg"",""Direct links Without Sizes!A2:A""),IMPORTRANGE(""1NK5L1mviMn0j3D3uo53ASkIZOFRlLnqaCTnwzOG2_Wg"",""Direct links Without Sizes!B2:B""))),XLOOKUP($B828,IMPORTRANGE(""1NK5L1mviMn0j3D3uo53ASkIZOFRlLnqaCTnwzOG2_Wg"",""Direct li"&amp;"nks Without Sizes!D2:D""),IMPORTRANGE(""1NK5L1mviMn0j3D3uo53ASkIZOFRlLnqaCTnwzOG2_Wg"",""Direct links Without Sizes!E2:E""))),"""")"),"")</f>
        <v/>
      </c>
      <c r="H828" s="41"/>
      <c r="I828" s="4"/>
      <c r="J828" s="4"/>
      <c r="K828" s="10" t="str">
        <f t="shared" si="1"/>
        <v/>
      </c>
      <c r="L828" s="10"/>
      <c r="M828" s="10" t="str">
        <f t="shared" si="2"/>
        <v/>
      </c>
    </row>
    <row r="829">
      <c r="A829" s="4"/>
      <c r="B829" s="15"/>
      <c r="C829" s="7" t="str">
        <f>IFERROR(__xludf.DUMMYFUNCTION("iferror(iferror(INDEX(IMPORTRANGE(""12vtnxaE_Q1s4tyr10kZQx7ZF_xG0lBFae4jQEUtgsMU"",""All!B2:B""),MATCH($B829,IMPORTRANGE(""12vtnxaE_Q1s4tyr10kZQx7ZF_xG0lBFae4jQEUtgsMU"",""All!A2:A""),0)),INDEX(IMPORTRANGE(""13KC70HngS4DDi8y9E5khtSpQEPG6owaQ9z4E-tR5mnY"","&amp;"""Non-Food!B2:B""),MATCH($B829,IMPORTRANGE(""13KC70HngS4DDi8y9E5khtSpQEPG6owaQ9z4E-tR5mnY"",""Non-Food!A2:A""),0))),"""")"),"")</f>
        <v/>
      </c>
      <c r="D829" s="15"/>
      <c r="E829" s="15"/>
      <c r="F829" s="36"/>
      <c r="G829" s="24" t="str">
        <f>IFERROR(__xludf.DUMMYFUNCTION("iferror(iferror(iferror(index(IMPORTRANGE(""1NK5L1mviMn0j3D3uo53ASkIZOFRlLnqaCTnwzOG2_Wg"",""Direct Link!B2:B""),MATCH($B829,IMPORTRANGE(""1NK5L1mviMn0j3D3uo53ASkIZOFRlLnqaCTnwzOG2_Wg"",""Direct Link!A2:A""),0)),XLOOKUP($B829,IMPORTRANGE(""1NK5L1mviMn0j3D"&amp;"3uo53ASkIZOFRlLnqaCTnwzOG2_Wg"",""Direct links Without Sizes!A2:A""),IMPORTRANGE(""1NK5L1mviMn0j3D3uo53ASkIZOFRlLnqaCTnwzOG2_Wg"",""Direct links Without Sizes!B2:B""))),XLOOKUP($B829,IMPORTRANGE(""1NK5L1mviMn0j3D3uo53ASkIZOFRlLnqaCTnwzOG2_Wg"",""Direct li"&amp;"nks Without Sizes!D2:D""),IMPORTRANGE(""1NK5L1mviMn0j3D3uo53ASkIZOFRlLnqaCTnwzOG2_Wg"",""Direct links Without Sizes!E2:E""))),"""")"),"")</f>
        <v/>
      </c>
      <c r="H829" s="41"/>
      <c r="I829" s="4"/>
      <c r="J829" s="4"/>
      <c r="K829" s="10" t="str">
        <f t="shared" si="1"/>
        <v/>
      </c>
      <c r="L829" s="10"/>
      <c r="M829" s="10" t="str">
        <f t="shared" si="2"/>
        <v/>
      </c>
    </row>
    <row r="830">
      <c r="A830" s="4"/>
      <c r="B830" s="15"/>
      <c r="C830" s="7" t="str">
        <f>IFERROR(__xludf.DUMMYFUNCTION("iferror(iferror(INDEX(IMPORTRANGE(""12vtnxaE_Q1s4tyr10kZQx7ZF_xG0lBFae4jQEUtgsMU"",""All!B2:B""),MATCH($B830,IMPORTRANGE(""12vtnxaE_Q1s4tyr10kZQx7ZF_xG0lBFae4jQEUtgsMU"",""All!A2:A""),0)),INDEX(IMPORTRANGE(""13KC70HngS4DDi8y9E5khtSpQEPG6owaQ9z4E-tR5mnY"","&amp;"""Non-Food!B2:B""),MATCH($B830,IMPORTRANGE(""13KC70HngS4DDi8y9E5khtSpQEPG6owaQ9z4E-tR5mnY"",""Non-Food!A2:A""),0))),"""")"),"")</f>
        <v/>
      </c>
      <c r="D830" s="15"/>
      <c r="E830" s="15"/>
      <c r="F830" s="36"/>
      <c r="G830" s="24" t="str">
        <f>IFERROR(__xludf.DUMMYFUNCTION("iferror(iferror(iferror(index(IMPORTRANGE(""1NK5L1mviMn0j3D3uo53ASkIZOFRlLnqaCTnwzOG2_Wg"",""Direct Link!B2:B""),MATCH($B830,IMPORTRANGE(""1NK5L1mviMn0j3D3uo53ASkIZOFRlLnqaCTnwzOG2_Wg"",""Direct Link!A2:A""),0)),XLOOKUP($B830,IMPORTRANGE(""1NK5L1mviMn0j3D"&amp;"3uo53ASkIZOFRlLnqaCTnwzOG2_Wg"",""Direct links Without Sizes!A2:A""),IMPORTRANGE(""1NK5L1mviMn0j3D3uo53ASkIZOFRlLnqaCTnwzOG2_Wg"",""Direct links Without Sizes!B2:B""))),XLOOKUP($B830,IMPORTRANGE(""1NK5L1mviMn0j3D3uo53ASkIZOFRlLnqaCTnwzOG2_Wg"",""Direct li"&amp;"nks Without Sizes!D2:D""),IMPORTRANGE(""1NK5L1mviMn0j3D3uo53ASkIZOFRlLnqaCTnwzOG2_Wg"",""Direct links Without Sizes!E2:E""))),"""")"),"")</f>
        <v/>
      </c>
      <c r="H830" s="41"/>
      <c r="I830" s="4"/>
      <c r="J830" s="4"/>
      <c r="K830" s="10" t="str">
        <f t="shared" si="1"/>
        <v/>
      </c>
      <c r="L830" s="10"/>
      <c r="M830" s="10" t="str">
        <f t="shared" si="2"/>
        <v/>
      </c>
    </row>
    <row r="831">
      <c r="A831" s="4"/>
      <c r="B831" s="15"/>
      <c r="C831" s="7" t="str">
        <f>IFERROR(__xludf.DUMMYFUNCTION("iferror(iferror(INDEX(IMPORTRANGE(""12vtnxaE_Q1s4tyr10kZQx7ZF_xG0lBFae4jQEUtgsMU"",""All!B2:B""),MATCH($B831,IMPORTRANGE(""12vtnxaE_Q1s4tyr10kZQx7ZF_xG0lBFae4jQEUtgsMU"",""All!A2:A""),0)),INDEX(IMPORTRANGE(""13KC70HngS4DDi8y9E5khtSpQEPG6owaQ9z4E-tR5mnY"","&amp;"""Non-Food!B2:B""),MATCH($B831,IMPORTRANGE(""13KC70HngS4DDi8y9E5khtSpQEPG6owaQ9z4E-tR5mnY"",""Non-Food!A2:A""),0))),"""")"),"")</f>
        <v/>
      </c>
      <c r="D831" s="15"/>
      <c r="E831" s="15"/>
      <c r="F831" s="36"/>
      <c r="G831" s="24" t="str">
        <f>IFERROR(__xludf.DUMMYFUNCTION("iferror(iferror(iferror(index(IMPORTRANGE(""1NK5L1mviMn0j3D3uo53ASkIZOFRlLnqaCTnwzOG2_Wg"",""Direct Link!B2:B""),MATCH($B831,IMPORTRANGE(""1NK5L1mviMn0j3D3uo53ASkIZOFRlLnqaCTnwzOG2_Wg"",""Direct Link!A2:A""),0)),XLOOKUP($B831,IMPORTRANGE(""1NK5L1mviMn0j3D"&amp;"3uo53ASkIZOFRlLnqaCTnwzOG2_Wg"",""Direct links Without Sizes!A2:A""),IMPORTRANGE(""1NK5L1mviMn0j3D3uo53ASkIZOFRlLnqaCTnwzOG2_Wg"",""Direct links Without Sizes!B2:B""))),XLOOKUP($B831,IMPORTRANGE(""1NK5L1mviMn0j3D3uo53ASkIZOFRlLnqaCTnwzOG2_Wg"",""Direct li"&amp;"nks Without Sizes!D2:D""),IMPORTRANGE(""1NK5L1mviMn0j3D3uo53ASkIZOFRlLnqaCTnwzOG2_Wg"",""Direct links Without Sizes!E2:E""))),"""")"),"")</f>
        <v/>
      </c>
      <c r="H831" s="41"/>
      <c r="I831" s="4"/>
      <c r="J831" s="4"/>
      <c r="K831" s="10" t="str">
        <f t="shared" si="1"/>
        <v/>
      </c>
      <c r="L831" s="10"/>
      <c r="M831" s="10" t="str">
        <f t="shared" si="2"/>
        <v/>
      </c>
    </row>
    <row r="832">
      <c r="A832" s="4"/>
      <c r="B832" s="15"/>
      <c r="C832" s="7" t="str">
        <f>IFERROR(__xludf.DUMMYFUNCTION("iferror(iferror(INDEX(IMPORTRANGE(""12vtnxaE_Q1s4tyr10kZQx7ZF_xG0lBFae4jQEUtgsMU"",""All!B2:B""),MATCH($B832,IMPORTRANGE(""12vtnxaE_Q1s4tyr10kZQx7ZF_xG0lBFae4jQEUtgsMU"",""All!A2:A""),0)),INDEX(IMPORTRANGE(""13KC70HngS4DDi8y9E5khtSpQEPG6owaQ9z4E-tR5mnY"","&amp;"""Non-Food!B2:B""),MATCH($B832,IMPORTRANGE(""13KC70HngS4DDi8y9E5khtSpQEPG6owaQ9z4E-tR5mnY"",""Non-Food!A2:A""),0))),"""")"),"")</f>
        <v/>
      </c>
      <c r="D832" s="15"/>
      <c r="E832" s="15"/>
      <c r="F832" s="36"/>
      <c r="G832" s="24" t="str">
        <f>IFERROR(__xludf.DUMMYFUNCTION("iferror(iferror(iferror(index(IMPORTRANGE(""1NK5L1mviMn0j3D3uo53ASkIZOFRlLnqaCTnwzOG2_Wg"",""Direct Link!B2:B""),MATCH($B832,IMPORTRANGE(""1NK5L1mviMn0j3D3uo53ASkIZOFRlLnqaCTnwzOG2_Wg"",""Direct Link!A2:A""),0)),XLOOKUP($B832,IMPORTRANGE(""1NK5L1mviMn0j3D"&amp;"3uo53ASkIZOFRlLnqaCTnwzOG2_Wg"",""Direct links Without Sizes!A2:A""),IMPORTRANGE(""1NK5L1mviMn0j3D3uo53ASkIZOFRlLnqaCTnwzOG2_Wg"",""Direct links Without Sizes!B2:B""))),XLOOKUP($B832,IMPORTRANGE(""1NK5L1mviMn0j3D3uo53ASkIZOFRlLnqaCTnwzOG2_Wg"",""Direct li"&amp;"nks Without Sizes!D2:D""),IMPORTRANGE(""1NK5L1mviMn0j3D3uo53ASkIZOFRlLnqaCTnwzOG2_Wg"",""Direct links Without Sizes!E2:E""))),"""")"),"")</f>
        <v/>
      </c>
      <c r="H832" s="41"/>
      <c r="I832" s="4"/>
      <c r="J832" s="4"/>
      <c r="K832" s="10" t="str">
        <f t="shared" si="1"/>
        <v/>
      </c>
      <c r="L832" s="10"/>
      <c r="M832" s="10" t="str">
        <f t="shared" si="2"/>
        <v/>
      </c>
    </row>
    <row r="833">
      <c r="A833" s="4"/>
      <c r="B833" s="15"/>
      <c r="C833" s="7" t="str">
        <f>IFERROR(__xludf.DUMMYFUNCTION("iferror(iferror(INDEX(IMPORTRANGE(""12vtnxaE_Q1s4tyr10kZQx7ZF_xG0lBFae4jQEUtgsMU"",""All!B2:B""),MATCH($B833,IMPORTRANGE(""12vtnxaE_Q1s4tyr10kZQx7ZF_xG0lBFae4jQEUtgsMU"",""All!A2:A""),0)),INDEX(IMPORTRANGE(""13KC70HngS4DDi8y9E5khtSpQEPG6owaQ9z4E-tR5mnY"","&amp;"""Non-Food!B2:B""),MATCH($B833,IMPORTRANGE(""13KC70HngS4DDi8y9E5khtSpQEPG6owaQ9z4E-tR5mnY"",""Non-Food!A2:A""),0))),"""")"),"")</f>
        <v/>
      </c>
      <c r="D833" s="15"/>
      <c r="E833" s="15"/>
      <c r="F833" s="36"/>
      <c r="G833" s="24" t="str">
        <f>IFERROR(__xludf.DUMMYFUNCTION("iferror(iferror(iferror(index(IMPORTRANGE(""1NK5L1mviMn0j3D3uo53ASkIZOFRlLnqaCTnwzOG2_Wg"",""Direct Link!B2:B""),MATCH($B833,IMPORTRANGE(""1NK5L1mviMn0j3D3uo53ASkIZOFRlLnqaCTnwzOG2_Wg"",""Direct Link!A2:A""),0)),XLOOKUP($B833,IMPORTRANGE(""1NK5L1mviMn0j3D"&amp;"3uo53ASkIZOFRlLnqaCTnwzOG2_Wg"",""Direct links Without Sizes!A2:A""),IMPORTRANGE(""1NK5L1mviMn0j3D3uo53ASkIZOFRlLnqaCTnwzOG2_Wg"",""Direct links Without Sizes!B2:B""))),XLOOKUP($B833,IMPORTRANGE(""1NK5L1mviMn0j3D3uo53ASkIZOFRlLnqaCTnwzOG2_Wg"",""Direct li"&amp;"nks Without Sizes!D2:D""),IMPORTRANGE(""1NK5L1mviMn0j3D3uo53ASkIZOFRlLnqaCTnwzOG2_Wg"",""Direct links Without Sizes!E2:E""))),"""")"),"")</f>
        <v/>
      </c>
      <c r="H833" s="41"/>
      <c r="I833" s="4"/>
      <c r="J833" s="4"/>
      <c r="K833" s="10" t="str">
        <f t="shared" si="1"/>
        <v/>
      </c>
      <c r="L833" s="10"/>
      <c r="M833" s="10" t="str">
        <f t="shared" si="2"/>
        <v/>
      </c>
    </row>
    <row r="834">
      <c r="A834" s="4"/>
      <c r="B834" s="15"/>
      <c r="C834" s="7" t="str">
        <f>IFERROR(__xludf.DUMMYFUNCTION("iferror(iferror(INDEX(IMPORTRANGE(""12vtnxaE_Q1s4tyr10kZQx7ZF_xG0lBFae4jQEUtgsMU"",""All!B2:B""),MATCH($B834,IMPORTRANGE(""12vtnxaE_Q1s4tyr10kZQx7ZF_xG0lBFae4jQEUtgsMU"",""All!A2:A""),0)),INDEX(IMPORTRANGE(""13KC70HngS4DDi8y9E5khtSpQEPG6owaQ9z4E-tR5mnY"","&amp;"""Non-Food!B2:B""),MATCH($B834,IMPORTRANGE(""13KC70HngS4DDi8y9E5khtSpQEPG6owaQ9z4E-tR5mnY"",""Non-Food!A2:A""),0))),"""")"),"")</f>
        <v/>
      </c>
      <c r="D834" s="15"/>
      <c r="E834" s="15"/>
      <c r="F834" s="36"/>
      <c r="G834" s="24" t="str">
        <f>IFERROR(__xludf.DUMMYFUNCTION("iferror(iferror(iferror(index(IMPORTRANGE(""1NK5L1mviMn0j3D3uo53ASkIZOFRlLnqaCTnwzOG2_Wg"",""Direct Link!B2:B""),MATCH($B834,IMPORTRANGE(""1NK5L1mviMn0j3D3uo53ASkIZOFRlLnqaCTnwzOG2_Wg"",""Direct Link!A2:A""),0)),XLOOKUP($B834,IMPORTRANGE(""1NK5L1mviMn0j3D"&amp;"3uo53ASkIZOFRlLnqaCTnwzOG2_Wg"",""Direct links Without Sizes!A2:A""),IMPORTRANGE(""1NK5L1mviMn0j3D3uo53ASkIZOFRlLnqaCTnwzOG2_Wg"",""Direct links Without Sizes!B2:B""))),XLOOKUP($B834,IMPORTRANGE(""1NK5L1mviMn0j3D3uo53ASkIZOFRlLnqaCTnwzOG2_Wg"",""Direct li"&amp;"nks Without Sizes!D2:D""),IMPORTRANGE(""1NK5L1mviMn0j3D3uo53ASkIZOFRlLnqaCTnwzOG2_Wg"",""Direct links Without Sizes!E2:E""))),"""")"),"")</f>
        <v/>
      </c>
      <c r="H834" s="41"/>
      <c r="I834" s="4"/>
      <c r="J834" s="4"/>
      <c r="K834" s="10" t="str">
        <f t="shared" si="1"/>
        <v/>
      </c>
      <c r="L834" s="10"/>
      <c r="M834" s="10" t="str">
        <f t="shared" si="2"/>
        <v/>
      </c>
    </row>
    <row r="835">
      <c r="A835" s="4"/>
      <c r="B835" s="15"/>
      <c r="C835" s="7" t="str">
        <f>IFERROR(__xludf.DUMMYFUNCTION("iferror(iferror(INDEX(IMPORTRANGE(""12vtnxaE_Q1s4tyr10kZQx7ZF_xG0lBFae4jQEUtgsMU"",""All!B2:B""),MATCH($B835,IMPORTRANGE(""12vtnxaE_Q1s4tyr10kZQx7ZF_xG0lBFae4jQEUtgsMU"",""All!A2:A""),0)),INDEX(IMPORTRANGE(""13KC70HngS4DDi8y9E5khtSpQEPG6owaQ9z4E-tR5mnY"","&amp;"""Non-Food!B2:B""),MATCH($B835,IMPORTRANGE(""13KC70HngS4DDi8y9E5khtSpQEPG6owaQ9z4E-tR5mnY"",""Non-Food!A2:A""),0))),"""")"),"")</f>
        <v/>
      </c>
      <c r="D835" s="15"/>
      <c r="E835" s="15"/>
      <c r="F835" s="36"/>
      <c r="G835" s="24" t="str">
        <f>IFERROR(__xludf.DUMMYFUNCTION("iferror(iferror(iferror(index(IMPORTRANGE(""1NK5L1mviMn0j3D3uo53ASkIZOFRlLnqaCTnwzOG2_Wg"",""Direct Link!B2:B""),MATCH($B835,IMPORTRANGE(""1NK5L1mviMn0j3D3uo53ASkIZOFRlLnqaCTnwzOG2_Wg"",""Direct Link!A2:A""),0)),XLOOKUP($B835,IMPORTRANGE(""1NK5L1mviMn0j3D"&amp;"3uo53ASkIZOFRlLnqaCTnwzOG2_Wg"",""Direct links Without Sizes!A2:A""),IMPORTRANGE(""1NK5L1mviMn0j3D3uo53ASkIZOFRlLnqaCTnwzOG2_Wg"",""Direct links Without Sizes!B2:B""))),XLOOKUP($B835,IMPORTRANGE(""1NK5L1mviMn0j3D3uo53ASkIZOFRlLnqaCTnwzOG2_Wg"",""Direct li"&amp;"nks Without Sizes!D2:D""),IMPORTRANGE(""1NK5L1mviMn0j3D3uo53ASkIZOFRlLnqaCTnwzOG2_Wg"",""Direct links Without Sizes!E2:E""))),"""")"),"")</f>
        <v/>
      </c>
      <c r="H835" s="41"/>
      <c r="I835" s="4"/>
      <c r="J835" s="4"/>
      <c r="K835" s="10" t="str">
        <f t="shared" si="1"/>
        <v/>
      </c>
      <c r="L835" s="10"/>
      <c r="M835" s="10" t="str">
        <f t="shared" si="2"/>
        <v/>
      </c>
    </row>
    <row r="836">
      <c r="A836" s="4"/>
      <c r="B836" s="15"/>
      <c r="C836" s="7" t="str">
        <f>IFERROR(__xludf.DUMMYFUNCTION("iferror(iferror(INDEX(IMPORTRANGE(""12vtnxaE_Q1s4tyr10kZQx7ZF_xG0lBFae4jQEUtgsMU"",""All!B2:B""),MATCH($B836,IMPORTRANGE(""12vtnxaE_Q1s4tyr10kZQx7ZF_xG0lBFae4jQEUtgsMU"",""All!A2:A""),0)),INDEX(IMPORTRANGE(""13KC70HngS4DDi8y9E5khtSpQEPG6owaQ9z4E-tR5mnY"","&amp;"""Non-Food!B2:B""),MATCH($B836,IMPORTRANGE(""13KC70HngS4DDi8y9E5khtSpQEPG6owaQ9z4E-tR5mnY"",""Non-Food!A2:A""),0))),"""")"),"")</f>
        <v/>
      </c>
      <c r="D836" s="15"/>
      <c r="E836" s="15"/>
      <c r="F836" s="36"/>
      <c r="G836" s="24" t="str">
        <f>IFERROR(__xludf.DUMMYFUNCTION("iferror(iferror(iferror(index(IMPORTRANGE(""1NK5L1mviMn0j3D3uo53ASkIZOFRlLnqaCTnwzOG2_Wg"",""Direct Link!B2:B""),MATCH($B836,IMPORTRANGE(""1NK5L1mviMn0j3D3uo53ASkIZOFRlLnqaCTnwzOG2_Wg"",""Direct Link!A2:A""),0)),XLOOKUP($B836,IMPORTRANGE(""1NK5L1mviMn0j3D"&amp;"3uo53ASkIZOFRlLnqaCTnwzOG2_Wg"",""Direct links Without Sizes!A2:A""),IMPORTRANGE(""1NK5L1mviMn0j3D3uo53ASkIZOFRlLnqaCTnwzOG2_Wg"",""Direct links Without Sizes!B2:B""))),XLOOKUP($B836,IMPORTRANGE(""1NK5L1mviMn0j3D3uo53ASkIZOFRlLnqaCTnwzOG2_Wg"",""Direct li"&amp;"nks Without Sizes!D2:D""),IMPORTRANGE(""1NK5L1mviMn0j3D3uo53ASkIZOFRlLnqaCTnwzOG2_Wg"",""Direct links Without Sizes!E2:E""))),"""")"),"")</f>
        <v/>
      </c>
      <c r="H836" s="41"/>
      <c r="I836" s="4"/>
      <c r="J836" s="4"/>
      <c r="K836" s="10" t="str">
        <f t="shared" si="1"/>
        <v/>
      </c>
      <c r="L836" s="10"/>
      <c r="M836" s="10" t="str">
        <f t="shared" si="2"/>
        <v/>
      </c>
    </row>
    <row r="837">
      <c r="A837" s="4"/>
      <c r="B837" s="15"/>
      <c r="C837" s="7" t="str">
        <f>IFERROR(__xludf.DUMMYFUNCTION("iferror(iferror(INDEX(IMPORTRANGE(""12vtnxaE_Q1s4tyr10kZQx7ZF_xG0lBFae4jQEUtgsMU"",""All!B2:B""),MATCH($B837,IMPORTRANGE(""12vtnxaE_Q1s4tyr10kZQx7ZF_xG0lBFae4jQEUtgsMU"",""All!A2:A""),0)),INDEX(IMPORTRANGE(""13KC70HngS4DDi8y9E5khtSpQEPG6owaQ9z4E-tR5mnY"","&amp;"""Non-Food!B2:B""),MATCH($B837,IMPORTRANGE(""13KC70HngS4DDi8y9E5khtSpQEPG6owaQ9z4E-tR5mnY"",""Non-Food!A2:A""),0))),"""")"),"")</f>
        <v/>
      </c>
      <c r="D837" s="15"/>
      <c r="E837" s="15"/>
      <c r="F837" s="36"/>
      <c r="G837" s="24" t="str">
        <f>IFERROR(__xludf.DUMMYFUNCTION("iferror(iferror(iferror(index(IMPORTRANGE(""1NK5L1mviMn0j3D3uo53ASkIZOFRlLnqaCTnwzOG2_Wg"",""Direct Link!B2:B""),MATCH($B837,IMPORTRANGE(""1NK5L1mviMn0j3D3uo53ASkIZOFRlLnqaCTnwzOG2_Wg"",""Direct Link!A2:A""),0)),XLOOKUP($B837,IMPORTRANGE(""1NK5L1mviMn0j3D"&amp;"3uo53ASkIZOFRlLnqaCTnwzOG2_Wg"",""Direct links Without Sizes!A2:A""),IMPORTRANGE(""1NK5L1mviMn0j3D3uo53ASkIZOFRlLnqaCTnwzOG2_Wg"",""Direct links Without Sizes!B2:B""))),XLOOKUP($B837,IMPORTRANGE(""1NK5L1mviMn0j3D3uo53ASkIZOFRlLnqaCTnwzOG2_Wg"",""Direct li"&amp;"nks Without Sizes!D2:D""),IMPORTRANGE(""1NK5L1mviMn0j3D3uo53ASkIZOFRlLnqaCTnwzOG2_Wg"",""Direct links Without Sizes!E2:E""))),"""")"),"")</f>
        <v/>
      </c>
      <c r="H837" s="41"/>
      <c r="I837" s="4"/>
      <c r="J837" s="4"/>
      <c r="K837" s="10" t="str">
        <f t="shared" si="1"/>
        <v/>
      </c>
      <c r="L837" s="10"/>
      <c r="M837" s="10" t="str">
        <f t="shared" si="2"/>
        <v/>
      </c>
    </row>
    <row r="838">
      <c r="A838" s="4"/>
      <c r="B838" s="15"/>
      <c r="C838" s="7" t="str">
        <f>IFERROR(__xludf.DUMMYFUNCTION("iferror(iferror(INDEX(IMPORTRANGE(""12vtnxaE_Q1s4tyr10kZQx7ZF_xG0lBFae4jQEUtgsMU"",""All!B2:B""),MATCH($B838,IMPORTRANGE(""12vtnxaE_Q1s4tyr10kZQx7ZF_xG0lBFae4jQEUtgsMU"",""All!A2:A""),0)),INDEX(IMPORTRANGE(""13KC70HngS4DDi8y9E5khtSpQEPG6owaQ9z4E-tR5mnY"","&amp;"""Non-Food!B2:B""),MATCH($B838,IMPORTRANGE(""13KC70HngS4DDi8y9E5khtSpQEPG6owaQ9z4E-tR5mnY"",""Non-Food!A2:A""),0))),"""")"),"")</f>
        <v/>
      </c>
      <c r="D838" s="15"/>
      <c r="E838" s="15"/>
      <c r="F838" s="36"/>
      <c r="G838" s="24" t="str">
        <f>IFERROR(__xludf.DUMMYFUNCTION("iferror(iferror(iferror(index(IMPORTRANGE(""1NK5L1mviMn0j3D3uo53ASkIZOFRlLnqaCTnwzOG2_Wg"",""Direct Link!B2:B""),MATCH($B838,IMPORTRANGE(""1NK5L1mviMn0j3D3uo53ASkIZOFRlLnqaCTnwzOG2_Wg"",""Direct Link!A2:A""),0)),XLOOKUP($B838,IMPORTRANGE(""1NK5L1mviMn0j3D"&amp;"3uo53ASkIZOFRlLnqaCTnwzOG2_Wg"",""Direct links Without Sizes!A2:A""),IMPORTRANGE(""1NK5L1mviMn0j3D3uo53ASkIZOFRlLnqaCTnwzOG2_Wg"",""Direct links Without Sizes!B2:B""))),XLOOKUP($B838,IMPORTRANGE(""1NK5L1mviMn0j3D3uo53ASkIZOFRlLnqaCTnwzOG2_Wg"",""Direct li"&amp;"nks Without Sizes!D2:D""),IMPORTRANGE(""1NK5L1mviMn0j3D3uo53ASkIZOFRlLnqaCTnwzOG2_Wg"",""Direct links Without Sizes!E2:E""))),"""")"),"")</f>
        <v/>
      </c>
      <c r="H838" s="41"/>
      <c r="I838" s="4"/>
      <c r="J838" s="4"/>
      <c r="K838" s="10" t="str">
        <f t="shared" si="1"/>
        <v/>
      </c>
      <c r="L838" s="10"/>
      <c r="M838" s="10" t="str">
        <f t="shared" si="2"/>
        <v/>
      </c>
    </row>
    <row r="839">
      <c r="A839" s="4"/>
      <c r="B839" s="15"/>
      <c r="C839" s="7" t="str">
        <f>IFERROR(__xludf.DUMMYFUNCTION("iferror(iferror(INDEX(IMPORTRANGE(""12vtnxaE_Q1s4tyr10kZQx7ZF_xG0lBFae4jQEUtgsMU"",""All!B2:B""),MATCH($B839,IMPORTRANGE(""12vtnxaE_Q1s4tyr10kZQx7ZF_xG0lBFae4jQEUtgsMU"",""All!A2:A""),0)),INDEX(IMPORTRANGE(""13KC70HngS4DDi8y9E5khtSpQEPG6owaQ9z4E-tR5mnY"","&amp;"""Non-Food!B2:B""),MATCH($B839,IMPORTRANGE(""13KC70HngS4DDi8y9E5khtSpQEPG6owaQ9z4E-tR5mnY"",""Non-Food!A2:A""),0))),"""")"),"")</f>
        <v/>
      </c>
      <c r="D839" s="15"/>
      <c r="E839" s="15"/>
      <c r="F839" s="36"/>
      <c r="G839" s="24" t="str">
        <f>IFERROR(__xludf.DUMMYFUNCTION("iferror(iferror(iferror(index(IMPORTRANGE(""1NK5L1mviMn0j3D3uo53ASkIZOFRlLnqaCTnwzOG2_Wg"",""Direct Link!B2:B""),MATCH($B839,IMPORTRANGE(""1NK5L1mviMn0j3D3uo53ASkIZOFRlLnqaCTnwzOG2_Wg"",""Direct Link!A2:A""),0)),XLOOKUP($B839,IMPORTRANGE(""1NK5L1mviMn0j3D"&amp;"3uo53ASkIZOFRlLnqaCTnwzOG2_Wg"",""Direct links Without Sizes!A2:A""),IMPORTRANGE(""1NK5L1mviMn0j3D3uo53ASkIZOFRlLnqaCTnwzOG2_Wg"",""Direct links Without Sizes!B2:B""))),XLOOKUP($B839,IMPORTRANGE(""1NK5L1mviMn0j3D3uo53ASkIZOFRlLnqaCTnwzOG2_Wg"",""Direct li"&amp;"nks Without Sizes!D2:D""),IMPORTRANGE(""1NK5L1mviMn0j3D3uo53ASkIZOFRlLnqaCTnwzOG2_Wg"",""Direct links Without Sizes!E2:E""))),"""")"),"")</f>
        <v/>
      </c>
      <c r="H839" s="41"/>
      <c r="I839" s="4"/>
      <c r="J839" s="4"/>
      <c r="K839" s="10" t="str">
        <f t="shared" si="1"/>
        <v/>
      </c>
      <c r="L839" s="10"/>
      <c r="M839" s="10" t="str">
        <f t="shared" si="2"/>
        <v/>
      </c>
    </row>
    <row r="840">
      <c r="A840" s="4"/>
      <c r="B840" s="15"/>
      <c r="C840" s="7" t="str">
        <f>IFERROR(__xludf.DUMMYFUNCTION("iferror(iferror(INDEX(IMPORTRANGE(""12vtnxaE_Q1s4tyr10kZQx7ZF_xG0lBFae4jQEUtgsMU"",""All!B2:B""),MATCH($B840,IMPORTRANGE(""12vtnxaE_Q1s4tyr10kZQx7ZF_xG0lBFae4jQEUtgsMU"",""All!A2:A""),0)),INDEX(IMPORTRANGE(""13KC70HngS4DDi8y9E5khtSpQEPG6owaQ9z4E-tR5mnY"","&amp;"""Non-Food!B2:B""),MATCH($B840,IMPORTRANGE(""13KC70HngS4DDi8y9E5khtSpQEPG6owaQ9z4E-tR5mnY"",""Non-Food!A2:A""),0))),"""")"),"")</f>
        <v/>
      </c>
      <c r="D840" s="15"/>
      <c r="E840" s="15"/>
      <c r="F840" s="36"/>
      <c r="G840" s="24" t="str">
        <f>IFERROR(__xludf.DUMMYFUNCTION("iferror(iferror(iferror(index(IMPORTRANGE(""1NK5L1mviMn0j3D3uo53ASkIZOFRlLnqaCTnwzOG2_Wg"",""Direct Link!B2:B""),MATCH($B840,IMPORTRANGE(""1NK5L1mviMn0j3D3uo53ASkIZOFRlLnqaCTnwzOG2_Wg"",""Direct Link!A2:A""),0)),XLOOKUP($B840,IMPORTRANGE(""1NK5L1mviMn0j3D"&amp;"3uo53ASkIZOFRlLnqaCTnwzOG2_Wg"",""Direct links Without Sizes!A2:A""),IMPORTRANGE(""1NK5L1mviMn0j3D3uo53ASkIZOFRlLnqaCTnwzOG2_Wg"",""Direct links Without Sizes!B2:B""))),XLOOKUP($B840,IMPORTRANGE(""1NK5L1mviMn0j3D3uo53ASkIZOFRlLnqaCTnwzOG2_Wg"",""Direct li"&amp;"nks Without Sizes!D2:D""),IMPORTRANGE(""1NK5L1mviMn0j3D3uo53ASkIZOFRlLnqaCTnwzOG2_Wg"",""Direct links Without Sizes!E2:E""))),"""")"),"")</f>
        <v/>
      </c>
      <c r="H840" s="41"/>
      <c r="I840" s="4"/>
      <c r="J840" s="4"/>
      <c r="K840" s="10" t="str">
        <f t="shared" si="1"/>
        <v/>
      </c>
      <c r="L840" s="10"/>
      <c r="M840" s="10" t="str">
        <f t="shared" si="2"/>
        <v/>
      </c>
    </row>
    <row r="841">
      <c r="A841" s="4"/>
      <c r="B841" s="15"/>
      <c r="C841" s="7" t="str">
        <f>IFERROR(__xludf.DUMMYFUNCTION("iferror(iferror(INDEX(IMPORTRANGE(""12vtnxaE_Q1s4tyr10kZQx7ZF_xG0lBFae4jQEUtgsMU"",""All!B2:B""),MATCH($B841,IMPORTRANGE(""12vtnxaE_Q1s4tyr10kZQx7ZF_xG0lBFae4jQEUtgsMU"",""All!A2:A""),0)),INDEX(IMPORTRANGE(""13KC70HngS4DDi8y9E5khtSpQEPG6owaQ9z4E-tR5mnY"","&amp;"""Non-Food!B2:B""),MATCH($B841,IMPORTRANGE(""13KC70HngS4DDi8y9E5khtSpQEPG6owaQ9z4E-tR5mnY"",""Non-Food!A2:A""),0))),"""")"),"")</f>
        <v/>
      </c>
      <c r="D841" s="15"/>
      <c r="E841" s="15"/>
      <c r="F841" s="36"/>
      <c r="G841" s="24" t="str">
        <f>IFERROR(__xludf.DUMMYFUNCTION("iferror(iferror(iferror(index(IMPORTRANGE(""1NK5L1mviMn0j3D3uo53ASkIZOFRlLnqaCTnwzOG2_Wg"",""Direct Link!B2:B""),MATCH($B841,IMPORTRANGE(""1NK5L1mviMn0j3D3uo53ASkIZOFRlLnqaCTnwzOG2_Wg"",""Direct Link!A2:A""),0)),XLOOKUP($B841,IMPORTRANGE(""1NK5L1mviMn0j3D"&amp;"3uo53ASkIZOFRlLnqaCTnwzOG2_Wg"",""Direct links Without Sizes!A2:A""),IMPORTRANGE(""1NK5L1mviMn0j3D3uo53ASkIZOFRlLnqaCTnwzOG2_Wg"",""Direct links Without Sizes!B2:B""))),XLOOKUP($B841,IMPORTRANGE(""1NK5L1mviMn0j3D3uo53ASkIZOFRlLnqaCTnwzOG2_Wg"",""Direct li"&amp;"nks Without Sizes!D2:D""),IMPORTRANGE(""1NK5L1mviMn0j3D3uo53ASkIZOFRlLnqaCTnwzOG2_Wg"",""Direct links Without Sizes!E2:E""))),"""")"),"")</f>
        <v/>
      </c>
      <c r="H841" s="41"/>
      <c r="I841" s="4"/>
      <c r="J841" s="4"/>
      <c r="K841" s="10" t="str">
        <f t="shared" si="1"/>
        <v/>
      </c>
      <c r="L841" s="10"/>
      <c r="M841" s="10" t="str">
        <f t="shared" si="2"/>
        <v/>
      </c>
    </row>
    <row r="842">
      <c r="A842" s="4"/>
      <c r="B842" s="15"/>
      <c r="C842" s="7" t="str">
        <f>IFERROR(__xludf.DUMMYFUNCTION("iferror(iferror(INDEX(IMPORTRANGE(""12vtnxaE_Q1s4tyr10kZQx7ZF_xG0lBFae4jQEUtgsMU"",""All!B2:B""),MATCH($B842,IMPORTRANGE(""12vtnxaE_Q1s4tyr10kZQx7ZF_xG0lBFae4jQEUtgsMU"",""All!A2:A""),0)),INDEX(IMPORTRANGE(""13KC70HngS4DDi8y9E5khtSpQEPG6owaQ9z4E-tR5mnY"","&amp;"""Non-Food!B2:B""),MATCH($B842,IMPORTRANGE(""13KC70HngS4DDi8y9E5khtSpQEPG6owaQ9z4E-tR5mnY"",""Non-Food!A2:A""),0))),"""")"),"")</f>
        <v/>
      </c>
      <c r="D842" s="15"/>
      <c r="E842" s="15"/>
      <c r="F842" s="36"/>
      <c r="G842" s="24" t="str">
        <f>IFERROR(__xludf.DUMMYFUNCTION("iferror(iferror(iferror(index(IMPORTRANGE(""1NK5L1mviMn0j3D3uo53ASkIZOFRlLnqaCTnwzOG2_Wg"",""Direct Link!B2:B""),MATCH($B842,IMPORTRANGE(""1NK5L1mviMn0j3D3uo53ASkIZOFRlLnqaCTnwzOG2_Wg"",""Direct Link!A2:A""),0)),XLOOKUP($B842,IMPORTRANGE(""1NK5L1mviMn0j3D"&amp;"3uo53ASkIZOFRlLnqaCTnwzOG2_Wg"",""Direct links Without Sizes!A2:A""),IMPORTRANGE(""1NK5L1mviMn0j3D3uo53ASkIZOFRlLnqaCTnwzOG2_Wg"",""Direct links Without Sizes!B2:B""))),XLOOKUP($B842,IMPORTRANGE(""1NK5L1mviMn0j3D3uo53ASkIZOFRlLnqaCTnwzOG2_Wg"",""Direct li"&amp;"nks Without Sizes!D2:D""),IMPORTRANGE(""1NK5L1mviMn0j3D3uo53ASkIZOFRlLnqaCTnwzOG2_Wg"",""Direct links Without Sizes!E2:E""))),"""")"),"")</f>
        <v/>
      </c>
      <c r="H842" s="41"/>
      <c r="I842" s="4"/>
      <c r="J842" s="4"/>
      <c r="K842" s="10" t="str">
        <f t="shared" si="1"/>
        <v/>
      </c>
      <c r="L842" s="10"/>
      <c r="M842" s="10" t="str">
        <f t="shared" si="2"/>
        <v/>
      </c>
    </row>
    <row r="843">
      <c r="A843" s="4"/>
      <c r="B843" s="15"/>
      <c r="C843" s="7" t="str">
        <f>IFERROR(__xludf.DUMMYFUNCTION("iferror(iferror(INDEX(IMPORTRANGE(""12vtnxaE_Q1s4tyr10kZQx7ZF_xG0lBFae4jQEUtgsMU"",""All!B2:B""),MATCH($B843,IMPORTRANGE(""12vtnxaE_Q1s4tyr10kZQx7ZF_xG0lBFae4jQEUtgsMU"",""All!A2:A""),0)),INDEX(IMPORTRANGE(""13KC70HngS4DDi8y9E5khtSpQEPG6owaQ9z4E-tR5mnY"","&amp;"""Non-Food!B2:B""),MATCH($B843,IMPORTRANGE(""13KC70HngS4DDi8y9E5khtSpQEPG6owaQ9z4E-tR5mnY"",""Non-Food!A2:A""),0))),"""")"),"")</f>
        <v/>
      </c>
      <c r="D843" s="15"/>
      <c r="E843" s="15"/>
      <c r="F843" s="36"/>
      <c r="G843" s="24" t="str">
        <f>IFERROR(__xludf.DUMMYFUNCTION("iferror(iferror(iferror(index(IMPORTRANGE(""1NK5L1mviMn0j3D3uo53ASkIZOFRlLnqaCTnwzOG2_Wg"",""Direct Link!B2:B""),MATCH($B843,IMPORTRANGE(""1NK5L1mviMn0j3D3uo53ASkIZOFRlLnqaCTnwzOG2_Wg"",""Direct Link!A2:A""),0)),XLOOKUP($B843,IMPORTRANGE(""1NK5L1mviMn0j3D"&amp;"3uo53ASkIZOFRlLnqaCTnwzOG2_Wg"",""Direct links Without Sizes!A2:A""),IMPORTRANGE(""1NK5L1mviMn0j3D3uo53ASkIZOFRlLnqaCTnwzOG2_Wg"",""Direct links Without Sizes!B2:B""))),XLOOKUP($B843,IMPORTRANGE(""1NK5L1mviMn0j3D3uo53ASkIZOFRlLnqaCTnwzOG2_Wg"",""Direct li"&amp;"nks Without Sizes!D2:D""),IMPORTRANGE(""1NK5L1mviMn0j3D3uo53ASkIZOFRlLnqaCTnwzOG2_Wg"",""Direct links Without Sizes!E2:E""))),"""")"),"")</f>
        <v/>
      </c>
      <c r="H843" s="41"/>
      <c r="I843" s="4"/>
      <c r="J843" s="4"/>
      <c r="K843" s="10" t="str">
        <f t="shared" si="1"/>
        <v/>
      </c>
      <c r="L843" s="10"/>
      <c r="M843" s="10" t="str">
        <f t="shared" si="2"/>
        <v/>
      </c>
    </row>
    <row r="844">
      <c r="A844" s="4"/>
      <c r="B844" s="15"/>
      <c r="C844" s="7" t="str">
        <f>IFERROR(__xludf.DUMMYFUNCTION("iferror(iferror(INDEX(IMPORTRANGE(""12vtnxaE_Q1s4tyr10kZQx7ZF_xG0lBFae4jQEUtgsMU"",""All!B2:B""),MATCH($B844,IMPORTRANGE(""12vtnxaE_Q1s4tyr10kZQx7ZF_xG0lBFae4jQEUtgsMU"",""All!A2:A""),0)),INDEX(IMPORTRANGE(""13KC70HngS4DDi8y9E5khtSpQEPG6owaQ9z4E-tR5mnY"","&amp;"""Non-Food!B2:B""),MATCH($B844,IMPORTRANGE(""13KC70HngS4DDi8y9E5khtSpQEPG6owaQ9z4E-tR5mnY"",""Non-Food!A2:A""),0))),"""")"),"")</f>
        <v/>
      </c>
      <c r="D844" s="15"/>
      <c r="E844" s="15"/>
      <c r="F844" s="36"/>
      <c r="G844" s="24" t="str">
        <f>IFERROR(__xludf.DUMMYFUNCTION("iferror(iferror(iferror(index(IMPORTRANGE(""1NK5L1mviMn0j3D3uo53ASkIZOFRlLnqaCTnwzOG2_Wg"",""Direct Link!B2:B""),MATCH($B844,IMPORTRANGE(""1NK5L1mviMn0j3D3uo53ASkIZOFRlLnqaCTnwzOG2_Wg"",""Direct Link!A2:A""),0)),XLOOKUP($B844,IMPORTRANGE(""1NK5L1mviMn0j3D"&amp;"3uo53ASkIZOFRlLnqaCTnwzOG2_Wg"",""Direct links Without Sizes!A2:A""),IMPORTRANGE(""1NK5L1mviMn0j3D3uo53ASkIZOFRlLnqaCTnwzOG2_Wg"",""Direct links Without Sizes!B2:B""))),XLOOKUP($B844,IMPORTRANGE(""1NK5L1mviMn0j3D3uo53ASkIZOFRlLnqaCTnwzOG2_Wg"",""Direct li"&amp;"nks Without Sizes!D2:D""),IMPORTRANGE(""1NK5L1mviMn0j3D3uo53ASkIZOFRlLnqaCTnwzOG2_Wg"",""Direct links Without Sizes!E2:E""))),"""")"),"")</f>
        <v/>
      </c>
      <c r="H844" s="41"/>
      <c r="I844" s="4"/>
      <c r="J844" s="4"/>
      <c r="K844" s="10" t="str">
        <f t="shared" si="1"/>
        <v/>
      </c>
      <c r="L844" s="10"/>
      <c r="M844" s="10" t="str">
        <f t="shared" si="2"/>
        <v/>
      </c>
    </row>
    <row r="845">
      <c r="A845" s="4"/>
      <c r="B845" s="15"/>
      <c r="C845" s="7" t="str">
        <f>IFERROR(__xludf.DUMMYFUNCTION("iferror(iferror(INDEX(IMPORTRANGE(""12vtnxaE_Q1s4tyr10kZQx7ZF_xG0lBFae4jQEUtgsMU"",""All!B2:B""),MATCH($B845,IMPORTRANGE(""12vtnxaE_Q1s4tyr10kZQx7ZF_xG0lBFae4jQEUtgsMU"",""All!A2:A""),0)),INDEX(IMPORTRANGE(""13KC70HngS4DDi8y9E5khtSpQEPG6owaQ9z4E-tR5mnY"","&amp;"""Non-Food!B2:B""),MATCH($B845,IMPORTRANGE(""13KC70HngS4DDi8y9E5khtSpQEPG6owaQ9z4E-tR5mnY"",""Non-Food!A2:A""),0))),"""")"),"")</f>
        <v/>
      </c>
      <c r="D845" s="15"/>
      <c r="E845" s="15"/>
      <c r="F845" s="36"/>
      <c r="G845" s="24" t="str">
        <f>IFERROR(__xludf.DUMMYFUNCTION("iferror(iferror(iferror(index(IMPORTRANGE(""1NK5L1mviMn0j3D3uo53ASkIZOFRlLnqaCTnwzOG2_Wg"",""Direct Link!B2:B""),MATCH($B845,IMPORTRANGE(""1NK5L1mviMn0j3D3uo53ASkIZOFRlLnqaCTnwzOG2_Wg"",""Direct Link!A2:A""),0)),XLOOKUP($B845,IMPORTRANGE(""1NK5L1mviMn0j3D"&amp;"3uo53ASkIZOFRlLnqaCTnwzOG2_Wg"",""Direct links Without Sizes!A2:A""),IMPORTRANGE(""1NK5L1mviMn0j3D3uo53ASkIZOFRlLnqaCTnwzOG2_Wg"",""Direct links Without Sizes!B2:B""))),XLOOKUP($B845,IMPORTRANGE(""1NK5L1mviMn0j3D3uo53ASkIZOFRlLnqaCTnwzOG2_Wg"",""Direct li"&amp;"nks Without Sizes!D2:D""),IMPORTRANGE(""1NK5L1mviMn0j3D3uo53ASkIZOFRlLnqaCTnwzOG2_Wg"",""Direct links Without Sizes!E2:E""))),"""")"),"")</f>
        <v/>
      </c>
      <c r="H845" s="41"/>
      <c r="I845" s="4"/>
      <c r="J845" s="4"/>
      <c r="K845" s="10" t="str">
        <f t="shared" si="1"/>
        <v/>
      </c>
      <c r="L845" s="10"/>
      <c r="M845" s="10" t="str">
        <f t="shared" si="2"/>
        <v/>
      </c>
    </row>
    <row r="846">
      <c r="A846" s="4"/>
      <c r="B846" s="15"/>
      <c r="C846" s="7" t="str">
        <f>IFERROR(__xludf.DUMMYFUNCTION("iferror(iferror(INDEX(IMPORTRANGE(""12vtnxaE_Q1s4tyr10kZQx7ZF_xG0lBFae4jQEUtgsMU"",""All!B2:B""),MATCH($B846,IMPORTRANGE(""12vtnxaE_Q1s4tyr10kZQx7ZF_xG0lBFae4jQEUtgsMU"",""All!A2:A""),0)),INDEX(IMPORTRANGE(""13KC70HngS4DDi8y9E5khtSpQEPG6owaQ9z4E-tR5mnY"","&amp;"""Non-Food!B2:B""),MATCH($B846,IMPORTRANGE(""13KC70HngS4DDi8y9E5khtSpQEPG6owaQ9z4E-tR5mnY"",""Non-Food!A2:A""),0))),"""")"),"")</f>
        <v/>
      </c>
      <c r="D846" s="15"/>
      <c r="E846" s="15"/>
      <c r="F846" s="36"/>
      <c r="G846" s="24" t="str">
        <f>IFERROR(__xludf.DUMMYFUNCTION("iferror(iferror(iferror(index(IMPORTRANGE(""1NK5L1mviMn0j3D3uo53ASkIZOFRlLnqaCTnwzOG2_Wg"",""Direct Link!B2:B""),MATCH($B846,IMPORTRANGE(""1NK5L1mviMn0j3D3uo53ASkIZOFRlLnqaCTnwzOG2_Wg"",""Direct Link!A2:A""),0)),XLOOKUP($B846,IMPORTRANGE(""1NK5L1mviMn0j3D"&amp;"3uo53ASkIZOFRlLnqaCTnwzOG2_Wg"",""Direct links Without Sizes!A2:A""),IMPORTRANGE(""1NK5L1mviMn0j3D3uo53ASkIZOFRlLnqaCTnwzOG2_Wg"",""Direct links Without Sizes!B2:B""))),XLOOKUP($B846,IMPORTRANGE(""1NK5L1mviMn0j3D3uo53ASkIZOFRlLnqaCTnwzOG2_Wg"",""Direct li"&amp;"nks Without Sizes!D2:D""),IMPORTRANGE(""1NK5L1mviMn0j3D3uo53ASkIZOFRlLnqaCTnwzOG2_Wg"",""Direct links Without Sizes!E2:E""))),"""")"),"")</f>
        <v/>
      </c>
      <c r="H846" s="41"/>
      <c r="I846" s="4"/>
      <c r="J846" s="4"/>
      <c r="K846" s="10" t="str">
        <f t="shared" si="1"/>
        <v/>
      </c>
      <c r="L846" s="10"/>
      <c r="M846" s="10" t="str">
        <f t="shared" si="2"/>
        <v/>
      </c>
    </row>
    <row r="847">
      <c r="A847" s="4"/>
      <c r="B847" s="15"/>
      <c r="C847" s="7" t="str">
        <f>IFERROR(__xludf.DUMMYFUNCTION("iferror(iferror(INDEX(IMPORTRANGE(""12vtnxaE_Q1s4tyr10kZQx7ZF_xG0lBFae4jQEUtgsMU"",""All!B2:B""),MATCH($B847,IMPORTRANGE(""12vtnxaE_Q1s4tyr10kZQx7ZF_xG0lBFae4jQEUtgsMU"",""All!A2:A""),0)),INDEX(IMPORTRANGE(""13KC70HngS4DDi8y9E5khtSpQEPG6owaQ9z4E-tR5mnY"","&amp;"""Non-Food!B2:B""),MATCH($B847,IMPORTRANGE(""13KC70HngS4DDi8y9E5khtSpQEPG6owaQ9z4E-tR5mnY"",""Non-Food!A2:A""),0))),"""")"),"")</f>
        <v/>
      </c>
      <c r="D847" s="15"/>
      <c r="E847" s="15"/>
      <c r="F847" s="36"/>
      <c r="G847" s="24" t="str">
        <f>IFERROR(__xludf.DUMMYFUNCTION("iferror(iferror(iferror(index(IMPORTRANGE(""1NK5L1mviMn0j3D3uo53ASkIZOFRlLnqaCTnwzOG2_Wg"",""Direct Link!B2:B""),MATCH($B847,IMPORTRANGE(""1NK5L1mviMn0j3D3uo53ASkIZOFRlLnqaCTnwzOG2_Wg"",""Direct Link!A2:A""),0)),XLOOKUP($B847,IMPORTRANGE(""1NK5L1mviMn0j3D"&amp;"3uo53ASkIZOFRlLnqaCTnwzOG2_Wg"",""Direct links Without Sizes!A2:A""),IMPORTRANGE(""1NK5L1mviMn0j3D3uo53ASkIZOFRlLnqaCTnwzOG2_Wg"",""Direct links Without Sizes!B2:B""))),XLOOKUP($B847,IMPORTRANGE(""1NK5L1mviMn0j3D3uo53ASkIZOFRlLnqaCTnwzOG2_Wg"",""Direct li"&amp;"nks Without Sizes!D2:D""),IMPORTRANGE(""1NK5L1mviMn0j3D3uo53ASkIZOFRlLnqaCTnwzOG2_Wg"",""Direct links Without Sizes!E2:E""))),"""")"),"")</f>
        <v/>
      </c>
      <c r="H847" s="41"/>
      <c r="I847" s="4"/>
      <c r="J847" s="4"/>
      <c r="K847" s="10" t="str">
        <f t="shared" si="1"/>
        <v/>
      </c>
      <c r="L847" s="10"/>
      <c r="M847" s="10" t="str">
        <f t="shared" si="2"/>
        <v/>
      </c>
    </row>
    <row r="848">
      <c r="A848" s="4"/>
      <c r="B848" s="15"/>
      <c r="C848" s="7" t="str">
        <f>IFERROR(__xludf.DUMMYFUNCTION("iferror(iferror(INDEX(IMPORTRANGE(""12vtnxaE_Q1s4tyr10kZQx7ZF_xG0lBFae4jQEUtgsMU"",""All!B2:B""),MATCH($B848,IMPORTRANGE(""12vtnxaE_Q1s4tyr10kZQx7ZF_xG0lBFae4jQEUtgsMU"",""All!A2:A""),0)),INDEX(IMPORTRANGE(""13KC70HngS4DDi8y9E5khtSpQEPG6owaQ9z4E-tR5mnY"","&amp;"""Non-Food!B2:B""),MATCH($B848,IMPORTRANGE(""13KC70HngS4DDi8y9E5khtSpQEPG6owaQ9z4E-tR5mnY"",""Non-Food!A2:A""),0))),"""")"),"")</f>
        <v/>
      </c>
      <c r="D848" s="15"/>
      <c r="E848" s="15"/>
      <c r="F848" s="36"/>
      <c r="G848" s="24" t="str">
        <f>IFERROR(__xludf.DUMMYFUNCTION("iferror(iferror(iferror(index(IMPORTRANGE(""1NK5L1mviMn0j3D3uo53ASkIZOFRlLnqaCTnwzOG2_Wg"",""Direct Link!B2:B""),MATCH($B848,IMPORTRANGE(""1NK5L1mviMn0j3D3uo53ASkIZOFRlLnqaCTnwzOG2_Wg"",""Direct Link!A2:A""),0)),XLOOKUP($B848,IMPORTRANGE(""1NK5L1mviMn0j3D"&amp;"3uo53ASkIZOFRlLnqaCTnwzOG2_Wg"",""Direct links Without Sizes!A2:A""),IMPORTRANGE(""1NK5L1mviMn0j3D3uo53ASkIZOFRlLnqaCTnwzOG2_Wg"",""Direct links Without Sizes!B2:B""))),XLOOKUP($B848,IMPORTRANGE(""1NK5L1mviMn0j3D3uo53ASkIZOFRlLnqaCTnwzOG2_Wg"",""Direct li"&amp;"nks Without Sizes!D2:D""),IMPORTRANGE(""1NK5L1mviMn0j3D3uo53ASkIZOFRlLnqaCTnwzOG2_Wg"",""Direct links Without Sizes!E2:E""))),"""")"),"")</f>
        <v/>
      </c>
      <c r="H848" s="41"/>
      <c r="I848" s="4"/>
      <c r="J848" s="4"/>
      <c r="K848" s="10" t="str">
        <f t="shared" si="1"/>
        <v/>
      </c>
      <c r="L848" s="10"/>
      <c r="M848" s="10" t="str">
        <f t="shared" si="2"/>
        <v/>
      </c>
    </row>
    <row r="849">
      <c r="A849" s="4"/>
      <c r="B849" s="15"/>
      <c r="C849" s="7" t="str">
        <f>IFERROR(__xludf.DUMMYFUNCTION("iferror(iferror(INDEX(IMPORTRANGE(""12vtnxaE_Q1s4tyr10kZQx7ZF_xG0lBFae4jQEUtgsMU"",""All!B2:B""),MATCH($B849,IMPORTRANGE(""12vtnxaE_Q1s4tyr10kZQx7ZF_xG0lBFae4jQEUtgsMU"",""All!A2:A""),0)),INDEX(IMPORTRANGE(""13KC70HngS4DDi8y9E5khtSpQEPG6owaQ9z4E-tR5mnY"","&amp;"""Non-Food!B2:B""),MATCH($B849,IMPORTRANGE(""13KC70HngS4DDi8y9E5khtSpQEPG6owaQ9z4E-tR5mnY"",""Non-Food!A2:A""),0))),"""")"),"")</f>
        <v/>
      </c>
      <c r="D849" s="15"/>
      <c r="E849" s="15"/>
      <c r="F849" s="36"/>
      <c r="G849" s="24" t="str">
        <f>IFERROR(__xludf.DUMMYFUNCTION("iferror(iferror(iferror(index(IMPORTRANGE(""1NK5L1mviMn0j3D3uo53ASkIZOFRlLnqaCTnwzOG2_Wg"",""Direct Link!B2:B""),MATCH($B849,IMPORTRANGE(""1NK5L1mviMn0j3D3uo53ASkIZOFRlLnqaCTnwzOG2_Wg"",""Direct Link!A2:A""),0)),XLOOKUP($B849,IMPORTRANGE(""1NK5L1mviMn0j3D"&amp;"3uo53ASkIZOFRlLnqaCTnwzOG2_Wg"",""Direct links Without Sizes!A2:A""),IMPORTRANGE(""1NK5L1mviMn0j3D3uo53ASkIZOFRlLnqaCTnwzOG2_Wg"",""Direct links Without Sizes!B2:B""))),XLOOKUP($B849,IMPORTRANGE(""1NK5L1mviMn0j3D3uo53ASkIZOFRlLnqaCTnwzOG2_Wg"",""Direct li"&amp;"nks Without Sizes!D2:D""),IMPORTRANGE(""1NK5L1mviMn0j3D3uo53ASkIZOFRlLnqaCTnwzOG2_Wg"",""Direct links Without Sizes!E2:E""))),"""")"),"")</f>
        <v/>
      </c>
      <c r="H849" s="41"/>
      <c r="I849" s="4"/>
      <c r="J849" s="4"/>
      <c r="K849" s="10" t="str">
        <f t="shared" si="1"/>
        <v/>
      </c>
      <c r="L849" s="10"/>
      <c r="M849" s="10" t="str">
        <f t="shared" si="2"/>
        <v/>
      </c>
    </row>
    <row r="850">
      <c r="A850" s="4"/>
      <c r="B850" s="15"/>
      <c r="C850" s="7" t="str">
        <f>IFERROR(__xludf.DUMMYFUNCTION("iferror(iferror(INDEX(IMPORTRANGE(""12vtnxaE_Q1s4tyr10kZQx7ZF_xG0lBFae4jQEUtgsMU"",""All!B2:B""),MATCH($B850,IMPORTRANGE(""12vtnxaE_Q1s4tyr10kZQx7ZF_xG0lBFae4jQEUtgsMU"",""All!A2:A""),0)),INDEX(IMPORTRANGE(""13KC70HngS4DDi8y9E5khtSpQEPG6owaQ9z4E-tR5mnY"","&amp;"""Non-Food!B2:B""),MATCH($B850,IMPORTRANGE(""13KC70HngS4DDi8y9E5khtSpQEPG6owaQ9z4E-tR5mnY"",""Non-Food!A2:A""),0))),"""")"),"")</f>
        <v/>
      </c>
      <c r="D850" s="15"/>
      <c r="E850" s="15"/>
      <c r="F850" s="36"/>
      <c r="G850" s="24" t="str">
        <f>IFERROR(__xludf.DUMMYFUNCTION("iferror(iferror(iferror(index(IMPORTRANGE(""1NK5L1mviMn0j3D3uo53ASkIZOFRlLnqaCTnwzOG2_Wg"",""Direct Link!B2:B""),MATCH($B850,IMPORTRANGE(""1NK5L1mviMn0j3D3uo53ASkIZOFRlLnqaCTnwzOG2_Wg"",""Direct Link!A2:A""),0)),XLOOKUP($B850,IMPORTRANGE(""1NK5L1mviMn0j3D"&amp;"3uo53ASkIZOFRlLnqaCTnwzOG2_Wg"",""Direct links Without Sizes!A2:A""),IMPORTRANGE(""1NK5L1mviMn0j3D3uo53ASkIZOFRlLnqaCTnwzOG2_Wg"",""Direct links Without Sizes!B2:B""))),XLOOKUP($B850,IMPORTRANGE(""1NK5L1mviMn0j3D3uo53ASkIZOFRlLnqaCTnwzOG2_Wg"",""Direct li"&amp;"nks Without Sizes!D2:D""),IMPORTRANGE(""1NK5L1mviMn0j3D3uo53ASkIZOFRlLnqaCTnwzOG2_Wg"",""Direct links Without Sizes!E2:E""))),"""")"),"")</f>
        <v/>
      </c>
      <c r="H850" s="41"/>
      <c r="I850" s="4"/>
      <c r="J850" s="4"/>
      <c r="K850" s="10" t="str">
        <f t="shared" si="1"/>
        <v/>
      </c>
      <c r="L850" s="10"/>
      <c r="M850" s="10" t="str">
        <f t="shared" si="2"/>
        <v/>
      </c>
    </row>
    <row r="851">
      <c r="A851" s="4"/>
      <c r="B851" s="15"/>
      <c r="C851" s="7" t="str">
        <f>IFERROR(__xludf.DUMMYFUNCTION("iferror(iferror(INDEX(IMPORTRANGE(""12vtnxaE_Q1s4tyr10kZQx7ZF_xG0lBFae4jQEUtgsMU"",""All!B2:B""),MATCH($B851,IMPORTRANGE(""12vtnxaE_Q1s4tyr10kZQx7ZF_xG0lBFae4jQEUtgsMU"",""All!A2:A""),0)),INDEX(IMPORTRANGE(""13KC70HngS4DDi8y9E5khtSpQEPG6owaQ9z4E-tR5mnY"","&amp;"""Non-Food!B2:B""),MATCH($B851,IMPORTRANGE(""13KC70HngS4DDi8y9E5khtSpQEPG6owaQ9z4E-tR5mnY"",""Non-Food!A2:A""),0))),"""")"),"")</f>
        <v/>
      </c>
      <c r="D851" s="15"/>
      <c r="E851" s="15"/>
      <c r="F851" s="36"/>
      <c r="G851" s="24" t="str">
        <f>IFERROR(__xludf.DUMMYFUNCTION("iferror(iferror(iferror(index(IMPORTRANGE(""1NK5L1mviMn0j3D3uo53ASkIZOFRlLnqaCTnwzOG2_Wg"",""Direct Link!B2:B""),MATCH($B851,IMPORTRANGE(""1NK5L1mviMn0j3D3uo53ASkIZOFRlLnqaCTnwzOG2_Wg"",""Direct Link!A2:A""),0)),XLOOKUP($B851,IMPORTRANGE(""1NK5L1mviMn0j3D"&amp;"3uo53ASkIZOFRlLnqaCTnwzOG2_Wg"",""Direct links Without Sizes!A2:A""),IMPORTRANGE(""1NK5L1mviMn0j3D3uo53ASkIZOFRlLnqaCTnwzOG2_Wg"",""Direct links Without Sizes!B2:B""))),XLOOKUP($B851,IMPORTRANGE(""1NK5L1mviMn0j3D3uo53ASkIZOFRlLnqaCTnwzOG2_Wg"",""Direct li"&amp;"nks Without Sizes!D2:D""),IMPORTRANGE(""1NK5L1mviMn0j3D3uo53ASkIZOFRlLnqaCTnwzOG2_Wg"",""Direct links Without Sizes!E2:E""))),"""")"),"")</f>
        <v/>
      </c>
      <c r="H851" s="41"/>
      <c r="I851" s="4"/>
      <c r="J851" s="4"/>
      <c r="K851" s="10" t="str">
        <f t="shared" si="1"/>
        <v/>
      </c>
      <c r="L851" s="10"/>
      <c r="M851" s="10" t="str">
        <f t="shared" si="2"/>
        <v/>
      </c>
    </row>
    <row r="852">
      <c r="A852" s="4"/>
      <c r="B852" s="15"/>
      <c r="C852" s="7" t="str">
        <f>IFERROR(__xludf.DUMMYFUNCTION("iferror(iferror(INDEX(IMPORTRANGE(""12vtnxaE_Q1s4tyr10kZQx7ZF_xG0lBFae4jQEUtgsMU"",""All!B2:B""),MATCH($B852,IMPORTRANGE(""12vtnxaE_Q1s4tyr10kZQx7ZF_xG0lBFae4jQEUtgsMU"",""All!A2:A""),0)),INDEX(IMPORTRANGE(""13KC70HngS4DDi8y9E5khtSpQEPG6owaQ9z4E-tR5mnY"","&amp;"""Non-Food!B2:B""),MATCH($B852,IMPORTRANGE(""13KC70HngS4DDi8y9E5khtSpQEPG6owaQ9z4E-tR5mnY"",""Non-Food!A2:A""),0))),"""")"),"")</f>
        <v/>
      </c>
      <c r="D852" s="15"/>
      <c r="E852" s="15"/>
      <c r="F852" s="36"/>
      <c r="G852" s="24" t="str">
        <f>IFERROR(__xludf.DUMMYFUNCTION("iferror(iferror(iferror(index(IMPORTRANGE(""1NK5L1mviMn0j3D3uo53ASkIZOFRlLnqaCTnwzOG2_Wg"",""Direct Link!B2:B""),MATCH($B852,IMPORTRANGE(""1NK5L1mviMn0j3D3uo53ASkIZOFRlLnqaCTnwzOG2_Wg"",""Direct Link!A2:A""),0)),XLOOKUP($B852,IMPORTRANGE(""1NK5L1mviMn0j3D"&amp;"3uo53ASkIZOFRlLnqaCTnwzOG2_Wg"",""Direct links Without Sizes!A2:A""),IMPORTRANGE(""1NK5L1mviMn0j3D3uo53ASkIZOFRlLnqaCTnwzOG2_Wg"",""Direct links Without Sizes!B2:B""))),XLOOKUP($B852,IMPORTRANGE(""1NK5L1mviMn0j3D3uo53ASkIZOFRlLnqaCTnwzOG2_Wg"",""Direct li"&amp;"nks Without Sizes!D2:D""),IMPORTRANGE(""1NK5L1mviMn0j3D3uo53ASkIZOFRlLnqaCTnwzOG2_Wg"",""Direct links Without Sizes!E2:E""))),"""")"),"")</f>
        <v/>
      </c>
      <c r="H852" s="41"/>
      <c r="I852" s="4"/>
      <c r="J852" s="4"/>
      <c r="K852" s="10" t="str">
        <f t="shared" si="1"/>
        <v/>
      </c>
      <c r="L852" s="10"/>
      <c r="M852" s="10" t="str">
        <f t="shared" si="2"/>
        <v/>
      </c>
    </row>
    <row r="853">
      <c r="A853" s="4"/>
      <c r="B853" s="15"/>
      <c r="C853" s="7" t="str">
        <f>IFERROR(__xludf.DUMMYFUNCTION("iferror(iferror(INDEX(IMPORTRANGE(""12vtnxaE_Q1s4tyr10kZQx7ZF_xG0lBFae4jQEUtgsMU"",""All!B2:B""),MATCH($B853,IMPORTRANGE(""12vtnxaE_Q1s4tyr10kZQx7ZF_xG0lBFae4jQEUtgsMU"",""All!A2:A""),0)),INDEX(IMPORTRANGE(""13KC70HngS4DDi8y9E5khtSpQEPG6owaQ9z4E-tR5mnY"","&amp;"""Non-Food!B2:B""),MATCH($B853,IMPORTRANGE(""13KC70HngS4DDi8y9E5khtSpQEPG6owaQ9z4E-tR5mnY"",""Non-Food!A2:A""),0))),"""")"),"")</f>
        <v/>
      </c>
      <c r="D853" s="15"/>
      <c r="E853" s="15"/>
      <c r="F853" s="36"/>
      <c r="G853" s="24" t="str">
        <f>IFERROR(__xludf.DUMMYFUNCTION("iferror(iferror(iferror(index(IMPORTRANGE(""1NK5L1mviMn0j3D3uo53ASkIZOFRlLnqaCTnwzOG2_Wg"",""Direct Link!B2:B""),MATCH($B853,IMPORTRANGE(""1NK5L1mviMn0j3D3uo53ASkIZOFRlLnqaCTnwzOG2_Wg"",""Direct Link!A2:A""),0)),XLOOKUP($B853,IMPORTRANGE(""1NK5L1mviMn0j3D"&amp;"3uo53ASkIZOFRlLnqaCTnwzOG2_Wg"",""Direct links Without Sizes!A2:A""),IMPORTRANGE(""1NK5L1mviMn0j3D3uo53ASkIZOFRlLnqaCTnwzOG2_Wg"",""Direct links Without Sizes!B2:B""))),XLOOKUP($B853,IMPORTRANGE(""1NK5L1mviMn0j3D3uo53ASkIZOFRlLnqaCTnwzOG2_Wg"",""Direct li"&amp;"nks Without Sizes!D2:D""),IMPORTRANGE(""1NK5L1mviMn0j3D3uo53ASkIZOFRlLnqaCTnwzOG2_Wg"",""Direct links Without Sizes!E2:E""))),"""")"),"")</f>
        <v/>
      </c>
      <c r="H853" s="41"/>
      <c r="I853" s="4"/>
      <c r="J853" s="4"/>
      <c r="K853" s="10" t="str">
        <f t="shared" si="1"/>
        <v/>
      </c>
      <c r="L853" s="10"/>
      <c r="M853" s="10" t="str">
        <f t="shared" si="2"/>
        <v/>
      </c>
    </row>
    <row r="854">
      <c r="A854" s="4"/>
      <c r="B854" s="15"/>
      <c r="C854" s="7" t="str">
        <f>IFERROR(__xludf.DUMMYFUNCTION("iferror(iferror(INDEX(IMPORTRANGE(""12vtnxaE_Q1s4tyr10kZQx7ZF_xG0lBFae4jQEUtgsMU"",""All!B2:B""),MATCH($B854,IMPORTRANGE(""12vtnxaE_Q1s4tyr10kZQx7ZF_xG0lBFae4jQEUtgsMU"",""All!A2:A""),0)),INDEX(IMPORTRANGE(""13KC70HngS4DDi8y9E5khtSpQEPG6owaQ9z4E-tR5mnY"","&amp;"""Non-Food!B2:B""),MATCH($B854,IMPORTRANGE(""13KC70HngS4DDi8y9E5khtSpQEPG6owaQ9z4E-tR5mnY"",""Non-Food!A2:A""),0))),"""")"),"")</f>
        <v/>
      </c>
      <c r="D854" s="15"/>
      <c r="E854" s="15"/>
      <c r="F854" s="36"/>
      <c r="G854" s="24" t="str">
        <f>IFERROR(__xludf.DUMMYFUNCTION("iferror(iferror(iferror(index(IMPORTRANGE(""1NK5L1mviMn0j3D3uo53ASkIZOFRlLnqaCTnwzOG2_Wg"",""Direct Link!B2:B""),MATCH($B854,IMPORTRANGE(""1NK5L1mviMn0j3D3uo53ASkIZOFRlLnqaCTnwzOG2_Wg"",""Direct Link!A2:A""),0)),XLOOKUP($B854,IMPORTRANGE(""1NK5L1mviMn0j3D"&amp;"3uo53ASkIZOFRlLnqaCTnwzOG2_Wg"",""Direct links Without Sizes!A2:A""),IMPORTRANGE(""1NK5L1mviMn0j3D3uo53ASkIZOFRlLnqaCTnwzOG2_Wg"",""Direct links Without Sizes!B2:B""))),XLOOKUP($B854,IMPORTRANGE(""1NK5L1mviMn0j3D3uo53ASkIZOFRlLnqaCTnwzOG2_Wg"",""Direct li"&amp;"nks Without Sizes!D2:D""),IMPORTRANGE(""1NK5L1mviMn0j3D3uo53ASkIZOFRlLnqaCTnwzOG2_Wg"",""Direct links Without Sizes!E2:E""))),"""")"),"")</f>
        <v/>
      </c>
      <c r="H854" s="41"/>
      <c r="I854" s="4"/>
      <c r="J854" s="4"/>
      <c r="K854" s="10" t="str">
        <f t="shared" si="1"/>
        <v/>
      </c>
      <c r="L854" s="10"/>
      <c r="M854" s="10" t="str">
        <f t="shared" si="2"/>
        <v/>
      </c>
    </row>
    <row r="855">
      <c r="A855" s="4"/>
      <c r="B855" s="15"/>
      <c r="C855" s="7" t="str">
        <f>IFERROR(__xludf.DUMMYFUNCTION("iferror(iferror(INDEX(IMPORTRANGE(""12vtnxaE_Q1s4tyr10kZQx7ZF_xG0lBFae4jQEUtgsMU"",""All!B2:B""),MATCH($B855,IMPORTRANGE(""12vtnxaE_Q1s4tyr10kZQx7ZF_xG0lBFae4jQEUtgsMU"",""All!A2:A""),0)),INDEX(IMPORTRANGE(""13KC70HngS4DDi8y9E5khtSpQEPG6owaQ9z4E-tR5mnY"","&amp;"""Non-Food!B2:B""),MATCH($B855,IMPORTRANGE(""13KC70HngS4DDi8y9E5khtSpQEPG6owaQ9z4E-tR5mnY"",""Non-Food!A2:A""),0))),"""")"),"")</f>
        <v/>
      </c>
      <c r="D855" s="15"/>
      <c r="E855" s="15"/>
      <c r="F855" s="36"/>
      <c r="G855" s="24" t="str">
        <f>IFERROR(__xludf.DUMMYFUNCTION("iferror(iferror(iferror(index(IMPORTRANGE(""1NK5L1mviMn0j3D3uo53ASkIZOFRlLnqaCTnwzOG2_Wg"",""Direct Link!B2:B""),MATCH($B855,IMPORTRANGE(""1NK5L1mviMn0j3D3uo53ASkIZOFRlLnqaCTnwzOG2_Wg"",""Direct Link!A2:A""),0)),XLOOKUP($B855,IMPORTRANGE(""1NK5L1mviMn0j3D"&amp;"3uo53ASkIZOFRlLnqaCTnwzOG2_Wg"",""Direct links Without Sizes!A2:A""),IMPORTRANGE(""1NK5L1mviMn0j3D3uo53ASkIZOFRlLnqaCTnwzOG2_Wg"",""Direct links Without Sizes!B2:B""))),XLOOKUP($B855,IMPORTRANGE(""1NK5L1mviMn0j3D3uo53ASkIZOFRlLnqaCTnwzOG2_Wg"",""Direct li"&amp;"nks Without Sizes!D2:D""),IMPORTRANGE(""1NK5L1mviMn0j3D3uo53ASkIZOFRlLnqaCTnwzOG2_Wg"",""Direct links Without Sizes!E2:E""))),"""")"),"")</f>
        <v/>
      </c>
      <c r="H855" s="41"/>
      <c r="I855" s="4"/>
      <c r="J855" s="4"/>
      <c r="K855" s="10" t="str">
        <f t="shared" si="1"/>
        <v/>
      </c>
      <c r="L855" s="10"/>
      <c r="M855" s="10" t="str">
        <f t="shared" si="2"/>
        <v/>
      </c>
    </row>
    <row r="856">
      <c r="A856" s="4"/>
      <c r="B856" s="15"/>
      <c r="C856" s="7" t="str">
        <f>IFERROR(__xludf.DUMMYFUNCTION("iferror(iferror(INDEX(IMPORTRANGE(""12vtnxaE_Q1s4tyr10kZQx7ZF_xG0lBFae4jQEUtgsMU"",""All!B2:B""),MATCH($B856,IMPORTRANGE(""12vtnxaE_Q1s4tyr10kZQx7ZF_xG0lBFae4jQEUtgsMU"",""All!A2:A""),0)),INDEX(IMPORTRANGE(""13KC70HngS4DDi8y9E5khtSpQEPG6owaQ9z4E-tR5mnY"","&amp;"""Non-Food!B2:B""),MATCH($B856,IMPORTRANGE(""13KC70HngS4DDi8y9E5khtSpQEPG6owaQ9z4E-tR5mnY"",""Non-Food!A2:A""),0))),"""")"),"")</f>
        <v/>
      </c>
      <c r="D856" s="15"/>
      <c r="E856" s="15"/>
      <c r="F856" s="36"/>
      <c r="G856" s="24" t="str">
        <f>IFERROR(__xludf.DUMMYFUNCTION("iferror(iferror(iferror(index(IMPORTRANGE(""1NK5L1mviMn0j3D3uo53ASkIZOFRlLnqaCTnwzOG2_Wg"",""Direct Link!B2:B""),MATCH($B856,IMPORTRANGE(""1NK5L1mviMn0j3D3uo53ASkIZOFRlLnqaCTnwzOG2_Wg"",""Direct Link!A2:A""),0)),XLOOKUP($B856,IMPORTRANGE(""1NK5L1mviMn0j3D"&amp;"3uo53ASkIZOFRlLnqaCTnwzOG2_Wg"",""Direct links Without Sizes!A2:A""),IMPORTRANGE(""1NK5L1mviMn0j3D3uo53ASkIZOFRlLnqaCTnwzOG2_Wg"",""Direct links Without Sizes!B2:B""))),XLOOKUP($B856,IMPORTRANGE(""1NK5L1mviMn0j3D3uo53ASkIZOFRlLnqaCTnwzOG2_Wg"",""Direct li"&amp;"nks Without Sizes!D2:D""),IMPORTRANGE(""1NK5L1mviMn0j3D3uo53ASkIZOFRlLnqaCTnwzOG2_Wg"",""Direct links Without Sizes!E2:E""))),"""")"),"")</f>
        <v/>
      </c>
      <c r="H856" s="41"/>
      <c r="I856" s="4"/>
      <c r="J856" s="4"/>
      <c r="K856" s="10" t="str">
        <f t="shared" si="1"/>
        <v/>
      </c>
      <c r="L856" s="10"/>
      <c r="M856" s="10" t="str">
        <f t="shared" si="2"/>
        <v/>
      </c>
    </row>
    <row r="857">
      <c r="A857" s="4"/>
      <c r="B857" s="15"/>
      <c r="C857" s="7" t="str">
        <f>IFERROR(__xludf.DUMMYFUNCTION("iferror(iferror(INDEX(IMPORTRANGE(""12vtnxaE_Q1s4tyr10kZQx7ZF_xG0lBFae4jQEUtgsMU"",""All!B2:B""),MATCH($B857,IMPORTRANGE(""12vtnxaE_Q1s4tyr10kZQx7ZF_xG0lBFae4jQEUtgsMU"",""All!A2:A""),0)),INDEX(IMPORTRANGE(""13KC70HngS4DDi8y9E5khtSpQEPG6owaQ9z4E-tR5mnY"","&amp;"""Non-Food!B2:B""),MATCH($B857,IMPORTRANGE(""13KC70HngS4DDi8y9E5khtSpQEPG6owaQ9z4E-tR5mnY"",""Non-Food!A2:A""),0))),"""")"),"")</f>
        <v/>
      </c>
      <c r="D857" s="15"/>
      <c r="E857" s="15"/>
      <c r="F857" s="36"/>
      <c r="G857" s="24" t="str">
        <f>IFERROR(__xludf.DUMMYFUNCTION("iferror(iferror(iferror(index(IMPORTRANGE(""1NK5L1mviMn0j3D3uo53ASkIZOFRlLnqaCTnwzOG2_Wg"",""Direct Link!B2:B""),MATCH($B857,IMPORTRANGE(""1NK5L1mviMn0j3D3uo53ASkIZOFRlLnqaCTnwzOG2_Wg"",""Direct Link!A2:A""),0)),XLOOKUP($B857,IMPORTRANGE(""1NK5L1mviMn0j3D"&amp;"3uo53ASkIZOFRlLnqaCTnwzOG2_Wg"",""Direct links Without Sizes!A2:A""),IMPORTRANGE(""1NK5L1mviMn0j3D3uo53ASkIZOFRlLnqaCTnwzOG2_Wg"",""Direct links Without Sizes!B2:B""))),XLOOKUP($B857,IMPORTRANGE(""1NK5L1mviMn0j3D3uo53ASkIZOFRlLnqaCTnwzOG2_Wg"",""Direct li"&amp;"nks Without Sizes!D2:D""),IMPORTRANGE(""1NK5L1mviMn0j3D3uo53ASkIZOFRlLnqaCTnwzOG2_Wg"",""Direct links Without Sizes!E2:E""))),"""")"),"")</f>
        <v/>
      </c>
      <c r="H857" s="41"/>
      <c r="I857" s="4"/>
      <c r="J857" s="4"/>
      <c r="K857" s="10" t="str">
        <f t="shared" si="1"/>
        <v/>
      </c>
      <c r="L857" s="10"/>
      <c r="M857" s="10" t="str">
        <f t="shared" si="2"/>
        <v/>
      </c>
    </row>
    <row r="858">
      <c r="A858" s="4"/>
      <c r="B858" s="15"/>
      <c r="C858" s="7" t="str">
        <f>IFERROR(__xludf.DUMMYFUNCTION("iferror(iferror(INDEX(IMPORTRANGE(""12vtnxaE_Q1s4tyr10kZQx7ZF_xG0lBFae4jQEUtgsMU"",""All!B2:B""),MATCH($B858,IMPORTRANGE(""12vtnxaE_Q1s4tyr10kZQx7ZF_xG0lBFae4jQEUtgsMU"",""All!A2:A""),0)),INDEX(IMPORTRANGE(""13KC70HngS4DDi8y9E5khtSpQEPG6owaQ9z4E-tR5mnY"","&amp;"""Non-Food!B2:B""),MATCH($B858,IMPORTRANGE(""13KC70HngS4DDi8y9E5khtSpQEPG6owaQ9z4E-tR5mnY"",""Non-Food!A2:A""),0))),"""")"),"")</f>
        <v/>
      </c>
      <c r="D858" s="15"/>
      <c r="E858" s="15"/>
      <c r="F858" s="36"/>
      <c r="G858" s="24" t="str">
        <f>IFERROR(__xludf.DUMMYFUNCTION("iferror(iferror(iferror(index(IMPORTRANGE(""1NK5L1mviMn0j3D3uo53ASkIZOFRlLnqaCTnwzOG2_Wg"",""Direct Link!B2:B""),MATCH($B858,IMPORTRANGE(""1NK5L1mviMn0j3D3uo53ASkIZOFRlLnqaCTnwzOG2_Wg"",""Direct Link!A2:A""),0)),XLOOKUP($B858,IMPORTRANGE(""1NK5L1mviMn0j3D"&amp;"3uo53ASkIZOFRlLnqaCTnwzOG2_Wg"",""Direct links Without Sizes!A2:A""),IMPORTRANGE(""1NK5L1mviMn0j3D3uo53ASkIZOFRlLnqaCTnwzOG2_Wg"",""Direct links Without Sizes!B2:B""))),XLOOKUP($B858,IMPORTRANGE(""1NK5L1mviMn0j3D3uo53ASkIZOFRlLnqaCTnwzOG2_Wg"",""Direct li"&amp;"nks Without Sizes!D2:D""),IMPORTRANGE(""1NK5L1mviMn0j3D3uo53ASkIZOFRlLnqaCTnwzOG2_Wg"",""Direct links Without Sizes!E2:E""))),"""")"),"")</f>
        <v/>
      </c>
      <c r="H858" s="41"/>
      <c r="I858" s="4"/>
      <c r="J858" s="4"/>
      <c r="K858" s="10" t="str">
        <f t="shared" si="1"/>
        <v/>
      </c>
      <c r="L858" s="10"/>
      <c r="M858" s="10" t="str">
        <f t="shared" si="2"/>
        <v/>
      </c>
    </row>
    <row r="859">
      <c r="A859" s="4"/>
      <c r="B859" s="15"/>
      <c r="C859" s="7" t="str">
        <f>IFERROR(__xludf.DUMMYFUNCTION("iferror(iferror(INDEX(IMPORTRANGE(""12vtnxaE_Q1s4tyr10kZQx7ZF_xG0lBFae4jQEUtgsMU"",""All!B2:B""),MATCH($B859,IMPORTRANGE(""12vtnxaE_Q1s4tyr10kZQx7ZF_xG0lBFae4jQEUtgsMU"",""All!A2:A""),0)),INDEX(IMPORTRANGE(""13KC70HngS4DDi8y9E5khtSpQEPG6owaQ9z4E-tR5mnY"","&amp;"""Non-Food!B2:B""),MATCH($B859,IMPORTRANGE(""13KC70HngS4DDi8y9E5khtSpQEPG6owaQ9z4E-tR5mnY"",""Non-Food!A2:A""),0))),"""")"),"")</f>
        <v/>
      </c>
      <c r="D859" s="15"/>
      <c r="E859" s="15"/>
      <c r="F859" s="36"/>
      <c r="G859" s="24" t="str">
        <f>IFERROR(__xludf.DUMMYFUNCTION("iferror(iferror(iferror(index(IMPORTRANGE(""1NK5L1mviMn0j3D3uo53ASkIZOFRlLnqaCTnwzOG2_Wg"",""Direct Link!B2:B""),MATCH($B859,IMPORTRANGE(""1NK5L1mviMn0j3D3uo53ASkIZOFRlLnqaCTnwzOG2_Wg"",""Direct Link!A2:A""),0)),XLOOKUP($B859,IMPORTRANGE(""1NK5L1mviMn0j3D"&amp;"3uo53ASkIZOFRlLnqaCTnwzOG2_Wg"",""Direct links Without Sizes!A2:A""),IMPORTRANGE(""1NK5L1mviMn0j3D3uo53ASkIZOFRlLnqaCTnwzOG2_Wg"",""Direct links Without Sizes!B2:B""))),XLOOKUP($B859,IMPORTRANGE(""1NK5L1mviMn0j3D3uo53ASkIZOFRlLnqaCTnwzOG2_Wg"",""Direct li"&amp;"nks Without Sizes!D2:D""),IMPORTRANGE(""1NK5L1mviMn0j3D3uo53ASkIZOFRlLnqaCTnwzOG2_Wg"",""Direct links Without Sizes!E2:E""))),"""")"),"")</f>
        <v/>
      </c>
      <c r="H859" s="41"/>
      <c r="I859" s="4"/>
      <c r="J859" s="4"/>
      <c r="K859" s="10" t="str">
        <f t="shared" si="1"/>
        <v/>
      </c>
      <c r="L859" s="10"/>
      <c r="M859" s="10" t="str">
        <f t="shared" si="2"/>
        <v/>
      </c>
    </row>
    <row r="860">
      <c r="A860" s="4"/>
      <c r="B860" s="15"/>
      <c r="C860" s="7" t="str">
        <f>IFERROR(__xludf.DUMMYFUNCTION("iferror(iferror(INDEX(IMPORTRANGE(""12vtnxaE_Q1s4tyr10kZQx7ZF_xG0lBFae4jQEUtgsMU"",""All!B2:B""),MATCH($B860,IMPORTRANGE(""12vtnxaE_Q1s4tyr10kZQx7ZF_xG0lBFae4jQEUtgsMU"",""All!A2:A""),0)),INDEX(IMPORTRANGE(""13KC70HngS4DDi8y9E5khtSpQEPG6owaQ9z4E-tR5mnY"","&amp;"""Non-Food!B2:B""),MATCH($B860,IMPORTRANGE(""13KC70HngS4DDi8y9E5khtSpQEPG6owaQ9z4E-tR5mnY"",""Non-Food!A2:A""),0))),"""")"),"")</f>
        <v/>
      </c>
      <c r="D860" s="15"/>
      <c r="E860" s="15"/>
      <c r="F860" s="36"/>
      <c r="G860" s="24" t="str">
        <f>IFERROR(__xludf.DUMMYFUNCTION("iferror(iferror(iferror(index(IMPORTRANGE(""1NK5L1mviMn0j3D3uo53ASkIZOFRlLnqaCTnwzOG2_Wg"",""Direct Link!B2:B""),MATCH($B860,IMPORTRANGE(""1NK5L1mviMn0j3D3uo53ASkIZOFRlLnqaCTnwzOG2_Wg"",""Direct Link!A2:A""),0)),XLOOKUP($B860,IMPORTRANGE(""1NK5L1mviMn0j3D"&amp;"3uo53ASkIZOFRlLnqaCTnwzOG2_Wg"",""Direct links Without Sizes!A2:A""),IMPORTRANGE(""1NK5L1mviMn0j3D3uo53ASkIZOFRlLnqaCTnwzOG2_Wg"",""Direct links Without Sizes!B2:B""))),XLOOKUP($B860,IMPORTRANGE(""1NK5L1mviMn0j3D3uo53ASkIZOFRlLnqaCTnwzOG2_Wg"",""Direct li"&amp;"nks Without Sizes!D2:D""),IMPORTRANGE(""1NK5L1mviMn0j3D3uo53ASkIZOFRlLnqaCTnwzOG2_Wg"",""Direct links Without Sizes!E2:E""))),"""")"),"")</f>
        <v/>
      </c>
      <c r="H860" s="41"/>
      <c r="I860" s="4"/>
      <c r="J860" s="4"/>
      <c r="K860" s="10" t="str">
        <f t="shared" si="1"/>
        <v/>
      </c>
      <c r="L860" s="10"/>
      <c r="M860" s="10" t="str">
        <f t="shared" si="2"/>
        <v/>
      </c>
    </row>
    <row r="861">
      <c r="A861" s="4"/>
      <c r="B861" s="15"/>
      <c r="C861" s="7" t="str">
        <f>IFERROR(__xludf.DUMMYFUNCTION("iferror(iferror(INDEX(IMPORTRANGE(""12vtnxaE_Q1s4tyr10kZQx7ZF_xG0lBFae4jQEUtgsMU"",""All!B2:B""),MATCH($B861,IMPORTRANGE(""12vtnxaE_Q1s4tyr10kZQx7ZF_xG0lBFae4jQEUtgsMU"",""All!A2:A""),0)),INDEX(IMPORTRANGE(""13KC70HngS4DDi8y9E5khtSpQEPG6owaQ9z4E-tR5mnY"","&amp;"""Non-Food!B2:B""),MATCH($B861,IMPORTRANGE(""13KC70HngS4DDi8y9E5khtSpQEPG6owaQ9z4E-tR5mnY"",""Non-Food!A2:A""),0))),"""")"),"")</f>
        <v/>
      </c>
      <c r="D861" s="15"/>
      <c r="E861" s="15"/>
      <c r="F861" s="36"/>
      <c r="G861" s="24" t="str">
        <f>IFERROR(__xludf.DUMMYFUNCTION("iferror(iferror(iferror(index(IMPORTRANGE(""1NK5L1mviMn0j3D3uo53ASkIZOFRlLnqaCTnwzOG2_Wg"",""Direct Link!B2:B""),MATCH($B861,IMPORTRANGE(""1NK5L1mviMn0j3D3uo53ASkIZOFRlLnqaCTnwzOG2_Wg"",""Direct Link!A2:A""),0)),XLOOKUP($B861,IMPORTRANGE(""1NK5L1mviMn0j3D"&amp;"3uo53ASkIZOFRlLnqaCTnwzOG2_Wg"",""Direct links Without Sizes!A2:A""),IMPORTRANGE(""1NK5L1mviMn0j3D3uo53ASkIZOFRlLnqaCTnwzOG2_Wg"",""Direct links Without Sizes!B2:B""))),XLOOKUP($B861,IMPORTRANGE(""1NK5L1mviMn0j3D3uo53ASkIZOFRlLnqaCTnwzOG2_Wg"",""Direct li"&amp;"nks Without Sizes!D2:D""),IMPORTRANGE(""1NK5L1mviMn0j3D3uo53ASkIZOFRlLnqaCTnwzOG2_Wg"",""Direct links Without Sizes!E2:E""))),"""")"),"")</f>
        <v/>
      </c>
      <c r="H861" s="41"/>
      <c r="I861" s="4"/>
      <c r="J861" s="4"/>
      <c r="K861" s="10" t="str">
        <f t="shared" si="1"/>
        <v/>
      </c>
      <c r="L861" s="10"/>
      <c r="M861" s="10" t="str">
        <f t="shared" si="2"/>
        <v/>
      </c>
    </row>
    <row r="862">
      <c r="A862" s="4"/>
      <c r="B862" s="15"/>
      <c r="C862" s="7" t="str">
        <f>IFERROR(__xludf.DUMMYFUNCTION("iferror(iferror(INDEX(IMPORTRANGE(""12vtnxaE_Q1s4tyr10kZQx7ZF_xG0lBFae4jQEUtgsMU"",""All!B2:B""),MATCH($B862,IMPORTRANGE(""12vtnxaE_Q1s4tyr10kZQx7ZF_xG0lBFae4jQEUtgsMU"",""All!A2:A""),0)),INDEX(IMPORTRANGE(""13KC70HngS4DDi8y9E5khtSpQEPG6owaQ9z4E-tR5mnY"","&amp;"""Non-Food!B2:B""),MATCH($B862,IMPORTRANGE(""13KC70HngS4DDi8y9E5khtSpQEPG6owaQ9z4E-tR5mnY"",""Non-Food!A2:A""),0))),"""")"),"")</f>
        <v/>
      </c>
      <c r="D862" s="15"/>
      <c r="E862" s="15"/>
      <c r="F862" s="36"/>
      <c r="G862" s="24" t="str">
        <f>IFERROR(__xludf.DUMMYFUNCTION("iferror(iferror(iferror(index(IMPORTRANGE(""1NK5L1mviMn0j3D3uo53ASkIZOFRlLnqaCTnwzOG2_Wg"",""Direct Link!B2:B""),MATCH($B862,IMPORTRANGE(""1NK5L1mviMn0j3D3uo53ASkIZOFRlLnqaCTnwzOG2_Wg"",""Direct Link!A2:A""),0)),XLOOKUP($B862,IMPORTRANGE(""1NK5L1mviMn0j3D"&amp;"3uo53ASkIZOFRlLnqaCTnwzOG2_Wg"",""Direct links Without Sizes!A2:A""),IMPORTRANGE(""1NK5L1mviMn0j3D3uo53ASkIZOFRlLnqaCTnwzOG2_Wg"",""Direct links Without Sizes!B2:B""))),XLOOKUP($B862,IMPORTRANGE(""1NK5L1mviMn0j3D3uo53ASkIZOFRlLnqaCTnwzOG2_Wg"",""Direct li"&amp;"nks Without Sizes!D2:D""),IMPORTRANGE(""1NK5L1mviMn0j3D3uo53ASkIZOFRlLnqaCTnwzOG2_Wg"",""Direct links Without Sizes!E2:E""))),"""")"),"")</f>
        <v/>
      </c>
      <c r="H862" s="41"/>
      <c r="I862" s="4"/>
      <c r="J862" s="4"/>
      <c r="K862" s="10" t="str">
        <f t="shared" si="1"/>
        <v/>
      </c>
      <c r="L862" s="10"/>
      <c r="M862" s="10" t="str">
        <f t="shared" si="2"/>
        <v/>
      </c>
    </row>
    <row r="863">
      <c r="A863" s="4"/>
      <c r="B863" s="15"/>
      <c r="C863" s="7" t="str">
        <f>IFERROR(__xludf.DUMMYFUNCTION("iferror(iferror(INDEX(IMPORTRANGE(""12vtnxaE_Q1s4tyr10kZQx7ZF_xG0lBFae4jQEUtgsMU"",""All!B2:B""),MATCH($B863,IMPORTRANGE(""12vtnxaE_Q1s4tyr10kZQx7ZF_xG0lBFae4jQEUtgsMU"",""All!A2:A""),0)),INDEX(IMPORTRANGE(""13KC70HngS4DDi8y9E5khtSpQEPG6owaQ9z4E-tR5mnY"","&amp;"""Non-Food!B2:B""),MATCH($B863,IMPORTRANGE(""13KC70HngS4DDi8y9E5khtSpQEPG6owaQ9z4E-tR5mnY"",""Non-Food!A2:A""),0))),"""")"),"")</f>
        <v/>
      </c>
      <c r="D863" s="15"/>
      <c r="E863" s="15"/>
      <c r="F863" s="36"/>
      <c r="G863" s="24" t="str">
        <f>IFERROR(__xludf.DUMMYFUNCTION("iferror(iferror(iferror(index(IMPORTRANGE(""1NK5L1mviMn0j3D3uo53ASkIZOFRlLnqaCTnwzOG2_Wg"",""Direct Link!B2:B""),MATCH($B863,IMPORTRANGE(""1NK5L1mviMn0j3D3uo53ASkIZOFRlLnqaCTnwzOG2_Wg"",""Direct Link!A2:A""),0)),XLOOKUP($B863,IMPORTRANGE(""1NK5L1mviMn0j3D"&amp;"3uo53ASkIZOFRlLnqaCTnwzOG2_Wg"",""Direct links Without Sizes!A2:A""),IMPORTRANGE(""1NK5L1mviMn0j3D3uo53ASkIZOFRlLnqaCTnwzOG2_Wg"",""Direct links Without Sizes!B2:B""))),XLOOKUP($B863,IMPORTRANGE(""1NK5L1mviMn0j3D3uo53ASkIZOFRlLnqaCTnwzOG2_Wg"",""Direct li"&amp;"nks Without Sizes!D2:D""),IMPORTRANGE(""1NK5L1mviMn0j3D3uo53ASkIZOFRlLnqaCTnwzOG2_Wg"",""Direct links Without Sizes!E2:E""))),"""")"),"")</f>
        <v/>
      </c>
      <c r="H863" s="41"/>
      <c r="I863" s="4"/>
      <c r="J863" s="4"/>
      <c r="K863" s="10" t="str">
        <f t="shared" si="1"/>
        <v/>
      </c>
      <c r="L863" s="10"/>
      <c r="M863" s="10" t="str">
        <f t="shared" si="2"/>
        <v/>
      </c>
    </row>
    <row r="864">
      <c r="A864" s="4"/>
      <c r="B864" s="15"/>
      <c r="C864" s="7" t="str">
        <f>IFERROR(__xludf.DUMMYFUNCTION("iferror(iferror(INDEX(IMPORTRANGE(""12vtnxaE_Q1s4tyr10kZQx7ZF_xG0lBFae4jQEUtgsMU"",""All!B2:B""),MATCH($B864,IMPORTRANGE(""12vtnxaE_Q1s4tyr10kZQx7ZF_xG0lBFae4jQEUtgsMU"",""All!A2:A""),0)),INDEX(IMPORTRANGE(""13KC70HngS4DDi8y9E5khtSpQEPG6owaQ9z4E-tR5mnY"","&amp;"""Non-Food!B2:B""),MATCH($B864,IMPORTRANGE(""13KC70HngS4DDi8y9E5khtSpQEPG6owaQ9z4E-tR5mnY"",""Non-Food!A2:A""),0))),"""")"),"")</f>
        <v/>
      </c>
      <c r="D864" s="15"/>
      <c r="E864" s="15"/>
      <c r="F864" s="36"/>
      <c r="G864" s="24" t="str">
        <f>IFERROR(__xludf.DUMMYFUNCTION("iferror(iferror(iferror(index(IMPORTRANGE(""1NK5L1mviMn0j3D3uo53ASkIZOFRlLnqaCTnwzOG2_Wg"",""Direct Link!B2:B""),MATCH($B864,IMPORTRANGE(""1NK5L1mviMn0j3D3uo53ASkIZOFRlLnqaCTnwzOG2_Wg"",""Direct Link!A2:A""),0)),XLOOKUP($B864,IMPORTRANGE(""1NK5L1mviMn0j3D"&amp;"3uo53ASkIZOFRlLnqaCTnwzOG2_Wg"",""Direct links Without Sizes!A2:A""),IMPORTRANGE(""1NK5L1mviMn0j3D3uo53ASkIZOFRlLnqaCTnwzOG2_Wg"",""Direct links Without Sizes!B2:B""))),XLOOKUP($B864,IMPORTRANGE(""1NK5L1mviMn0j3D3uo53ASkIZOFRlLnqaCTnwzOG2_Wg"",""Direct li"&amp;"nks Without Sizes!D2:D""),IMPORTRANGE(""1NK5L1mviMn0j3D3uo53ASkIZOFRlLnqaCTnwzOG2_Wg"",""Direct links Without Sizes!E2:E""))),"""")"),"")</f>
        <v/>
      </c>
      <c r="H864" s="41"/>
      <c r="I864" s="4"/>
      <c r="J864" s="4"/>
      <c r="K864" s="10" t="str">
        <f t="shared" si="1"/>
        <v/>
      </c>
      <c r="L864" s="10"/>
      <c r="M864" s="10" t="str">
        <f t="shared" si="2"/>
        <v/>
      </c>
    </row>
    <row r="865">
      <c r="A865" s="4"/>
      <c r="B865" s="15"/>
      <c r="C865" s="7" t="str">
        <f>IFERROR(__xludf.DUMMYFUNCTION("iferror(iferror(INDEX(IMPORTRANGE(""12vtnxaE_Q1s4tyr10kZQx7ZF_xG0lBFae4jQEUtgsMU"",""All!B2:B""),MATCH($B865,IMPORTRANGE(""12vtnxaE_Q1s4tyr10kZQx7ZF_xG0lBFae4jQEUtgsMU"",""All!A2:A""),0)),INDEX(IMPORTRANGE(""13KC70HngS4DDi8y9E5khtSpQEPG6owaQ9z4E-tR5mnY"","&amp;"""Non-Food!B2:B""),MATCH($B865,IMPORTRANGE(""13KC70HngS4DDi8y9E5khtSpQEPG6owaQ9z4E-tR5mnY"",""Non-Food!A2:A""),0))),"""")"),"")</f>
        <v/>
      </c>
      <c r="D865" s="15"/>
      <c r="E865" s="15"/>
      <c r="F865" s="36"/>
      <c r="G865" s="24" t="str">
        <f>IFERROR(__xludf.DUMMYFUNCTION("iferror(iferror(iferror(index(IMPORTRANGE(""1NK5L1mviMn0j3D3uo53ASkIZOFRlLnqaCTnwzOG2_Wg"",""Direct Link!B2:B""),MATCH($B865,IMPORTRANGE(""1NK5L1mviMn0j3D3uo53ASkIZOFRlLnqaCTnwzOG2_Wg"",""Direct Link!A2:A""),0)),XLOOKUP($B865,IMPORTRANGE(""1NK5L1mviMn0j3D"&amp;"3uo53ASkIZOFRlLnqaCTnwzOG2_Wg"",""Direct links Without Sizes!A2:A""),IMPORTRANGE(""1NK5L1mviMn0j3D3uo53ASkIZOFRlLnqaCTnwzOG2_Wg"",""Direct links Without Sizes!B2:B""))),XLOOKUP($B865,IMPORTRANGE(""1NK5L1mviMn0j3D3uo53ASkIZOFRlLnqaCTnwzOG2_Wg"",""Direct li"&amp;"nks Without Sizes!D2:D""),IMPORTRANGE(""1NK5L1mviMn0j3D3uo53ASkIZOFRlLnqaCTnwzOG2_Wg"",""Direct links Without Sizes!E2:E""))),"""")"),"")</f>
        <v/>
      </c>
      <c r="H865" s="41"/>
      <c r="I865" s="4"/>
      <c r="J865" s="4"/>
      <c r="K865" s="10" t="str">
        <f t="shared" si="1"/>
        <v/>
      </c>
      <c r="L865" s="10"/>
      <c r="M865" s="10" t="str">
        <f t="shared" si="2"/>
        <v/>
      </c>
    </row>
    <row r="866">
      <c r="A866" s="4"/>
      <c r="B866" s="15"/>
      <c r="C866" s="7" t="str">
        <f>IFERROR(__xludf.DUMMYFUNCTION("iferror(iferror(INDEX(IMPORTRANGE(""12vtnxaE_Q1s4tyr10kZQx7ZF_xG0lBFae4jQEUtgsMU"",""All!B2:B""),MATCH($B866,IMPORTRANGE(""12vtnxaE_Q1s4tyr10kZQx7ZF_xG0lBFae4jQEUtgsMU"",""All!A2:A""),0)),INDEX(IMPORTRANGE(""13KC70HngS4DDi8y9E5khtSpQEPG6owaQ9z4E-tR5mnY"","&amp;"""Non-Food!B2:B""),MATCH($B866,IMPORTRANGE(""13KC70HngS4DDi8y9E5khtSpQEPG6owaQ9z4E-tR5mnY"",""Non-Food!A2:A""),0))),"""")"),"")</f>
        <v/>
      </c>
      <c r="D866" s="15"/>
      <c r="E866" s="15"/>
      <c r="F866" s="36"/>
      <c r="G866" s="24" t="str">
        <f>IFERROR(__xludf.DUMMYFUNCTION("iferror(iferror(iferror(index(IMPORTRANGE(""1NK5L1mviMn0j3D3uo53ASkIZOFRlLnqaCTnwzOG2_Wg"",""Direct Link!B2:B""),MATCH($B866,IMPORTRANGE(""1NK5L1mviMn0j3D3uo53ASkIZOFRlLnqaCTnwzOG2_Wg"",""Direct Link!A2:A""),0)),XLOOKUP($B866,IMPORTRANGE(""1NK5L1mviMn0j3D"&amp;"3uo53ASkIZOFRlLnqaCTnwzOG2_Wg"",""Direct links Without Sizes!A2:A""),IMPORTRANGE(""1NK5L1mviMn0j3D3uo53ASkIZOFRlLnqaCTnwzOG2_Wg"",""Direct links Without Sizes!B2:B""))),XLOOKUP($B866,IMPORTRANGE(""1NK5L1mviMn0j3D3uo53ASkIZOFRlLnqaCTnwzOG2_Wg"",""Direct li"&amp;"nks Without Sizes!D2:D""),IMPORTRANGE(""1NK5L1mviMn0j3D3uo53ASkIZOFRlLnqaCTnwzOG2_Wg"",""Direct links Without Sizes!E2:E""))),"""")"),"")</f>
        <v/>
      </c>
      <c r="H866" s="41"/>
      <c r="I866" s="4"/>
      <c r="J866" s="4"/>
      <c r="K866" s="10" t="str">
        <f t="shared" si="1"/>
        <v/>
      </c>
      <c r="L866" s="10"/>
      <c r="M866" s="10" t="str">
        <f t="shared" si="2"/>
        <v/>
      </c>
    </row>
    <row r="867">
      <c r="A867" s="4"/>
      <c r="B867" s="15"/>
      <c r="C867" s="7" t="str">
        <f>IFERROR(__xludf.DUMMYFUNCTION("iferror(iferror(INDEX(IMPORTRANGE(""12vtnxaE_Q1s4tyr10kZQx7ZF_xG0lBFae4jQEUtgsMU"",""All!B2:B""),MATCH($B867,IMPORTRANGE(""12vtnxaE_Q1s4tyr10kZQx7ZF_xG0lBFae4jQEUtgsMU"",""All!A2:A""),0)),INDEX(IMPORTRANGE(""13KC70HngS4DDi8y9E5khtSpQEPG6owaQ9z4E-tR5mnY"","&amp;"""Non-Food!B2:B""),MATCH($B867,IMPORTRANGE(""13KC70HngS4DDi8y9E5khtSpQEPG6owaQ9z4E-tR5mnY"",""Non-Food!A2:A""),0))),"""")"),"")</f>
        <v/>
      </c>
      <c r="D867" s="15"/>
      <c r="E867" s="15"/>
      <c r="F867" s="36"/>
      <c r="G867" s="24" t="str">
        <f>IFERROR(__xludf.DUMMYFUNCTION("iferror(iferror(iferror(index(IMPORTRANGE(""1NK5L1mviMn0j3D3uo53ASkIZOFRlLnqaCTnwzOG2_Wg"",""Direct Link!B2:B""),MATCH($B867,IMPORTRANGE(""1NK5L1mviMn0j3D3uo53ASkIZOFRlLnqaCTnwzOG2_Wg"",""Direct Link!A2:A""),0)),XLOOKUP($B867,IMPORTRANGE(""1NK5L1mviMn0j3D"&amp;"3uo53ASkIZOFRlLnqaCTnwzOG2_Wg"",""Direct links Without Sizes!A2:A""),IMPORTRANGE(""1NK5L1mviMn0j3D3uo53ASkIZOFRlLnqaCTnwzOG2_Wg"",""Direct links Without Sizes!B2:B""))),XLOOKUP($B867,IMPORTRANGE(""1NK5L1mviMn0j3D3uo53ASkIZOFRlLnqaCTnwzOG2_Wg"",""Direct li"&amp;"nks Without Sizes!D2:D""),IMPORTRANGE(""1NK5L1mviMn0j3D3uo53ASkIZOFRlLnqaCTnwzOG2_Wg"",""Direct links Without Sizes!E2:E""))),"""")"),"")</f>
        <v/>
      </c>
      <c r="H867" s="41"/>
      <c r="I867" s="4"/>
      <c r="J867" s="4"/>
      <c r="K867" s="10" t="str">
        <f t="shared" si="1"/>
        <v/>
      </c>
      <c r="L867" s="10"/>
      <c r="M867" s="10" t="str">
        <f t="shared" si="2"/>
        <v/>
      </c>
    </row>
    <row r="868">
      <c r="A868" s="4"/>
      <c r="B868" s="15"/>
      <c r="C868" s="7" t="str">
        <f>IFERROR(__xludf.DUMMYFUNCTION("iferror(iferror(INDEX(IMPORTRANGE(""12vtnxaE_Q1s4tyr10kZQx7ZF_xG0lBFae4jQEUtgsMU"",""All!B2:B""),MATCH($B868,IMPORTRANGE(""12vtnxaE_Q1s4tyr10kZQx7ZF_xG0lBFae4jQEUtgsMU"",""All!A2:A""),0)),INDEX(IMPORTRANGE(""13KC70HngS4DDi8y9E5khtSpQEPG6owaQ9z4E-tR5mnY"","&amp;"""Non-Food!B2:B""),MATCH($B868,IMPORTRANGE(""13KC70HngS4DDi8y9E5khtSpQEPG6owaQ9z4E-tR5mnY"",""Non-Food!A2:A""),0))),"""")"),"")</f>
        <v/>
      </c>
      <c r="D868" s="15"/>
      <c r="E868" s="15"/>
      <c r="F868" s="36"/>
      <c r="G868" s="24" t="str">
        <f>IFERROR(__xludf.DUMMYFUNCTION("iferror(iferror(iferror(index(IMPORTRANGE(""1NK5L1mviMn0j3D3uo53ASkIZOFRlLnqaCTnwzOG2_Wg"",""Direct Link!B2:B""),MATCH($B868,IMPORTRANGE(""1NK5L1mviMn0j3D3uo53ASkIZOFRlLnqaCTnwzOG2_Wg"",""Direct Link!A2:A""),0)),XLOOKUP($B868,IMPORTRANGE(""1NK5L1mviMn0j3D"&amp;"3uo53ASkIZOFRlLnqaCTnwzOG2_Wg"",""Direct links Without Sizes!A2:A""),IMPORTRANGE(""1NK5L1mviMn0j3D3uo53ASkIZOFRlLnqaCTnwzOG2_Wg"",""Direct links Without Sizes!B2:B""))),XLOOKUP($B868,IMPORTRANGE(""1NK5L1mviMn0j3D3uo53ASkIZOFRlLnqaCTnwzOG2_Wg"",""Direct li"&amp;"nks Without Sizes!D2:D""),IMPORTRANGE(""1NK5L1mviMn0j3D3uo53ASkIZOFRlLnqaCTnwzOG2_Wg"",""Direct links Without Sizes!E2:E""))),"""")"),"")</f>
        <v/>
      </c>
      <c r="H868" s="41"/>
      <c r="I868" s="4"/>
      <c r="J868" s="4"/>
      <c r="K868" s="10" t="str">
        <f t="shared" si="1"/>
        <v/>
      </c>
      <c r="L868" s="10"/>
      <c r="M868" s="10" t="str">
        <f t="shared" si="2"/>
        <v/>
      </c>
    </row>
    <row r="869">
      <c r="A869" s="4"/>
      <c r="B869" s="15"/>
      <c r="C869" s="7" t="str">
        <f>IFERROR(__xludf.DUMMYFUNCTION("iferror(iferror(INDEX(IMPORTRANGE(""12vtnxaE_Q1s4tyr10kZQx7ZF_xG0lBFae4jQEUtgsMU"",""All!B2:B""),MATCH($B869,IMPORTRANGE(""12vtnxaE_Q1s4tyr10kZQx7ZF_xG0lBFae4jQEUtgsMU"",""All!A2:A""),0)),INDEX(IMPORTRANGE(""13KC70HngS4DDi8y9E5khtSpQEPG6owaQ9z4E-tR5mnY"","&amp;"""Non-Food!B2:B""),MATCH($B869,IMPORTRANGE(""13KC70HngS4DDi8y9E5khtSpQEPG6owaQ9z4E-tR5mnY"",""Non-Food!A2:A""),0))),"""")"),"")</f>
        <v/>
      </c>
      <c r="D869" s="15"/>
      <c r="E869" s="15"/>
      <c r="F869" s="36"/>
      <c r="G869" s="24" t="str">
        <f>IFERROR(__xludf.DUMMYFUNCTION("iferror(iferror(iferror(index(IMPORTRANGE(""1NK5L1mviMn0j3D3uo53ASkIZOFRlLnqaCTnwzOG2_Wg"",""Direct Link!B2:B""),MATCH($B869,IMPORTRANGE(""1NK5L1mviMn0j3D3uo53ASkIZOFRlLnqaCTnwzOG2_Wg"",""Direct Link!A2:A""),0)),XLOOKUP($B869,IMPORTRANGE(""1NK5L1mviMn0j3D"&amp;"3uo53ASkIZOFRlLnqaCTnwzOG2_Wg"",""Direct links Without Sizes!A2:A""),IMPORTRANGE(""1NK5L1mviMn0j3D3uo53ASkIZOFRlLnqaCTnwzOG2_Wg"",""Direct links Without Sizes!B2:B""))),XLOOKUP($B869,IMPORTRANGE(""1NK5L1mviMn0j3D3uo53ASkIZOFRlLnqaCTnwzOG2_Wg"",""Direct li"&amp;"nks Without Sizes!D2:D""),IMPORTRANGE(""1NK5L1mviMn0j3D3uo53ASkIZOFRlLnqaCTnwzOG2_Wg"",""Direct links Without Sizes!E2:E""))),"""")"),"")</f>
        <v/>
      </c>
      <c r="H869" s="41"/>
      <c r="I869" s="4"/>
      <c r="J869" s="4"/>
      <c r="K869" s="10" t="str">
        <f t="shared" si="1"/>
        <v/>
      </c>
      <c r="L869" s="10"/>
      <c r="M869" s="10" t="str">
        <f t="shared" si="2"/>
        <v/>
      </c>
    </row>
    <row r="870">
      <c r="A870" s="4"/>
      <c r="B870" s="15"/>
      <c r="C870" s="7" t="str">
        <f>IFERROR(__xludf.DUMMYFUNCTION("iferror(iferror(INDEX(IMPORTRANGE(""12vtnxaE_Q1s4tyr10kZQx7ZF_xG0lBFae4jQEUtgsMU"",""All!B2:B""),MATCH($B870,IMPORTRANGE(""12vtnxaE_Q1s4tyr10kZQx7ZF_xG0lBFae4jQEUtgsMU"",""All!A2:A""),0)),INDEX(IMPORTRANGE(""13KC70HngS4DDi8y9E5khtSpQEPG6owaQ9z4E-tR5mnY"","&amp;"""Non-Food!B2:B""),MATCH($B870,IMPORTRANGE(""13KC70HngS4DDi8y9E5khtSpQEPG6owaQ9z4E-tR5mnY"",""Non-Food!A2:A""),0))),"""")"),"")</f>
        <v/>
      </c>
      <c r="D870" s="15"/>
      <c r="E870" s="15"/>
      <c r="F870" s="36"/>
      <c r="G870" s="24" t="str">
        <f>IFERROR(__xludf.DUMMYFUNCTION("iferror(iferror(iferror(index(IMPORTRANGE(""1NK5L1mviMn0j3D3uo53ASkIZOFRlLnqaCTnwzOG2_Wg"",""Direct Link!B2:B""),MATCH($B870,IMPORTRANGE(""1NK5L1mviMn0j3D3uo53ASkIZOFRlLnqaCTnwzOG2_Wg"",""Direct Link!A2:A""),0)),XLOOKUP($B870,IMPORTRANGE(""1NK5L1mviMn0j3D"&amp;"3uo53ASkIZOFRlLnqaCTnwzOG2_Wg"",""Direct links Without Sizes!A2:A""),IMPORTRANGE(""1NK5L1mviMn0j3D3uo53ASkIZOFRlLnqaCTnwzOG2_Wg"",""Direct links Without Sizes!B2:B""))),XLOOKUP($B870,IMPORTRANGE(""1NK5L1mviMn0j3D3uo53ASkIZOFRlLnqaCTnwzOG2_Wg"",""Direct li"&amp;"nks Without Sizes!D2:D""),IMPORTRANGE(""1NK5L1mviMn0j3D3uo53ASkIZOFRlLnqaCTnwzOG2_Wg"",""Direct links Without Sizes!E2:E""))),"""")"),"")</f>
        <v/>
      </c>
      <c r="H870" s="41"/>
      <c r="I870" s="4"/>
      <c r="J870" s="4"/>
      <c r="K870" s="10" t="str">
        <f t="shared" si="1"/>
        <v/>
      </c>
      <c r="L870" s="10"/>
      <c r="M870" s="10" t="str">
        <f t="shared" si="2"/>
        <v/>
      </c>
    </row>
    <row r="871">
      <c r="A871" s="4"/>
      <c r="B871" s="15"/>
      <c r="C871" s="7" t="str">
        <f>IFERROR(__xludf.DUMMYFUNCTION("iferror(iferror(INDEX(IMPORTRANGE(""12vtnxaE_Q1s4tyr10kZQx7ZF_xG0lBFae4jQEUtgsMU"",""All!B2:B""),MATCH($B871,IMPORTRANGE(""12vtnxaE_Q1s4tyr10kZQx7ZF_xG0lBFae4jQEUtgsMU"",""All!A2:A""),0)),INDEX(IMPORTRANGE(""13KC70HngS4DDi8y9E5khtSpQEPG6owaQ9z4E-tR5mnY"","&amp;"""Non-Food!B2:B""),MATCH($B871,IMPORTRANGE(""13KC70HngS4DDi8y9E5khtSpQEPG6owaQ9z4E-tR5mnY"",""Non-Food!A2:A""),0))),"""")"),"")</f>
        <v/>
      </c>
      <c r="D871" s="15"/>
      <c r="E871" s="15"/>
      <c r="F871" s="36"/>
      <c r="G871" s="24" t="str">
        <f>IFERROR(__xludf.DUMMYFUNCTION("iferror(iferror(iferror(index(IMPORTRANGE(""1NK5L1mviMn0j3D3uo53ASkIZOFRlLnqaCTnwzOG2_Wg"",""Direct Link!B2:B""),MATCH($B871,IMPORTRANGE(""1NK5L1mviMn0j3D3uo53ASkIZOFRlLnqaCTnwzOG2_Wg"",""Direct Link!A2:A""),0)),XLOOKUP($B871,IMPORTRANGE(""1NK5L1mviMn0j3D"&amp;"3uo53ASkIZOFRlLnqaCTnwzOG2_Wg"",""Direct links Without Sizes!A2:A""),IMPORTRANGE(""1NK5L1mviMn0j3D3uo53ASkIZOFRlLnqaCTnwzOG2_Wg"",""Direct links Without Sizes!B2:B""))),XLOOKUP($B871,IMPORTRANGE(""1NK5L1mviMn0j3D3uo53ASkIZOFRlLnqaCTnwzOG2_Wg"",""Direct li"&amp;"nks Without Sizes!D2:D""),IMPORTRANGE(""1NK5L1mviMn0j3D3uo53ASkIZOFRlLnqaCTnwzOG2_Wg"",""Direct links Without Sizes!E2:E""))),"""")"),"")</f>
        <v/>
      </c>
      <c r="H871" s="41"/>
      <c r="I871" s="4"/>
      <c r="J871" s="4"/>
      <c r="K871" s="10" t="str">
        <f t="shared" si="1"/>
        <v/>
      </c>
      <c r="L871" s="10"/>
      <c r="M871" s="10" t="str">
        <f t="shared" si="2"/>
        <v/>
      </c>
    </row>
    <row r="872">
      <c r="A872" s="4"/>
      <c r="B872" s="15"/>
      <c r="C872" s="7" t="str">
        <f>IFERROR(__xludf.DUMMYFUNCTION("iferror(iferror(INDEX(IMPORTRANGE(""12vtnxaE_Q1s4tyr10kZQx7ZF_xG0lBFae4jQEUtgsMU"",""All!B2:B""),MATCH($B872,IMPORTRANGE(""12vtnxaE_Q1s4tyr10kZQx7ZF_xG0lBFae4jQEUtgsMU"",""All!A2:A""),0)),INDEX(IMPORTRANGE(""13KC70HngS4DDi8y9E5khtSpQEPG6owaQ9z4E-tR5mnY"","&amp;"""Non-Food!B2:B""),MATCH($B872,IMPORTRANGE(""13KC70HngS4DDi8y9E5khtSpQEPG6owaQ9z4E-tR5mnY"",""Non-Food!A2:A""),0))),"""")"),"")</f>
        <v/>
      </c>
      <c r="D872" s="15"/>
      <c r="E872" s="15"/>
      <c r="F872" s="36"/>
      <c r="G872" s="24" t="str">
        <f>IFERROR(__xludf.DUMMYFUNCTION("iferror(iferror(iferror(index(IMPORTRANGE(""1NK5L1mviMn0j3D3uo53ASkIZOFRlLnqaCTnwzOG2_Wg"",""Direct Link!B2:B""),MATCH($B872,IMPORTRANGE(""1NK5L1mviMn0j3D3uo53ASkIZOFRlLnqaCTnwzOG2_Wg"",""Direct Link!A2:A""),0)),XLOOKUP($B872,IMPORTRANGE(""1NK5L1mviMn0j3D"&amp;"3uo53ASkIZOFRlLnqaCTnwzOG2_Wg"",""Direct links Without Sizes!A2:A""),IMPORTRANGE(""1NK5L1mviMn0j3D3uo53ASkIZOFRlLnqaCTnwzOG2_Wg"",""Direct links Without Sizes!B2:B""))),XLOOKUP($B872,IMPORTRANGE(""1NK5L1mviMn0j3D3uo53ASkIZOFRlLnqaCTnwzOG2_Wg"",""Direct li"&amp;"nks Without Sizes!D2:D""),IMPORTRANGE(""1NK5L1mviMn0j3D3uo53ASkIZOFRlLnqaCTnwzOG2_Wg"",""Direct links Without Sizes!E2:E""))),"""")"),"")</f>
        <v/>
      </c>
      <c r="H872" s="41"/>
      <c r="I872" s="4"/>
      <c r="J872" s="4"/>
      <c r="K872" s="10" t="str">
        <f t="shared" si="1"/>
        <v/>
      </c>
      <c r="L872" s="10"/>
      <c r="M872" s="10" t="str">
        <f t="shared" si="2"/>
        <v/>
      </c>
    </row>
    <row r="873">
      <c r="A873" s="4"/>
      <c r="B873" s="15"/>
      <c r="C873" s="7" t="str">
        <f>IFERROR(__xludf.DUMMYFUNCTION("iferror(iferror(INDEX(IMPORTRANGE(""12vtnxaE_Q1s4tyr10kZQx7ZF_xG0lBFae4jQEUtgsMU"",""All!B2:B""),MATCH($B873,IMPORTRANGE(""12vtnxaE_Q1s4tyr10kZQx7ZF_xG0lBFae4jQEUtgsMU"",""All!A2:A""),0)),INDEX(IMPORTRANGE(""13KC70HngS4DDi8y9E5khtSpQEPG6owaQ9z4E-tR5mnY"","&amp;"""Non-Food!B2:B""),MATCH($B873,IMPORTRANGE(""13KC70HngS4DDi8y9E5khtSpQEPG6owaQ9z4E-tR5mnY"",""Non-Food!A2:A""),0))),"""")"),"")</f>
        <v/>
      </c>
      <c r="D873" s="15"/>
      <c r="E873" s="15"/>
      <c r="F873" s="36"/>
      <c r="G873" s="24" t="str">
        <f>IFERROR(__xludf.DUMMYFUNCTION("iferror(iferror(iferror(index(IMPORTRANGE(""1NK5L1mviMn0j3D3uo53ASkIZOFRlLnqaCTnwzOG2_Wg"",""Direct Link!B2:B""),MATCH($B873,IMPORTRANGE(""1NK5L1mviMn0j3D3uo53ASkIZOFRlLnqaCTnwzOG2_Wg"",""Direct Link!A2:A""),0)),XLOOKUP($B873,IMPORTRANGE(""1NK5L1mviMn0j3D"&amp;"3uo53ASkIZOFRlLnqaCTnwzOG2_Wg"",""Direct links Without Sizes!A2:A""),IMPORTRANGE(""1NK5L1mviMn0j3D3uo53ASkIZOFRlLnqaCTnwzOG2_Wg"",""Direct links Without Sizes!B2:B""))),XLOOKUP($B873,IMPORTRANGE(""1NK5L1mviMn0j3D3uo53ASkIZOFRlLnqaCTnwzOG2_Wg"",""Direct li"&amp;"nks Without Sizes!D2:D""),IMPORTRANGE(""1NK5L1mviMn0j3D3uo53ASkIZOFRlLnqaCTnwzOG2_Wg"",""Direct links Without Sizes!E2:E""))),"""")"),"")</f>
        <v/>
      </c>
      <c r="H873" s="41"/>
      <c r="I873" s="4"/>
      <c r="J873" s="4"/>
      <c r="K873" s="10" t="str">
        <f t="shared" si="1"/>
        <v/>
      </c>
      <c r="L873" s="10"/>
      <c r="M873" s="10" t="str">
        <f t="shared" si="2"/>
        <v/>
      </c>
    </row>
    <row r="874">
      <c r="A874" s="4"/>
      <c r="B874" s="15"/>
      <c r="C874" s="7" t="str">
        <f>IFERROR(__xludf.DUMMYFUNCTION("iferror(iferror(INDEX(IMPORTRANGE(""12vtnxaE_Q1s4tyr10kZQx7ZF_xG0lBFae4jQEUtgsMU"",""All!B2:B""),MATCH($B874,IMPORTRANGE(""12vtnxaE_Q1s4tyr10kZQx7ZF_xG0lBFae4jQEUtgsMU"",""All!A2:A""),0)),INDEX(IMPORTRANGE(""13KC70HngS4DDi8y9E5khtSpQEPG6owaQ9z4E-tR5mnY"","&amp;"""Non-Food!B2:B""),MATCH($B874,IMPORTRANGE(""13KC70HngS4DDi8y9E5khtSpQEPG6owaQ9z4E-tR5mnY"",""Non-Food!A2:A""),0))),"""")"),"")</f>
        <v/>
      </c>
      <c r="D874" s="15"/>
      <c r="E874" s="15"/>
      <c r="F874" s="36"/>
      <c r="G874" s="24" t="str">
        <f>IFERROR(__xludf.DUMMYFUNCTION("iferror(iferror(iferror(index(IMPORTRANGE(""1NK5L1mviMn0j3D3uo53ASkIZOFRlLnqaCTnwzOG2_Wg"",""Direct Link!B2:B""),MATCH($B874,IMPORTRANGE(""1NK5L1mviMn0j3D3uo53ASkIZOFRlLnqaCTnwzOG2_Wg"",""Direct Link!A2:A""),0)),XLOOKUP($B874,IMPORTRANGE(""1NK5L1mviMn0j3D"&amp;"3uo53ASkIZOFRlLnqaCTnwzOG2_Wg"",""Direct links Without Sizes!A2:A""),IMPORTRANGE(""1NK5L1mviMn0j3D3uo53ASkIZOFRlLnqaCTnwzOG2_Wg"",""Direct links Without Sizes!B2:B""))),XLOOKUP($B874,IMPORTRANGE(""1NK5L1mviMn0j3D3uo53ASkIZOFRlLnqaCTnwzOG2_Wg"",""Direct li"&amp;"nks Without Sizes!D2:D""),IMPORTRANGE(""1NK5L1mviMn0j3D3uo53ASkIZOFRlLnqaCTnwzOG2_Wg"",""Direct links Without Sizes!E2:E""))),"""")"),"")</f>
        <v/>
      </c>
      <c r="H874" s="41"/>
      <c r="I874" s="4"/>
      <c r="J874" s="4"/>
      <c r="K874" s="10" t="str">
        <f t="shared" si="1"/>
        <v/>
      </c>
      <c r="L874" s="10"/>
      <c r="M874" s="10" t="str">
        <f t="shared" si="2"/>
        <v/>
      </c>
    </row>
    <row r="875">
      <c r="A875" s="4"/>
      <c r="B875" s="15"/>
      <c r="C875" s="7" t="str">
        <f>IFERROR(__xludf.DUMMYFUNCTION("iferror(iferror(INDEX(IMPORTRANGE(""12vtnxaE_Q1s4tyr10kZQx7ZF_xG0lBFae4jQEUtgsMU"",""All!B2:B""),MATCH($B875,IMPORTRANGE(""12vtnxaE_Q1s4tyr10kZQx7ZF_xG0lBFae4jQEUtgsMU"",""All!A2:A""),0)),INDEX(IMPORTRANGE(""13KC70HngS4DDi8y9E5khtSpQEPG6owaQ9z4E-tR5mnY"","&amp;"""Non-Food!B2:B""),MATCH($B875,IMPORTRANGE(""13KC70HngS4DDi8y9E5khtSpQEPG6owaQ9z4E-tR5mnY"",""Non-Food!A2:A""),0))),"""")"),"")</f>
        <v/>
      </c>
      <c r="D875" s="15"/>
      <c r="E875" s="15"/>
      <c r="F875" s="36"/>
      <c r="G875" s="24" t="str">
        <f>IFERROR(__xludf.DUMMYFUNCTION("iferror(iferror(iferror(index(IMPORTRANGE(""1NK5L1mviMn0j3D3uo53ASkIZOFRlLnqaCTnwzOG2_Wg"",""Direct Link!B2:B""),MATCH($B875,IMPORTRANGE(""1NK5L1mviMn0j3D3uo53ASkIZOFRlLnqaCTnwzOG2_Wg"",""Direct Link!A2:A""),0)),XLOOKUP($B875,IMPORTRANGE(""1NK5L1mviMn0j3D"&amp;"3uo53ASkIZOFRlLnqaCTnwzOG2_Wg"",""Direct links Without Sizes!A2:A""),IMPORTRANGE(""1NK5L1mviMn0j3D3uo53ASkIZOFRlLnqaCTnwzOG2_Wg"",""Direct links Without Sizes!B2:B""))),XLOOKUP($B875,IMPORTRANGE(""1NK5L1mviMn0j3D3uo53ASkIZOFRlLnqaCTnwzOG2_Wg"",""Direct li"&amp;"nks Without Sizes!D2:D""),IMPORTRANGE(""1NK5L1mviMn0j3D3uo53ASkIZOFRlLnqaCTnwzOG2_Wg"",""Direct links Without Sizes!E2:E""))),"""")"),"")</f>
        <v/>
      </c>
      <c r="H875" s="41"/>
      <c r="I875" s="4"/>
      <c r="J875" s="4"/>
      <c r="K875" s="10" t="str">
        <f t="shared" si="1"/>
        <v/>
      </c>
      <c r="L875" s="10"/>
      <c r="M875" s="10" t="str">
        <f t="shared" si="2"/>
        <v/>
      </c>
    </row>
    <row r="876">
      <c r="A876" s="4"/>
      <c r="B876" s="15"/>
      <c r="C876" s="7" t="str">
        <f>IFERROR(__xludf.DUMMYFUNCTION("iferror(iferror(INDEX(IMPORTRANGE(""12vtnxaE_Q1s4tyr10kZQx7ZF_xG0lBFae4jQEUtgsMU"",""All!B2:B""),MATCH($B876,IMPORTRANGE(""12vtnxaE_Q1s4tyr10kZQx7ZF_xG0lBFae4jQEUtgsMU"",""All!A2:A""),0)),INDEX(IMPORTRANGE(""13KC70HngS4DDi8y9E5khtSpQEPG6owaQ9z4E-tR5mnY"","&amp;"""Non-Food!B2:B""),MATCH($B876,IMPORTRANGE(""13KC70HngS4DDi8y9E5khtSpQEPG6owaQ9z4E-tR5mnY"",""Non-Food!A2:A""),0))),"""")"),"")</f>
        <v/>
      </c>
      <c r="D876" s="15"/>
      <c r="E876" s="15"/>
      <c r="F876" s="36"/>
      <c r="G876" s="24" t="str">
        <f>IFERROR(__xludf.DUMMYFUNCTION("iferror(iferror(iferror(index(IMPORTRANGE(""1NK5L1mviMn0j3D3uo53ASkIZOFRlLnqaCTnwzOG2_Wg"",""Direct Link!B2:B""),MATCH($B876,IMPORTRANGE(""1NK5L1mviMn0j3D3uo53ASkIZOFRlLnqaCTnwzOG2_Wg"",""Direct Link!A2:A""),0)),XLOOKUP($B876,IMPORTRANGE(""1NK5L1mviMn0j3D"&amp;"3uo53ASkIZOFRlLnqaCTnwzOG2_Wg"",""Direct links Without Sizes!A2:A""),IMPORTRANGE(""1NK5L1mviMn0j3D3uo53ASkIZOFRlLnqaCTnwzOG2_Wg"",""Direct links Without Sizes!B2:B""))),XLOOKUP($B876,IMPORTRANGE(""1NK5L1mviMn0j3D3uo53ASkIZOFRlLnqaCTnwzOG2_Wg"",""Direct li"&amp;"nks Without Sizes!D2:D""),IMPORTRANGE(""1NK5L1mviMn0j3D3uo53ASkIZOFRlLnqaCTnwzOG2_Wg"",""Direct links Without Sizes!E2:E""))),"""")"),"")</f>
        <v/>
      </c>
      <c r="H876" s="41"/>
      <c r="I876" s="4"/>
      <c r="J876" s="4"/>
      <c r="K876" s="10" t="str">
        <f t="shared" si="1"/>
        <v/>
      </c>
      <c r="L876" s="10"/>
      <c r="M876" s="10" t="str">
        <f t="shared" si="2"/>
        <v/>
      </c>
    </row>
    <row r="877">
      <c r="A877" s="4"/>
      <c r="B877" s="15"/>
      <c r="C877" s="7" t="str">
        <f>IFERROR(__xludf.DUMMYFUNCTION("iferror(iferror(INDEX(IMPORTRANGE(""12vtnxaE_Q1s4tyr10kZQx7ZF_xG0lBFae4jQEUtgsMU"",""All!B2:B""),MATCH($B877,IMPORTRANGE(""12vtnxaE_Q1s4tyr10kZQx7ZF_xG0lBFae4jQEUtgsMU"",""All!A2:A""),0)),INDEX(IMPORTRANGE(""13KC70HngS4DDi8y9E5khtSpQEPG6owaQ9z4E-tR5mnY"","&amp;"""Non-Food!B2:B""),MATCH($B877,IMPORTRANGE(""13KC70HngS4DDi8y9E5khtSpQEPG6owaQ9z4E-tR5mnY"",""Non-Food!A2:A""),0))),"""")"),"")</f>
        <v/>
      </c>
      <c r="D877" s="15"/>
      <c r="E877" s="15"/>
      <c r="F877" s="36"/>
      <c r="G877" s="24" t="str">
        <f>IFERROR(__xludf.DUMMYFUNCTION("iferror(iferror(iferror(index(IMPORTRANGE(""1NK5L1mviMn0j3D3uo53ASkIZOFRlLnqaCTnwzOG2_Wg"",""Direct Link!B2:B""),MATCH($B877,IMPORTRANGE(""1NK5L1mviMn0j3D3uo53ASkIZOFRlLnqaCTnwzOG2_Wg"",""Direct Link!A2:A""),0)),XLOOKUP($B877,IMPORTRANGE(""1NK5L1mviMn0j3D"&amp;"3uo53ASkIZOFRlLnqaCTnwzOG2_Wg"",""Direct links Without Sizes!A2:A""),IMPORTRANGE(""1NK5L1mviMn0j3D3uo53ASkIZOFRlLnqaCTnwzOG2_Wg"",""Direct links Without Sizes!B2:B""))),XLOOKUP($B877,IMPORTRANGE(""1NK5L1mviMn0j3D3uo53ASkIZOFRlLnqaCTnwzOG2_Wg"",""Direct li"&amp;"nks Without Sizes!D2:D""),IMPORTRANGE(""1NK5L1mviMn0j3D3uo53ASkIZOFRlLnqaCTnwzOG2_Wg"",""Direct links Without Sizes!E2:E""))),"""")"),"")</f>
        <v/>
      </c>
      <c r="H877" s="41"/>
      <c r="I877" s="4"/>
      <c r="J877" s="4"/>
      <c r="K877" s="10" t="str">
        <f t="shared" si="1"/>
        <v/>
      </c>
      <c r="L877" s="10"/>
      <c r="M877" s="10" t="str">
        <f t="shared" si="2"/>
        <v/>
      </c>
    </row>
    <row r="878">
      <c r="A878" s="4"/>
      <c r="B878" s="15"/>
      <c r="C878" s="7" t="str">
        <f>IFERROR(__xludf.DUMMYFUNCTION("iferror(iferror(INDEX(IMPORTRANGE(""12vtnxaE_Q1s4tyr10kZQx7ZF_xG0lBFae4jQEUtgsMU"",""All!B2:B""),MATCH($B878,IMPORTRANGE(""12vtnxaE_Q1s4tyr10kZQx7ZF_xG0lBFae4jQEUtgsMU"",""All!A2:A""),0)),INDEX(IMPORTRANGE(""13KC70HngS4DDi8y9E5khtSpQEPG6owaQ9z4E-tR5mnY"","&amp;"""Non-Food!B2:B""),MATCH($B878,IMPORTRANGE(""13KC70HngS4DDi8y9E5khtSpQEPG6owaQ9z4E-tR5mnY"",""Non-Food!A2:A""),0))),"""")"),"")</f>
        <v/>
      </c>
      <c r="D878" s="15"/>
      <c r="E878" s="15"/>
      <c r="F878" s="36"/>
      <c r="G878" s="24" t="str">
        <f>IFERROR(__xludf.DUMMYFUNCTION("iferror(iferror(iferror(index(IMPORTRANGE(""1NK5L1mviMn0j3D3uo53ASkIZOFRlLnqaCTnwzOG2_Wg"",""Direct Link!B2:B""),MATCH($B878,IMPORTRANGE(""1NK5L1mviMn0j3D3uo53ASkIZOFRlLnqaCTnwzOG2_Wg"",""Direct Link!A2:A""),0)),XLOOKUP($B878,IMPORTRANGE(""1NK5L1mviMn0j3D"&amp;"3uo53ASkIZOFRlLnqaCTnwzOG2_Wg"",""Direct links Without Sizes!A2:A""),IMPORTRANGE(""1NK5L1mviMn0j3D3uo53ASkIZOFRlLnqaCTnwzOG2_Wg"",""Direct links Without Sizes!B2:B""))),XLOOKUP($B878,IMPORTRANGE(""1NK5L1mviMn0j3D3uo53ASkIZOFRlLnqaCTnwzOG2_Wg"",""Direct li"&amp;"nks Without Sizes!D2:D""),IMPORTRANGE(""1NK5L1mviMn0j3D3uo53ASkIZOFRlLnqaCTnwzOG2_Wg"",""Direct links Without Sizes!E2:E""))),"""")"),"")</f>
        <v/>
      </c>
      <c r="H878" s="41"/>
      <c r="I878" s="4"/>
      <c r="J878" s="4"/>
      <c r="K878" s="10" t="str">
        <f t="shared" si="1"/>
        <v/>
      </c>
      <c r="L878" s="10"/>
      <c r="M878" s="10" t="str">
        <f t="shared" si="2"/>
        <v/>
      </c>
    </row>
    <row r="879">
      <c r="A879" s="4"/>
      <c r="B879" s="15"/>
      <c r="C879" s="7" t="str">
        <f>IFERROR(__xludf.DUMMYFUNCTION("iferror(iferror(INDEX(IMPORTRANGE(""12vtnxaE_Q1s4tyr10kZQx7ZF_xG0lBFae4jQEUtgsMU"",""All!B2:B""),MATCH($B879,IMPORTRANGE(""12vtnxaE_Q1s4tyr10kZQx7ZF_xG0lBFae4jQEUtgsMU"",""All!A2:A""),0)),INDEX(IMPORTRANGE(""13KC70HngS4DDi8y9E5khtSpQEPG6owaQ9z4E-tR5mnY"","&amp;"""Non-Food!B2:B""),MATCH($B879,IMPORTRANGE(""13KC70HngS4DDi8y9E5khtSpQEPG6owaQ9z4E-tR5mnY"",""Non-Food!A2:A""),0))),"""")"),"")</f>
        <v/>
      </c>
      <c r="D879" s="15"/>
      <c r="E879" s="15"/>
      <c r="F879" s="36"/>
      <c r="G879" s="24" t="str">
        <f>IFERROR(__xludf.DUMMYFUNCTION("iferror(iferror(iferror(index(IMPORTRANGE(""1NK5L1mviMn0j3D3uo53ASkIZOFRlLnqaCTnwzOG2_Wg"",""Direct Link!B2:B""),MATCH($B879,IMPORTRANGE(""1NK5L1mviMn0j3D3uo53ASkIZOFRlLnqaCTnwzOG2_Wg"",""Direct Link!A2:A""),0)),XLOOKUP($B879,IMPORTRANGE(""1NK5L1mviMn0j3D"&amp;"3uo53ASkIZOFRlLnqaCTnwzOG2_Wg"",""Direct links Without Sizes!A2:A""),IMPORTRANGE(""1NK5L1mviMn0j3D3uo53ASkIZOFRlLnqaCTnwzOG2_Wg"",""Direct links Without Sizes!B2:B""))),XLOOKUP($B879,IMPORTRANGE(""1NK5L1mviMn0j3D3uo53ASkIZOFRlLnqaCTnwzOG2_Wg"",""Direct li"&amp;"nks Without Sizes!D2:D""),IMPORTRANGE(""1NK5L1mviMn0j3D3uo53ASkIZOFRlLnqaCTnwzOG2_Wg"",""Direct links Without Sizes!E2:E""))),"""")"),"")</f>
        <v/>
      </c>
      <c r="H879" s="41"/>
      <c r="I879" s="4"/>
      <c r="J879" s="4"/>
      <c r="K879" s="10" t="str">
        <f t="shared" si="1"/>
        <v/>
      </c>
      <c r="L879" s="10"/>
      <c r="M879" s="10" t="str">
        <f t="shared" si="2"/>
        <v/>
      </c>
    </row>
    <row r="880">
      <c r="A880" s="4"/>
      <c r="B880" s="15"/>
      <c r="C880" s="7" t="str">
        <f>IFERROR(__xludf.DUMMYFUNCTION("iferror(iferror(INDEX(IMPORTRANGE(""12vtnxaE_Q1s4tyr10kZQx7ZF_xG0lBFae4jQEUtgsMU"",""All!B2:B""),MATCH($B880,IMPORTRANGE(""12vtnxaE_Q1s4tyr10kZQx7ZF_xG0lBFae4jQEUtgsMU"",""All!A2:A""),0)),INDEX(IMPORTRANGE(""13KC70HngS4DDi8y9E5khtSpQEPG6owaQ9z4E-tR5mnY"","&amp;"""Non-Food!B2:B""),MATCH($B880,IMPORTRANGE(""13KC70HngS4DDi8y9E5khtSpQEPG6owaQ9z4E-tR5mnY"",""Non-Food!A2:A""),0))),"""")"),"")</f>
        <v/>
      </c>
      <c r="D880" s="15"/>
      <c r="E880" s="15"/>
      <c r="F880" s="36"/>
      <c r="G880" s="24" t="str">
        <f>IFERROR(__xludf.DUMMYFUNCTION("iferror(iferror(iferror(index(IMPORTRANGE(""1NK5L1mviMn0j3D3uo53ASkIZOFRlLnqaCTnwzOG2_Wg"",""Direct Link!B2:B""),MATCH($B880,IMPORTRANGE(""1NK5L1mviMn0j3D3uo53ASkIZOFRlLnqaCTnwzOG2_Wg"",""Direct Link!A2:A""),0)),XLOOKUP($B880,IMPORTRANGE(""1NK5L1mviMn0j3D"&amp;"3uo53ASkIZOFRlLnqaCTnwzOG2_Wg"",""Direct links Without Sizes!A2:A""),IMPORTRANGE(""1NK5L1mviMn0j3D3uo53ASkIZOFRlLnqaCTnwzOG2_Wg"",""Direct links Without Sizes!B2:B""))),XLOOKUP($B880,IMPORTRANGE(""1NK5L1mviMn0j3D3uo53ASkIZOFRlLnqaCTnwzOG2_Wg"",""Direct li"&amp;"nks Without Sizes!D2:D""),IMPORTRANGE(""1NK5L1mviMn0j3D3uo53ASkIZOFRlLnqaCTnwzOG2_Wg"",""Direct links Without Sizes!E2:E""))),"""")"),"")</f>
        <v/>
      </c>
      <c r="H880" s="41"/>
      <c r="I880" s="4"/>
      <c r="J880" s="4"/>
      <c r="K880" s="10" t="str">
        <f t="shared" si="1"/>
        <v/>
      </c>
      <c r="L880" s="10"/>
      <c r="M880" s="10" t="str">
        <f t="shared" si="2"/>
        <v/>
      </c>
    </row>
    <row r="881">
      <c r="A881" s="4"/>
      <c r="B881" s="15"/>
      <c r="C881" s="7" t="str">
        <f>IFERROR(__xludf.DUMMYFUNCTION("iferror(iferror(INDEX(IMPORTRANGE(""12vtnxaE_Q1s4tyr10kZQx7ZF_xG0lBFae4jQEUtgsMU"",""All!B2:B""),MATCH($B881,IMPORTRANGE(""12vtnxaE_Q1s4tyr10kZQx7ZF_xG0lBFae4jQEUtgsMU"",""All!A2:A""),0)),INDEX(IMPORTRANGE(""13KC70HngS4DDi8y9E5khtSpQEPG6owaQ9z4E-tR5mnY"","&amp;"""Non-Food!B2:B""),MATCH($B881,IMPORTRANGE(""13KC70HngS4DDi8y9E5khtSpQEPG6owaQ9z4E-tR5mnY"",""Non-Food!A2:A""),0))),"""")"),"")</f>
        <v/>
      </c>
      <c r="D881" s="15"/>
      <c r="E881" s="15"/>
      <c r="F881" s="36"/>
      <c r="G881" s="24" t="str">
        <f>IFERROR(__xludf.DUMMYFUNCTION("iferror(iferror(iferror(index(IMPORTRANGE(""1NK5L1mviMn0j3D3uo53ASkIZOFRlLnqaCTnwzOG2_Wg"",""Direct Link!B2:B""),MATCH($B881,IMPORTRANGE(""1NK5L1mviMn0j3D3uo53ASkIZOFRlLnqaCTnwzOG2_Wg"",""Direct Link!A2:A""),0)),XLOOKUP($B881,IMPORTRANGE(""1NK5L1mviMn0j3D"&amp;"3uo53ASkIZOFRlLnqaCTnwzOG2_Wg"",""Direct links Without Sizes!A2:A""),IMPORTRANGE(""1NK5L1mviMn0j3D3uo53ASkIZOFRlLnqaCTnwzOG2_Wg"",""Direct links Without Sizes!B2:B""))),XLOOKUP($B881,IMPORTRANGE(""1NK5L1mviMn0j3D3uo53ASkIZOFRlLnqaCTnwzOG2_Wg"",""Direct li"&amp;"nks Without Sizes!D2:D""),IMPORTRANGE(""1NK5L1mviMn0j3D3uo53ASkIZOFRlLnqaCTnwzOG2_Wg"",""Direct links Without Sizes!E2:E""))),"""")"),"")</f>
        <v/>
      </c>
      <c r="H881" s="41"/>
      <c r="I881" s="4"/>
      <c r="J881" s="4"/>
      <c r="K881" s="10" t="str">
        <f t="shared" si="1"/>
        <v/>
      </c>
      <c r="L881" s="10"/>
      <c r="M881" s="10" t="str">
        <f t="shared" si="2"/>
        <v/>
      </c>
    </row>
    <row r="882">
      <c r="A882" s="4"/>
      <c r="B882" s="15"/>
      <c r="C882" s="7" t="str">
        <f>IFERROR(__xludf.DUMMYFUNCTION("iferror(iferror(INDEX(IMPORTRANGE(""12vtnxaE_Q1s4tyr10kZQx7ZF_xG0lBFae4jQEUtgsMU"",""All!B2:B""),MATCH($B882,IMPORTRANGE(""12vtnxaE_Q1s4tyr10kZQx7ZF_xG0lBFae4jQEUtgsMU"",""All!A2:A""),0)),INDEX(IMPORTRANGE(""13KC70HngS4DDi8y9E5khtSpQEPG6owaQ9z4E-tR5mnY"","&amp;"""Non-Food!B2:B""),MATCH($B882,IMPORTRANGE(""13KC70HngS4DDi8y9E5khtSpQEPG6owaQ9z4E-tR5mnY"",""Non-Food!A2:A""),0))),"""")"),"")</f>
        <v/>
      </c>
      <c r="D882" s="15"/>
      <c r="E882" s="15"/>
      <c r="F882" s="36"/>
      <c r="G882" s="24" t="str">
        <f>IFERROR(__xludf.DUMMYFUNCTION("iferror(iferror(iferror(index(IMPORTRANGE(""1NK5L1mviMn0j3D3uo53ASkIZOFRlLnqaCTnwzOG2_Wg"",""Direct Link!B2:B""),MATCH($B882,IMPORTRANGE(""1NK5L1mviMn0j3D3uo53ASkIZOFRlLnqaCTnwzOG2_Wg"",""Direct Link!A2:A""),0)),XLOOKUP($B882,IMPORTRANGE(""1NK5L1mviMn0j3D"&amp;"3uo53ASkIZOFRlLnqaCTnwzOG2_Wg"",""Direct links Without Sizes!A2:A""),IMPORTRANGE(""1NK5L1mviMn0j3D3uo53ASkIZOFRlLnqaCTnwzOG2_Wg"",""Direct links Without Sizes!B2:B""))),XLOOKUP($B882,IMPORTRANGE(""1NK5L1mviMn0j3D3uo53ASkIZOFRlLnqaCTnwzOG2_Wg"",""Direct li"&amp;"nks Without Sizes!D2:D""),IMPORTRANGE(""1NK5L1mviMn0j3D3uo53ASkIZOFRlLnqaCTnwzOG2_Wg"",""Direct links Without Sizes!E2:E""))),"""")"),"")</f>
        <v/>
      </c>
      <c r="H882" s="41"/>
      <c r="I882" s="4"/>
      <c r="J882" s="4"/>
      <c r="K882" s="10" t="str">
        <f t="shared" si="1"/>
        <v/>
      </c>
      <c r="L882" s="10"/>
      <c r="M882" s="10" t="str">
        <f t="shared" si="2"/>
        <v/>
      </c>
    </row>
    <row r="883">
      <c r="A883" s="4"/>
      <c r="B883" s="15"/>
      <c r="C883" s="7" t="str">
        <f>IFERROR(__xludf.DUMMYFUNCTION("iferror(iferror(INDEX(IMPORTRANGE(""12vtnxaE_Q1s4tyr10kZQx7ZF_xG0lBFae4jQEUtgsMU"",""All!B2:B""),MATCH($B883,IMPORTRANGE(""12vtnxaE_Q1s4tyr10kZQx7ZF_xG0lBFae4jQEUtgsMU"",""All!A2:A""),0)),INDEX(IMPORTRANGE(""13KC70HngS4DDi8y9E5khtSpQEPG6owaQ9z4E-tR5mnY"","&amp;"""Non-Food!B2:B""),MATCH($B883,IMPORTRANGE(""13KC70HngS4DDi8y9E5khtSpQEPG6owaQ9z4E-tR5mnY"",""Non-Food!A2:A""),0))),"""")"),"")</f>
        <v/>
      </c>
      <c r="D883" s="15"/>
      <c r="E883" s="15"/>
      <c r="F883" s="36"/>
      <c r="G883" s="24" t="str">
        <f>IFERROR(__xludf.DUMMYFUNCTION("iferror(iferror(iferror(index(IMPORTRANGE(""1NK5L1mviMn0j3D3uo53ASkIZOFRlLnqaCTnwzOG2_Wg"",""Direct Link!B2:B""),MATCH($B883,IMPORTRANGE(""1NK5L1mviMn0j3D3uo53ASkIZOFRlLnqaCTnwzOG2_Wg"",""Direct Link!A2:A""),0)),XLOOKUP($B883,IMPORTRANGE(""1NK5L1mviMn0j3D"&amp;"3uo53ASkIZOFRlLnqaCTnwzOG2_Wg"",""Direct links Without Sizes!A2:A""),IMPORTRANGE(""1NK5L1mviMn0j3D3uo53ASkIZOFRlLnqaCTnwzOG2_Wg"",""Direct links Without Sizes!B2:B""))),XLOOKUP($B883,IMPORTRANGE(""1NK5L1mviMn0j3D3uo53ASkIZOFRlLnqaCTnwzOG2_Wg"",""Direct li"&amp;"nks Without Sizes!D2:D""),IMPORTRANGE(""1NK5L1mviMn0j3D3uo53ASkIZOFRlLnqaCTnwzOG2_Wg"",""Direct links Without Sizes!E2:E""))),"""")"),"")</f>
        <v/>
      </c>
      <c r="H883" s="41"/>
      <c r="I883" s="4"/>
      <c r="J883" s="4"/>
      <c r="K883" s="10" t="str">
        <f t="shared" si="1"/>
        <v/>
      </c>
      <c r="L883" s="10"/>
      <c r="M883" s="10" t="str">
        <f t="shared" si="2"/>
        <v/>
      </c>
    </row>
    <row r="884">
      <c r="A884" s="4"/>
      <c r="B884" s="15"/>
      <c r="C884" s="7" t="str">
        <f>IFERROR(__xludf.DUMMYFUNCTION("iferror(iferror(INDEX(IMPORTRANGE(""12vtnxaE_Q1s4tyr10kZQx7ZF_xG0lBFae4jQEUtgsMU"",""All!B2:B""),MATCH($B884,IMPORTRANGE(""12vtnxaE_Q1s4tyr10kZQx7ZF_xG0lBFae4jQEUtgsMU"",""All!A2:A""),0)),INDEX(IMPORTRANGE(""13KC70HngS4DDi8y9E5khtSpQEPG6owaQ9z4E-tR5mnY"","&amp;"""Non-Food!B2:B""),MATCH($B884,IMPORTRANGE(""13KC70HngS4DDi8y9E5khtSpQEPG6owaQ9z4E-tR5mnY"",""Non-Food!A2:A""),0))),"""")"),"")</f>
        <v/>
      </c>
      <c r="D884" s="15"/>
      <c r="E884" s="15"/>
      <c r="F884" s="36"/>
      <c r="G884" s="24" t="str">
        <f>IFERROR(__xludf.DUMMYFUNCTION("iferror(iferror(iferror(index(IMPORTRANGE(""1NK5L1mviMn0j3D3uo53ASkIZOFRlLnqaCTnwzOG2_Wg"",""Direct Link!B2:B""),MATCH($B884,IMPORTRANGE(""1NK5L1mviMn0j3D3uo53ASkIZOFRlLnqaCTnwzOG2_Wg"",""Direct Link!A2:A""),0)),XLOOKUP($B884,IMPORTRANGE(""1NK5L1mviMn0j3D"&amp;"3uo53ASkIZOFRlLnqaCTnwzOG2_Wg"",""Direct links Without Sizes!A2:A""),IMPORTRANGE(""1NK5L1mviMn0j3D3uo53ASkIZOFRlLnqaCTnwzOG2_Wg"",""Direct links Without Sizes!B2:B""))),XLOOKUP($B884,IMPORTRANGE(""1NK5L1mviMn0j3D3uo53ASkIZOFRlLnqaCTnwzOG2_Wg"",""Direct li"&amp;"nks Without Sizes!D2:D""),IMPORTRANGE(""1NK5L1mviMn0j3D3uo53ASkIZOFRlLnqaCTnwzOG2_Wg"",""Direct links Without Sizes!E2:E""))),"""")"),"")</f>
        <v/>
      </c>
      <c r="H884" s="41"/>
      <c r="I884" s="4"/>
      <c r="J884" s="4"/>
      <c r="K884" s="10" t="str">
        <f t="shared" si="1"/>
        <v/>
      </c>
      <c r="L884" s="10"/>
      <c r="M884" s="10" t="str">
        <f t="shared" si="2"/>
        <v/>
      </c>
    </row>
    <row r="885">
      <c r="A885" s="4"/>
      <c r="B885" s="15"/>
      <c r="C885" s="7" t="str">
        <f>IFERROR(__xludf.DUMMYFUNCTION("iferror(iferror(INDEX(IMPORTRANGE(""12vtnxaE_Q1s4tyr10kZQx7ZF_xG0lBFae4jQEUtgsMU"",""All!B2:B""),MATCH($B885,IMPORTRANGE(""12vtnxaE_Q1s4tyr10kZQx7ZF_xG0lBFae4jQEUtgsMU"",""All!A2:A""),0)),INDEX(IMPORTRANGE(""13KC70HngS4DDi8y9E5khtSpQEPG6owaQ9z4E-tR5mnY"","&amp;"""Non-Food!B2:B""),MATCH($B885,IMPORTRANGE(""13KC70HngS4DDi8y9E5khtSpQEPG6owaQ9z4E-tR5mnY"",""Non-Food!A2:A""),0))),"""")"),"")</f>
        <v/>
      </c>
      <c r="D885" s="15"/>
      <c r="E885" s="15"/>
      <c r="F885" s="36"/>
      <c r="G885" s="24" t="str">
        <f>IFERROR(__xludf.DUMMYFUNCTION("iferror(iferror(iferror(index(IMPORTRANGE(""1NK5L1mviMn0j3D3uo53ASkIZOFRlLnqaCTnwzOG2_Wg"",""Direct Link!B2:B""),MATCH($B885,IMPORTRANGE(""1NK5L1mviMn0j3D3uo53ASkIZOFRlLnqaCTnwzOG2_Wg"",""Direct Link!A2:A""),0)),XLOOKUP($B885,IMPORTRANGE(""1NK5L1mviMn0j3D"&amp;"3uo53ASkIZOFRlLnqaCTnwzOG2_Wg"",""Direct links Without Sizes!A2:A""),IMPORTRANGE(""1NK5L1mviMn0j3D3uo53ASkIZOFRlLnqaCTnwzOG2_Wg"",""Direct links Without Sizes!B2:B""))),XLOOKUP($B885,IMPORTRANGE(""1NK5L1mviMn0j3D3uo53ASkIZOFRlLnqaCTnwzOG2_Wg"",""Direct li"&amp;"nks Without Sizes!D2:D""),IMPORTRANGE(""1NK5L1mviMn0j3D3uo53ASkIZOFRlLnqaCTnwzOG2_Wg"",""Direct links Without Sizes!E2:E""))),"""")"),"")</f>
        <v/>
      </c>
      <c r="H885" s="41"/>
      <c r="I885" s="4"/>
      <c r="J885" s="4"/>
      <c r="K885" s="10" t="str">
        <f t="shared" si="1"/>
        <v/>
      </c>
      <c r="L885" s="10"/>
      <c r="M885" s="10" t="str">
        <f t="shared" si="2"/>
        <v/>
      </c>
    </row>
    <row r="886">
      <c r="A886" s="4"/>
      <c r="B886" s="15"/>
      <c r="C886" s="7" t="str">
        <f>IFERROR(__xludf.DUMMYFUNCTION("iferror(iferror(INDEX(IMPORTRANGE(""12vtnxaE_Q1s4tyr10kZQx7ZF_xG0lBFae4jQEUtgsMU"",""All!B2:B""),MATCH($B886,IMPORTRANGE(""12vtnxaE_Q1s4tyr10kZQx7ZF_xG0lBFae4jQEUtgsMU"",""All!A2:A""),0)),INDEX(IMPORTRANGE(""13KC70HngS4DDi8y9E5khtSpQEPG6owaQ9z4E-tR5mnY"","&amp;"""Non-Food!B2:B""),MATCH($B886,IMPORTRANGE(""13KC70HngS4DDi8y9E5khtSpQEPG6owaQ9z4E-tR5mnY"",""Non-Food!A2:A""),0))),"""")"),"")</f>
        <v/>
      </c>
      <c r="D886" s="15"/>
      <c r="E886" s="15"/>
      <c r="F886" s="36"/>
      <c r="G886" s="24" t="str">
        <f>IFERROR(__xludf.DUMMYFUNCTION("iferror(iferror(iferror(index(IMPORTRANGE(""1NK5L1mviMn0j3D3uo53ASkIZOFRlLnqaCTnwzOG2_Wg"",""Direct Link!B2:B""),MATCH($B886,IMPORTRANGE(""1NK5L1mviMn0j3D3uo53ASkIZOFRlLnqaCTnwzOG2_Wg"",""Direct Link!A2:A""),0)),XLOOKUP($B886,IMPORTRANGE(""1NK5L1mviMn0j3D"&amp;"3uo53ASkIZOFRlLnqaCTnwzOG2_Wg"",""Direct links Without Sizes!A2:A""),IMPORTRANGE(""1NK5L1mviMn0j3D3uo53ASkIZOFRlLnqaCTnwzOG2_Wg"",""Direct links Without Sizes!B2:B""))),XLOOKUP($B886,IMPORTRANGE(""1NK5L1mviMn0j3D3uo53ASkIZOFRlLnqaCTnwzOG2_Wg"",""Direct li"&amp;"nks Without Sizes!D2:D""),IMPORTRANGE(""1NK5L1mviMn0j3D3uo53ASkIZOFRlLnqaCTnwzOG2_Wg"",""Direct links Without Sizes!E2:E""))),"""")"),"")</f>
        <v/>
      </c>
      <c r="H886" s="41"/>
      <c r="I886" s="4"/>
      <c r="J886" s="4"/>
      <c r="K886" s="10" t="str">
        <f t="shared" si="1"/>
        <v/>
      </c>
      <c r="L886" s="10"/>
      <c r="M886" s="10" t="str">
        <f t="shared" si="2"/>
        <v/>
      </c>
    </row>
    <row r="887">
      <c r="A887" s="4"/>
      <c r="B887" s="15"/>
      <c r="C887" s="7" t="str">
        <f>IFERROR(__xludf.DUMMYFUNCTION("iferror(iferror(INDEX(IMPORTRANGE(""12vtnxaE_Q1s4tyr10kZQx7ZF_xG0lBFae4jQEUtgsMU"",""All!B2:B""),MATCH($B887,IMPORTRANGE(""12vtnxaE_Q1s4tyr10kZQx7ZF_xG0lBFae4jQEUtgsMU"",""All!A2:A""),0)),INDEX(IMPORTRANGE(""13KC70HngS4DDi8y9E5khtSpQEPG6owaQ9z4E-tR5mnY"","&amp;"""Non-Food!B2:B""),MATCH($B887,IMPORTRANGE(""13KC70HngS4DDi8y9E5khtSpQEPG6owaQ9z4E-tR5mnY"",""Non-Food!A2:A""),0))),"""")"),"")</f>
        <v/>
      </c>
      <c r="D887" s="15"/>
      <c r="E887" s="15"/>
      <c r="F887" s="36"/>
      <c r="G887" s="24" t="str">
        <f>IFERROR(__xludf.DUMMYFUNCTION("iferror(iferror(iferror(index(IMPORTRANGE(""1NK5L1mviMn0j3D3uo53ASkIZOFRlLnqaCTnwzOG2_Wg"",""Direct Link!B2:B""),MATCH($B887,IMPORTRANGE(""1NK5L1mviMn0j3D3uo53ASkIZOFRlLnqaCTnwzOG2_Wg"",""Direct Link!A2:A""),0)),XLOOKUP($B887,IMPORTRANGE(""1NK5L1mviMn0j3D"&amp;"3uo53ASkIZOFRlLnqaCTnwzOG2_Wg"",""Direct links Without Sizes!A2:A""),IMPORTRANGE(""1NK5L1mviMn0j3D3uo53ASkIZOFRlLnqaCTnwzOG2_Wg"",""Direct links Without Sizes!B2:B""))),XLOOKUP($B887,IMPORTRANGE(""1NK5L1mviMn0j3D3uo53ASkIZOFRlLnqaCTnwzOG2_Wg"",""Direct li"&amp;"nks Without Sizes!D2:D""),IMPORTRANGE(""1NK5L1mviMn0j3D3uo53ASkIZOFRlLnqaCTnwzOG2_Wg"",""Direct links Without Sizes!E2:E""))),"""")"),"")</f>
        <v/>
      </c>
      <c r="H887" s="41"/>
      <c r="I887" s="4"/>
      <c r="J887" s="4"/>
      <c r="K887" s="10" t="str">
        <f t="shared" si="1"/>
        <v/>
      </c>
      <c r="L887" s="10"/>
      <c r="M887" s="10" t="str">
        <f t="shared" si="2"/>
        <v/>
      </c>
    </row>
    <row r="888">
      <c r="A888" s="4"/>
      <c r="B888" s="15"/>
      <c r="C888" s="7" t="str">
        <f>IFERROR(__xludf.DUMMYFUNCTION("iferror(iferror(INDEX(IMPORTRANGE(""12vtnxaE_Q1s4tyr10kZQx7ZF_xG0lBFae4jQEUtgsMU"",""All!B2:B""),MATCH($B888,IMPORTRANGE(""12vtnxaE_Q1s4tyr10kZQx7ZF_xG0lBFae4jQEUtgsMU"",""All!A2:A""),0)),INDEX(IMPORTRANGE(""13KC70HngS4DDi8y9E5khtSpQEPG6owaQ9z4E-tR5mnY"","&amp;"""Non-Food!B2:B""),MATCH($B888,IMPORTRANGE(""13KC70HngS4DDi8y9E5khtSpQEPG6owaQ9z4E-tR5mnY"",""Non-Food!A2:A""),0))),"""")"),"")</f>
        <v/>
      </c>
      <c r="D888" s="15"/>
      <c r="E888" s="15"/>
      <c r="F888" s="36"/>
      <c r="G888" s="24" t="str">
        <f>IFERROR(__xludf.DUMMYFUNCTION("iferror(iferror(iferror(index(IMPORTRANGE(""1NK5L1mviMn0j3D3uo53ASkIZOFRlLnqaCTnwzOG2_Wg"",""Direct Link!B2:B""),MATCH($B888,IMPORTRANGE(""1NK5L1mviMn0j3D3uo53ASkIZOFRlLnqaCTnwzOG2_Wg"",""Direct Link!A2:A""),0)),XLOOKUP($B888,IMPORTRANGE(""1NK5L1mviMn0j3D"&amp;"3uo53ASkIZOFRlLnqaCTnwzOG2_Wg"",""Direct links Without Sizes!A2:A""),IMPORTRANGE(""1NK5L1mviMn0j3D3uo53ASkIZOFRlLnqaCTnwzOG2_Wg"",""Direct links Without Sizes!B2:B""))),XLOOKUP($B888,IMPORTRANGE(""1NK5L1mviMn0j3D3uo53ASkIZOFRlLnqaCTnwzOG2_Wg"",""Direct li"&amp;"nks Without Sizes!D2:D""),IMPORTRANGE(""1NK5L1mviMn0j3D3uo53ASkIZOFRlLnqaCTnwzOG2_Wg"",""Direct links Without Sizes!E2:E""))),"""")"),"")</f>
        <v/>
      </c>
      <c r="H888" s="41"/>
      <c r="I888" s="4"/>
      <c r="J888" s="4"/>
      <c r="K888" s="10" t="str">
        <f t="shared" si="1"/>
        <v/>
      </c>
      <c r="L888" s="10"/>
      <c r="M888" s="10" t="str">
        <f t="shared" si="2"/>
        <v/>
      </c>
    </row>
    <row r="889">
      <c r="A889" s="4"/>
      <c r="B889" s="15"/>
      <c r="C889" s="7" t="str">
        <f>IFERROR(__xludf.DUMMYFUNCTION("iferror(iferror(INDEX(IMPORTRANGE(""12vtnxaE_Q1s4tyr10kZQx7ZF_xG0lBFae4jQEUtgsMU"",""All!B2:B""),MATCH($B889,IMPORTRANGE(""12vtnxaE_Q1s4tyr10kZQx7ZF_xG0lBFae4jQEUtgsMU"",""All!A2:A""),0)),INDEX(IMPORTRANGE(""13KC70HngS4DDi8y9E5khtSpQEPG6owaQ9z4E-tR5mnY"","&amp;"""Non-Food!B2:B""),MATCH($B889,IMPORTRANGE(""13KC70HngS4DDi8y9E5khtSpQEPG6owaQ9z4E-tR5mnY"",""Non-Food!A2:A""),0))),"""")"),"")</f>
        <v/>
      </c>
      <c r="D889" s="15"/>
      <c r="E889" s="15"/>
      <c r="F889" s="36"/>
      <c r="G889" s="24" t="str">
        <f>IFERROR(__xludf.DUMMYFUNCTION("iferror(iferror(iferror(index(IMPORTRANGE(""1NK5L1mviMn0j3D3uo53ASkIZOFRlLnqaCTnwzOG2_Wg"",""Direct Link!B2:B""),MATCH($B889,IMPORTRANGE(""1NK5L1mviMn0j3D3uo53ASkIZOFRlLnqaCTnwzOG2_Wg"",""Direct Link!A2:A""),0)),XLOOKUP($B889,IMPORTRANGE(""1NK5L1mviMn0j3D"&amp;"3uo53ASkIZOFRlLnqaCTnwzOG2_Wg"",""Direct links Without Sizes!A2:A""),IMPORTRANGE(""1NK5L1mviMn0j3D3uo53ASkIZOFRlLnqaCTnwzOG2_Wg"",""Direct links Without Sizes!B2:B""))),XLOOKUP($B889,IMPORTRANGE(""1NK5L1mviMn0j3D3uo53ASkIZOFRlLnqaCTnwzOG2_Wg"",""Direct li"&amp;"nks Without Sizes!D2:D""),IMPORTRANGE(""1NK5L1mviMn0j3D3uo53ASkIZOFRlLnqaCTnwzOG2_Wg"",""Direct links Without Sizes!E2:E""))),"""")"),"")</f>
        <v/>
      </c>
      <c r="H889" s="41"/>
      <c r="I889" s="4"/>
      <c r="J889" s="4"/>
      <c r="K889" s="10" t="str">
        <f t="shared" si="1"/>
        <v/>
      </c>
      <c r="L889" s="10"/>
      <c r="M889" s="10" t="str">
        <f t="shared" si="2"/>
        <v/>
      </c>
    </row>
    <row r="890">
      <c r="A890" s="4"/>
      <c r="B890" s="14"/>
      <c r="C890" s="7" t="str">
        <f>IFERROR(__xludf.DUMMYFUNCTION("iferror(iferror(INDEX(IMPORTRANGE(""12vtnxaE_Q1s4tyr10kZQx7ZF_xG0lBFae4jQEUtgsMU"",""All!B2:B""),MATCH($B890,IMPORTRANGE(""12vtnxaE_Q1s4tyr10kZQx7ZF_xG0lBFae4jQEUtgsMU"",""All!A2:A""),0)),INDEX(IMPORTRANGE(""13KC70HngS4DDi8y9E5khtSpQEPG6owaQ9z4E-tR5mnY"","&amp;"""Non-Food!B2:B""),MATCH($B890,IMPORTRANGE(""13KC70HngS4DDi8y9E5khtSpQEPG6owaQ9z4E-tR5mnY"",""Non-Food!A2:A""),0))),"""")"),"")</f>
        <v/>
      </c>
      <c r="D890" s="15"/>
      <c r="E890" s="15"/>
      <c r="F890" s="36"/>
      <c r="G890" s="24" t="str">
        <f>IFERROR(__xludf.DUMMYFUNCTION("iferror(iferror(iferror(index(IMPORTRANGE(""1NK5L1mviMn0j3D3uo53ASkIZOFRlLnqaCTnwzOG2_Wg"",""Direct Link!B2:B""),MATCH($B890,IMPORTRANGE(""1NK5L1mviMn0j3D3uo53ASkIZOFRlLnqaCTnwzOG2_Wg"",""Direct Link!A2:A""),0)),XLOOKUP($B890,IMPORTRANGE(""1NK5L1mviMn0j3D"&amp;"3uo53ASkIZOFRlLnqaCTnwzOG2_Wg"",""Direct links Without Sizes!A2:A""),IMPORTRANGE(""1NK5L1mviMn0j3D3uo53ASkIZOFRlLnqaCTnwzOG2_Wg"",""Direct links Without Sizes!B2:B""))),XLOOKUP($B890,IMPORTRANGE(""1NK5L1mviMn0j3D3uo53ASkIZOFRlLnqaCTnwzOG2_Wg"",""Direct li"&amp;"nks Without Sizes!D2:D""),IMPORTRANGE(""1NK5L1mviMn0j3D3uo53ASkIZOFRlLnqaCTnwzOG2_Wg"",""Direct links Without Sizes!E2:E""))),"""")"),"")</f>
        <v/>
      </c>
      <c r="H890" s="41"/>
      <c r="I890" s="4"/>
      <c r="J890" s="4"/>
      <c r="K890" s="10" t="str">
        <f t="shared" si="1"/>
        <v/>
      </c>
      <c r="L890" s="10"/>
      <c r="M890" s="10" t="str">
        <f t="shared" si="2"/>
        <v/>
      </c>
    </row>
    <row r="891">
      <c r="A891" s="4"/>
      <c r="B891" s="15"/>
      <c r="C891" s="7" t="str">
        <f>IFERROR(__xludf.DUMMYFUNCTION("iferror(iferror(INDEX(IMPORTRANGE(""12vtnxaE_Q1s4tyr10kZQx7ZF_xG0lBFae4jQEUtgsMU"",""All!B2:B""),MATCH($B891,IMPORTRANGE(""12vtnxaE_Q1s4tyr10kZQx7ZF_xG0lBFae4jQEUtgsMU"",""All!A2:A""),0)),INDEX(IMPORTRANGE(""13KC70HngS4DDi8y9E5khtSpQEPG6owaQ9z4E-tR5mnY"","&amp;"""Non-Food!B2:B""),MATCH($B891,IMPORTRANGE(""13KC70HngS4DDi8y9E5khtSpQEPG6owaQ9z4E-tR5mnY"",""Non-Food!A2:A""),0))),"""")"),"")</f>
        <v/>
      </c>
      <c r="D891" s="15"/>
      <c r="E891" s="15"/>
      <c r="F891" s="36"/>
      <c r="G891" s="24" t="str">
        <f>IFERROR(__xludf.DUMMYFUNCTION("iferror(iferror(iferror(index(IMPORTRANGE(""1NK5L1mviMn0j3D3uo53ASkIZOFRlLnqaCTnwzOG2_Wg"",""Direct Link!B2:B""),MATCH($B891,IMPORTRANGE(""1NK5L1mviMn0j3D3uo53ASkIZOFRlLnqaCTnwzOG2_Wg"",""Direct Link!A2:A""),0)),XLOOKUP($B891,IMPORTRANGE(""1NK5L1mviMn0j3D"&amp;"3uo53ASkIZOFRlLnqaCTnwzOG2_Wg"",""Direct links Without Sizes!A2:A""),IMPORTRANGE(""1NK5L1mviMn0j3D3uo53ASkIZOFRlLnqaCTnwzOG2_Wg"",""Direct links Without Sizes!B2:B""))),XLOOKUP($B891,IMPORTRANGE(""1NK5L1mviMn0j3D3uo53ASkIZOFRlLnqaCTnwzOG2_Wg"",""Direct li"&amp;"nks Without Sizes!D2:D""),IMPORTRANGE(""1NK5L1mviMn0j3D3uo53ASkIZOFRlLnqaCTnwzOG2_Wg"",""Direct links Without Sizes!E2:E""))),"""")"),"")</f>
        <v/>
      </c>
      <c r="H891" s="41"/>
      <c r="I891" s="4"/>
      <c r="J891" s="4"/>
      <c r="K891" s="10" t="str">
        <f t="shared" si="1"/>
        <v/>
      </c>
      <c r="L891" s="10"/>
      <c r="M891" s="10" t="str">
        <f t="shared" si="2"/>
        <v/>
      </c>
    </row>
    <row r="892">
      <c r="A892" s="4"/>
      <c r="B892" s="15"/>
      <c r="C892" s="7" t="str">
        <f>IFERROR(__xludf.DUMMYFUNCTION("iferror(iferror(INDEX(IMPORTRANGE(""12vtnxaE_Q1s4tyr10kZQx7ZF_xG0lBFae4jQEUtgsMU"",""All!B2:B""),MATCH($B892,IMPORTRANGE(""12vtnxaE_Q1s4tyr10kZQx7ZF_xG0lBFae4jQEUtgsMU"",""All!A2:A""),0)),INDEX(IMPORTRANGE(""13KC70HngS4DDi8y9E5khtSpQEPG6owaQ9z4E-tR5mnY"","&amp;"""Non-Food!B2:B""),MATCH($B892,IMPORTRANGE(""13KC70HngS4DDi8y9E5khtSpQEPG6owaQ9z4E-tR5mnY"",""Non-Food!A2:A""),0))),"""")"),"")</f>
        <v/>
      </c>
      <c r="D892" s="15"/>
      <c r="E892" s="15"/>
      <c r="F892" s="36"/>
      <c r="G892" s="24" t="str">
        <f>IFERROR(__xludf.DUMMYFUNCTION("iferror(iferror(iferror(index(IMPORTRANGE(""1NK5L1mviMn0j3D3uo53ASkIZOFRlLnqaCTnwzOG2_Wg"",""Direct Link!B2:B""),MATCH($B892,IMPORTRANGE(""1NK5L1mviMn0j3D3uo53ASkIZOFRlLnqaCTnwzOG2_Wg"",""Direct Link!A2:A""),0)),XLOOKUP($B892,IMPORTRANGE(""1NK5L1mviMn0j3D"&amp;"3uo53ASkIZOFRlLnqaCTnwzOG2_Wg"",""Direct links Without Sizes!A2:A""),IMPORTRANGE(""1NK5L1mviMn0j3D3uo53ASkIZOFRlLnqaCTnwzOG2_Wg"",""Direct links Without Sizes!B2:B""))),XLOOKUP($B892,IMPORTRANGE(""1NK5L1mviMn0j3D3uo53ASkIZOFRlLnqaCTnwzOG2_Wg"",""Direct li"&amp;"nks Without Sizes!D2:D""),IMPORTRANGE(""1NK5L1mviMn0j3D3uo53ASkIZOFRlLnqaCTnwzOG2_Wg"",""Direct links Without Sizes!E2:E""))),"""")"),"")</f>
        <v/>
      </c>
      <c r="H892" s="41"/>
      <c r="I892" s="4"/>
      <c r="J892" s="4"/>
      <c r="K892" s="10" t="str">
        <f t="shared" si="1"/>
        <v/>
      </c>
      <c r="L892" s="10"/>
      <c r="M892" s="10" t="str">
        <f t="shared" si="2"/>
        <v/>
      </c>
    </row>
    <row r="893">
      <c r="A893" s="4"/>
      <c r="B893" s="15"/>
      <c r="C893" s="7" t="str">
        <f>IFERROR(__xludf.DUMMYFUNCTION("iferror(iferror(INDEX(IMPORTRANGE(""12vtnxaE_Q1s4tyr10kZQx7ZF_xG0lBFae4jQEUtgsMU"",""All!B2:B""),MATCH($B893,IMPORTRANGE(""12vtnxaE_Q1s4tyr10kZQx7ZF_xG0lBFae4jQEUtgsMU"",""All!A2:A""),0)),INDEX(IMPORTRANGE(""13KC70HngS4DDi8y9E5khtSpQEPG6owaQ9z4E-tR5mnY"","&amp;"""Non-Food!B2:B""),MATCH($B893,IMPORTRANGE(""13KC70HngS4DDi8y9E5khtSpQEPG6owaQ9z4E-tR5mnY"",""Non-Food!A2:A""),0))),"""")"),"")</f>
        <v/>
      </c>
      <c r="D893" s="15"/>
      <c r="E893" s="15"/>
      <c r="F893" s="36"/>
      <c r="G893" s="24" t="str">
        <f>IFERROR(__xludf.DUMMYFUNCTION("iferror(iferror(iferror(index(IMPORTRANGE(""1NK5L1mviMn0j3D3uo53ASkIZOFRlLnqaCTnwzOG2_Wg"",""Direct Link!B2:B""),MATCH($B893,IMPORTRANGE(""1NK5L1mviMn0j3D3uo53ASkIZOFRlLnqaCTnwzOG2_Wg"",""Direct Link!A2:A""),0)),XLOOKUP($B893,IMPORTRANGE(""1NK5L1mviMn0j3D"&amp;"3uo53ASkIZOFRlLnqaCTnwzOG2_Wg"",""Direct links Without Sizes!A2:A""),IMPORTRANGE(""1NK5L1mviMn0j3D3uo53ASkIZOFRlLnqaCTnwzOG2_Wg"",""Direct links Without Sizes!B2:B""))),XLOOKUP($B893,IMPORTRANGE(""1NK5L1mviMn0j3D3uo53ASkIZOFRlLnqaCTnwzOG2_Wg"",""Direct li"&amp;"nks Without Sizes!D2:D""),IMPORTRANGE(""1NK5L1mviMn0j3D3uo53ASkIZOFRlLnqaCTnwzOG2_Wg"",""Direct links Without Sizes!E2:E""))),"""")"),"")</f>
        <v/>
      </c>
      <c r="H893" s="41"/>
      <c r="I893" s="4"/>
      <c r="J893" s="4"/>
      <c r="K893" s="10" t="str">
        <f t="shared" si="1"/>
        <v/>
      </c>
      <c r="L893" s="10"/>
      <c r="M893" s="10" t="str">
        <f t="shared" si="2"/>
        <v/>
      </c>
    </row>
    <row r="894">
      <c r="A894" s="4"/>
      <c r="B894" s="15"/>
      <c r="C894" s="7" t="str">
        <f>IFERROR(__xludf.DUMMYFUNCTION("iferror(iferror(INDEX(IMPORTRANGE(""12vtnxaE_Q1s4tyr10kZQx7ZF_xG0lBFae4jQEUtgsMU"",""All!B2:B""),MATCH($B894,IMPORTRANGE(""12vtnxaE_Q1s4tyr10kZQx7ZF_xG0lBFae4jQEUtgsMU"",""All!A2:A""),0)),INDEX(IMPORTRANGE(""13KC70HngS4DDi8y9E5khtSpQEPG6owaQ9z4E-tR5mnY"","&amp;"""Non-Food!B2:B""),MATCH($B894,IMPORTRANGE(""13KC70HngS4DDi8y9E5khtSpQEPG6owaQ9z4E-tR5mnY"",""Non-Food!A2:A""),0))),"""")"),"")</f>
        <v/>
      </c>
      <c r="D894" s="15"/>
      <c r="E894" s="15"/>
      <c r="F894" s="36"/>
      <c r="G894" s="24" t="str">
        <f>IFERROR(__xludf.DUMMYFUNCTION("iferror(iferror(iferror(index(IMPORTRANGE(""1NK5L1mviMn0j3D3uo53ASkIZOFRlLnqaCTnwzOG2_Wg"",""Direct Link!B2:B""),MATCH($B894,IMPORTRANGE(""1NK5L1mviMn0j3D3uo53ASkIZOFRlLnqaCTnwzOG2_Wg"",""Direct Link!A2:A""),0)),XLOOKUP($B894,IMPORTRANGE(""1NK5L1mviMn0j3D"&amp;"3uo53ASkIZOFRlLnqaCTnwzOG2_Wg"",""Direct links Without Sizes!A2:A""),IMPORTRANGE(""1NK5L1mviMn0j3D3uo53ASkIZOFRlLnqaCTnwzOG2_Wg"",""Direct links Without Sizes!B2:B""))),XLOOKUP($B894,IMPORTRANGE(""1NK5L1mviMn0j3D3uo53ASkIZOFRlLnqaCTnwzOG2_Wg"",""Direct li"&amp;"nks Without Sizes!D2:D""),IMPORTRANGE(""1NK5L1mviMn0j3D3uo53ASkIZOFRlLnqaCTnwzOG2_Wg"",""Direct links Without Sizes!E2:E""))),"""")"),"")</f>
        <v/>
      </c>
      <c r="H894" s="41"/>
      <c r="I894" s="4"/>
      <c r="J894" s="4"/>
      <c r="K894" s="10" t="str">
        <f t="shared" si="1"/>
        <v/>
      </c>
      <c r="L894" s="10"/>
      <c r="M894" s="10" t="str">
        <f t="shared" si="2"/>
        <v/>
      </c>
    </row>
    <row r="895">
      <c r="A895" s="4"/>
      <c r="B895" s="15"/>
      <c r="C895" s="7" t="str">
        <f>IFERROR(__xludf.DUMMYFUNCTION("iferror(iferror(INDEX(IMPORTRANGE(""12vtnxaE_Q1s4tyr10kZQx7ZF_xG0lBFae4jQEUtgsMU"",""All!B2:B""),MATCH($B895,IMPORTRANGE(""12vtnxaE_Q1s4tyr10kZQx7ZF_xG0lBFae4jQEUtgsMU"",""All!A2:A""),0)),INDEX(IMPORTRANGE(""13KC70HngS4DDi8y9E5khtSpQEPG6owaQ9z4E-tR5mnY"","&amp;"""Non-Food!B2:B""),MATCH($B895,IMPORTRANGE(""13KC70HngS4DDi8y9E5khtSpQEPG6owaQ9z4E-tR5mnY"",""Non-Food!A2:A""),0))),"""")"),"")</f>
        <v/>
      </c>
      <c r="D895" s="15"/>
      <c r="E895" s="15"/>
      <c r="F895" s="36"/>
      <c r="G895" s="24" t="str">
        <f>IFERROR(__xludf.DUMMYFUNCTION("iferror(iferror(iferror(index(IMPORTRANGE(""1NK5L1mviMn0j3D3uo53ASkIZOFRlLnqaCTnwzOG2_Wg"",""Direct Link!B2:B""),MATCH($B895,IMPORTRANGE(""1NK5L1mviMn0j3D3uo53ASkIZOFRlLnqaCTnwzOG2_Wg"",""Direct Link!A2:A""),0)),XLOOKUP($B895,IMPORTRANGE(""1NK5L1mviMn0j3D"&amp;"3uo53ASkIZOFRlLnqaCTnwzOG2_Wg"",""Direct links Without Sizes!A2:A""),IMPORTRANGE(""1NK5L1mviMn0j3D3uo53ASkIZOFRlLnqaCTnwzOG2_Wg"",""Direct links Without Sizes!B2:B""))),XLOOKUP($B895,IMPORTRANGE(""1NK5L1mviMn0j3D3uo53ASkIZOFRlLnqaCTnwzOG2_Wg"",""Direct li"&amp;"nks Without Sizes!D2:D""),IMPORTRANGE(""1NK5L1mviMn0j3D3uo53ASkIZOFRlLnqaCTnwzOG2_Wg"",""Direct links Without Sizes!E2:E""))),"""")"),"")</f>
        <v/>
      </c>
      <c r="H895" s="41"/>
      <c r="I895" s="4"/>
      <c r="J895" s="4"/>
      <c r="K895" s="10" t="str">
        <f t="shared" si="1"/>
        <v/>
      </c>
      <c r="L895" s="10"/>
      <c r="M895" s="10" t="str">
        <f t="shared" si="2"/>
        <v/>
      </c>
    </row>
    <row r="896">
      <c r="A896" s="4"/>
      <c r="B896" s="15"/>
      <c r="C896" s="7" t="str">
        <f>IFERROR(__xludf.DUMMYFUNCTION("iferror(iferror(INDEX(IMPORTRANGE(""12vtnxaE_Q1s4tyr10kZQx7ZF_xG0lBFae4jQEUtgsMU"",""All!B2:B""),MATCH($B896,IMPORTRANGE(""12vtnxaE_Q1s4tyr10kZQx7ZF_xG0lBFae4jQEUtgsMU"",""All!A2:A""),0)),INDEX(IMPORTRANGE(""13KC70HngS4DDi8y9E5khtSpQEPG6owaQ9z4E-tR5mnY"","&amp;"""Non-Food!B2:B""),MATCH($B896,IMPORTRANGE(""13KC70HngS4DDi8y9E5khtSpQEPG6owaQ9z4E-tR5mnY"",""Non-Food!A2:A""),0))),"""")"),"")</f>
        <v/>
      </c>
      <c r="D896" s="15"/>
      <c r="E896" s="15"/>
      <c r="F896" s="36"/>
      <c r="G896" s="24" t="str">
        <f>IFERROR(__xludf.DUMMYFUNCTION("iferror(iferror(iferror(index(IMPORTRANGE(""1NK5L1mviMn0j3D3uo53ASkIZOFRlLnqaCTnwzOG2_Wg"",""Direct Link!B2:B""),MATCH($B896,IMPORTRANGE(""1NK5L1mviMn0j3D3uo53ASkIZOFRlLnqaCTnwzOG2_Wg"",""Direct Link!A2:A""),0)),XLOOKUP($B896,IMPORTRANGE(""1NK5L1mviMn0j3D"&amp;"3uo53ASkIZOFRlLnqaCTnwzOG2_Wg"",""Direct links Without Sizes!A2:A""),IMPORTRANGE(""1NK5L1mviMn0j3D3uo53ASkIZOFRlLnqaCTnwzOG2_Wg"",""Direct links Without Sizes!B2:B""))),XLOOKUP($B896,IMPORTRANGE(""1NK5L1mviMn0j3D3uo53ASkIZOFRlLnqaCTnwzOG2_Wg"",""Direct li"&amp;"nks Without Sizes!D2:D""),IMPORTRANGE(""1NK5L1mviMn0j3D3uo53ASkIZOFRlLnqaCTnwzOG2_Wg"",""Direct links Without Sizes!E2:E""))),"""")"),"")</f>
        <v/>
      </c>
      <c r="H896" s="41"/>
      <c r="I896" s="4"/>
      <c r="J896" s="4"/>
      <c r="K896" s="10" t="str">
        <f t="shared" si="1"/>
        <v/>
      </c>
      <c r="L896" s="10"/>
      <c r="M896" s="10" t="str">
        <f t="shared" si="2"/>
        <v/>
      </c>
    </row>
    <row r="897">
      <c r="A897" s="4"/>
      <c r="B897" s="15"/>
      <c r="C897" s="7" t="str">
        <f>IFERROR(__xludf.DUMMYFUNCTION("iferror(iferror(INDEX(IMPORTRANGE(""12vtnxaE_Q1s4tyr10kZQx7ZF_xG0lBFae4jQEUtgsMU"",""All!B2:B""),MATCH($B897,IMPORTRANGE(""12vtnxaE_Q1s4tyr10kZQx7ZF_xG0lBFae4jQEUtgsMU"",""All!A2:A""),0)),INDEX(IMPORTRANGE(""13KC70HngS4DDi8y9E5khtSpQEPG6owaQ9z4E-tR5mnY"","&amp;"""Non-Food!B2:B""),MATCH($B897,IMPORTRANGE(""13KC70HngS4DDi8y9E5khtSpQEPG6owaQ9z4E-tR5mnY"",""Non-Food!A2:A""),0))),"""")"),"")</f>
        <v/>
      </c>
      <c r="D897" s="15"/>
      <c r="E897" s="15"/>
      <c r="F897" s="36"/>
      <c r="G897" s="24" t="str">
        <f>IFERROR(__xludf.DUMMYFUNCTION("iferror(iferror(iferror(index(IMPORTRANGE(""1NK5L1mviMn0j3D3uo53ASkIZOFRlLnqaCTnwzOG2_Wg"",""Direct Link!B2:B""),MATCH($B897,IMPORTRANGE(""1NK5L1mviMn0j3D3uo53ASkIZOFRlLnqaCTnwzOG2_Wg"",""Direct Link!A2:A""),0)),XLOOKUP($B897,IMPORTRANGE(""1NK5L1mviMn0j3D"&amp;"3uo53ASkIZOFRlLnqaCTnwzOG2_Wg"",""Direct links Without Sizes!A2:A""),IMPORTRANGE(""1NK5L1mviMn0j3D3uo53ASkIZOFRlLnqaCTnwzOG2_Wg"",""Direct links Without Sizes!B2:B""))),XLOOKUP($B897,IMPORTRANGE(""1NK5L1mviMn0j3D3uo53ASkIZOFRlLnqaCTnwzOG2_Wg"",""Direct li"&amp;"nks Without Sizes!D2:D""),IMPORTRANGE(""1NK5L1mviMn0j3D3uo53ASkIZOFRlLnqaCTnwzOG2_Wg"",""Direct links Without Sizes!E2:E""))),"""")"),"")</f>
        <v/>
      </c>
      <c r="H897" s="41"/>
      <c r="I897" s="4"/>
      <c r="J897" s="4"/>
      <c r="K897" s="10" t="str">
        <f t="shared" si="1"/>
        <v/>
      </c>
      <c r="L897" s="10"/>
      <c r="M897" s="10" t="str">
        <f t="shared" si="2"/>
        <v/>
      </c>
    </row>
    <row r="898">
      <c r="A898" s="4"/>
      <c r="B898" s="15"/>
      <c r="C898" s="7" t="str">
        <f>IFERROR(__xludf.DUMMYFUNCTION("iferror(iferror(INDEX(IMPORTRANGE(""12vtnxaE_Q1s4tyr10kZQx7ZF_xG0lBFae4jQEUtgsMU"",""All!B2:B""),MATCH($B898,IMPORTRANGE(""12vtnxaE_Q1s4tyr10kZQx7ZF_xG0lBFae4jQEUtgsMU"",""All!A2:A""),0)),INDEX(IMPORTRANGE(""13KC70HngS4DDi8y9E5khtSpQEPG6owaQ9z4E-tR5mnY"","&amp;"""Non-Food!B2:B""),MATCH($B898,IMPORTRANGE(""13KC70HngS4DDi8y9E5khtSpQEPG6owaQ9z4E-tR5mnY"",""Non-Food!A2:A""),0))),"""")"),"")</f>
        <v/>
      </c>
      <c r="D898" s="15"/>
      <c r="E898" s="15"/>
      <c r="F898" s="36"/>
      <c r="G898" s="24" t="str">
        <f>IFERROR(__xludf.DUMMYFUNCTION("iferror(iferror(iferror(index(IMPORTRANGE(""1NK5L1mviMn0j3D3uo53ASkIZOFRlLnqaCTnwzOG2_Wg"",""Direct Link!B2:B""),MATCH($B898,IMPORTRANGE(""1NK5L1mviMn0j3D3uo53ASkIZOFRlLnqaCTnwzOG2_Wg"",""Direct Link!A2:A""),0)),XLOOKUP($B898,IMPORTRANGE(""1NK5L1mviMn0j3D"&amp;"3uo53ASkIZOFRlLnqaCTnwzOG2_Wg"",""Direct links Without Sizes!A2:A""),IMPORTRANGE(""1NK5L1mviMn0j3D3uo53ASkIZOFRlLnqaCTnwzOG2_Wg"",""Direct links Without Sizes!B2:B""))),XLOOKUP($B898,IMPORTRANGE(""1NK5L1mviMn0j3D3uo53ASkIZOFRlLnqaCTnwzOG2_Wg"",""Direct li"&amp;"nks Without Sizes!D2:D""),IMPORTRANGE(""1NK5L1mviMn0j3D3uo53ASkIZOFRlLnqaCTnwzOG2_Wg"",""Direct links Without Sizes!E2:E""))),"""")"),"")</f>
        <v/>
      </c>
      <c r="H898" s="41"/>
      <c r="I898" s="4"/>
      <c r="J898" s="4"/>
      <c r="K898" s="10" t="str">
        <f t="shared" si="1"/>
        <v/>
      </c>
      <c r="L898" s="10"/>
      <c r="M898" s="10" t="str">
        <f t="shared" si="2"/>
        <v/>
      </c>
    </row>
    <row r="899">
      <c r="A899" s="4"/>
      <c r="B899" s="15"/>
      <c r="C899" s="7" t="str">
        <f>IFERROR(__xludf.DUMMYFUNCTION("iferror(iferror(INDEX(IMPORTRANGE(""12vtnxaE_Q1s4tyr10kZQx7ZF_xG0lBFae4jQEUtgsMU"",""All!B2:B""),MATCH($B899,IMPORTRANGE(""12vtnxaE_Q1s4tyr10kZQx7ZF_xG0lBFae4jQEUtgsMU"",""All!A2:A""),0)),INDEX(IMPORTRANGE(""13KC70HngS4DDi8y9E5khtSpQEPG6owaQ9z4E-tR5mnY"","&amp;"""Non-Food!B2:B""),MATCH($B899,IMPORTRANGE(""13KC70HngS4DDi8y9E5khtSpQEPG6owaQ9z4E-tR5mnY"",""Non-Food!A2:A""),0))),"""")"),"")</f>
        <v/>
      </c>
      <c r="D899" s="15"/>
      <c r="E899" s="15"/>
      <c r="F899" s="36"/>
      <c r="G899" s="24" t="str">
        <f>IFERROR(__xludf.DUMMYFUNCTION("iferror(iferror(iferror(index(IMPORTRANGE(""1NK5L1mviMn0j3D3uo53ASkIZOFRlLnqaCTnwzOG2_Wg"",""Direct Link!B2:B""),MATCH($B899,IMPORTRANGE(""1NK5L1mviMn0j3D3uo53ASkIZOFRlLnqaCTnwzOG2_Wg"",""Direct Link!A2:A""),0)),XLOOKUP($B899,IMPORTRANGE(""1NK5L1mviMn0j3D"&amp;"3uo53ASkIZOFRlLnqaCTnwzOG2_Wg"",""Direct links Without Sizes!A2:A""),IMPORTRANGE(""1NK5L1mviMn0j3D3uo53ASkIZOFRlLnqaCTnwzOG2_Wg"",""Direct links Without Sizes!B2:B""))),XLOOKUP($B899,IMPORTRANGE(""1NK5L1mviMn0j3D3uo53ASkIZOFRlLnqaCTnwzOG2_Wg"",""Direct li"&amp;"nks Without Sizes!D2:D""),IMPORTRANGE(""1NK5L1mviMn0j3D3uo53ASkIZOFRlLnqaCTnwzOG2_Wg"",""Direct links Without Sizes!E2:E""))),"""")"),"")</f>
        <v/>
      </c>
      <c r="H899" s="41"/>
      <c r="I899" s="4"/>
      <c r="J899" s="4"/>
      <c r="K899" s="10" t="str">
        <f t="shared" si="1"/>
        <v/>
      </c>
      <c r="L899" s="10"/>
      <c r="M899" s="10" t="str">
        <f t="shared" si="2"/>
        <v/>
      </c>
    </row>
    <row r="900">
      <c r="A900" s="4"/>
      <c r="B900" s="15"/>
      <c r="C900" s="7" t="str">
        <f>IFERROR(__xludf.DUMMYFUNCTION("iferror(iferror(INDEX(IMPORTRANGE(""12vtnxaE_Q1s4tyr10kZQx7ZF_xG0lBFae4jQEUtgsMU"",""All!B2:B""),MATCH($B900,IMPORTRANGE(""12vtnxaE_Q1s4tyr10kZQx7ZF_xG0lBFae4jQEUtgsMU"",""All!A2:A""),0)),INDEX(IMPORTRANGE(""13KC70HngS4DDi8y9E5khtSpQEPG6owaQ9z4E-tR5mnY"","&amp;"""Non-Food!B2:B""),MATCH($B900,IMPORTRANGE(""13KC70HngS4DDi8y9E5khtSpQEPG6owaQ9z4E-tR5mnY"",""Non-Food!A2:A""),0))),"""")"),"")</f>
        <v/>
      </c>
      <c r="D900" s="15"/>
      <c r="E900" s="15"/>
      <c r="F900" s="36"/>
      <c r="G900" s="24" t="str">
        <f>IFERROR(__xludf.DUMMYFUNCTION("iferror(iferror(iferror(index(IMPORTRANGE(""1NK5L1mviMn0j3D3uo53ASkIZOFRlLnqaCTnwzOG2_Wg"",""Direct Link!B2:B""),MATCH($B900,IMPORTRANGE(""1NK5L1mviMn0j3D3uo53ASkIZOFRlLnqaCTnwzOG2_Wg"",""Direct Link!A2:A""),0)),XLOOKUP($B900,IMPORTRANGE(""1NK5L1mviMn0j3D"&amp;"3uo53ASkIZOFRlLnqaCTnwzOG2_Wg"",""Direct links Without Sizes!A2:A""),IMPORTRANGE(""1NK5L1mviMn0j3D3uo53ASkIZOFRlLnqaCTnwzOG2_Wg"",""Direct links Without Sizes!B2:B""))),XLOOKUP($B900,IMPORTRANGE(""1NK5L1mviMn0j3D3uo53ASkIZOFRlLnqaCTnwzOG2_Wg"",""Direct li"&amp;"nks Without Sizes!D2:D""),IMPORTRANGE(""1NK5L1mviMn0j3D3uo53ASkIZOFRlLnqaCTnwzOG2_Wg"",""Direct links Without Sizes!E2:E""))),"""")"),"")</f>
        <v/>
      </c>
      <c r="H900" s="41"/>
      <c r="I900" s="4"/>
      <c r="J900" s="4"/>
      <c r="K900" s="10" t="str">
        <f t="shared" si="1"/>
        <v/>
      </c>
      <c r="L900" s="10"/>
      <c r="M900" s="10" t="str">
        <f t="shared" si="2"/>
        <v/>
      </c>
    </row>
    <row r="901">
      <c r="A901" s="4"/>
      <c r="B901" s="15"/>
      <c r="C901" s="7" t="str">
        <f>IFERROR(__xludf.DUMMYFUNCTION("iferror(iferror(INDEX(IMPORTRANGE(""12vtnxaE_Q1s4tyr10kZQx7ZF_xG0lBFae4jQEUtgsMU"",""All!B2:B""),MATCH($B901,IMPORTRANGE(""12vtnxaE_Q1s4tyr10kZQx7ZF_xG0lBFae4jQEUtgsMU"",""All!A2:A""),0)),INDEX(IMPORTRANGE(""13KC70HngS4DDi8y9E5khtSpQEPG6owaQ9z4E-tR5mnY"","&amp;"""Non-Food!B2:B""),MATCH($B901,IMPORTRANGE(""13KC70HngS4DDi8y9E5khtSpQEPG6owaQ9z4E-tR5mnY"",""Non-Food!A2:A""),0))),"""")"),"")</f>
        <v/>
      </c>
      <c r="D901" s="15"/>
      <c r="E901" s="15"/>
      <c r="F901" s="36"/>
      <c r="G901" s="24" t="str">
        <f>IFERROR(__xludf.DUMMYFUNCTION("iferror(iferror(iferror(index(IMPORTRANGE(""1NK5L1mviMn0j3D3uo53ASkIZOFRlLnqaCTnwzOG2_Wg"",""Direct Link!B2:B""),MATCH($B901,IMPORTRANGE(""1NK5L1mviMn0j3D3uo53ASkIZOFRlLnqaCTnwzOG2_Wg"",""Direct Link!A2:A""),0)),XLOOKUP($B901,IMPORTRANGE(""1NK5L1mviMn0j3D"&amp;"3uo53ASkIZOFRlLnqaCTnwzOG2_Wg"",""Direct links Without Sizes!A2:A""),IMPORTRANGE(""1NK5L1mviMn0j3D3uo53ASkIZOFRlLnqaCTnwzOG2_Wg"",""Direct links Without Sizes!B2:B""))),XLOOKUP($B901,IMPORTRANGE(""1NK5L1mviMn0j3D3uo53ASkIZOFRlLnqaCTnwzOG2_Wg"",""Direct li"&amp;"nks Without Sizes!D2:D""),IMPORTRANGE(""1NK5L1mviMn0j3D3uo53ASkIZOFRlLnqaCTnwzOG2_Wg"",""Direct links Without Sizes!E2:E""))),"""")"),"")</f>
        <v/>
      </c>
      <c r="H901" s="41"/>
      <c r="I901" s="4"/>
      <c r="J901" s="4"/>
      <c r="K901" s="10" t="str">
        <f t="shared" si="1"/>
        <v/>
      </c>
      <c r="L901" s="10"/>
      <c r="M901" s="10" t="str">
        <f t="shared" si="2"/>
        <v/>
      </c>
    </row>
    <row r="902">
      <c r="A902" s="4"/>
      <c r="B902" s="15"/>
      <c r="C902" s="7" t="str">
        <f>IFERROR(__xludf.DUMMYFUNCTION("iferror(iferror(INDEX(IMPORTRANGE(""12vtnxaE_Q1s4tyr10kZQx7ZF_xG0lBFae4jQEUtgsMU"",""All!B2:B""),MATCH($B902,IMPORTRANGE(""12vtnxaE_Q1s4tyr10kZQx7ZF_xG0lBFae4jQEUtgsMU"",""All!A2:A""),0)),INDEX(IMPORTRANGE(""13KC70HngS4DDi8y9E5khtSpQEPG6owaQ9z4E-tR5mnY"","&amp;"""Non-Food!B2:B""),MATCH($B902,IMPORTRANGE(""13KC70HngS4DDi8y9E5khtSpQEPG6owaQ9z4E-tR5mnY"",""Non-Food!A2:A""),0))),"""")"),"")</f>
        <v/>
      </c>
      <c r="D902" s="15"/>
      <c r="E902" s="15"/>
      <c r="F902" s="36"/>
      <c r="G902" s="24" t="str">
        <f>IFERROR(__xludf.DUMMYFUNCTION("iferror(iferror(iferror(index(IMPORTRANGE(""1NK5L1mviMn0j3D3uo53ASkIZOFRlLnqaCTnwzOG2_Wg"",""Direct Link!B2:B""),MATCH($B902,IMPORTRANGE(""1NK5L1mviMn0j3D3uo53ASkIZOFRlLnqaCTnwzOG2_Wg"",""Direct Link!A2:A""),0)),XLOOKUP($B902,IMPORTRANGE(""1NK5L1mviMn0j3D"&amp;"3uo53ASkIZOFRlLnqaCTnwzOG2_Wg"",""Direct links Without Sizes!A2:A""),IMPORTRANGE(""1NK5L1mviMn0j3D3uo53ASkIZOFRlLnqaCTnwzOG2_Wg"",""Direct links Without Sizes!B2:B""))),XLOOKUP($B902,IMPORTRANGE(""1NK5L1mviMn0j3D3uo53ASkIZOFRlLnqaCTnwzOG2_Wg"",""Direct li"&amp;"nks Without Sizes!D2:D""),IMPORTRANGE(""1NK5L1mviMn0j3D3uo53ASkIZOFRlLnqaCTnwzOG2_Wg"",""Direct links Without Sizes!E2:E""))),"""")"),"")</f>
        <v/>
      </c>
      <c r="H902" s="41"/>
      <c r="I902" s="4"/>
      <c r="J902" s="4"/>
      <c r="K902" s="10" t="str">
        <f t="shared" si="1"/>
        <v/>
      </c>
      <c r="L902" s="10"/>
      <c r="M902" s="10" t="str">
        <f t="shared" si="2"/>
        <v/>
      </c>
    </row>
    <row r="903">
      <c r="A903" s="4"/>
      <c r="B903" s="15"/>
      <c r="C903" s="7" t="str">
        <f>IFERROR(__xludf.DUMMYFUNCTION("iferror(iferror(INDEX(IMPORTRANGE(""12vtnxaE_Q1s4tyr10kZQx7ZF_xG0lBFae4jQEUtgsMU"",""All!B2:B""),MATCH($B903,IMPORTRANGE(""12vtnxaE_Q1s4tyr10kZQx7ZF_xG0lBFae4jQEUtgsMU"",""All!A2:A""),0)),INDEX(IMPORTRANGE(""13KC70HngS4DDi8y9E5khtSpQEPG6owaQ9z4E-tR5mnY"","&amp;"""Non-Food!B2:B""),MATCH($B903,IMPORTRANGE(""13KC70HngS4DDi8y9E5khtSpQEPG6owaQ9z4E-tR5mnY"",""Non-Food!A2:A""),0))),"""")"),"")</f>
        <v/>
      </c>
      <c r="D903" s="15"/>
      <c r="E903" s="15"/>
      <c r="F903" s="36"/>
      <c r="G903" s="24" t="str">
        <f>IFERROR(__xludf.DUMMYFUNCTION("iferror(iferror(iferror(index(IMPORTRANGE(""1NK5L1mviMn0j3D3uo53ASkIZOFRlLnqaCTnwzOG2_Wg"",""Direct Link!B2:B""),MATCH($B903,IMPORTRANGE(""1NK5L1mviMn0j3D3uo53ASkIZOFRlLnqaCTnwzOG2_Wg"",""Direct Link!A2:A""),0)),XLOOKUP($B903,IMPORTRANGE(""1NK5L1mviMn0j3D"&amp;"3uo53ASkIZOFRlLnqaCTnwzOG2_Wg"",""Direct links Without Sizes!A2:A""),IMPORTRANGE(""1NK5L1mviMn0j3D3uo53ASkIZOFRlLnqaCTnwzOG2_Wg"",""Direct links Without Sizes!B2:B""))),XLOOKUP($B903,IMPORTRANGE(""1NK5L1mviMn0j3D3uo53ASkIZOFRlLnqaCTnwzOG2_Wg"",""Direct li"&amp;"nks Without Sizes!D2:D""),IMPORTRANGE(""1NK5L1mviMn0j3D3uo53ASkIZOFRlLnqaCTnwzOG2_Wg"",""Direct links Without Sizes!E2:E""))),"""")"),"")</f>
        <v/>
      </c>
      <c r="H903" s="41"/>
      <c r="I903" s="4"/>
      <c r="J903" s="4"/>
      <c r="K903" s="10" t="str">
        <f t="shared" si="1"/>
        <v/>
      </c>
      <c r="L903" s="10"/>
      <c r="M903" s="10" t="str">
        <f t="shared" si="2"/>
        <v/>
      </c>
    </row>
    <row r="904">
      <c r="A904" s="4"/>
      <c r="B904" s="15"/>
      <c r="C904" s="7" t="str">
        <f>IFERROR(__xludf.DUMMYFUNCTION("iferror(iferror(INDEX(IMPORTRANGE(""12vtnxaE_Q1s4tyr10kZQx7ZF_xG0lBFae4jQEUtgsMU"",""All!B2:B""),MATCH($B904,IMPORTRANGE(""12vtnxaE_Q1s4tyr10kZQx7ZF_xG0lBFae4jQEUtgsMU"",""All!A2:A""),0)),INDEX(IMPORTRANGE(""13KC70HngS4DDi8y9E5khtSpQEPG6owaQ9z4E-tR5mnY"","&amp;"""Non-Food!B2:B""),MATCH($B904,IMPORTRANGE(""13KC70HngS4DDi8y9E5khtSpQEPG6owaQ9z4E-tR5mnY"",""Non-Food!A2:A""),0))),"""")"),"")</f>
        <v/>
      </c>
      <c r="D904" s="15"/>
      <c r="E904" s="15"/>
      <c r="F904" s="36"/>
      <c r="G904" s="24" t="str">
        <f>IFERROR(__xludf.DUMMYFUNCTION("iferror(iferror(iferror(index(IMPORTRANGE(""1NK5L1mviMn0j3D3uo53ASkIZOFRlLnqaCTnwzOG2_Wg"",""Direct Link!B2:B""),MATCH($B904,IMPORTRANGE(""1NK5L1mviMn0j3D3uo53ASkIZOFRlLnqaCTnwzOG2_Wg"",""Direct Link!A2:A""),0)),XLOOKUP($B904,IMPORTRANGE(""1NK5L1mviMn0j3D"&amp;"3uo53ASkIZOFRlLnqaCTnwzOG2_Wg"",""Direct links Without Sizes!A2:A""),IMPORTRANGE(""1NK5L1mviMn0j3D3uo53ASkIZOFRlLnqaCTnwzOG2_Wg"",""Direct links Without Sizes!B2:B""))),XLOOKUP($B904,IMPORTRANGE(""1NK5L1mviMn0j3D3uo53ASkIZOFRlLnqaCTnwzOG2_Wg"",""Direct li"&amp;"nks Without Sizes!D2:D""),IMPORTRANGE(""1NK5L1mviMn0j3D3uo53ASkIZOFRlLnqaCTnwzOG2_Wg"",""Direct links Without Sizes!E2:E""))),"""")"),"")</f>
        <v/>
      </c>
      <c r="H904" s="41"/>
      <c r="I904" s="4"/>
      <c r="J904" s="4"/>
      <c r="K904" s="10" t="str">
        <f t="shared" si="1"/>
        <v/>
      </c>
      <c r="L904" s="10"/>
      <c r="M904" s="10" t="str">
        <f t="shared" si="2"/>
        <v/>
      </c>
    </row>
    <row r="905">
      <c r="A905" s="4"/>
      <c r="B905" s="15"/>
      <c r="C905" s="7" t="str">
        <f>IFERROR(__xludf.DUMMYFUNCTION("iferror(iferror(INDEX(IMPORTRANGE(""12vtnxaE_Q1s4tyr10kZQx7ZF_xG0lBFae4jQEUtgsMU"",""All!B2:B""),MATCH($B905,IMPORTRANGE(""12vtnxaE_Q1s4tyr10kZQx7ZF_xG0lBFae4jQEUtgsMU"",""All!A2:A""),0)),INDEX(IMPORTRANGE(""13KC70HngS4DDi8y9E5khtSpQEPG6owaQ9z4E-tR5mnY"","&amp;"""Non-Food!B2:B""),MATCH($B905,IMPORTRANGE(""13KC70HngS4DDi8y9E5khtSpQEPG6owaQ9z4E-tR5mnY"",""Non-Food!A2:A""),0))),"""")"),"")</f>
        <v/>
      </c>
      <c r="D905" s="15"/>
      <c r="E905" s="15"/>
      <c r="F905" s="36"/>
      <c r="G905" s="24" t="str">
        <f>IFERROR(__xludf.DUMMYFUNCTION("iferror(iferror(iferror(index(IMPORTRANGE(""1NK5L1mviMn0j3D3uo53ASkIZOFRlLnqaCTnwzOG2_Wg"",""Direct Link!B2:B""),MATCH($B905,IMPORTRANGE(""1NK5L1mviMn0j3D3uo53ASkIZOFRlLnqaCTnwzOG2_Wg"",""Direct Link!A2:A""),0)),XLOOKUP($B905,IMPORTRANGE(""1NK5L1mviMn0j3D"&amp;"3uo53ASkIZOFRlLnqaCTnwzOG2_Wg"",""Direct links Without Sizes!A2:A""),IMPORTRANGE(""1NK5L1mviMn0j3D3uo53ASkIZOFRlLnqaCTnwzOG2_Wg"",""Direct links Without Sizes!B2:B""))),XLOOKUP($B905,IMPORTRANGE(""1NK5L1mviMn0j3D3uo53ASkIZOFRlLnqaCTnwzOG2_Wg"",""Direct li"&amp;"nks Without Sizes!D2:D""),IMPORTRANGE(""1NK5L1mviMn0j3D3uo53ASkIZOFRlLnqaCTnwzOG2_Wg"",""Direct links Without Sizes!E2:E""))),"""")"),"")</f>
        <v/>
      </c>
      <c r="H905" s="41"/>
      <c r="I905" s="4"/>
      <c r="J905" s="4"/>
      <c r="K905" s="10" t="str">
        <f t="shared" si="1"/>
        <v/>
      </c>
      <c r="L905" s="10"/>
      <c r="M905" s="10" t="str">
        <f t="shared" si="2"/>
        <v/>
      </c>
    </row>
    <row r="906">
      <c r="A906" s="4"/>
      <c r="B906" s="15"/>
      <c r="C906" s="7" t="str">
        <f>IFERROR(__xludf.DUMMYFUNCTION("iferror(iferror(INDEX(IMPORTRANGE(""12vtnxaE_Q1s4tyr10kZQx7ZF_xG0lBFae4jQEUtgsMU"",""All!B2:B""),MATCH($B906,IMPORTRANGE(""12vtnxaE_Q1s4tyr10kZQx7ZF_xG0lBFae4jQEUtgsMU"",""All!A2:A""),0)),INDEX(IMPORTRANGE(""13KC70HngS4DDi8y9E5khtSpQEPG6owaQ9z4E-tR5mnY"","&amp;"""Non-Food!B2:B""),MATCH($B906,IMPORTRANGE(""13KC70HngS4DDi8y9E5khtSpQEPG6owaQ9z4E-tR5mnY"",""Non-Food!A2:A""),0))),"""")"),"")</f>
        <v/>
      </c>
      <c r="D906" s="15"/>
      <c r="E906" s="15"/>
      <c r="F906" s="36"/>
      <c r="G906" s="24" t="str">
        <f>IFERROR(__xludf.DUMMYFUNCTION("iferror(iferror(iferror(index(IMPORTRANGE(""1NK5L1mviMn0j3D3uo53ASkIZOFRlLnqaCTnwzOG2_Wg"",""Direct Link!B2:B""),MATCH($B906,IMPORTRANGE(""1NK5L1mviMn0j3D3uo53ASkIZOFRlLnqaCTnwzOG2_Wg"",""Direct Link!A2:A""),0)),XLOOKUP($B906,IMPORTRANGE(""1NK5L1mviMn0j3D"&amp;"3uo53ASkIZOFRlLnqaCTnwzOG2_Wg"",""Direct links Without Sizes!A2:A""),IMPORTRANGE(""1NK5L1mviMn0j3D3uo53ASkIZOFRlLnqaCTnwzOG2_Wg"",""Direct links Without Sizes!B2:B""))),XLOOKUP($B906,IMPORTRANGE(""1NK5L1mviMn0j3D3uo53ASkIZOFRlLnqaCTnwzOG2_Wg"",""Direct li"&amp;"nks Without Sizes!D2:D""),IMPORTRANGE(""1NK5L1mviMn0j3D3uo53ASkIZOFRlLnqaCTnwzOG2_Wg"",""Direct links Without Sizes!E2:E""))),"""")"),"")</f>
        <v/>
      </c>
      <c r="H906" s="41"/>
      <c r="I906" s="4"/>
      <c r="J906" s="4"/>
      <c r="K906" s="10" t="str">
        <f t="shared" si="1"/>
        <v/>
      </c>
      <c r="L906" s="10"/>
      <c r="M906" s="10" t="str">
        <f t="shared" si="2"/>
        <v/>
      </c>
    </row>
    <row r="907">
      <c r="A907" s="4"/>
      <c r="B907" s="15"/>
      <c r="C907" s="7" t="str">
        <f>IFERROR(__xludf.DUMMYFUNCTION("iferror(iferror(INDEX(IMPORTRANGE(""12vtnxaE_Q1s4tyr10kZQx7ZF_xG0lBFae4jQEUtgsMU"",""All!B2:B""),MATCH($B907,IMPORTRANGE(""12vtnxaE_Q1s4tyr10kZQx7ZF_xG0lBFae4jQEUtgsMU"",""All!A2:A""),0)),INDEX(IMPORTRANGE(""13KC70HngS4DDi8y9E5khtSpQEPG6owaQ9z4E-tR5mnY"","&amp;"""Non-Food!B2:B""),MATCH($B907,IMPORTRANGE(""13KC70HngS4DDi8y9E5khtSpQEPG6owaQ9z4E-tR5mnY"",""Non-Food!A2:A""),0))),"""")"),"")</f>
        <v/>
      </c>
      <c r="D907" s="15"/>
      <c r="E907" s="15"/>
      <c r="F907" s="36"/>
      <c r="G907" s="24" t="str">
        <f>IFERROR(__xludf.DUMMYFUNCTION("iferror(iferror(iferror(index(IMPORTRANGE(""1NK5L1mviMn0j3D3uo53ASkIZOFRlLnqaCTnwzOG2_Wg"",""Direct Link!B2:B""),MATCH($B907,IMPORTRANGE(""1NK5L1mviMn0j3D3uo53ASkIZOFRlLnqaCTnwzOG2_Wg"",""Direct Link!A2:A""),0)),XLOOKUP($B907,IMPORTRANGE(""1NK5L1mviMn0j3D"&amp;"3uo53ASkIZOFRlLnqaCTnwzOG2_Wg"",""Direct links Without Sizes!A2:A""),IMPORTRANGE(""1NK5L1mviMn0j3D3uo53ASkIZOFRlLnqaCTnwzOG2_Wg"",""Direct links Without Sizes!B2:B""))),XLOOKUP($B907,IMPORTRANGE(""1NK5L1mviMn0j3D3uo53ASkIZOFRlLnqaCTnwzOG2_Wg"",""Direct li"&amp;"nks Without Sizes!D2:D""),IMPORTRANGE(""1NK5L1mviMn0j3D3uo53ASkIZOFRlLnqaCTnwzOG2_Wg"",""Direct links Without Sizes!E2:E""))),"""")"),"")</f>
        <v/>
      </c>
      <c r="H907" s="41"/>
      <c r="I907" s="4"/>
      <c r="J907" s="4"/>
      <c r="K907" s="10" t="str">
        <f t="shared" si="1"/>
        <v/>
      </c>
      <c r="L907" s="10"/>
      <c r="M907" s="10" t="str">
        <f t="shared" si="2"/>
        <v/>
      </c>
    </row>
    <row r="908">
      <c r="A908" s="4"/>
      <c r="B908" s="15"/>
      <c r="C908" s="7" t="str">
        <f>IFERROR(__xludf.DUMMYFUNCTION("iferror(iferror(INDEX(IMPORTRANGE(""12vtnxaE_Q1s4tyr10kZQx7ZF_xG0lBFae4jQEUtgsMU"",""All!B2:B""),MATCH($B908,IMPORTRANGE(""12vtnxaE_Q1s4tyr10kZQx7ZF_xG0lBFae4jQEUtgsMU"",""All!A2:A""),0)),INDEX(IMPORTRANGE(""13KC70HngS4DDi8y9E5khtSpQEPG6owaQ9z4E-tR5mnY"","&amp;"""Non-Food!B2:B""),MATCH($B908,IMPORTRANGE(""13KC70HngS4DDi8y9E5khtSpQEPG6owaQ9z4E-tR5mnY"",""Non-Food!A2:A""),0))),"""")"),"")</f>
        <v/>
      </c>
      <c r="D908" s="15"/>
      <c r="E908" s="15"/>
      <c r="F908" s="36"/>
      <c r="G908" s="24" t="str">
        <f>IFERROR(__xludf.DUMMYFUNCTION("iferror(iferror(iferror(index(IMPORTRANGE(""1NK5L1mviMn0j3D3uo53ASkIZOFRlLnqaCTnwzOG2_Wg"",""Direct Link!B2:B""),MATCH($B908,IMPORTRANGE(""1NK5L1mviMn0j3D3uo53ASkIZOFRlLnqaCTnwzOG2_Wg"",""Direct Link!A2:A""),0)),XLOOKUP($B908,IMPORTRANGE(""1NK5L1mviMn0j3D"&amp;"3uo53ASkIZOFRlLnqaCTnwzOG2_Wg"",""Direct links Without Sizes!A2:A""),IMPORTRANGE(""1NK5L1mviMn0j3D3uo53ASkIZOFRlLnqaCTnwzOG2_Wg"",""Direct links Without Sizes!B2:B""))),XLOOKUP($B908,IMPORTRANGE(""1NK5L1mviMn0j3D3uo53ASkIZOFRlLnqaCTnwzOG2_Wg"",""Direct li"&amp;"nks Without Sizes!D2:D""),IMPORTRANGE(""1NK5L1mviMn0j3D3uo53ASkIZOFRlLnqaCTnwzOG2_Wg"",""Direct links Without Sizes!E2:E""))),"""")"),"")</f>
        <v/>
      </c>
      <c r="H908" s="41"/>
      <c r="I908" s="4"/>
      <c r="J908" s="4"/>
      <c r="K908" s="10" t="str">
        <f t="shared" si="1"/>
        <v/>
      </c>
      <c r="L908" s="10"/>
      <c r="M908" s="10" t="str">
        <f t="shared" si="2"/>
        <v/>
      </c>
    </row>
    <row r="909">
      <c r="A909" s="4"/>
      <c r="B909" s="15"/>
      <c r="C909" s="7" t="str">
        <f>IFERROR(__xludf.DUMMYFUNCTION("iferror(iferror(INDEX(IMPORTRANGE(""12vtnxaE_Q1s4tyr10kZQx7ZF_xG0lBFae4jQEUtgsMU"",""All!B2:B""),MATCH($B909,IMPORTRANGE(""12vtnxaE_Q1s4tyr10kZQx7ZF_xG0lBFae4jQEUtgsMU"",""All!A2:A""),0)),INDEX(IMPORTRANGE(""13KC70HngS4DDi8y9E5khtSpQEPG6owaQ9z4E-tR5mnY"","&amp;"""Non-Food!B2:B""),MATCH($B909,IMPORTRANGE(""13KC70HngS4DDi8y9E5khtSpQEPG6owaQ9z4E-tR5mnY"",""Non-Food!A2:A""),0))),"""")"),"")</f>
        <v/>
      </c>
      <c r="D909" s="15"/>
      <c r="E909" s="15"/>
      <c r="F909" s="36"/>
      <c r="G909" s="24" t="str">
        <f>IFERROR(__xludf.DUMMYFUNCTION("iferror(iferror(iferror(index(IMPORTRANGE(""1NK5L1mviMn0j3D3uo53ASkIZOFRlLnqaCTnwzOG2_Wg"",""Direct Link!B2:B""),MATCH($B909,IMPORTRANGE(""1NK5L1mviMn0j3D3uo53ASkIZOFRlLnqaCTnwzOG2_Wg"",""Direct Link!A2:A""),0)),XLOOKUP($B909,IMPORTRANGE(""1NK5L1mviMn0j3D"&amp;"3uo53ASkIZOFRlLnqaCTnwzOG2_Wg"",""Direct links Without Sizes!A2:A""),IMPORTRANGE(""1NK5L1mviMn0j3D3uo53ASkIZOFRlLnqaCTnwzOG2_Wg"",""Direct links Without Sizes!B2:B""))),XLOOKUP($B909,IMPORTRANGE(""1NK5L1mviMn0j3D3uo53ASkIZOFRlLnqaCTnwzOG2_Wg"",""Direct li"&amp;"nks Without Sizes!D2:D""),IMPORTRANGE(""1NK5L1mviMn0j3D3uo53ASkIZOFRlLnqaCTnwzOG2_Wg"",""Direct links Without Sizes!E2:E""))),"""")"),"")</f>
        <v/>
      </c>
      <c r="H909" s="41"/>
      <c r="I909" s="4"/>
      <c r="J909" s="4"/>
      <c r="K909" s="10" t="str">
        <f t="shared" si="1"/>
        <v/>
      </c>
      <c r="L909" s="10"/>
      <c r="M909" s="10" t="str">
        <f t="shared" si="2"/>
        <v/>
      </c>
    </row>
    <row r="910">
      <c r="A910" s="4"/>
      <c r="B910" s="15"/>
      <c r="C910" s="7" t="str">
        <f>IFERROR(__xludf.DUMMYFUNCTION("iferror(iferror(INDEX(IMPORTRANGE(""12vtnxaE_Q1s4tyr10kZQx7ZF_xG0lBFae4jQEUtgsMU"",""All!B2:B""),MATCH($B910,IMPORTRANGE(""12vtnxaE_Q1s4tyr10kZQx7ZF_xG0lBFae4jQEUtgsMU"",""All!A2:A""),0)),INDEX(IMPORTRANGE(""13KC70HngS4DDi8y9E5khtSpQEPG6owaQ9z4E-tR5mnY"","&amp;"""Non-Food!B2:B""),MATCH($B910,IMPORTRANGE(""13KC70HngS4DDi8y9E5khtSpQEPG6owaQ9z4E-tR5mnY"",""Non-Food!A2:A""),0))),"""")"),"")</f>
        <v/>
      </c>
      <c r="D910" s="15"/>
      <c r="E910" s="15"/>
      <c r="F910" s="36"/>
      <c r="G910" s="24" t="str">
        <f>IFERROR(__xludf.DUMMYFUNCTION("iferror(iferror(iferror(index(IMPORTRANGE(""1NK5L1mviMn0j3D3uo53ASkIZOFRlLnqaCTnwzOG2_Wg"",""Direct Link!B2:B""),MATCH($B910,IMPORTRANGE(""1NK5L1mviMn0j3D3uo53ASkIZOFRlLnqaCTnwzOG2_Wg"",""Direct Link!A2:A""),0)),XLOOKUP($B910,IMPORTRANGE(""1NK5L1mviMn0j3D"&amp;"3uo53ASkIZOFRlLnqaCTnwzOG2_Wg"",""Direct links Without Sizes!A2:A""),IMPORTRANGE(""1NK5L1mviMn0j3D3uo53ASkIZOFRlLnqaCTnwzOG2_Wg"",""Direct links Without Sizes!B2:B""))),XLOOKUP($B910,IMPORTRANGE(""1NK5L1mviMn0j3D3uo53ASkIZOFRlLnqaCTnwzOG2_Wg"",""Direct li"&amp;"nks Without Sizes!D2:D""),IMPORTRANGE(""1NK5L1mviMn0j3D3uo53ASkIZOFRlLnqaCTnwzOG2_Wg"",""Direct links Without Sizes!E2:E""))),"""")"),"")</f>
        <v/>
      </c>
      <c r="H910" s="41"/>
      <c r="I910" s="4"/>
      <c r="J910" s="4"/>
      <c r="K910" s="10" t="str">
        <f t="shared" si="1"/>
        <v/>
      </c>
      <c r="L910" s="10"/>
      <c r="M910" s="10" t="str">
        <f t="shared" si="2"/>
        <v/>
      </c>
    </row>
    <row r="911">
      <c r="A911" s="4"/>
      <c r="B911" s="15"/>
      <c r="C911" s="7" t="str">
        <f>IFERROR(__xludf.DUMMYFUNCTION("iferror(iferror(INDEX(IMPORTRANGE(""12vtnxaE_Q1s4tyr10kZQx7ZF_xG0lBFae4jQEUtgsMU"",""All!B2:B""),MATCH($B911,IMPORTRANGE(""12vtnxaE_Q1s4tyr10kZQx7ZF_xG0lBFae4jQEUtgsMU"",""All!A2:A""),0)),INDEX(IMPORTRANGE(""13KC70HngS4DDi8y9E5khtSpQEPG6owaQ9z4E-tR5mnY"","&amp;"""Non-Food!B2:B""),MATCH($B911,IMPORTRANGE(""13KC70HngS4DDi8y9E5khtSpQEPG6owaQ9z4E-tR5mnY"",""Non-Food!A2:A""),0))),"""")"),"")</f>
        <v/>
      </c>
      <c r="D911" s="15"/>
      <c r="E911" s="15"/>
      <c r="F911" s="36"/>
      <c r="G911" s="24" t="str">
        <f>IFERROR(__xludf.DUMMYFUNCTION("iferror(iferror(iferror(index(IMPORTRANGE(""1NK5L1mviMn0j3D3uo53ASkIZOFRlLnqaCTnwzOG2_Wg"",""Direct Link!B2:B""),MATCH($B911,IMPORTRANGE(""1NK5L1mviMn0j3D3uo53ASkIZOFRlLnqaCTnwzOG2_Wg"",""Direct Link!A2:A""),0)),XLOOKUP($B911,IMPORTRANGE(""1NK5L1mviMn0j3D"&amp;"3uo53ASkIZOFRlLnqaCTnwzOG2_Wg"",""Direct links Without Sizes!A2:A""),IMPORTRANGE(""1NK5L1mviMn0j3D3uo53ASkIZOFRlLnqaCTnwzOG2_Wg"",""Direct links Without Sizes!B2:B""))),XLOOKUP($B911,IMPORTRANGE(""1NK5L1mviMn0j3D3uo53ASkIZOFRlLnqaCTnwzOG2_Wg"",""Direct li"&amp;"nks Without Sizes!D2:D""),IMPORTRANGE(""1NK5L1mviMn0j3D3uo53ASkIZOFRlLnqaCTnwzOG2_Wg"",""Direct links Without Sizes!E2:E""))),"""")"),"")</f>
        <v/>
      </c>
      <c r="H911" s="41"/>
      <c r="I911" s="4"/>
      <c r="J911" s="4"/>
      <c r="K911" s="10" t="str">
        <f t="shared" si="1"/>
        <v/>
      </c>
      <c r="L911" s="10"/>
      <c r="M911" s="10" t="str">
        <f t="shared" si="2"/>
        <v/>
      </c>
    </row>
    <row r="912">
      <c r="A912" s="4"/>
      <c r="B912" s="15"/>
      <c r="C912" s="7" t="str">
        <f>IFERROR(__xludf.DUMMYFUNCTION("iferror(iferror(INDEX(IMPORTRANGE(""12vtnxaE_Q1s4tyr10kZQx7ZF_xG0lBFae4jQEUtgsMU"",""All!B2:B""),MATCH($B912,IMPORTRANGE(""12vtnxaE_Q1s4tyr10kZQx7ZF_xG0lBFae4jQEUtgsMU"",""All!A2:A""),0)),INDEX(IMPORTRANGE(""13KC70HngS4DDi8y9E5khtSpQEPG6owaQ9z4E-tR5mnY"","&amp;"""Non-Food!B2:B""),MATCH($B912,IMPORTRANGE(""13KC70HngS4DDi8y9E5khtSpQEPG6owaQ9z4E-tR5mnY"",""Non-Food!A2:A""),0))),"""")"),"")</f>
        <v/>
      </c>
      <c r="D912" s="15"/>
      <c r="E912" s="15"/>
      <c r="F912" s="36"/>
      <c r="G912" s="24" t="str">
        <f>IFERROR(__xludf.DUMMYFUNCTION("iferror(iferror(iferror(index(IMPORTRANGE(""1NK5L1mviMn0j3D3uo53ASkIZOFRlLnqaCTnwzOG2_Wg"",""Direct Link!B2:B""),MATCH($B912,IMPORTRANGE(""1NK5L1mviMn0j3D3uo53ASkIZOFRlLnqaCTnwzOG2_Wg"",""Direct Link!A2:A""),0)),XLOOKUP($B912,IMPORTRANGE(""1NK5L1mviMn0j3D"&amp;"3uo53ASkIZOFRlLnqaCTnwzOG2_Wg"",""Direct links Without Sizes!A2:A""),IMPORTRANGE(""1NK5L1mviMn0j3D3uo53ASkIZOFRlLnqaCTnwzOG2_Wg"",""Direct links Without Sizes!B2:B""))),XLOOKUP($B912,IMPORTRANGE(""1NK5L1mviMn0j3D3uo53ASkIZOFRlLnqaCTnwzOG2_Wg"",""Direct li"&amp;"nks Without Sizes!D2:D""),IMPORTRANGE(""1NK5L1mviMn0j3D3uo53ASkIZOFRlLnqaCTnwzOG2_Wg"",""Direct links Without Sizes!E2:E""))),"""")"),"")</f>
        <v/>
      </c>
      <c r="H912" s="41"/>
      <c r="I912" s="4"/>
      <c r="J912" s="4"/>
      <c r="K912" s="10" t="str">
        <f t="shared" si="1"/>
        <v/>
      </c>
      <c r="L912" s="10"/>
      <c r="M912" s="10" t="str">
        <f t="shared" si="2"/>
        <v/>
      </c>
    </row>
    <row r="913">
      <c r="A913" s="4"/>
      <c r="B913" s="15"/>
      <c r="C913" s="7" t="str">
        <f>IFERROR(__xludf.DUMMYFUNCTION("iferror(iferror(INDEX(IMPORTRANGE(""12vtnxaE_Q1s4tyr10kZQx7ZF_xG0lBFae4jQEUtgsMU"",""All!B2:B""),MATCH($B913,IMPORTRANGE(""12vtnxaE_Q1s4tyr10kZQx7ZF_xG0lBFae4jQEUtgsMU"",""All!A2:A""),0)),INDEX(IMPORTRANGE(""13KC70HngS4DDi8y9E5khtSpQEPG6owaQ9z4E-tR5mnY"","&amp;"""Non-Food!B2:B""),MATCH($B913,IMPORTRANGE(""13KC70HngS4DDi8y9E5khtSpQEPG6owaQ9z4E-tR5mnY"",""Non-Food!A2:A""),0))),"""")"),"")</f>
        <v/>
      </c>
      <c r="D913" s="15"/>
      <c r="E913" s="15"/>
      <c r="F913" s="36"/>
      <c r="G913" s="24" t="str">
        <f>IFERROR(__xludf.DUMMYFUNCTION("iferror(iferror(iferror(index(IMPORTRANGE(""1NK5L1mviMn0j3D3uo53ASkIZOFRlLnqaCTnwzOG2_Wg"",""Direct Link!B2:B""),MATCH($B913,IMPORTRANGE(""1NK5L1mviMn0j3D3uo53ASkIZOFRlLnqaCTnwzOG2_Wg"",""Direct Link!A2:A""),0)),XLOOKUP($B913,IMPORTRANGE(""1NK5L1mviMn0j3D"&amp;"3uo53ASkIZOFRlLnqaCTnwzOG2_Wg"",""Direct links Without Sizes!A2:A""),IMPORTRANGE(""1NK5L1mviMn0j3D3uo53ASkIZOFRlLnqaCTnwzOG2_Wg"",""Direct links Without Sizes!B2:B""))),XLOOKUP($B913,IMPORTRANGE(""1NK5L1mviMn0j3D3uo53ASkIZOFRlLnqaCTnwzOG2_Wg"",""Direct li"&amp;"nks Without Sizes!D2:D""),IMPORTRANGE(""1NK5L1mviMn0j3D3uo53ASkIZOFRlLnqaCTnwzOG2_Wg"",""Direct links Without Sizes!E2:E""))),"""")"),"")</f>
        <v/>
      </c>
      <c r="H913" s="41"/>
      <c r="I913" s="4"/>
      <c r="J913" s="4"/>
      <c r="K913" s="10" t="str">
        <f t="shared" si="1"/>
        <v/>
      </c>
      <c r="L913" s="10"/>
      <c r="M913" s="10" t="str">
        <f t="shared" si="2"/>
        <v/>
      </c>
    </row>
    <row r="914">
      <c r="A914" s="4"/>
      <c r="B914" s="15"/>
      <c r="C914" s="7" t="str">
        <f>IFERROR(__xludf.DUMMYFUNCTION("iferror(iferror(INDEX(IMPORTRANGE(""12vtnxaE_Q1s4tyr10kZQx7ZF_xG0lBFae4jQEUtgsMU"",""All!B2:B""),MATCH($B914,IMPORTRANGE(""12vtnxaE_Q1s4tyr10kZQx7ZF_xG0lBFae4jQEUtgsMU"",""All!A2:A""),0)),INDEX(IMPORTRANGE(""13KC70HngS4DDi8y9E5khtSpQEPG6owaQ9z4E-tR5mnY"","&amp;"""Non-Food!B2:B""),MATCH($B914,IMPORTRANGE(""13KC70HngS4DDi8y9E5khtSpQEPG6owaQ9z4E-tR5mnY"",""Non-Food!A2:A""),0))),"""")"),"")</f>
        <v/>
      </c>
      <c r="D914" s="15"/>
      <c r="E914" s="15"/>
      <c r="F914" s="36"/>
      <c r="G914" s="24" t="str">
        <f>IFERROR(__xludf.DUMMYFUNCTION("iferror(iferror(iferror(index(IMPORTRANGE(""1NK5L1mviMn0j3D3uo53ASkIZOFRlLnqaCTnwzOG2_Wg"",""Direct Link!B2:B""),MATCH($B914,IMPORTRANGE(""1NK5L1mviMn0j3D3uo53ASkIZOFRlLnqaCTnwzOG2_Wg"",""Direct Link!A2:A""),0)),XLOOKUP($B914,IMPORTRANGE(""1NK5L1mviMn0j3D"&amp;"3uo53ASkIZOFRlLnqaCTnwzOG2_Wg"",""Direct links Without Sizes!A2:A""),IMPORTRANGE(""1NK5L1mviMn0j3D3uo53ASkIZOFRlLnqaCTnwzOG2_Wg"",""Direct links Without Sizes!B2:B""))),XLOOKUP($B914,IMPORTRANGE(""1NK5L1mviMn0j3D3uo53ASkIZOFRlLnqaCTnwzOG2_Wg"",""Direct li"&amp;"nks Without Sizes!D2:D""),IMPORTRANGE(""1NK5L1mviMn0j3D3uo53ASkIZOFRlLnqaCTnwzOG2_Wg"",""Direct links Without Sizes!E2:E""))),"""")"),"")</f>
        <v/>
      </c>
      <c r="H914" s="41"/>
      <c r="I914" s="4"/>
      <c r="J914" s="4"/>
      <c r="K914" s="10" t="str">
        <f t="shared" si="1"/>
        <v/>
      </c>
      <c r="L914" s="10"/>
      <c r="M914" s="10" t="str">
        <f t="shared" si="2"/>
        <v/>
      </c>
    </row>
    <row r="915">
      <c r="A915" s="4"/>
      <c r="B915" s="15"/>
      <c r="C915" s="7" t="str">
        <f>IFERROR(__xludf.DUMMYFUNCTION("iferror(iferror(INDEX(IMPORTRANGE(""12vtnxaE_Q1s4tyr10kZQx7ZF_xG0lBFae4jQEUtgsMU"",""All!B2:B""),MATCH($B915,IMPORTRANGE(""12vtnxaE_Q1s4tyr10kZQx7ZF_xG0lBFae4jQEUtgsMU"",""All!A2:A""),0)),INDEX(IMPORTRANGE(""13KC70HngS4DDi8y9E5khtSpQEPG6owaQ9z4E-tR5mnY"","&amp;"""Non-Food!B2:B""),MATCH($B915,IMPORTRANGE(""13KC70HngS4DDi8y9E5khtSpQEPG6owaQ9z4E-tR5mnY"",""Non-Food!A2:A""),0))),"""")"),"")</f>
        <v/>
      </c>
      <c r="D915" s="15"/>
      <c r="E915" s="15"/>
      <c r="F915" s="36"/>
      <c r="G915" s="24" t="str">
        <f>IFERROR(__xludf.DUMMYFUNCTION("iferror(iferror(iferror(index(IMPORTRANGE(""1NK5L1mviMn0j3D3uo53ASkIZOFRlLnqaCTnwzOG2_Wg"",""Direct Link!B2:B""),MATCH($B915,IMPORTRANGE(""1NK5L1mviMn0j3D3uo53ASkIZOFRlLnqaCTnwzOG2_Wg"",""Direct Link!A2:A""),0)),XLOOKUP($B915,IMPORTRANGE(""1NK5L1mviMn0j3D"&amp;"3uo53ASkIZOFRlLnqaCTnwzOG2_Wg"",""Direct links Without Sizes!A2:A""),IMPORTRANGE(""1NK5L1mviMn0j3D3uo53ASkIZOFRlLnqaCTnwzOG2_Wg"",""Direct links Without Sizes!B2:B""))),XLOOKUP($B915,IMPORTRANGE(""1NK5L1mviMn0j3D3uo53ASkIZOFRlLnqaCTnwzOG2_Wg"",""Direct li"&amp;"nks Without Sizes!D2:D""),IMPORTRANGE(""1NK5L1mviMn0j3D3uo53ASkIZOFRlLnqaCTnwzOG2_Wg"",""Direct links Without Sizes!E2:E""))),"""")"),"")</f>
        <v/>
      </c>
      <c r="H915" s="41"/>
      <c r="I915" s="4"/>
      <c r="J915" s="4"/>
      <c r="K915" s="10" t="str">
        <f t="shared" si="1"/>
        <v/>
      </c>
      <c r="L915" s="10"/>
      <c r="M915" s="10" t="str">
        <f t="shared" si="2"/>
        <v/>
      </c>
    </row>
    <row r="916">
      <c r="A916" s="4"/>
      <c r="B916" s="15"/>
      <c r="C916" s="7" t="str">
        <f>IFERROR(__xludf.DUMMYFUNCTION("iferror(iferror(INDEX(IMPORTRANGE(""12vtnxaE_Q1s4tyr10kZQx7ZF_xG0lBFae4jQEUtgsMU"",""All!B2:B""),MATCH($B916,IMPORTRANGE(""12vtnxaE_Q1s4tyr10kZQx7ZF_xG0lBFae4jQEUtgsMU"",""All!A2:A""),0)),INDEX(IMPORTRANGE(""13KC70HngS4DDi8y9E5khtSpQEPG6owaQ9z4E-tR5mnY"","&amp;"""Non-Food!B2:B""),MATCH($B916,IMPORTRANGE(""13KC70HngS4DDi8y9E5khtSpQEPG6owaQ9z4E-tR5mnY"",""Non-Food!A2:A""),0))),"""")"),"")</f>
        <v/>
      </c>
      <c r="D916" s="15"/>
      <c r="E916" s="15"/>
      <c r="F916" s="36"/>
      <c r="G916" s="24" t="str">
        <f>IFERROR(__xludf.DUMMYFUNCTION("iferror(iferror(iferror(index(IMPORTRANGE(""1NK5L1mviMn0j3D3uo53ASkIZOFRlLnqaCTnwzOG2_Wg"",""Direct Link!B2:B""),MATCH($B916,IMPORTRANGE(""1NK5L1mviMn0j3D3uo53ASkIZOFRlLnqaCTnwzOG2_Wg"",""Direct Link!A2:A""),0)),XLOOKUP($B916,IMPORTRANGE(""1NK5L1mviMn0j3D"&amp;"3uo53ASkIZOFRlLnqaCTnwzOG2_Wg"",""Direct links Without Sizes!A2:A""),IMPORTRANGE(""1NK5L1mviMn0j3D3uo53ASkIZOFRlLnqaCTnwzOG2_Wg"",""Direct links Without Sizes!B2:B""))),XLOOKUP($B916,IMPORTRANGE(""1NK5L1mviMn0j3D3uo53ASkIZOFRlLnqaCTnwzOG2_Wg"",""Direct li"&amp;"nks Without Sizes!D2:D""),IMPORTRANGE(""1NK5L1mviMn0j3D3uo53ASkIZOFRlLnqaCTnwzOG2_Wg"",""Direct links Without Sizes!E2:E""))),"""")"),"")</f>
        <v/>
      </c>
      <c r="H916" s="41"/>
      <c r="I916" s="4"/>
      <c r="J916" s="4"/>
      <c r="K916" s="10" t="str">
        <f t="shared" si="1"/>
        <v/>
      </c>
      <c r="L916" s="10"/>
      <c r="M916" s="10" t="str">
        <f t="shared" si="2"/>
        <v/>
      </c>
    </row>
    <row r="917">
      <c r="A917" s="4"/>
      <c r="B917" s="15"/>
      <c r="C917" s="7" t="str">
        <f>IFERROR(__xludf.DUMMYFUNCTION("iferror(iferror(INDEX(IMPORTRANGE(""12vtnxaE_Q1s4tyr10kZQx7ZF_xG0lBFae4jQEUtgsMU"",""All!B2:B""),MATCH($B917,IMPORTRANGE(""12vtnxaE_Q1s4tyr10kZQx7ZF_xG0lBFae4jQEUtgsMU"",""All!A2:A""),0)),INDEX(IMPORTRANGE(""13KC70HngS4DDi8y9E5khtSpQEPG6owaQ9z4E-tR5mnY"","&amp;"""Non-Food!B2:B""),MATCH($B917,IMPORTRANGE(""13KC70HngS4DDi8y9E5khtSpQEPG6owaQ9z4E-tR5mnY"",""Non-Food!A2:A""),0))),"""")"),"")</f>
        <v/>
      </c>
      <c r="D917" s="15"/>
      <c r="E917" s="15"/>
      <c r="F917" s="36"/>
      <c r="G917" s="24" t="str">
        <f>IFERROR(__xludf.DUMMYFUNCTION("iferror(iferror(iferror(index(IMPORTRANGE(""1NK5L1mviMn0j3D3uo53ASkIZOFRlLnqaCTnwzOG2_Wg"",""Direct Link!B2:B""),MATCH($B917,IMPORTRANGE(""1NK5L1mviMn0j3D3uo53ASkIZOFRlLnqaCTnwzOG2_Wg"",""Direct Link!A2:A""),0)),XLOOKUP($B917,IMPORTRANGE(""1NK5L1mviMn0j3D"&amp;"3uo53ASkIZOFRlLnqaCTnwzOG2_Wg"",""Direct links Without Sizes!A2:A""),IMPORTRANGE(""1NK5L1mviMn0j3D3uo53ASkIZOFRlLnqaCTnwzOG2_Wg"",""Direct links Without Sizes!B2:B""))),XLOOKUP($B917,IMPORTRANGE(""1NK5L1mviMn0j3D3uo53ASkIZOFRlLnqaCTnwzOG2_Wg"",""Direct li"&amp;"nks Without Sizes!D2:D""),IMPORTRANGE(""1NK5L1mviMn0j3D3uo53ASkIZOFRlLnqaCTnwzOG2_Wg"",""Direct links Without Sizes!E2:E""))),"""")"),"")</f>
        <v/>
      </c>
      <c r="H917" s="41"/>
      <c r="I917" s="4"/>
      <c r="J917" s="4"/>
      <c r="K917" s="10" t="str">
        <f t="shared" si="1"/>
        <v/>
      </c>
      <c r="L917" s="10"/>
      <c r="M917" s="10" t="str">
        <f t="shared" si="2"/>
        <v/>
      </c>
    </row>
    <row r="918">
      <c r="A918" s="4"/>
      <c r="B918" s="15"/>
      <c r="C918" s="7" t="str">
        <f>IFERROR(__xludf.DUMMYFUNCTION("iferror(iferror(INDEX(IMPORTRANGE(""12vtnxaE_Q1s4tyr10kZQx7ZF_xG0lBFae4jQEUtgsMU"",""All!B2:B""),MATCH($B918,IMPORTRANGE(""12vtnxaE_Q1s4tyr10kZQx7ZF_xG0lBFae4jQEUtgsMU"",""All!A2:A""),0)),INDEX(IMPORTRANGE(""13KC70HngS4DDi8y9E5khtSpQEPG6owaQ9z4E-tR5mnY"","&amp;"""Non-Food!B2:B""),MATCH($B918,IMPORTRANGE(""13KC70HngS4DDi8y9E5khtSpQEPG6owaQ9z4E-tR5mnY"",""Non-Food!A2:A""),0))),"""")"),"")</f>
        <v/>
      </c>
      <c r="D918" s="15"/>
      <c r="E918" s="15"/>
      <c r="F918" s="36"/>
      <c r="G918" s="24" t="str">
        <f>IFERROR(__xludf.DUMMYFUNCTION("iferror(iferror(iferror(index(IMPORTRANGE(""1NK5L1mviMn0j3D3uo53ASkIZOFRlLnqaCTnwzOG2_Wg"",""Direct Link!B2:B""),MATCH($B918,IMPORTRANGE(""1NK5L1mviMn0j3D3uo53ASkIZOFRlLnqaCTnwzOG2_Wg"",""Direct Link!A2:A""),0)),XLOOKUP($B918,IMPORTRANGE(""1NK5L1mviMn0j3D"&amp;"3uo53ASkIZOFRlLnqaCTnwzOG2_Wg"",""Direct links Without Sizes!A2:A""),IMPORTRANGE(""1NK5L1mviMn0j3D3uo53ASkIZOFRlLnqaCTnwzOG2_Wg"",""Direct links Without Sizes!B2:B""))),XLOOKUP($B918,IMPORTRANGE(""1NK5L1mviMn0j3D3uo53ASkIZOFRlLnqaCTnwzOG2_Wg"",""Direct li"&amp;"nks Without Sizes!D2:D""),IMPORTRANGE(""1NK5L1mviMn0j3D3uo53ASkIZOFRlLnqaCTnwzOG2_Wg"",""Direct links Without Sizes!E2:E""))),"""")"),"")</f>
        <v/>
      </c>
      <c r="H918" s="41"/>
      <c r="I918" s="4"/>
      <c r="J918" s="4"/>
      <c r="K918" s="10" t="str">
        <f t="shared" si="1"/>
        <v/>
      </c>
      <c r="L918" s="10"/>
      <c r="M918" s="10" t="str">
        <f t="shared" si="2"/>
        <v/>
      </c>
    </row>
    <row r="919">
      <c r="A919" s="4"/>
      <c r="B919" s="15"/>
      <c r="C919" s="7" t="str">
        <f>IFERROR(__xludf.DUMMYFUNCTION("iferror(iferror(INDEX(IMPORTRANGE(""12vtnxaE_Q1s4tyr10kZQx7ZF_xG0lBFae4jQEUtgsMU"",""All!B2:B""),MATCH($B919,IMPORTRANGE(""12vtnxaE_Q1s4tyr10kZQx7ZF_xG0lBFae4jQEUtgsMU"",""All!A2:A""),0)),INDEX(IMPORTRANGE(""13KC70HngS4DDi8y9E5khtSpQEPG6owaQ9z4E-tR5mnY"","&amp;"""Non-Food!B2:B""),MATCH($B919,IMPORTRANGE(""13KC70HngS4DDi8y9E5khtSpQEPG6owaQ9z4E-tR5mnY"",""Non-Food!A2:A""),0))),"""")"),"")</f>
        <v/>
      </c>
      <c r="D919" s="15"/>
      <c r="E919" s="15"/>
      <c r="F919" s="36"/>
      <c r="G919" s="24" t="str">
        <f>IFERROR(__xludf.DUMMYFUNCTION("iferror(iferror(iferror(index(IMPORTRANGE(""1NK5L1mviMn0j3D3uo53ASkIZOFRlLnqaCTnwzOG2_Wg"",""Direct Link!B2:B""),MATCH($B919,IMPORTRANGE(""1NK5L1mviMn0j3D3uo53ASkIZOFRlLnqaCTnwzOG2_Wg"",""Direct Link!A2:A""),0)),XLOOKUP($B919,IMPORTRANGE(""1NK5L1mviMn0j3D"&amp;"3uo53ASkIZOFRlLnqaCTnwzOG2_Wg"",""Direct links Without Sizes!A2:A""),IMPORTRANGE(""1NK5L1mviMn0j3D3uo53ASkIZOFRlLnqaCTnwzOG2_Wg"",""Direct links Without Sizes!B2:B""))),XLOOKUP($B919,IMPORTRANGE(""1NK5L1mviMn0j3D3uo53ASkIZOFRlLnqaCTnwzOG2_Wg"",""Direct li"&amp;"nks Without Sizes!D2:D""),IMPORTRANGE(""1NK5L1mviMn0j3D3uo53ASkIZOFRlLnqaCTnwzOG2_Wg"",""Direct links Without Sizes!E2:E""))),"""")"),"")</f>
        <v/>
      </c>
      <c r="H919" s="41"/>
      <c r="I919" s="4"/>
      <c r="J919" s="4"/>
      <c r="K919" s="10" t="str">
        <f t="shared" si="1"/>
        <v/>
      </c>
      <c r="L919" s="10"/>
      <c r="M919" s="10" t="str">
        <f t="shared" si="2"/>
        <v/>
      </c>
    </row>
    <row r="920">
      <c r="A920" s="4"/>
      <c r="B920" s="15"/>
      <c r="C920" s="7" t="str">
        <f>IFERROR(__xludf.DUMMYFUNCTION("iferror(iferror(INDEX(IMPORTRANGE(""12vtnxaE_Q1s4tyr10kZQx7ZF_xG0lBFae4jQEUtgsMU"",""All!B2:B""),MATCH($B920,IMPORTRANGE(""12vtnxaE_Q1s4tyr10kZQx7ZF_xG0lBFae4jQEUtgsMU"",""All!A2:A""),0)),INDEX(IMPORTRANGE(""13KC70HngS4DDi8y9E5khtSpQEPG6owaQ9z4E-tR5mnY"","&amp;"""Non-Food!B2:B""),MATCH($B920,IMPORTRANGE(""13KC70HngS4DDi8y9E5khtSpQEPG6owaQ9z4E-tR5mnY"",""Non-Food!A2:A""),0))),"""")"),"")</f>
        <v/>
      </c>
      <c r="D920" s="15"/>
      <c r="E920" s="15"/>
      <c r="F920" s="36"/>
      <c r="G920" s="24" t="str">
        <f>IFERROR(__xludf.DUMMYFUNCTION("iferror(iferror(iferror(index(IMPORTRANGE(""1NK5L1mviMn0j3D3uo53ASkIZOFRlLnqaCTnwzOG2_Wg"",""Direct Link!B2:B""),MATCH($B920,IMPORTRANGE(""1NK5L1mviMn0j3D3uo53ASkIZOFRlLnqaCTnwzOG2_Wg"",""Direct Link!A2:A""),0)),XLOOKUP($B920,IMPORTRANGE(""1NK5L1mviMn0j3D"&amp;"3uo53ASkIZOFRlLnqaCTnwzOG2_Wg"",""Direct links Without Sizes!A2:A""),IMPORTRANGE(""1NK5L1mviMn0j3D3uo53ASkIZOFRlLnqaCTnwzOG2_Wg"",""Direct links Without Sizes!B2:B""))),XLOOKUP($B920,IMPORTRANGE(""1NK5L1mviMn0j3D3uo53ASkIZOFRlLnqaCTnwzOG2_Wg"",""Direct li"&amp;"nks Without Sizes!D2:D""),IMPORTRANGE(""1NK5L1mviMn0j3D3uo53ASkIZOFRlLnqaCTnwzOG2_Wg"",""Direct links Without Sizes!E2:E""))),"""")"),"")</f>
        <v/>
      </c>
      <c r="H920" s="41"/>
      <c r="I920" s="4"/>
      <c r="J920" s="4"/>
      <c r="K920" s="10" t="str">
        <f t="shared" si="1"/>
        <v/>
      </c>
      <c r="L920" s="10"/>
      <c r="M920" s="10" t="str">
        <f t="shared" si="2"/>
        <v/>
      </c>
    </row>
    <row r="921">
      <c r="A921" s="4"/>
      <c r="B921" s="15"/>
      <c r="C921" s="7" t="str">
        <f>IFERROR(__xludf.DUMMYFUNCTION("iferror(iferror(INDEX(IMPORTRANGE(""12vtnxaE_Q1s4tyr10kZQx7ZF_xG0lBFae4jQEUtgsMU"",""All!B2:B""),MATCH($B921,IMPORTRANGE(""12vtnxaE_Q1s4tyr10kZQx7ZF_xG0lBFae4jQEUtgsMU"",""All!A2:A""),0)),INDEX(IMPORTRANGE(""13KC70HngS4DDi8y9E5khtSpQEPG6owaQ9z4E-tR5mnY"","&amp;"""Non-Food!B2:B""),MATCH($B921,IMPORTRANGE(""13KC70HngS4DDi8y9E5khtSpQEPG6owaQ9z4E-tR5mnY"",""Non-Food!A2:A""),0))),"""")"),"")</f>
        <v/>
      </c>
      <c r="D921" s="15"/>
      <c r="E921" s="15"/>
      <c r="F921" s="36"/>
      <c r="G921" s="24" t="str">
        <f>IFERROR(__xludf.DUMMYFUNCTION("iferror(iferror(iferror(index(IMPORTRANGE(""1NK5L1mviMn0j3D3uo53ASkIZOFRlLnqaCTnwzOG2_Wg"",""Direct Link!B2:B""),MATCH($B921,IMPORTRANGE(""1NK5L1mviMn0j3D3uo53ASkIZOFRlLnqaCTnwzOG2_Wg"",""Direct Link!A2:A""),0)),XLOOKUP($B921,IMPORTRANGE(""1NK5L1mviMn0j3D"&amp;"3uo53ASkIZOFRlLnqaCTnwzOG2_Wg"",""Direct links Without Sizes!A2:A""),IMPORTRANGE(""1NK5L1mviMn0j3D3uo53ASkIZOFRlLnqaCTnwzOG2_Wg"",""Direct links Without Sizes!B2:B""))),XLOOKUP($B921,IMPORTRANGE(""1NK5L1mviMn0j3D3uo53ASkIZOFRlLnqaCTnwzOG2_Wg"",""Direct li"&amp;"nks Without Sizes!D2:D""),IMPORTRANGE(""1NK5L1mviMn0j3D3uo53ASkIZOFRlLnqaCTnwzOG2_Wg"",""Direct links Without Sizes!E2:E""))),"""")"),"")</f>
        <v/>
      </c>
      <c r="H921" s="41"/>
      <c r="I921" s="4"/>
      <c r="J921" s="4"/>
      <c r="K921" s="10" t="str">
        <f t="shared" si="1"/>
        <v/>
      </c>
      <c r="L921" s="10"/>
      <c r="M921" s="10" t="str">
        <f t="shared" si="2"/>
        <v/>
      </c>
    </row>
    <row r="922">
      <c r="A922" s="4"/>
      <c r="B922" s="15"/>
      <c r="C922" s="7" t="str">
        <f>IFERROR(__xludf.DUMMYFUNCTION("iferror(iferror(INDEX(IMPORTRANGE(""12vtnxaE_Q1s4tyr10kZQx7ZF_xG0lBFae4jQEUtgsMU"",""All!B2:B""),MATCH($B922,IMPORTRANGE(""12vtnxaE_Q1s4tyr10kZQx7ZF_xG0lBFae4jQEUtgsMU"",""All!A2:A""),0)),INDEX(IMPORTRANGE(""13KC70HngS4DDi8y9E5khtSpQEPG6owaQ9z4E-tR5mnY"","&amp;"""Non-Food!B2:B""),MATCH($B922,IMPORTRANGE(""13KC70HngS4DDi8y9E5khtSpQEPG6owaQ9z4E-tR5mnY"",""Non-Food!A2:A""),0))),"""")"),"")</f>
        <v/>
      </c>
      <c r="D922" s="15"/>
      <c r="E922" s="15"/>
      <c r="F922" s="36"/>
      <c r="G922" s="24" t="str">
        <f>IFERROR(__xludf.DUMMYFUNCTION("iferror(iferror(iferror(index(IMPORTRANGE(""1NK5L1mviMn0j3D3uo53ASkIZOFRlLnqaCTnwzOG2_Wg"",""Direct Link!B2:B""),MATCH($B922,IMPORTRANGE(""1NK5L1mviMn0j3D3uo53ASkIZOFRlLnqaCTnwzOG2_Wg"",""Direct Link!A2:A""),0)),XLOOKUP($B922,IMPORTRANGE(""1NK5L1mviMn0j3D"&amp;"3uo53ASkIZOFRlLnqaCTnwzOG2_Wg"",""Direct links Without Sizes!A2:A""),IMPORTRANGE(""1NK5L1mviMn0j3D3uo53ASkIZOFRlLnqaCTnwzOG2_Wg"",""Direct links Without Sizes!B2:B""))),XLOOKUP($B922,IMPORTRANGE(""1NK5L1mviMn0j3D3uo53ASkIZOFRlLnqaCTnwzOG2_Wg"",""Direct li"&amp;"nks Without Sizes!D2:D""),IMPORTRANGE(""1NK5L1mviMn0j3D3uo53ASkIZOFRlLnqaCTnwzOG2_Wg"",""Direct links Without Sizes!E2:E""))),"""")"),"")</f>
        <v/>
      </c>
      <c r="H922" s="41"/>
      <c r="I922" s="4"/>
      <c r="J922" s="4"/>
      <c r="K922" s="10" t="str">
        <f t="shared" si="1"/>
        <v/>
      </c>
      <c r="L922" s="10"/>
      <c r="M922" s="10" t="str">
        <f t="shared" si="2"/>
        <v/>
      </c>
    </row>
    <row r="923">
      <c r="A923" s="4"/>
      <c r="B923" s="15"/>
      <c r="C923" s="7" t="str">
        <f>IFERROR(__xludf.DUMMYFUNCTION("iferror(iferror(INDEX(IMPORTRANGE(""12vtnxaE_Q1s4tyr10kZQx7ZF_xG0lBFae4jQEUtgsMU"",""All!B2:B""),MATCH($B923,IMPORTRANGE(""12vtnxaE_Q1s4tyr10kZQx7ZF_xG0lBFae4jQEUtgsMU"",""All!A2:A""),0)),INDEX(IMPORTRANGE(""13KC70HngS4DDi8y9E5khtSpQEPG6owaQ9z4E-tR5mnY"","&amp;"""Non-Food!B2:B""),MATCH($B923,IMPORTRANGE(""13KC70HngS4DDi8y9E5khtSpQEPG6owaQ9z4E-tR5mnY"",""Non-Food!A2:A""),0))),"""")"),"")</f>
        <v/>
      </c>
      <c r="D923" s="15"/>
      <c r="E923" s="15"/>
      <c r="F923" s="36"/>
      <c r="G923" s="24" t="str">
        <f>IFERROR(__xludf.DUMMYFUNCTION("iferror(iferror(iferror(index(IMPORTRANGE(""1NK5L1mviMn0j3D3uo53ASkIZOFRlLnqaCTnwzOG2_Wg"",""Direct Link!B2:B""),MATCH($B923,IMPORTRANGE(""1NK5L1mviMn0j3D3uo53ASkIZOFRlLnqaCTnwzOG2_Wg"",""Direct Link!A2:A""),0)),XLOOKUP($B923,IMPORTRANGE(""1NK5L1mviMn0j3D"&amp;"3uo53ASkIZOFRlLnqaCTnwzOG2_Wg"",""Direct links Without Sizes!A2:A""),IMPORTRANGE(""1NK5L1mviMn0j3D3uo53ASkIZOFRlLnqaCTnwzOG2_Wg"",""Direct links Without Sizes!B2:B""))),XLOOKUP($B923,IMPORTRANGE(""1NK5L1mviMn0j3D3uo53ASkIZOFRlLnqaCTnwzOG2_Wg"",""Direct li"&amp;"nks Without Sizes!D2:D""),IMPORTRANGE(""1NK5L1mviMn0j3D3uo53ASkIZOFRlLnqaCTnwzOG2_Wg"",""Direct links Without Sizes!E2:E""))),"""")"),"")</f>
        <v/>
      </c>
      <c r="H923" s="41"/>
      <c r="I923" s="4"/>
      <c r="J923" s="4"/>
      <c r="K923" s="10" t="str">
        <f t="shared" si="1"/>
        <v/>
      </c>
      <c r="L923" s="10"/>
      <c r="M923" s="10" t="str">
        <f t="shared" si="2"/>
        <v/>
      </c>
    </row>
    <row r="924">
      <c r="A924" s="4"/>
      <c r="B924" s="15"/>
      <c r="C924" s="7" t="str">
        <f>IFERROR(__xludf.DUMMYFUNCTION("iferror(iferror(INDEX(IMPORTRANGE(""12vtnxaE_Q1s4tyr10kZQx7ZF_xG0lBFae4jQEUtgsMU"",""All!B2:B""),MATCH($B924,IMPORTRANGE(""12vtnxaE_Q1s4tyr10kZQx7ZF_xG0lBFae4jQEUtgsMU"",""All!A2:A""),0)),INDEX(IMPORTRANGE(""13KC70HngS4DDi8y9E5khtSpQEPG6owaQ9z4E-tR5mnY"","&amp;"""Non-Food!B2:B""),MATCH($B924,IMPORTRANGE(""13KC70HngS4DDi8y9E5khtSpQEPG6owaQ9z4E-tR5mnY"",""Non-Food!A2:A""),0))),"""")"),"")</f>
        <v/>
      </c>
      <c r="D924" s="15"/>
      <c r="E924" s="15"/>
      <c r="F924" s="36"/>
      <c r="G924" s="24" t="str">
        <f>IFERROR(__xludf.DUMMYFUNCTION("iferror(iferror(iferror(index(IMPORTRANGE(""1NK5L1mviMn0j3D3uo53ASkIZOFRlLnqaCTnwzOG2_Wg"",""Direct Link!B2:B""),MATCH($B924,IMPORTRANGE(""1NK5L1mviMn0j3D3uo53ASkIZOFRlLnqaCTnwzOG2_Wg"",""Direct Link!A2:A""),0)),XLOOKUP($B924,IMPORTRANGE(""1NK5L1mviMn0j3D"&amp;"3uo53ASkIZOFRlLnqaCTnwzOG2_Wg"",""Direct links Without Sizes!A2:A""),IMPORTRANGE(""1NK5L1mviMn0j3D3uo53ASkIZOFRlLnqaCTnwzOG2_Wg"",""Direct links Without Sizes!B2:B""))),XLOOKUP($B924,IMPORTRANGE(""1NK5L1mviMn0j3D3uo53ASkIZOFRlLnqaCTnwzOG2_Wg"",""Direct li"&amp;"nks Without Sizes!D2:D""),IMPORTRANGE(""1NK5L1mviMn0j3D3uo53ASkIZOFRlLnqaCTnwzOG2_Wg"",""Direct links Without Sizes!E2:E""))),"""")"),"")</f>
        <v/>
      </c>
      <c r="H924" s="41"/>
      <c r="I924" s="4"/>
      <c r="J924" s="4"/>
      <c r="K924" s="10" t="str">
        <f t="shared" si="1"/>
        <v/>
      </c>
      <c r="L924" s="10"/>
      <c r="M924" s="10" t="str">
        <f t="shared" si="2"/>
        <v/>
      </c>
    </row>
    <row r="925">
      <c r="A925" s="4"/>
      <c r="B925" s="15"/>
      <c r="C925" s="7" t="str">
        <f>IFERROR(__xludf.DUMMYFUNCTION("iferror(iferror(INDEX(IMPORTRANGE(""12vtnxaE_Q1s4tyr10kZQx7ZF_xG0lBFae4jQEUtgsMU"",""All!B2:B""),MATCH($B925,IMPORTRANGE(""12vtnxaE_Q1s4tyr10kZQx7ZF_xG0lBFae4jQEUtgsMU"",""All!A2:A""),0)),INDEX(IMPORTRANGE(""13KC70HngS4DDi8y9E5khtSpQEPG6owaQ9z4E-tR5mnY"","&amp;"""Non-Food!B2:B""),MATCH($B925,IMPORTRANGE(""13KC70HngS4DDi8y9E5khtSpQEPG6owaQ9z4E-tR5mnY"",""Non-Food!A2:A""),0))),"""")"),"")</f>
        <v/>
      </c>
      <c r="D925" s="15"/>
      <c r="E925" s="15"/>
      <c r="F925" s="36"/>
      <c r="G925" s="24" t="str">
        <f>IFERROR(__xludf.DUMMYFUNCTION("iferror(iferror(iferror(index(IMPORTRANGE(""1NK5L1mviMn0j3D3uo53ASkIZOFRlLnqaCTnwzOG2_Wg"",""Direct Link!B2:B""),MATCH($B925,IMPORTRANGE(""1NK5L1mviMn0j3D3uo53ASkIZOFRlLnqaCTnwzOG2_Wg"",""Direct Link!A2:A""),0)),XLOOKUP($B925,IMPORTRANGE(""1NK5L1mviMn0j3D"&amp;"3uo53ASkIZOFRlLnqaCTnwzOG2_Wg"",""Direct links Without Sizes!A2:A""),IMPORTRANGE(""1NK5L1mviMn0j3D3uo53ASkIZOFRlLnqaCTnwzOG2_Wg"",""Direct links Without Sizes!B2:B""))),XLOOKUP($B925,IMPORTRANGE(""1NK5L1mviMn0j3D3uo53ASkIZOFRlLnqaCTnwzOG2_Wg"",""Direct li"&amp;"nks Without Sizes!D2:D""),IMPORTRANGE(""1NK5L1mviMn0j3D3uo53ASkIZOFRlLnqaCTnwzOG2_Wg"",""Direct links Without Sizes!E2:E""))),"""")"),"")</f>
        <v/>
      </c>
      <c r="H925" s="41"/>
      <c r="I925" s="4"/>
      <c r="J925" s="4"/>
      <c r="K925" s="10" t="str">
        <f t="shared" si="1"/>
        <v/>
      </c>
      <c r="L925" s="10"/>
      <c r="M925" s="10" t="str">
        <f t="shared" si="2"/>
        <v/>
      </c>
    </row>
    <row r="926">
      <c r="A926" s="4"/>
      <c r="B926" s="15"/>
      <c r="C926" s="7" t="str">
        <f>IFERROR(__xludf.DUMMYFUNCTION("iferror(iferror(INDEX(IMPORTRANGE(""12vtnxaE_Q1s4tyr10kZQx7ZF_xG0lBFae4jQEUtgsMU"",""All!B2:B""),MATCH($B926,IMPORTRANGE(""12vtnxaE_Q1s4tyr10kZQx7ZF_xG0lBFae4jQEUtgsMU"",""All!A2:A""),0)),INDEX(IMPORTRANGE(""13KC70HngS4DDi8y9E5khtSpQEPG6owaQ9z4E-tR5mnY"","&amp;"""Non-Food!B2:B""),MATCH($B926,IMPORTRANGE(""13KC70HngS4DDi8y9E5khtSpQEPG6owaQ9z4E-tR5mnY"",""Non-Food!A2:A""),0))),"""")"),"")</f>
        <v/>
      </c>
      <c r="D926" s="15"/>
      <c r="E926" s="15"/>
      <c r="F926" s="36"/>
      <c r="G926" s="24" t="str">
        <f>IFERROR(__xludf.DUMMYFUNCTION("iferror(iferror(iferror(index(IMPORTRANGE(""1NK5L1mviMn0j3D3uo53ASkIZOFRlLnqaCTnwzOG2_Wg"",""Direct Link!B2:B""),MATCH($B926,IMPORTRANGE(""1NK5L1mviMn0j3D3uo53ASkIZOFRlLnqaCTnwzOG2_Wg"",""Direct Link!A2:A""),0)),XLOOKUP($B926,IMPORTRANGE(""1NK5L1mviMn0j3D"&amp;"3uo53ASkIZOFRlLnqaCTnwzOG2_Wg"",""Direct links Without Sizes!A2:A""),IMPORTRANGE(""1NK5L1mviMn0j3D3uo53ASkIZOFRlLnqaCTnwzOG2_Wg"",""Direct links Without Sizes!B2:B""))),XLOOKUP($B926,IMPORTRANGE(""1NK5L1mviMn0j3D3uo53ASkIZOFRlLnqaCTnwzOG2_Wg"",""Direct li"&amp;"nks Without Sizes!D2:D""),IMPORTRANGE(""1NK5L1mviMn0j3D3uo53ASkIZOFRlLnqaCTnwzOG2_Wg"",""Direct links Without Sizes!E2:E""))),"""")"),"")</f>
        <v/>
      </c>
      <c r="H926" s="41"/>
      <c r="I926" s="4"/>
      <c r="J926" s="4"/>
      <c r="K926" s="10" t="str">
        <f t="shared" si="1"/>
        <v/>
      </c>
      <c r="L926" s="10"/>
      <c r="M926" s="10" t="str">
        <f t="shared" si="2"/>
        <v/>
      </c>
    </row>
    <row r="927">
      <c r="A927" s="4"/>
      <c r="B927" s="15"/>
      <c r="C927" s="7" t="str">
        <f>IFERROR(__xludf.DUMMYFUNCTION("iferror(iferror(INDEX(IMPORTRANGE(""12vtnxaE_Q1s4tyr10kZQx7ZF_xG0lBFae4jQEUtgsMU"",""All!B2:B""),MATCH($B927,IMPORTRANGE(""12vtnxaE_Q1s4tyr10kZQx7ZF_xG0lBFae4jQEUtgsMU"",""All!A2:A""),0)),INDEX(IMPORTRANGE(""13KC70HngS4DDi8y9E5khtSpQEPG6owaQ9z4E-tR5mnY"","&amp;"""Non-Food!B2:B""),MATCH($B927,IMPORTRANGE(""13KC70HngS4DDi8y9E5khtSpQEPG6owaQ9z4E-tR5mnY"",""Non-Food!A2:A""),0))),"""")"),"")</f>
        <v/>
      </c>
      <c r="D927" s="15"/>
      <c r="E927" s="15"/>
      <c r="F927" s="36"/>
      <c r="G927" s="24" t="str">
        <f>IFERROR(__xludf.DUMMYFUNCTION("iferror(iferror(iferror(index(IMPORTRANGE(""1NK5L1mviMn0j3D3uo53ASkIZOFRlLnqaCTnwzOG2_Wg"",""Direct Link!B2:B""),MATCH($B927,IMPORTRANGE(""1NK5L1mviMn0j3D3uo53ASkIZOFRlLnqaCTnwzOG2_Wg"",""Direct Link!A2:A""),0)),XLOOKUP($B927,IMPORTRANGE(""1NK5L1mviMn0j3D"&amp;"3uo53ASkIZOFRlLnqaCTnwzOG2_Wg"",""Direct links Without Sizes!A2:A""),IMPORTRANGE(""1NK5L1mviMn0j3D3uo53ASkIZOFRlLnqaCTnwzOG2_Wg"",""Direct links Without Sizes!B2:B""))),XLOOKUP($B927,IMPORTRANGE(""1NK5L1mviMn0j3D3uo53ASkIZOFRlLnqaCTnwzOG2_Wg"",""Direct li"&amp;"nks Without Sizes!D2:D""),IMPORTRANGE(""1NK5L1mviMn0j3D3uo53ASkIZOFRlLnqaCTnwzOG2_Wg"",""Direct links Without Sizes!E2:E""))),"""")"),"")</f>
        <v/>
      </c>
      <c r="H927" s="41"/>
      <c r="I927" s="4"/>
      <c r="J927" s="4"/>
      <c r="K927" s="10" t="str">
        <f t="shared" si="1"/>
        <v/>
      </c>
      <c r="L927" s="10"/>
      <c r="M927" s="10" t="str">
        <f t="shared" si="2"/>
        <v/>
      </c>
    </row>
    <row r="928">
      <c r="A928" s="4"/>
      <c r="B928" s="15"/>
      <c r="C928" s="7" t="str">
        <f>IFERROR(__xludf.DUMMYFUNCTION("iferror(iferror(INDEX(IMPORTRANGE(""12vtnxaE_Q1s4tyr10kZQx7ZF_xG0lBFae4jQEUtgsMU"",""All!B2:B""),MATCH($B928,IMPORTRANGE(""12vtnxaE_Q1s4tyr10kZQx7ZF_xG0lBFae4jQEUtgsMU"",""All!A2:A""),0)),INDEX(IMPORTRANGE(""13KC70HngS4DDi8y9E5khtSpQEPG6owaQ9z4E-tR5mnY"","&amp;"""Non-Food!B2:B""),MATCH($B928,IMPORTRANGE(""13KC70HngS4DDi8y9E5khtSpQEPG6owaQ9z4E-tR5mnY"",""Non-Food!A2:A""),0))),"""")"),"")</f>
        <v/>
      </c>
      <c r="D928" s="15"/>
      <c r="E928" s="15"/>
      <c r="F928" s="36"/>
      <c r="G928" s="24" t="str">
        <f>IFERROR(__xludf.DUMMYFUNCTION("iferror(iferror(iferror(index(IMPORTRANGE(""1NK5L1mviMn0j3D3uo53ASkIZOFRlLnqaCTnwzOG2_Wg"",""Direct Link!B2:B""),MATCH($B928,IMPORTRANGE(""1NK5L1mviMn0j3D3uo53ASkIZOFRlLnqaCTnwzOG2_Wg"",""Direct Link!A2:A""),0)),XLOOKUP($B928,IMPORTRANGE(""1NK5L1mviMn0j3D"&amp;"3uo53ASkIZOFRlLnqaCTnwzOG2_Wg"",""Direct links Without Sizes!A2:A""),IMPORTRANGE(""1NK5L1mviMn0j3D3uo53ASkIZOFRlLnqaCTnwzOG2_Wg"",""Direct links Without Sizes!B2:B""))),XLOOKUP($B928,IMPORTRANGE(""1NK5L1mviMn0j3D3uo53ASkIZOFRlLnqaCTnwzOG2_Wg"",""Direct li"&amp;"nks Without Sizes!D2:D""),IMPORTRANGE(""1NK5L1mviMn0j3D3uo53ASkIZOFRlLnqaCTnwzOG2_Wg"",""Direct links Without Sizes!E2:E""))),"""")"),"")</f>
        <v/>
      </c>
      <c r="H928" s="41"/>
      <c r="I928" s="4"/>
      <c r="J928" s="4"/>
      <c r="K928" s="10" t="str">
        <f t="shared" si="1"/>
        <v/>
      </c>
      <c r="L928" s="10"/>
      <c r="M928" s="10" t="str">
        <f t="shared" si="2"/>
        <v/>
      </c>
    </row>
    <row r="929">
      <c r="A929" s="4"/>
      <c r="B929" s="15"/>
      <c r="C929" s="7" t="str">
        <f>IFERROR(__xludf.DUMMYFUNCTION("iferror(iferror(INDEX(IMPORTRANGE(""12vtnxaE_Q1s4tyr10kZQx7ZF_xG0lBFae4jQEUtgsMU"",""All!B2:B""),MATCH($B929,IMPORTRANGE(""12vtnxaE_Q1s4tyr10kZQx7ZF_xG0lBFae4jQEUtgsMU"",""All!A2:A""),0)),INDEX(IMPORTRANGE(""13KC70HngS4DDi8y9E5khtSpQEPG6owaQ9z4E-tR5mnY"","&amp;"""Non-Food!B2:B""),MATCH($B929,IMPORTRANGE(""13KC70HngS4DDi8y9E5khtSpQEPG6owaQ9z4E-tR5mnY"",""Non-Food!A2:A""),0))),"""")"),"")</f>
        <v/>
      </c>
      <c r="D929" s="15"/>
      <c r="E929" s="15"/>
      <c r="F929" s="36"/>
      <c r="G929" s="24" t="str">
        <f>IFERROR(__xludf.DUMMYFUNCTION("iferror(iferror(iferror(index(IMPORTRANGE(""1NK5L1mviMn0j3D3uo53ASkIZOFRlLnqaCTnwzOG2_Wg"",""Direct Link!B2:B""),MATCH($B929,IMPORTRANGE(""1NK5L1mviMn0j3D3uo53ASkIZOFRlLnqaCTnwzOG2_Wg"",""Direct Link!A2:A""),0)),XLOOKUP($B929,IMPORTRANGE(""1NK5L1mviMn0j3D"&amp;"3uo53ASkIZOFRlLnqaCTnwzOG2_Wg"",""Direct links Without Sizes!A2:A""),IMPORTRANGE(""1NK5L1mviMn0j3D3uo53ASkIZOFRlLnqaCTnwzOG2_Wg"",""Direct links Without Sizes!B2:B""))),XLOOKUP($B929,IMPORTRANGE(""1NK5L1mviMn0j3D3uo53ASkIZOFRlLnqaCTnwzOG2_Wg"",""Direct li"&amp;"nks Without Sizes!D2:D""),IMPORTRANGE(""1NK5L1mviMn0j3D3uo53ASkIZOFRlLnqaCTnwzOG2_Wg"",""Direct links Without Sizes!E2:E""))),"""")"),"")</f>
        <v/>
      </c>
      <c r="H929" s="41"/>
      <c r="I929" s="4"/>
      <c r="J929" s="4"/>
      <c r="K929" s="10" t="str">
        <f t="shared" si="1"/>
        <v/>
      </c>
      <c r="L929" s="10"/>
      <c r="M929" s="10" t="str">
        <f t="shared" si="2"/>
        <v/>
      </c>
    </row>
    <row r="930">
      <c r="A930" s="4"/>
      <c r="B930" s="15"/>
      <c r="C930" s="7" t="str">
        <f>IFERROR(__xludf.DUMMYFUNCTION("iferror(iferror(INDEX(IMPORTRANGE(""12vtnxaE_Q1s4tyr10kZQx7ZF_xG0lBFae4jQEUtgsMU"",""All!B2:B""),MATCH($B930,IMPORTRANGE(""12vtnxaE_Q1s4tyr10kZQx7ZF_xG0lBFae4jQEUtgsMU"",""All!A2:A""),0)),INDEX(IMPORTRANGE(""13KC70HngS4DDi8y9E5khtSpQEPG6owaQ9z4E-tR5mnY"","&amp;"""Non-Food!B2:B""),MATCH($B930,IMPORTRANGE(""13KC70HngS4DDi8y9E5khtSpQEPG6owaQ9z4E-tR5mnY"",""Non-Food!A2:A""),0))),"""")"),"")</f>
        <v/>
      </c>
      <c r="D930" s="15"/>
      <c r="E930" s="15"/>
      <c r="F930" s="36"/>
      <c r="G930" s="24" t="str">
        <f>IFERROR(__xludf.DUMMYFUNCTION("iferror(iferror(iferror(index(IMPORTRANGE(""1NK5L1mviMn0j3D3uo53ASkIZOFRlLnqaCTnwzOG2_Wg"",""Direct Link!B2:B""),MATCH($B930,IMPORTRANGE(""1NK5L1mviMn0j3D3uo53ASkIZOFRlLnqaCTnwzOG2_Wg"",""Direct Link!A2:A""),0)),XLOOKUP($B930,IMPORTRANGE(""1NK5L1mviMn0j3D"&amp;"3uo53ASkIZOFRlLnqaCTnwzOG2_Wg"",""Direct links Without Sizes!A2:A""),IMPORTRANGE(""1NK5L1mviMn0j3D3uo53ASkIZOFRlLnqaCTnwzOG2_Wg"",""Direct links Without Sizes!B2:B""))),XLOOKUP($B930,IMPORTRANGE(""1NK5L1mviMn0j3D3uo53ASkIZOFRlLnqaCTnwzOG2_Wg"",""Direct li"&amp;"nks Without Sizes!D2:D""),IMPORTRANGE(""1NK5L1mviMn0j3D3uo53ASkIZOFRlLnqaCTnwzOG2_Wg"",""Direct links Without Sizes!E2:E""))),"""")"),"")</f>
        <v/>
      </c>
      <c r="H930" s="41"/>
      <c r="I930" s="4"/>
      <c r="J930" s="4"/>
      <c r="K930" s="10" t="str">
        <f t="shared" si="1"/>
        <v/>
      </c>
      <c r="L930" s="10"/>
      <c r="M930" s="10" t="str">
        <f t="shared" si="2"/>
        <v/>
      </c>
    </row>
    <row r="931">
      <c r="A931" s="4"/>
      <c r="B931" s="15"/>
      <c r="C931" s="7" t="str">
        <f>IFERROR(__xludf.DUMMYFUNCTION("iferror(iferror(INDEX(IMPORTRANGE(""12vtnxaE_Q1s4tyr10kZQx7ZF_xG0lBFae4jQEUtgsMU"",""All!B2:B""),MATCH($B931,IMPORTRANGE(""12vtnxaE_Q1s4tyr10kZQx7ZF_xG0lBFae4jQEUtgsMU"",""All!A2:A""),0)),INDEX(IMPORTRANGE(""13KC70HngS4DDi8y9E5khtSpQEPG6owaQ9z4E-tR5mnY"","&amp;"""Non-Food!B2:B""),MATCH($B931,IMPORTRANGE(""13KC70HngS4DDi8y9E5khtSpQEPG6owaQ9z4E-tR5mnY"",""Non-Food!A2:A""),0))),"""")"),"")</f>
        <v/>
      </c>
      <c r="D931" s="15"/>
      <c r="E931" s="15"/>
      <c r="F931" s="36"/>
      <c r="G931" s="24" t="str">
        <f>IFERROR(__xludf.DUMMYFUNCTION("iferror(iferror(iferror(index(IMPORTRANGE(""1NK5L1mviMn0j3D3uo53ASkIZOFRlLnqaCTnwzOG2_Wg"",""Direct Link!B2:B""),MATCH($B931,IMPORTRANGE(""1NK5L1mviMn0j3D3uo53ASkIZOFRlLnqaCTnwzOG2_Wg"",""Direct Link!A2:A""),0)),XLOOKUP($B931,IMPORTRANGE(""1NK5L1mviMn0j3D"&amp;"3uo53ASkIZOFRlLnqaCTnwzOG2_Wg"",""Direct links Without Sizes!A2:A""),IMPORTRANGE(""1NK5L1mviMn0j3D3uo53ASkIZOFRlLnqaCTnwzOG2_Wg"",""Direct links Without Sizes!B2:B""))),XLOOKUP($B931,IMPORTRANGE(""1NK5L1mviMn0j3D3uo53ASkIZOFRlLnqaCTnwzOG2_Wg"",""Direct li"&amp;"nks Without Sizes!D2:D""),IMPORTRANGE(""1NK5L1mviMn0j3D3uo53ASkIZOFRlLnqaCTnwzOG2_Wg"",""Direct links Without Sizes!E2:E""))),"""")"),"")</f>
        <v/>
      </c>
      <c r="H931" s="41"/>
      <c r="I931" s="4"/>
      <c r="J931" s="4"/>
      <c r="K931" s="10" t="str">
        <f t="shared" si="1"/>
        <v/>
      </c>
      <c r="L931" s="10"/>
      <c r="M931" s="10" t="str">
        <f t="shared" si="2"/>
        <v/>
      </c>
    </row>
    <row r="932">
      <c r="A932" s="4"/>
      <c r="B932" s="14"/>
      <c r="C932" s="7" t="str">
        <f>IFERROR(__xludf.DUMMYFUNCTION("iferror(iferror(INDEX(IMPORTRANGE(""12vtnxaE_Q1s4tyr10kZQx7ZF_xG0lBFae4jQEUtgsMU"",""All!B2:B""),MATCH($B932,IMPORTRANGE(""12vtnxaE_Q1s4tyr10kZQx7ZF_xG0lBFae4jQEUtgsMU"",""All!A2:A""),0)),INDEX(IMPORTRANGE(""13KC70HngS4DDi8y9E5khtSpQEPG6owaQ9z4E-tR5mnY"","&amp;"""Non-Food!B2:B""),MATCH($B932,IMPORTRANGE(""13KC70HngS4DDi8y9E5khtSpQEPG6owaQ9z4E-tR5mnY"",""Non-Food!A2:A""),0))),"""")"),"")</f>
        <v/>
      </c>
      <c r="D932" s="15"/>
      <c r="E932" s="15"/>
      <c r="F932" s="36"/>
      <c r="G932" s="24" t="str">
        <f>IFERROR(__xludf.DUMMYFUNCTION("iferror(iferror(iferror(index(IMPORTRANGE(""1NK5L1mviMn0j3D3uo53ASkIZOFRlLnqaCTnwzOG2_Wg"",""Direct Link!B2:B""),MATCH($B932,IMPORTRANGE(""1NK5L1mviMn0j3D3uo53ASkIZOFRlLnqaCTnwzOG2_Wg"",""Direct Link!A2:A""),0)),XLOOKUP($B932,IMPORTRANGE(""1NK5L1mviMn0j3D"&amp;"3uo53ASkIZOFRlLnqaCTnwzOG2_Wg"",""Direct links Without Sizes!A2:A""),IMPORTRANGE(""1NK5L1mviMn0j3D3uo53ASkIZOFRlLnqaCTnwzOG2_Wg"",""Direct links Without Sizes!B2:B""))),XLOOKUP($B932,IMPORTRANGE(""1NK5L1mviMn0j3D3uo53ASkIZOFRlLnqaCTnwzOG2_Wg"",""Direct li"&amp;"nks Without Sizes!D2:D""),IMPORTRANGE(""1NK5L1mviMn0j3D3uo53ASkIZOFRlLnqaCTnwzOG2_Wg"",""Direct links Without Sizes!E2:E""))),"""")"),"")</f>
        <v/>
      </c>
      <c r="H932" s="41"/>
      <c r="I932" s="4"/>
      <c r="J932" s="4"/>
      <c r="K932" s="10" t="str">
        <f t="shared" si="1"/>
        <v/>
      </c>
      <c r="L932" s="10"/>
      <c r="M932" s="10" t="str">
        <f t="shared" si="2"/>
        <v/>
      </c>
    </row>
    <row r="933">
      <c r="A933" s="4"/>
      <c r="B933" s="15"/>
      <c r="C933" s="7" t="str">
        <f>IFERROR(__xludf.DUMMYFUNCTION("iferror(iferror(INDEX(IMPORTRANGE(""12vtnxaE_Q1s4tyr10kZQx7ZF_xG0lBFae4jQEUtgsMU"",""All!B2:B""),MATCH($B933,IMPORTRANGE(""12vtnxaE_Q1s4tyr10kZQx7ZF_xG0lBFae4jQEUtgsMU"",""All!A2:A""),0)),INDEX(IMPORTRANGE(""13KC70HngS4DDi8y9E5khtSpQEPG6owaQ9z4E-tR5mnY"","&amp;"""Non-Food!B2:B""),MATCH($B933,IMPORTRANGE(""13KC70HngS4DDi8y9E5khtSpQEPG6owaQ9z4E-tR5mnY"",""Non-Food!A2:A""),0))),"""")"),"")</f>
        <v/>
      </c>
      <c r="D933" s="15"/>
      <c r="E933" s="15"/>
      <c r="F933" s="36"/>
      <c r="G933" s="24" t="str">
        <f>IFERROR(__xludf.DUMMYFUNCTION("iferror(iferror(iferror(index(IMPORTRANGE(""1NK5L1mviMn0j3D3uo53ASkIZOFRlLnqaCTnwzOG2_Wg"",""Direct Link!B2:B""),MATCH($B933,IMPORTRANGE(""1NK5L1mviMn0j3D3uo53ASkIZOFRlLnqaCTnwzOG2_Wg"",""Direct Link!A2:A""),0)),XLOOKUP($B933,IMPORTRANGE(""1NK5L1mviMn0j3D"&amp;"3uo53ASkIZOFRlLnqaCTnwzOG2_Wg"",""Direct links Without Sizes!A2:A""),IMPORTRANGE(""1NK5L1mviMn0j3D3uo53ASkIZOFRlLnqaCTnwzOG2_Wg"",""Direct links Without Sizes!B2:B""))),XLOOKUP($B933,IMPORTRANGE(""1NK5L1mviMn0j3D3uo53ASkIZOFRlLnqaCTnwzOG2_Wg"",""Direct li"&amp;"nks Without Sizes!D2:D""),IMPORTRANGE(""1NK5L1mviMn0j3D3uo53ASkIZOFRlLnqaCTnwzOG2_Wg"",""Direct links Without Sizes!E2:E""))),"""")"),"")</f>
        <v/>
      </c>
      <c r="H933" s="41"/>
      <c r="I933" s="4"/>
      <c r="J933" s="4"/>
      <c r="K933" s="10" t="str">
        <f t="shared" si="1"/>
        <v/>
      </c>
      <c r="L933" s="10"/>
      <c r="M933" s="10" t="str">
        <f t="shared" si="2"/>
        <v/>
      </c>
    </row>
    <row r="934">
      <c r="A934" s="4"/>
      <c r="B934" s="15"/>
      <c r="C934" s="7" t="str">
        <f>IFERROR(__xludf.DUMMYFUNCTION("iferror(iferror(INDEX(IMPORTRANGE(""12vtnxaE_Q1s4tyr10kZQx7ZF_xG0lBFae4jQEUtgsMU"",""All!B2:B""),MATCH($B934,IMPORTRANGE(""12vtnxaE_Q1s4tyr10kZQx7ZF_xG0lBFae4jQEUtgsMU"",""All!A2:A""),0)),INDEX(IMPORTRANGE(""13KC70HngS4DDi8y9E5khtSpQEPG6owaQ9z4E-tR5mnY"","&amp;"""Non-Food!B2:B""),MATCH($B934,IMPORTRANGE(""13KC70HngS4DDi8y9E5khtSpQEPG6owaQ9z4E-tR5mnY"",""Non-Food!A2:A""),0))),"""")"),"")</f>
        <v/>
      </c>
      <c r="D934" s="15"/>
      <c r="E934" s="15"/>
      <c r="F934" s="36"/>
      <c r="G934" s="24" t="str">
        <f>IFERROR(__xludf.DUMMYFUNCTION("iferror(iferror(iferror(index(IMPORTRANGE(""1NK5L1mviMn0j3D3uo53ASkIZOFRlLnqaCTnwzOG2_Wg"",""Direct Link!B2:B""),MATCH($B934,IMPORTRANGE(""1NK5L1mviMn0j3D3uo53ASkIZOFRlLnqaCTnwzOG2_Wg"",""Direct Link!A2:A""),0)),XLOOKUP($B934,IMPORTRANGE(""1NK5L1mviMn0j3D"&amp;"3uo53ASkIZOFRlLnqaCTnwzOG2_Wg"",""Direct links Without Sizes!A2:A""),IMPORTRANGE(""1NK5L1mviMn0j3D3uo53ASkIZOFRlLnqaCTnwzOG2_Wg"",""Direct links Without Sizes!B2:B""))),XLOOKUP($B934,IMPORTRANGE(""1NK5L1mviMn0j3D3uo53ASkIZOFRlLnqaCTnwzOG2_Wg"",""Direct li"&amp;"nks Without Sizes!D2:D""),IMPORTRANGE(""1NK5L1mviMn0j3D3uo53ASkIZOFRlLnqaCTnwzOG2_Wg"",""Direct links Without Sizes!E2:E""))),"""")"),"")</f>
        <v/>
      </c>
      <c r="H934" s="41"/>
      <c r="I934" s="4"/>
      <c r="J934" s="4"/>
      <c r="K934" s="10" t="str">
        <f t="shared" si="1"/>
        <v/>
      </c>
      <c r="L934" s="10"/>
      <c r="M934" s="10" t="str">
        <f t="shared" si="2"/>
        <v/>
      </c>
    </row>
    <row r="935">
      <c r="A935" s="4"/>
      <c r="B935" s="15"/>
      <c r="C935" s="7" t="str">
        <f>IFERROR(__xludf.DUMMYFUNCTION("iferror(iferror(INDEX(IMPORTRANGE(""12vtnxaE_Q1s4tyr10kZQx7ZF_xG0lBFae4jQEUtgsMU"",""All!B2:B""),MATCH($B935,IMPORTRANGE(""12vtnxaE_Q1s4tyr10kZQx7ZF_xG0lBFae4jQEUtgsMU"",""All!A2:A""),0)),INDEX(IMPORTRANGE(""13KC70HngS4DDi8y9E5khtSpQEPG6owaQ9z4E-tR5mnY"","&amp;"""Non-Food!B2:B""),MATCH($B935,IMPORTRANGE(""13KC70HngS4DDi8y9E5khtSpQEPG6owaQ9z4E-tR5mnY"",""Non-Food!A2:A""),0))),"""")"),"")</f>
        <v/>
      </c>
      <c r="D935" s="15"/>
      <c r="E935" s="15"/>
      <c r="F935" s="36"/>
      <c r="G935" s="24" t="str">
        <f>IFERROR(__xludf.DUMMYFUNCTION("iferror(iferror(iferror(index(IMPORTRANGE(""1NK5L1mviMn0j3D3uo53ASkIZOFRlLnqaCTnwzOG2_Wg"",""Direct Link!B2:B""),MATCH($B935,IMPORTRANGE(""1NK5L1mviMn0j3D3uo53ASkIZOFRlLnqaCTnwzOG2_Wg"",""Direct Link!A2:A""),0)),XLOOKUP($B935,IMPORTRANGE(""1NK5L1mviMn0j3D"&amp;"3uo53ASkIZOFRlLnqaCTnwzOG2_Wg"",""Direct links Without Sizes!A2:A""),IMPORTRANGE(""1NK5L1mviMn0j3D3uo53ASkIZOFRlLnqaCTnwzOG2_Wg"",""Direct links Without Sizes!B2:B""))),XLOOKUP($B935,IMPORTRANGE(""1NK5L1mviMn0j3D3uo53ASkIZOFRlLnqaCTnwzOG2_Wg"",""Direct li"&amp;"nks Without Sizes!D2:D""),IMPORTRANGE(""1NK5L1mviMn0j3D3uo53ASkIZOFRlLnqaCTnwzOG2_Wg"",""Direct links Without Sizes!E2:E""))),"""")"),"")</f>
        <v/>
      </c>
      <c r="H935" s="41"/>
      <c r="I935" s="4"/>
      <c r="J935" s="4"/>
      <c r="K935" s="10" t="str">
        <f t="shared" si="1"/>
        <v/>
      </c>
      <c r="L935" s="10"/>
      <c r="M935" s="10" t="str">
        <f t="shared" si="2"/>
        <v/>
      </c>
    </row>
    <row r="936">
      <c r="A936" s="4"/>
      <c r="B936" s="15"/>
      <c r="C936" s="7" t="str">
        <f>IFERROR(__xludf.DUMMYFUNCTION("iferror(iferror(INDEX(IMPORTRANGE(""12vtnxaE_Q1s4tyr10kZQx7ZF_xG0lBFae4jQEUtgsMU"",""All!B2:B""),MATCH($B936,IMPORTRANGE(""12vtnxaE_Q1s4tyr10kZQx7ZF_xG0lBFae4jQEUtgsMU"",""All!A2:A""),0)),INDEX(IMPORTRANGE(""13KC70HngS4DDi8y9E5khtSpQEPG6owaQ9z4E-tR5mnY"","&amp;"""Non-Food!B2:B""),MATCH($B936,IMPORTRANGE(""13KC70HngS4DDi8y9E5khtSpQEPG6owaQ9z4E-tR5mnY"",""Non-Food!A2:A""),0))),"""")"),"")</f>
        <v/>
      </c>
      <c r="D936" s="15"/>
      <c r="E936" s="15"/>
      <c r="F936" s="36"/>
      <c r="G936" s="24" t="str">
        <f>IFERROR(__xludf.DUMMYFUNCTION("iferror(iferror(iferror(index(IMPORTRANGE(""1NK5L1mviMn0j3D3uo53ASkIZOFRlLnqaCTnwzOG2_Wg"",""Direct Link!B2:B""),MATCH($B936,IMPORTRANGE(""1NK5L1mviMn0j3D3uo53ASkIZOFRlLnqaCTnwzOG2_Wg"",""Direct Link!A2:A""),0)),XLOOKUP($B936,IMPORTRANGE(""1NK5L1mviMn0j3D"&amp;"3uo53ASkIZOFRlLnqaCTnwzOG2_Wg"",""Direct links Without Sizes!A2:A""),IMPORTRANGE(""1NK5L1mviMn0j3D3uo53ASkIZOFRlLnqaCTnwzOG2_Wg"",""Direct links Without Sizes!B2:B""))),XLOOKUP($B936,IMPORTRANGE(""1NK5L1mviMn0j3D3uo53ASkIZOFRlLnqaCTnwzOG2_Wg"",""Direct li"&amp;"nks Without Sizes!D2:D""),IMPORTRANGE(""1NK5L1mviMn0j3D3uo53ASkIZOFRlLnqaCTnwzOG2_Wg"",""Direct links Without Sizes!E2:E""))),"""")"),"")</f>
        <v/>
      </c>
      <c r="H936" s="41"/>
      <c r="I936" s="4"/>
      <c r="J936" s="4"/>
      <c r="K936" s="10" t="str">
        <f t="shared" si="1"/>
        <v/>
      </c>
      <c r="L936" s="10"/>
      <c r="M936" s="10" t="str">
        <f t="shared" si="2"/>
        <v/>
      </c>
    </row>
    <row r="937">
      <c r="A937" s="4"/>
      <c r="B937" s="15"/>
      <c r="C937" s="7" t="str">
        <f>IFERROR(__xludf.DUMMYFUNCTION("iferror(iferror(INDEX(IMPORTRANGE(""12vtnxaE_Q1s4tyr10kZQx7ZF_xG0lBFae4jQEUtgsMU"",""All!B2:B""),MATCH($B937,IMPORTRANGE(""12vtnxaE_Q1s4tyr10kZQx7ZF_xG0lBFae4jQEUtgsMU"",""All!A2:A""),0)),INDEX(IMPORTRANGE(""13KC70HngS4DDi8y9E5khtSpQEPG6owaQ9z4E-tR5mnY"","&amp;"""Non-Food!B2:B""),MATCH($B937,IMPORTRANGE(""13KC70HngS4DDi8y9E5khtSpQEPG6owaQ9z4E-tR5mnY"",""Non-Food!A2:A""),0))),"""")"),"")</f>
        <v/>
      </c>
      <c r="D937" s="15"/>
      <c r="E937" s="15"/>
      <c r="F937" s="36"/>
      <c r="G937" s="24" t="str">
        <f>IFERROR(__xludf.DUMMYFUNCTION("iferror(iferror(iferror(index(IMPORTRANGE(""1NK5L1mviMn0j3D3uo53ASkIZOFRlLnqaCTnwzOG2_Wg"",""Direct Link!B2:B""),MATCH($B937,IMPORTRANGE(""1NK5L1mviMn0j3D3uo53ASkIZOFRlLnqaCTnwzOG2_Wg"",""Direct Link!A2:A""),0)),XLOOKUP($B937,IMPORTRANGE(""1NK5L1mviMn0j3D"&amp;"3uo53ASkIZOFRlLnqaCTnwzOG2_Wg"",""Direct links Without Sizes!A2:A""),IMPORTRANGE(""1NK5L1mviMn0j3D3uo53ASkIZOFRlLnqaCTnwzOG2_Wg"",""Direct links Without Sizes!B2:B""))),XLOOKUP($B937,IMPORTRANGE(""1NK5L1mviMn0j3D3uo53ASkIZOFRlLnqaCTnwzOG2_Wg"",""Direct li"&amp;"nks Without Sizes!D2:D""),IMPORTRANGE(""1NK5L1mviMn0j3D3uo53ASkIZOFRlLnqaCTnwzOG2_Wg"",""Direct links Without Sizes!E2:E""))),"""")"),"")</f>
        <v/>
      </c>
      <c r="H937" s="41"/>
      <c r="I937" s="4"/>
      <c r="J937" s="4"/>
      <c r="K937" s="10" t="str">
        <f t="shared" si="1"/>
        <v/>
      </c>
      <c r="L937" s="10"/>
      <c r="M937" s="10" t="str">
        <f t="shared" si="2"/>
        <v/>
      </c>
    </row>
    <row r="938">
      <c r="A938" s="4"/>
      <c r="B938" s="15"/>
      <c r="C938" s="7" t="str">
        <f>IFERROR(__xludf.DUMMYFUNCTION("iferror(iferror(INDEX(IMPORTRANGE(""12vtnxaE_Q1s4tyr10kZQx7ZF_xG0lBFae4jQEUtgsMU"",""All!B2:B""),MATCH($B938,IMPORTRANGE(""12vtnxaE_Q1s4tyr10kZQx7ZF_xG0lBFae4jQEUtgsMU"",""All!A2:A""),0)),INDEX(IMPORTRANGE(""13KC70HngS4DDi8y9E5khtSpQEPG6owaQ9z4E-tR5mnY"","&amp;"""Non-Food!B2:B""),MATCH($B938,IMPORTRANGE(""13KC70HngS4DDi8y9E5khtSpQEPG6owaQ9z4E-tR5mnY"",""Non-Food!A2:A""),0))),"""")"),"")</f>
        <v/>
      </c>
      <c r="D938" s="15"/>
      <c r="E938" s="15"/>
      <c r="F938" s="36"/>
      <c r="G938" s="24" t="str">
        <f>IFERROR(__xludf.DUMMYFUNCTION("iferror(iferror(iferror(index(IMPORTRANGE(""1NK5L1mviMn0j3D3uo53ASkIZOFRlLnqaCTnwzOG2_Wg"",""Direct Link!B2:B""),MATCH($B938,IMPORTRANGE(""1NK5L1mviMn0j3D3uo53ASkIZOFRlLnqaCTnwzOG2_Wg"",""Direct Link!A2:A""),0)),XLOOKUP($B938,IMPORTRANGE(""1NK5L1mviMn0j3D"&amp;"3uo53ASkIZOFRlLnqaCTnwzOG2_Wg"",""Direct links Without Sizes!A2:A""),IMPORTRANGE(""1NK5L1mviMn0j3D3uo53ASkIZOFRlLnqaCTnwzOG2_Wg"",""Direct links Without Sizes!B2:B""))),XLOOKUP($B938,IMPORTRANGE(""1NK5L1mviMn0j3D3uo53ASkIZOFRlLnqaCTnwzOG2_Wg"",""Direct li"&amp;"nks Without Sizes!D2:D""),IMPORTRANGE(""1NK5L1mviMn0j3D3uo53ASkIZOFRlLnqaCTnwzOG2_Wg"",""Direct links Without Sizes!E2:E""))),"""")"),"")</f>
        <v/>
      </c>
      <c r="H938" s="41"/>
      <c r="I938" s="4"/>
      <c r="J938" s="4"/>
      <c r="K938" s="10" t="str">
        <f t="shared" si="1"/>
        <v/>
      </c>
      <c r="L938" s="10"/>
      <c r="M938" s="10" t="str">
        <f t="shared" si="2"/>
        <v/>
      </c>
    </row>
    <row r="939">
      <c r="A939" s="4"/>
      <c r="B939" s="15"/>
      <c r="C939" s="7" t="str">
        <f>IFERROR(__xludf.DUMMYFUNCTION("iferror(iferror(INDEX(IMPORTRANGE(""12vtnxaE_Q1s4tyr10kZQx7ZF_xG0lBFae4jQEUtgsMU"",""All!B2:B""),MATCH($B939,IMPORTRANGE(""12vtnxaE_Q1s4tyr10kZQx7ZF_xG0lBFae4jQEUtgsMU"",""All!A2:A""),0)),INDEX(IMPORTRANGE(""13KC70HngS4DDi8y9E5khtSpQEPG6owaQ9z4E-tR5mnY"","&amp;"""Non-Food!B2:B""),MATCH($B939,IMPORTRANGE(""13KC70HngS4DDi8y9E5khtSpQEPG6owaQ9z4E-tR5mnY"",""Non-Food!A2:A""),0))),"""")"),"")</f>
        <v/>
      </c>
      <c r="D939" s="15"/>
      <c r="E939" s="15"/>
      <c r="F939" s="36"/>
      <c r="G939" s="24" t="str">
        <f>IFERROR(__xludf.DUMMYFUNCTION("iferror(iferror(iferror(index(IMPORTRANGE(""1NK5L1mviMn0j3D3uo53ASkIZOFRlLnqaCTnwzOG2_Wg"",""Direct Link!B2:B""),MATCH($B939,IMPORTRANGE(""1NK5L1mviMn0j3D3uo53ASkIZOFRlLnqaCTnwzOG2_Wg"",""Direct Link!A2:A""),0)),XLOOKUP($B939,IMPORTRANGE(""1NK5L1mviMn0j3D"&amp;"3uo53ASkIZOFRlLnqaCTnwzOG2_Wg"",""Direct links Without Sizes!A2:A""),IMPORTRANGE(""1NK5L1mviMn0j3D3uo53ASkIZOFRlLnqaCTnwzOG2_Wg"",""Direct links Without Sizes!B2:B""))),XLOOKUP($B939,IMPORTRANGE(""1NK5L1mviMn0j3D3uo53ASkIZOFRlLnqaCTnwzOG2_Wg"",""Direct li"&amp;"nks Without Sizes!D2:D""),IMPORTRANGE(""1NK5L1mviMn0j3D3uo53ASkIZOFRlLnqaCTnwzOG2_Wg"",""Direct links Without Sizes!E2:E""))),"""")"),"")</f>
        <v/>
      </c>
      <c r="H939" s="41"/>
      <c r="I939" s="4"/>
      <c r="J939" s="4"/>
      <c r="K939" s="10" t="str">
        <f t="shared" si="1"/>
        <v/>
      </c>
      <c r="L939" s="10"/>
      <c r="M939" s="10" t="str">
        <f t="shared" si="2"/>
        <v/>
      </c>
    </row>
    <row r="940">
      <c r="A940" s="4"/>
      <c r="B940" s="15"/>
      <c r="C940" s="7" t="str">
        <f>IFERROR(__xludf.DUMMYFUNCTION("iferror(iferror(INDEX(IMPORTRANGE(""12vtnxaE_Q1s4tyr10kZQx7ZF_xG0lBFae4jQEUtgsMU"",""All!B2:B""),MATCH($B940,IMPORTRANGE(""12vtnxaE_Q1s4tyr10kZQx7ZF_xG0lBFae4jQEUtgsMU"",""All!A2:A""),0)),INDEX(IMPORTRANGE(""13KC70HngS4DDi8y9E5khtSpQEPG6owaQ9z4E-tR5mnY"","&amp;"""Non-Food!B2:B""),MATCH($B940,IMPORTRANGE(""13KC70HngS4DDi8y9E5khtSpQEPG6owaQ9z4E-tR5mnY"",""Non-Food!A2:A""),0))),"""")"),"")</f>
        <v/>
      </c>
      <c r="D940" s="15"/>
      <c r="E940" s="15"/>
      <c r="F940" s="36"/>
      <c r="G940" s="24" t="str">
        <f>IFERROR(__xludf.DUMMYFUNCTION("iferror(iferror(iferror(index(IMPORTRANGE(""1NK5L1mviMn0j3D3uo53ASkIZOFRlLnqaCTnwzOG2_Wg"",""Direct Link!B2:B""),MATCH($B940,IMPORTRANGE(""1NK5L1mviMn0j3D3uo53ASkIZOFRlLnqaCTnwzOG2_Wg"",""Direct Link!A2:A""),0)),XLOOKUP($B940,IMPORTRANGE(""1NK5L1mviMn0j3D"&amp;"3uo53ASkIZOFRlLnqaCTnwzOG2_Wg"",""Direct links Without Sizes!A2:A""),IMPORTRANGE(""1NK5L1mviMn0j3D3uo53ASkIZOFRlLnqaCTnwzOG2_Wg"",""Direct links Without Sizes!B2:B""))),XLOOKUP($B940,IMPORTRANGE(""1NK5L1mviMn0j3D3uo53ASkIZOFRlLnqaCTnwzOG2_Wg"",""Direct li"&amp;"nks Without Sizes!D2:D""),IMPORTRANGE(""1NK5L1mviMn0j3D3uo53ASkIZOFRlLnqaCTnwzOG2_Wg"",""Direct links Without Sizes!E2:E""))),"""")"),"")</f>
        <v/>
      </c>
      <c r="H940" s="41"/>
      <c r="I940" s="4"/>
      <c r="J940" s="4"/>
      <c r="K940" s="10" t="str">
        <f t="shared" si="1"/>
        <v/>
      </c>
      <c r="L940" s="10"/>
      <c r="M940" s="10" t="str">
        <f t="shared" si="2"/>
        <v/>
      </c>
    </row>
    <row r="941">
      <c r="A941" s="4"/>
      <c r="B941" s="15"/>
      <c r="C941" s="7" t="str">
        <f>IFERROR(__xludf.DUMMYFUNCTION("iferror(iferror(INDEX(IMPORTRANGE(""12vtnxaE_Q1s4tyr10kZQx7ZF_xG0lBFae4jQEUtgsMU"",""All!B2:B""),MATCH($B941,IMPORTRANGE(""12vtnxaE_Q1s4tyr10kZQx7ZF_xG0lBFae4jQEUtgsMU"",""All!A2:A""),0)),INDEX(IMPORTRANGE(""13KC70HngS4DDi8y9E5khtSpQEPG6owaQ9z4E-tR5mnY"","&amp;"""Non-Food!B2:B""),MATCH($B941,IMPORTRANGE(""13KC70HngS4DDi8y9E5khtSpQEPG6owaQ9z4E-tR5mnY"",""Non-Food!A2:A""),0))),"""")"),"")</f>
        <v/>
      </c>
      <c r="D941" s="15"/>
      <c r="E941" s="15"/>
      <c r="F941" s="36"/>
      <c r="G941" s="24" t="str">
        <f>IFERROR(__xludf.DUMMYFUNCTION("iferror(iferror(iferror(index(IMPORTRANGE(""1NK5L1mviMn0j3D3uo53ASkIZOFRlLnqaCTnwzOG2_Wg"",""Direct Link!B2:B""),MATCH($B941,IMPORTRANGE(""1NK5L1mviMn0j3D3uo53ASkIZOFRlLnqaCTnwzOG2_Wg"",""Direct Link!A2:A""),0)),XLOOKUP($B941,IMPORTRANGE(""1NK5L1mviMn0j3D"&amp;"3uo53ASkIZOFRlLnqaCTnwzOG2_Wg"",""Direct links Without Sizes!A2:A""),IMPORTRANGE(""1NK5L1mviMn0j3D3uo53ASkIZOFRlLnqaCTnwzOG2_Wg"",""Direct links Without Sizes!B2:B""))),XLOOKUP($B941,IMPORTRANGE(""1NK5L1mviMn0j3D3uo53ASkIZOFRlLnqaCTnwzOG2_Wg"",""Direct li"&amp;"nks Without Sizes!D2:D""),IMPORTRANGE(""1NK5L1mviMn0j3D3uo53ASkIZOFRlLnqaCTnwzOG2_Wg"",""Direct links Without Sizes!E2:E""))),"""")"),"")</f>
        <v/>
      </c>
      <c r="H941" s="41"/>
      <c r="I941" s="4"/>
      <c r="J941" s="4"/>
      <c r="K941" s="10" t="str">
        <f t="shared" si="1"/>
        <v/>
      </c>
      <c r="L941" s="10"/>
      <c r="M941" s="10" t="str">
        <f t="shared" si="2"/>
        <v/>
      </c>
    </row>
    <row r="942">
      <c r="A942" s="4"/>
      <c r="B942" s="15"/>
      <c r="C942" s="7" t="str">
        <f>IFERROR(__xludf.DUMMYFUNCTION("iferror(iferror(INDEX(IMPORTRANGE(""12vtnxaE_Q1s4tyr10kZQx7ZF_xG0lBFae4jQEUtgsMU"",""All!B2:B""),MATCH($B942,IMPORTRANGE(""12vtnxaE_Q1s4tyr10kZQx7ZF_xG0lBFae4jQEUtgsMU"",""All!A2:A""),0)),INDEX(IMPORTRANGE(""13KC70HngS4DDi8y9E5khtSpQEPG6owaQ9z4E-tR5mnY"","&amp;"""Non-Food!B2:B""),MATCH($B942,IMPORTRANGE(""13KC70HngS4DDi8y9E5khtSpQEPG6owaQ9z4E-tR5mnY"",""Non-Food!A2:A""),0))),"""")"),"")</f>
        <v/>
      </c>
      <c r="D942" s="15"/>
      <c r="E942" s="15"/>
      <c r="F942" s="36"/>
      <c r="G942" s="24" t="str">
        <f>IFERROR(__xludf.DUMMYFUNCTION("iferror(iferror(iferror(index(IMPORTRANGE(""1NK5L1mviMn0j3D3uo53ASkIZOFRlLnqaCTnwzOG2_Wg"",""Direct Link!B2:B""),MATCH($B942,IMPORTRANGE(""1NK5L1mviMn0j3D3uo53ASkIZOFRlLnqaCTnwzOG2_Wg"",""Direct Link!A2:A""),0)),XLOOKUP($B942,IMPORTRANGE(""1NK5L1mviMn0j3D"&amp;"3uo53ASkIZOFRlLnqaCTnwzOG2_Wg"",""Direct links Without Sizes!A2:A""),IMPORTRANGE(""1NK5L1mviMn0j3D3uo53ASkIZOFRlLnqaCTnwzOG2_Wg"",""Direct links Without Sizes!B2:B""))),XLOOKUP($B942,IMPORTRANGE(""1NK5L1mviMn0j3D3uo53ASkIZOFRlLnqaCTnwzOG2_Wg"",""Direct li"&amp;"nks Without Sizes!D2:D""),IMPORTRANGE(""1NK5L1mviMn0j3D3uo53ASkIZOFRlLnqaCTnwzOG2_Wg"",""Direct links Without Sizes!E2:E""))),"""")"),"")</f>
        <v/>
      </c>
      <c r="H942" s="41"/>
      <c r="I942" s="4"/>
      <c r="J942" s="4"/>
      <c r="K942" s="10" t="str">
        <f t="shared" si="1"/>
        <v/>
      </c>
      <c r="L942" s="10"/>
      <c r="M942" s="10" t="str">
        <f t="shared" si="2"/>
        <v/>
      </c>
    </row>
    <row r="943">
      <c r="A943" s="4"/>
      <c r="B943" s="15"/>
      <c r="C943" s="7" t="str">
        <f>IFERROR(__xludf.DUMMYFUNCTION("iferror(iferror(INDEX(IMPORTRANGE(""12vtnxaE_Q1s4tyr10kZQx7ZF_xG0lBFae4jQEUtgsMU"",""All!B2:B""),MATCH($B943,IMPORTRANGE(""12vtnxaE_Q1s4tyr10kZQx7ZF_xG0lBFae4jQEUtgsMU"",""All!A2:A""),0)),INDEX(IMPORTRANGE(""13KC70HngS4DDi8y9E5khtSpQEPG6owaQ9z4E-tR5mnY"","&amp;"""Non-Food!B2:B""),MATCH($B943,IMPORTRANGE(""13KC70HngS4DDi8y9E5khtSpQEPG6owaQ9z4E-tR5mnY"",""Non-Food!A2:A""),0))),"""")"),"")</f>
        <v/>
      </c>
      <c r="D943" s="15"/>
      <c r="E943" s="15"/>
      <c r="F943" s="36"/>
      <c r="G943" s="24" t="str">
        <f>IFERROR(__xludf.DUMMYFUNCTION("iferror(iferror(iferror(index(IMPORTRANGE(""1NK5L1mviMn0j3D3uo53ASkIZOFRlLnqaCTnwzOG2_Wg"",""Direct Link!B2:B""),MATCH($B943,IMPORTRANGE(""1NK5L1mviMn0j3D3uo53ASkIZOFRlLnqaCTnwzOG2_Wg"",""Direct Link!A2:A""),0)),XLOOKUP($B943,IMPORTRANGE(""1NK5L1mviMn0j3D"&amp;"3uo53ASkIZOFRlLnqaCTnwzOG2_Wg"",""Direct links Without Sizes!A2:A""),IMPORTRANGE(""1NK5L1mviMn0j3D3uo53ASkIZOFRlLnqaCTnwzOG2_Wg"",""Direct links Without Sizes!B2:B""))),XLOOKUP($B943,IMPORTRANGE(""1NK5L1mviMn0j3D3uo53ASkIZOFRlLnqaCTnwzOG2_Wg"",""Direct li"&amp;"nks Without Sizes!D2:D""),IMPORTRANGE(""1NK5L1mviMn0j3D3uo53ASkIZOFRlLnqaCTnwzOG2_Wg"",""Direct links Without Sizes!E2:E""))),"""")"),"")</f>
        <v/>
      </c>
      <c r="H943" s="41"/>
      <c r="I943" s="4"/>
      <c r="J943" s="4"/>
      <c r="K943" s="10" t="str">
        <f t="shared" si="1"/>
        <v/>
      </c>
      <c r="L943" s="10"/>
      <c r="M943" s="10" t="str">
        <f t="shared" si="2"/>
        <v/>
      </c>
    </row>
    <row r="944">
      <c r="A944" s="4"/>
      <c r="B944" s="15"/>
      <c r="C944" s="7" t="str">
        <f>IFERROR(__xludf.DUMMYFUNCTION("iferror(iferror(INDEX(IMPORTRANGE(""12vtnxaE_Q1s4tyr10kZQx7ZF_xG0lBFae4jQEUtgsMU"",""All!B2:B""),MATCH($B944,IMPORTRANGE(""12vtnxaE_Q1s4tyr10kZQx7ZF_xG0lBFae4jQEUtgsMU"",""All!A2:A""),0)),INDEX(IMPORTRANGE(""13KC70HngS4DDi8y9E5khtSpQEPG6owaQ9z4E-tR5mnY"","&amp;"""Non-Food!B2:B""),MATCH($B944,IMPORTRANGE(""13KC70HngS4DDi8y9E5khtSpQEPG6owaQ9z4E-tR5mnY"",""Non-Food!A2:A""),0))),"""")"),"")</f>
        <v/>
      </c>
      <c r="D944" s="15"/>
      <c r="E944" s="15"/>
      <c r="F944" s="36"/>
      <c r="G944" s="24" t="str">
        <f>IFERROR(__xludf.DUMMYFUNCTION("iferror(iferror(iferror(index(IMPORTRANGE(""1NK5L1mviMn0j3D3uo53ASkIZOFRlLnqaCTnwzOG2_Wg"",""Direct Link!B2:B""),MATCH($B944,IMPORTRANGE(""1NK5L1mviMn0j3D3uo53ASkIZOFRlLnqaCTnwzOG2_Wg"",""Direct Link!A2:A""),0)),XLOOKUP($B944,IMPORTRANGE(""1NK5L1mviMn0j3D"&amp;"3uo53ASkIZOFRlLnqaCTnwzOG2_Wg"",""Direct links Without Sizes!A2:A""),IMPORTRANGE(""1NK5L1mviMn0j3D3uo53ASkIZOFRlLnqaCTnwzOG2_Wg"",""Direct links Without Sizes!B2:B""))),XLOOKUP($B944,IMPORTRANGE(""1NK5L1mviMn0j3D3uo53ASkIZOFRlLnqaCTnwzOG2_Wg"",""Direct li"&amp;"nks Without Sizes!D2:D""),IMPORTRANGE(""1NK5L1mviMn0j3D3uo53ASkIZOFRlLnqaCTnwzOG2_Wg"",""Direct links Without Sizes!E2:E""))),"""")"),"")</f>
        <v/>
      </c>
      <c r="H944" s="41"/>
      <c r="I944" s="4"/>
      <c r="J944" s="4"/>
      <c r="K944" s="10" t="str">
        <f t="shared" si="1"/>
        <v/>
      </c>
      <c r="L944" s="10"/>
      <c r="M944" s="10" t="str">
        <f t="shared" si="2"/>
        <v/>
      </c>
    </row>
    <row r="945">
      <c r="A945" s="4"/>
      <c r="B945" s="15"/>
      <c r="C945" s="7" t="str">
        <f>IFERROR(__xludf.DUMMYFUNCTION("iferror(iferror(INDEX(IMPORTRANGE(""12vtnxaE_Q1s4tyr10kZQx7ZF_xG0lBFae4jQEUtgsMU"",""All!B2:B""),MATCH($B945,IMPORTRANGE(""12vtnxaE_Q1s4tyr10kZQx7ZF_xG0lBFae4jQEUtgsMU"",""All!A2:A""),0)),INDEX(IMPORTRANGE(""13KC70HngS4DDi8y9E5khtSpQEPG6owaQ9z4E-tR5mnY"","&amp;"""Non-Food!B2:B""),MATCH($B945,IMPORTRANGE(""13KC70HngS4DDi8y9E5khtSpQEPG6owaQ9z4E-tR5mnY"",""Non-Food!A2:A""),0))),"""")"),"")</f>
        <v/>
      </c>
      <c r="D945" s="15"/>
      <c r="E945" s="15"/>
      <c r="F945" s="36"/>
      <c r="G945" s="24" t="str">
        <f>IFERROR(__xludf.DUMMYFUNCTION("iferror(iferror(iferror(index(IMPORTRANGE(""1NK5L1mviMn0j3D3uo53ASkIZOFRlLnqaCTnwzOG2_Wg"",""Direct Link!B2:B""),MATCH($B945,IMPORTRANGE(""1NK5L1mviMn0j3D3uo53ASkIZOFRlLnqaCTnwzOG2_Wg"",""Direct Link!A2:A""),0)),XLOOKUP($B945,IMPORTRANGE(""1NK5L1mviMn0j3D"&amp;"3uo53ASkIZOFRlLnqaCTnwzOG2_Wg"",""Direct links Without Sizes!A2:A""),IMPORTRANGE(""1NK5L1mviMn0j3D3uo53ASkIZOFRlLnqaCTnwzOG2_Wg"",""Direct links Without Sizes!B2:B""))),XLOOKUP($B945,IMPORTRANGE(""1NK5L1mviMn0j3D3uo53ASkIZOFRlLnqaCTnwzOG2_Wg"",""Direct li"&amp;"nks Without Sizes!D2:D""),IMPORTRANGE(""1NK5L1mviMn0j3D3uo53ASkIZOFRlLnqaCTnwzOG2_Wg"",""Direct links Without Sizes!E2:E""))),"""")"),"")</f>
        <v/>
      </c>
      <c r="H945" s="41"/>
      <c r="I945" s="4"/>
      <c r="J945" s="4"/>
      <c r="K945" s="10" t="str">
        <f t="shared" si="1"/>
        <v/>
      </c>
      <c r="L945" s="10"/>
      <c r="M945" s="10" t="str">
        <f t="shared" si="2"/>
        <v/>
      </c>
    </row>
    <row r="946">
      <c r="A946" s="4"/>
      <c r="B946" s="15"/>
      <c r="C946" s="7" t="str">
        <f>IFERROR(__xludf.DUMMYFUNCTION("iferror(iferror(INDEX(IMPORTRANGE(""12vtnxaE_Q1s4tyr10kZQx7ZF_xG0lBFae4jQEUtgsMU"",""All!B2:B""),MATCH($B946,IMPORTRANGE(""12vtnxaE_Q1s4tyr10kZQx7ZF_xG0lBFae4jQEUtgsMU"",""All!A2:A""),0)),INDEX(IMPORTRANGE(""13KC70HngS4DDi8y9E5khtSpQEPG6owaQ9z4E-tR5mnY"","&amp;"""Non-Food!B2:B""),MATCH($B946,IMPORTRANGE(""13KC70HngS4DDi8y9E5khtSpQEPG6owaQ9z4E-tR5mnY"",""Non-Food!A2:A""),0))),"""")"),"")</f>
        <v/>
      </c>
      <c r="D946" s="15"/>
      <c r="E946" s="15"/>
      <c r="F946" s="36"/>
      <c r="G946" s="24" t="str">
        <f>IFERROR(__xludf.DUMMYFUNCTION("iferror(iferror(iferror(index(IMPORTRANGE(""1NK5L1mviMn0j3D3uo53ASkIZOFRlLnqaCTnwzOG2_Wg"",""Direct Link!B2:B""),MATCH($B946,IMPORTRANGE(""1NK5L1mviMn0j3D3uo53ASkIZOFRlLnqaCTnwzOG2_Wg"",""Direct Link!A2:A""),0)),XLOOKUP($B946,IMPORTRANGE(""1NK5L1mviMn0j3D"&amp;"3uo53ASkIZOFRlLnqaCTnwzOG2_Wg"",""Direct links Without Sizes!A2:A""),IMPORTRANGE(""1NK5L1mviMn0j3D3uo53ASkIZOFRlLnqaCTnwzOG2_Wg"",""Direct links Without Sizes!B2:B""))),XLOOKUP($B946,IMPORTRANGE(""1NK5L1mviMn0j3D3uo53ASkIZOFRlLnqaCTnwzOG2_Wg"",""Direct li"&amp;"nks Without Sizes!D2:D""),IMPORTRANGE(""1NK5L1mviMn0j3D3uo53ASkIZOFRlLnqaCTnwzOG2_Wg"",""Direct links Without Sizes!E2:E""))),"""")"),"")</f>
        <v/>
      </c>
      <c r="H946" s="41"/>
      <c r="I946" s="4"/>
      <c r="J946" s="4"/>
      <c r="K946" s="10" t="str">
        <f t="shared" si="1"/>
        <v/>
      </c>
      <c r="L946" s="10"/>
      <c r="M946" s="10" t="str">
        <f t="shared" si="2"/>
        <v/>
      </c>
    </row>
    <row r="947">
      <c r="A947" s="4"/>
      <c r="B947" s="15"/>
      <c r="C947" s="7" t="str">
        <f>IFERROR(__xludf.DUMMYFUNCTION("iferror(iferror(INDEX(IMPORTRANGE(""12vtnxaE_Q1s4tyr10kZQx7ZF_xG0lBFae4jQEUtgsMU"",""All!B2:B""),MATCH($B947,IMPORTRANGE(""12vtnxaE_Q1s4tyr10kZQx7ZF_xG0lBFae4jQEUtgsMU"",""All!A2:A""),0)),INDEX(IMPORTRANGE(""13KC70HngS4DDi8y9E5khtSpQEPG6owaQ9z4E-tR5mnY"","&amp;"""Non-Food!B2:B""),MATCH($B947,IMPORTRANGE(""13KC70HngS4DDi8y9E5khtSpQEPG6owaQ9z4E-tR5mnY"",""Non-Food!A2:A""),0))),"""")"),"")</f>
        <v/>
      </c>
      <c r="D947" s="15"/>
      <c r="E947" s="15"/>
      <c r="F947" s="36"/>
      <c r="G947" s="24" t="str">
        <f>IFERROR(__xludf.DUMMYFUNCTION("iferror(iferror(iferror(index(IMPORTRANGE(""1NK5L1mviMn0j3D3uo53ASkIZOFRlLnqaCTnwzOG2_Wg"",""Direct Link!B2:B""),MATCH($B947,IMPORTRANGE(""1NK5L1mviMn0j3D3uo53ASkIZOFRlLnqaCTnwzOG2_Wg"",""Direct Link!A2:A""),0)),XLOOKUP($B947,IMPORTRANGE(""1NK5L1mviMn0j3D"&amp;"3uo53ASkIZOFRlLnqaCTnwzOG2_Wg"",""Direct links Without Sizes!A2:A""),IMPORTRANGE(""1NK5L1mviMn0j3D3uo53ASkIZOFRlLnqaCTnwzOG2_Wg"",""Direct links Without Sizes!B2:B""))),XLOOKUP($B947,IMPORTRANGE(""1NK5L1mviMn0j3D3uo53ASkIZOFRlLnqaCTnwzOG2_Wg"",""Direct li"&amp;"nks Without Sizes!D2:D""),IMPORTRANGE(""1NK5L1mviMn0j3D3uo53ASkIZOFRlLnqaCTnwzOG2_Wg"",""Direct links Without Sizes!E2:E""))),"""")"),"")</f>
        <v/>
      </c>
      <c r="H947" s="41"/>
      <c r="I947" s="4"/>
      <c r="J947" s="4"/>
      <c r="K947" s="10" t="str">
        <f t="shared" si="1"/>
        <v/>
      </c>
      <c r="L947" s="10"/>
      <c r="M947" s="10" t="str">
        <f t="shared" si="2"/>
        <v/>
      </c>
    </row>
  </sheetData>
  <dataValidations>
    <dataValidation type="decimal" allowBlank="1" showDropDown="1" showInputMessage="1" showErrorMessage="1" prompt="Please enter a number value" sqref="F2:F947">
      <formula1>0.0</formula1>
      <formula2>9.9999999E7</formula2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19.13"/>
    <col customWidth="1" min="3" max="3" width="16.13"/>
    <col customWidth="1" min="4" max="5" width="7.63"/>
  </cols>
  <sheetData>
    <row r="1" ht="28.5" customHeight="1">
      <c r="A1" s="2" t="s">
        <v>372</v>
      </c>
      <c r="B1" s="16" t="s">
        <v>397</v>
      </c>
      <c r="C1" s="16" t="s">
        <v>445</v>
      </c>
      <c r="D1" s="20"/>
      <c r="E1" s="20"/>
    </row>
    <row r="2">
      <c r="A2" s="20"/>
      <c r="B2" s="20"/>
      <c r="C2" s="20"/>
      <c r="D2" s="20"/>
      <c r="E2" s="20"/>
    </row>
    <row r="3">
      <c r="A3" s="20"/>
      <c r="B3" s="20"/>
      <c r="C3" s="20"/>
      <c r="D3" s="20"/>
      <c r="E3" s="20"/>
    </row>
    <row r="4">
      <c r="A4" s="20"/>
      <c r="B4" s="20"/>
      <c r="C4" s="20"/>
      <c r="D4" s="20"/>
      <c r="E4" s="20"/>
    </row>
    <row r="5">
      <c r="A5" s="20"/>
      <c r="B5" s="20"/>
      <c r="C5" s="20"/>
      <c r="D5" s="20"/>
      <c r="E5" s="20"/>
    </row>
    <row r="6">
      <c r="A6" s="20"/>
      <c r="B6" s="20"/>
      <c r="C6" s="20"/>
      <c r="D6" s="20"/>
      <c r="E6" s="20"/>
    </row>
    <row r="7">
      <c r="A7" s="20"/>
      <c r="B7" s="20"/>
      <c r="C7" s="20"/>
      <c r="D7" s="20"/>
      <c r="E7" s="20"/>
    </row>
    <row r="8">
      <c r="A8" s="20"/>
      <c r="B8" s="20"/>
      <c r="C8" s="20"/>
      <c r="D8" s="20"/>
      <c r="E8" s="20"/>
    </row>
    <row r="9">
      <c r="A9" s="20"/>
      <c r="B9" s="20"/>
      <c r="C9" s="20"/>
      <c r="D9" s="20"/>
      <c r="E9" s="20"/>
    </row>
    <row r="10">
      <c r="A10" s="20"/>
      <c r="B10" s="20"/>
      <c r="C10" s="20"/>
      <c r="D10" s="20"/>
      <c r="E10" s="20"/>
    </row>
    <row r="11">
      <c r="A11" s="20"/>
      <c r="B11" s="20"/>
      <c r="C11" s="20"/>
      <c r="D11" s="20"/>
      <c r="E11" s="20"/>
    </row>
    <row r="12">
      <c r="A12" s="20"/>
      <c r="B12" s="20"/>
      <c r="C12" s="20"/>
      <c r="D12" s="20"/>
      <c r="E12" s="20"/>
    </row>
    <row r="13">
      <c r="A13" s="20"/>
      <c r="B13" s="20"/>
      <c r="C13" s="20"/>
      <c r="D13" s="20"/>
      <c r="E13" s="20"/>
    </row>
    <row r="14">
      <c r="A14" s="20"/>
      <c r="B14" s="20"/>
      <c r="C14" s="20"/>
      <c r="D14" s="20"/>
      <c r="E14" s="20"/>
    </row>
    <row r="15">
      <c r="A15" s="20"/>
      <c r="B15" s="20"/>
      <c r="C15" s="20"/>
      <c r="D15" s="20"/>
      <c r="E15" s="20"/>
    </row>
    <row r="16">
      <c r="A16" s="20"/>
      <c r="B16" s="20"/>
      <c r="C16" s="20"/>
      <c r="D16" s="20"/>
      <c r="E16" s="20"/>
    </row>
    <row r="17">
      <c r="A17" s="20"/>
      <c r="B17" s="20"/>
      <c r="C17" s="20"/>
      <c r="D17" s="20"/>
      <c r="E17" s="20"/>
    </row>
    <row r="18">
      <c r="A18" s="20"/>
      <c r="B18" s="20"/>
      <c r="C18" s="20"/>
      <c r="D18" s="20"/>
      <c r="E18" s="20"/>
    </row>
    <row r="19">
      <c r="A19" s="20"/>
      <c r="B19" s="20"/>
      <c r="C19" s="20"/>
      <c r="D19" s="20"/>
      <c r="E19" s="20"/>
    </row>
    <row r="20">
      <c r="A20" s="20"/>
      <c r="B20" s="20"/>
      <c r="C20" s="20"/>
      <c r="D20" s="20"/>
      <c r="E20" s="20"/>
    </row>
    <row r="21">
      <c r="A21" s="20"/>
      <c r="B21" s="20"/>
      <c r="C21" s="20"/>
      <c r="D21" s="20"/>
      <c r="E21" s="20"/>
    </row>
    <row r="22">
      <c r="A22" s="20"/>
      <c r="B22" s="20"/>
      <c r="C22" s="20"/>
      <c r="D22" s="20"/>
      <c r="E22" s="20"/>
    </row>
    <row r="23">
      <c r="A23" s="20"/>
      <c r="B23" s="20"/>
      <c r="C23" s="20"/>
      <c r="D23" s="20"/>
      <c r="E23" s="20"/>
    </row>
    <row r="24">
      <c r="A24" s="20"/>
      <c r="B24" s="20"/>
      <c r="C24" s="20"/>
      <c r="D24" s="20"/>
      <c r="E24" s="20"/>
    </row>
    <row r="25">
      <c r="A25" s="20"/>
      <c r="B25" s="20"/>
      <c r="C25" s="20"/>
      <c r="D25" s="20"/>
      <c r="E25" s="20"/>
    </row>
    <row r="26">
      <c r="A26" s="20"/>
      <c r="B26" s="20"/>
      <c r="C26" s="20"/>
      <c r="D26" s="20"/>
      <c r="E26" s="20"/>
    </row>
    <row r="27">
      <c r="A27" s="20"/>
      <c r="B27" s="20"/>
      <c r="C27" s="20"/>
      <c r="D27" s="20"/>
      <c r="E27" s="20"/>
    </row>
    <row r="28">
      <c r="A28" s="20"/>
      <c r="B28" s="20"/>
      <c r="C28" s="20"/>
      <c r="D28" s="20"/>
      <c r="E28" s="20"/>
    </row>
    <row r="29">
      <c r="A29" s="20"/>
      <c r="B29" s="20"/>
      <c r="C29" s="20"/>
      <c r="D29" s="20"/>
      <c r="E29" s="20"/>
    </row>
    <row r="30">
      <c r="A30" s="20"/>
      <c r="B30" s="20"/>
      <c r="C30" s="20"/>
      <c r="D30" s="20"/>
      <c r="E30" s="20"/>
    </row>
    <row r="31">
      <c r="A31" s="20"/>
      <c r="B31" s="20"/>
      <c r="C31" s="20"/>
      <c r="D31" s="20"/>
      <c r="E31" s="20"/>
    </row>
    <row r="32">
      <c r="A32" s="20"/>
      <c r="B32" s="20"/>
      <c r="C32" s="20"/>
      <c r="D32" s="20"/>
      <c r="E32" s="20"/>
    </row>
    <row r="33">
      <c r="A33" s="20"/>
      <c r="B33" s="20"/>
      <c r="C33" s="20"/>
      <c r="D33" s="20"/>
      <c r="E33" s="20"/>
    </row>
    <row r="34">
      <c r="A34" s="20"/>
      <c r="B34" s="20"/>
      <c r="C34" s="20"/>
      <c r="D34" s="20"/>
      <c r="E34" s="20"/>
    </row>
    <row r="35">
      <c r="A35" s="20"/>
      <c r="B35" s="20"/>
      <c r="C35" s="20"/>
      <c r="D35" s="20"/>
      <c r="E35" s="20"/>
    </row>
    <row r="36">
      <c r="A36" s="20"/>
      <c r="B36" s="20"/>
      <c r="C36" s="20"/>
      <c r="D36" s="20"/>
      <c r="E36" s="20"/>
    </row>
    <row r="37">
      <c r="A37" s="20"/>
      <c r="B37" s="20"/>
      <c r="C37" s="20"/>
      <c r="D37" s="20"/>
      <c r="E37" s="20"/>
    </row>
    <row r="38">
      <c r="A38" s="20"/>
      <c r="B38" s="20"/>
      <c r="C38" s="20"/>
      <c r="D38" s="20"/>
      <c r="E38" s="20"/>
    </row>
    <row r="39">
      <c r="A39" s="20"/>
      <c r="B39" s="20"/>
      <c r="C39" s="20"/>
      <c r="D39" s="20"/>
      <c r="E39" s="20"/>
    </row>
    <row r="40">
      <c r="A40" s="20"/>
      <c r="B40" s="20"/>
      <c r="C40" s="20"/>
      <c r="D40" s="20"/>
      <c r="E40" s="20"/>
    </row>
    <row r="41">
      <c r="A41" s="20"/>
      <c r="B41" s="20"/>
      <c r="C41" s="20"/>
      <c r="D41" s="20"/>
      <c r="E41" s="20"/>
    </row>
    <row r="42">
      <c r="A42" s="20"/>
      <c r="B42" s="20"/>
      <c r="C42" s="20"/>
      <c r="D42" s="20"/>
      <c r="E42" s="20"/>
    </row>
    <row r="43">
      <c r="A43" s="20"/>
      <c r="B43" s="20"/>
      <c r="C43" s="20"/>
      <c r="D43" s="20"/>
      <c r="E43" s="20"/>
    </row>
    <row r="44">
      <c r="A44" s="20"/>
      <c r="B44" s="20"/>
      <c r="C44" s="20"/>
      <c r="D44" s="20"/>
      <c r="E44" s="20"/>
    </row>
    <row r="45">
      <c r="A45" s="20"/>
      <c r="B45" s="20"/>
      <c r="C45" s="20"/>
      <c r="D45" s="20"/>
      <c r="E45" s="20"/>
    </row>
    <row r="46">
      <c r="A46" s="20"/>
      <c r="B46" s="20"/>
      <c r="C46" s="20"/>
      <c r="D46" s="20"/>
      <c r="E46" s="20"/>
    </row>
    <row r="47">
      <c r="A47" s="20"/>
      <c r="B47" s="20"/>
      <c r="C47" s="20"/>
      <c r="D47" s="20"/>
      <c r="E47" s="20"/>
    </row>
    <row r="48">
      <c r="A48" s="20"/>
      <c r="B48" s="20"/>
      <c r="C48" s="20"/>
      <c r="D48" s="20"/>
      <c r="E48" s="20"/>
    </row>
    <row r="49">
      <c r="A49" s="20"/>
      <c r="B49" s="20"/>
      <c r="C49" s="20"/>
      <c r="D49" s="20"/>
      <c r="E49" s="20"/>
    </row>
    <row r="50">
      <c r="A50" s="20"/>
      <c r="B50" s="20"/>
      <c r="C50" s="20"/>
      <c r="D50" s="20"/>
      <c r="E50" s="20"/>
    </row>
    <row r="51">
      <c r="A51" s="20"/>
      <c r="B51" s="20"/>
      <c r="C51" s="20"/>
      <c r="D51" s="20"/>
      <c r="E51" s="20"/>
    </row>
    <row r="52">
      <c r="A52" s="20"/>
      <c r="B52" s="20"/>
      <c r="C52" s="20"/>
      <c r="D52" s="20"/>
      <c r="E52" s="20"/>
    </row>
    <row r="53">
      <c r="A53" s="20"/>
      <c r="B53" s="20"/>
      <c r="C53" s="20"/>
      <c r="D53" s="20"/>
      <c r="E53" s="20"/>
    </row>
    <row r="54">
      <c r="A54" s="20"/>
      <c r="B54" s="20"/>
      <c r="C54" s="20"/>
      <c r="D54" s="20"/>
      <c r="E54" s="20"/>
    </row>
    <row r="55">
      <c r="A55" s="20"/>
      <c r="B55" s="20"/>
      <c r="C55" s="20"/>
      <c r="D55" s="20"/>
      <c r="E55" s="20"/>
    </row>
    <row r="56">
      <c r="A56" s="20"/>
      <c r="B56" s="20"/>
      <c r="C56" s="20"/>
      <c r="D56" s="20"/>
      <c r="E56" s="20"/>
    </row>
    <row r="57">
      <c r="A57" s="20"/>
      <c r="B57" s="20"/>
      <c r="C57" s="20"/>
      <c r="D57" s="20"/>
      <c r="E57" s="20"/>
    </row>
    <row r="58">
      <c r="A58" s="20"/>
      <c r="B58" s="20"/>
      <c r="C58" s="20"/>
      <c r="D58" s="20"/>
      <c r="E58" s="20"/>
    </row>
    <row r="59">
      <c r="A59" s="20"/>
      <c r="B59" s="20"/>
      <c r="C59" s="20"/>
      <c r="D59" s="20"/>
      <c r="E59" s="20"/>
    </row>
    <row r="60">
      <c r="A60" s="20"/>
      <c r="B60" s="20"/>
      <c r="C60" s="20"/>
      <c r="D60" s="20"/>
      <c r="E60" s="20"/>
    </row>
    <row r="61">
      <c r="A61" s="20"/>
      <c r="B61" s="20"/>
      <c r="C61" s="20"/>
      <c r="D61" s="20"/>
      <c r="E61" s="20"/>
    </row>
    <row r="62">
      <c r="A62" s="20"/>
      <c r="B62" s="20"/>
      <c r="C62" s="20"/>
      <c r="D62" s="20"/>
      <c r="E62" s="20"/>
    </row>
    <row r="63">
      <c r="A63" s="20"/>
      <c r="B63" s="20"/>
      <c r="C63" s="20"/>
      <c r="D63" s="20"/>
      <c r="E63" s="20"/>
    </row>
    <row r="64">
      <c r="A64" s="20"/>
      <c r="B64" s="20"/>
      <c r="C64" s="20"/>
      <c r="D64" s="20"/>
      <c r="E64" s="20"/>
    </row>
    <row r="65">
      <c r="A65" s="20"/>
      <c r="B65" s="20"/>
      <c r="C65" s="20"/>
      <c r="D65" s="20"/>
      <c r="E65" s="20"/>
    </row>
    <row r="66">
      <c r="A66" s="20"/>
      <c r="B66" s="20"/>
      <c r="C66" s="20"/>
      <c r="D66" s="20"/>
      <c r="E66" s="20"/>
    </row>
    <row r="67">
      <c r="A67" s="20"/>
      <c r="B67" s="20"/>
      <c r="C67" s="20"/>
      <c r="D67" s="20"/>
      <c r="E67" s="20"/>
    </row>
    <row r="68">
      <c r="A68" s="20"/>
      <c r="B68" s="20"/>
      <c r="C68" s="20"/>
      <c r="D68" s="20"/>
      <c r="E68" s="20"/>
    </row>
    <row r="69">
      <c r="A69" s="20"/>
      <c r="B69" s="20"/>
      <c r="C69" s="20"/>
      <c r="D69" s="20"/>
      <c r="E69" s="20"/>
    </row>
    <row r="70">
      <c r="A70" s="20"/>
      <c r="B70" s="20"/>
      <c r="C70" s="20"/>
      <c r="D70" s="20"/>
      <c r="E70" s="20"/>
    </row>
    <row r="71">
      <c r="A71" s="20"/>
      <c r="B71" s="20"/>
      <c r="C71" s="20"/>
      <c r="D71" s="20"/>
      <c r="E71" s="20"/>
    </row>
    <row r="72">
      <c r="A72" s="20"/>
      <c r="B72" s="20"/>
      <c r="C72" s="20"/>
      <c r="D72" s="20"/>
      <c r="E72" s="20"/>
    </row>
    <row r="73">
      <c r="A73" s="20"/>
      <c r="B73" s="20"/>
      <c r="C73" s="20"/>
      <c r="D73" s="20"/>
      <c r="E73" s="20"/>
    </row>
    <row r="74">
      <c r="A74" s="20"/>
      <c r="B74" s="20"/>
      <c r="C74" s="20"/>
      <c r="D74" s="20"/>
      <c r="E74" s="20"/>
    </row>
    <row r="75">
      <c r="A75" s="20"/>
      <c r="B75" s="20"/>
      <c r="C75" s="20"/>
      <c r="D75" s="20"/>
      <c r="E75" s="20"/>
    </row>
    <row r="76">
      <c r="A76" s="20"/>
      <c r="B76" s="20"/>
      <c r="C76" s="20"/>
      <c r="D76" s="20"/>
      <c r="E76" s="20"/>
    </row>
    <row r="77">
      <c r="A77" s="20"/>
      <c r="B77" s="20"/>
      <c r="C77" s="20"/>
      <c r="D77" s="20"/>
      <c r="E77" s="20"/>
    </row>
    <row r="78">
      <c r="A78" s="20"/>
      <c r="B78" s="20"/>
      <c r="C78" s="20"/>
      <c r="D78" s="20"/>
      <c r="E78" s="20"/>
    </row>
    <row r="79">
      <c r="A79" s="20"/>
      <c r="B79" s="20"/>
      <c r="C79" s="20"/>
      <c r="D79" s="20"/>
      <c r="E79" s="20"/>
    </row>
    <row r="80">
      <c r="A80" s="20"/>
      <c r="B80" s="20"/>
      <c r="C80" s="20"/>
      <c r="D80" s="20"/>
      <c r="E80" s="20"/>
    </row>
    <row r="81">
      <c r="A81" s="20"/>
      <c r="B81" s="20"/>
      <c r="C81" s="20"/>
      <c r="D81" s="20"/>
      <c r="E81" s="20"/>
    </row>
    <row r="82">
      <c r="A82" s="20"/>
      <c r="B82" s="20"/>
      <c r="C82" s="20"/>
      <c r="D82" s="20"/>
      <c r="E82" s="20"/>
    </row>
    <row r="83">
      <c r="A83" s="20"/>
      <c r="B83" s="20"/>
      <c r="C83" s="20"/>
      <c r="D83" s="20"/>
      <c r="E83" s="20"/>
    </row>
    <row r="84">
      <c r="A84" s="20"/>
      <c r="B84" s="20"/>
      <c r="C84" s="20"/>
      <c r="D84" s="20"/>
      <c r="E84" s="20"/>
    </row>
    <row r="85">
      <c r="A85" s="20"/>
      <c r="B85" s="20"/>
      <c r="C85" s="20"/>
      <c r="D85" s="20"/>
      <c r="E85" s="20"/>
    </row>
    <row r="86">
      <c r="A86" s="20"/>
      <c r="B86" s="20"/>
      <c r="C86" s="20"/>
      <c r="D86" s="20"/>
      <c r="E86" s="20"/>
    </row>
    <row r="87">
      <c r="A87" s="20"/>
      <c r="B87" s="20"/>
      <c r="C87" s="20"/>
      <c r="D87" s="20"/>
      <c r="E87" s="20"/>
    </row>
    <row r="88">
      <c r="A88" s="20"/>
      <c r="B88" s="20"/>
      <c r="C88" s="20"/>
      <c r="D88" s="20"/>
      <c r="E88" s="20"/>
    </row>
    <row r="89">
      <c r="A89" s="20"/>
      <c r="B89" s="20"/>
      <c r="C89" s="20"/>
      <c r="D89" s="20"/>
      <c r="E89" s="20"/>
    </row>
    <row r="90">
      <c r="A90" s="20"/>
      <c r="B90" s="20"/>
      <c r="C90" s="20"/>
      <c r="D90" s="20"/>
      <c r="E90" s="20"/>
    </row>
    <row r="91">
      <c r="A91" s="20"/>
      <c r="B91" s="20"/>
      <c r="C91" s="20"/>
      <c r="D91" s="20"/>
      <c r="E91" s="20"/>
    </row>
    <row r="92">
      <c r="A92" s="20"/>
      <c r="B92" s="20"/>
      <c r="C92" s="20"/>
      <c r="D92" s="20"/>
      <c r="E92" s="20"/>
    </row>
    <row r="93">
      <c r="A93" s="20"/>
      <c r="B93" s="20"/>
      <c r="C93" s="20"/>
      <c r="D93" s="20"/>
      <c r="E93" s="20"/>
    </row>
    <row r="94">
      <c r="A94" s="20"/>
      <c r="B94" s="20"/>
      <c r="C94" s="20"/>
      <c r="D94" s="20"/>
      <c r="E94" s="20"/>
    </row>
    <row r="95">
      <c r="A95" s="20"/>
      <c r="B95" s="20"/>
      <c r="C95" s="20"/>
      <c r="D95" s="20"/>
      <c r="E95" s="20"/>
    </row>
    <row r="96">
      <c r="A96" s="20"/>
      <c r="B96" s="20"/>
      <c r="C96" s="20"/>
      <c r="D96" s="20"/>
      <c r="E96" s="20"/>
    </row>
    <row r="97">
      <c r="A97" s="20"/>
      <c r="B97" s="20"/>
      <c r="C97" s="20"/>
      <c r="D97" s="20"/>
      <c r="E97" s="20"/>
    </row>
    <row r="98">
      <c r="A98" s="20"/>
      <c r="B98" s="20"/>
      <c r="C98" s="20"/>
      <c r="D98" s="20"/>
      <c r="E98" s="20"/>
    </row>
    <row r="99">
      <c r="A99" s="20"/>
      <c r="B99" s="20"/>
      <c r="C99" s="20"/>
      <c r="D99" s="20"/>
      <c r="E99" s="20"/>
    </row>
    <row r="100">
      <c r="A100" s="20"/>
      <c r="B100" s="20"/>
      <c r="C100" s="20"/>
      <c r="D100" s="20"/>
      <c r="E100" s="20"/>
    </row>
    <row r="101">
      <c r="A101" s="20"/>
      <c r="B101" s="20"/>
      <c r="C101" s="20"/>
      <c r="D101" s="20"/>
      <c r="E101" s="20"/>
    </row>
    <row r="102">
      <c r="A102" s="20"/>
      <c r="B102" s="20"/>
      <c r="C102" s="20"/>
      <c r="D102" s="20"/>
      <c r="E102" s="20"/>
    </row>
    <row r="103">
      <c r="A103" s="20"/>
      <c r="B103" s="20"/>
      <c r="C103" s="20"/>
      <c r="D103" s="20"/>
      <c r="E103" s="20"/>
    </row>
    <row r="104">
      <c r="A104" s="20"/>
      <c r="B104" s="20"/>
      <c r="C104" s="20"/>
      <c r="D104" s="20"/>
      <c r="E104" s="20"/>
    </row>
    <row r="105">
      <c r="A105" s="20"/>
      <c r="B105" s="20"/>
      <c r="C105" s="20"/>
      <c r="D105" s="20"/>
      <c r="E105" s="20"/>
    </row>
    <row r="106">
      <c r="A106" s="20"/>
      <c r="B106" s="20"/>
      <c r="C106" s="20"/>
      <c r="D106" s="20"/>
      <c r="E106" s="20"/>
    </row>
    <row r="107">
      <c r="A107" s="20"/>
      <c r="B107" s="20"/>
      <c r="C107" s="20"/>
      <c r="D107" s="20"/>
      <c r="E107" s="20"/>
    </row>
    <row r="108">
      <c r="A108" s="20"/>
      <c r="B108" s="20"/>
      <c r="C108" s="20"/>
      <c r="D108" s="20"/>
      <c r="E108" s="20"/>
    </row>
    <row r="109">
      <c r="A109" s="20"/>
      <c r="B109" s="20"/>
      <c r="C109" s="20"/>
      <c r="D109" s="20"/>
      <c r="E109" s="20"/>
    </row>
    <row r="110">
      <c r="A110" s="20"/>
      <c r="B110" s="20"/>
      <c r="C110" s="20"/>
      <c r="D110" s="20"/>
      <c r="E110" s="20"/>
    </row>
    <row r="111">
      <c r="A111" s="20"/>
      <c r="B111" s="20"/>
      <c r="C111" s="20"/>
      <c r="D111" s="20"/>
      <c r="E111" s="20"/>
    </row>
    <row r="112">
      <c r="A112" s="20"/>
      <c r="B112" s="20"/>
      <c r="C112" s="20"/>
      <c r="D112" s="20"/>
      <c r="E112" s="20"/>
    </row>
    <row r="113">
      <c r="A113" s="20"/>
      <c r="B113" s="20"/>
      <c r="C113" s="20"/>
      <c r="D113" s="20"/>
      <c r="E113" s="20"/>
    </row>
    <row r="114">
      <c r="A114" s="20"/>
      <c r="B114" s="20"/>
      <c r="C114" s="20"/>
      <c r="D114" s="20"/>
      <c r="E114" s="20"/>
    </row>
    <row r="115">
      <c r="A115" s="20"/>
      <c r="B115" s="20"/>
      <c r="C115" s="20"/>
      <c r="D115" s="20"/>
      <c r="E115" s="20"/>
    </row>
    <row r="116">
      <c r="A116" s="20"/>
      <c r="B116" s="20"/>
      <c r="C116" s="20"/>
      <c r="D116" s="20"/>
      <c r="E116" s="20"/>
    </row>
    <row r="117">
      <c r="A117" s="20"/>
      <c r="B117" s="20"/>
      <c r="C117" s="20"/>
      <c r="D117" s="20"/>
      <c r="E117" s="20"/>
    </row>
    <row r="118">
      <c r="A118" s="20"/>
      <c r="B118" s="20"/>
      <c r="C118" s="20"/>
      <c r="D118" s="20"/>
      <c r="E118" s="20"/>
    </row>
    <row r="119">
      <c r="A119" s="20"/>
      <c r="B119" s="20"/>
      <c r="C119" s="20"/>
      <c r="D119" s="20"/>
      <c r="E119" s="20"/>
    </row>
    <row r="120">
      <c r="A120" s="20"/>
      <c r="B120" s="20"/>
      <c r="C120" s="20"/>
      <c r="D120" s="20"/>
      <c r="E120" s="20"/>
    </row>
    <row r="121">
      <c r="A121" s="20"/>
      <c r="B121" s="20"/>
      <c r="C121" s="20"/>
      <c r="D121" s="20"/>
      <c r="E121" s="20"/>
    </row>
    <row r="122">
      <c r="A122" s="20"/>
      <c r="B122" s="20"/>
      <c r="C122" s="20"/>
      <c r="D122" s="20"/>
      <c r="E122" s="20"/>
    </row>
    <row r="123">
      <c r="A123" s="20"/>
      <c r="B123" s="20"/>
      <c r="C123" s="20"/>
      <c r="D123" s="20"/>
      <c r="E123" s="20"/>
    </row>
    <row r="124">
      <c r="A124" s="20"/>
      <c r="B124" s="20"/>
      <c r="C124" s="20"/>
      <c r="D124" s="20"/>
      <c r="E124" s="20"/>
    </row>
    <row r="125">
      <c r="A125" s="20"/>
      <c r="B125" s="20"/>
      <c r="C125" s="20"/>
      <c r="D125" s="20"/>
      <c r="E125" s="20"/>
    </row>
    <row r="126">
      <c r="A126" s="20"/>
      <c r="B126" s="20"/>
      <c r="C126" s="20"/>
      <c r="D126" s="20"/>
      <c r="E126" s="20"/>
    </row>
    <row r="127">
      <c r="A127" s="20"/>
      <c r="B127" s="20"/>
      <c r="C127" s="20"/>
      <c r="D127" s="20"/>
      <c r="E127" s="20"/>
    </row>
    <row r="128">
      <c r="A128" s="20"/>
      <c r="B128" s="20"/>
      <c r="C128" s="20"/>
      <c r="D128" s="20"/>
      <c r="E128" s="20"/>
    </row>
    <row r="129">
      <c r="A129" s="20"/>
      <c r="B129" s="20"/>
      <c r="C129" s="20"/>
      <c r="D129" s="20"/>
      <c r="E129" s="20"/>
    </row>
    <row r="130">
      <c r="A130" s="20"/>
      <c r="B130" s="20"/>
      <c r="C130" s="20"/>
      <c r="D130" s="20"/>
      <c r="E130" s="20"/>
    </row>
    <row r="131">
      <c r="A131" s="20"/>
      <c r="B131" s="20"/>
      <c r="C131" s="20"/>
      <c r="D131" s="20"/>
      <c r="E131" s="20"/>
    </row>
    <row r="132">
      <c r="A132" s="20"/>
      <c r="B132" s="20"/>
      <c r="C132" s="20"/>
      <c r="D132" s="20"/>
      <c r="E132" s="20"/>
    </row>
    <row r="133">
      <c r="A133" s="20"/>
      <c r="B133" s="20"/>
      <c r="C133" s="20"/>
      <c r="D133" s="20"/>
      <c r="E133" s="20"/>
    </row>
    <row r="134">
      <c r="A134" s="20"/>
      <c r="B134" s="20"/>
      <c r="C134" s="20"/>
      <c r="D134" s="20"/>
      <c r="E134" s="20"/>
    </row>
    <row r="135">
      <c r="A135" s="20"/>
      <c r="B135" s="20"/>
      <c r="C135" s="20"/>
      <c r="D135" s="20"/>
      <c r="E135" s="20"/>
    </row>
    <row r="136">
      <c r="A136" s="20"/>
      <c r="B136" s="20"/>
      <c r="C136" s="20"/>
      <c r="D136" s="20"/>
      <c r="E136" s="20"/>
    </row>
    <row r="137">
      <c r="A137" s="20"/>
      <c r="B137" s="20"/>
      <c r="C137" s="20"/>
      <c r="D137" s="20"/>
      <c r="E137" s="20"/>
    </row>
    <row r="138">
      <c r="A138" s="20"/>
      <c r="B138" s="20"/>
      <c r="C138" s="20"/>
      <c r="D138" s="20"/>
      <c r="E138" s="20"/>
    </row>
    <row r="139">
      <c r="A139" s="20"/>
      <c r="B139" s="20"/>
      <c r="C139" s="20"/>
      <c r="D139" s="20"/>
      <c r="E139" s="20"/>
    </row>
    <row r="140">
      <c r="A140" s="20"/>
      <c r="B140" s="20"/>
      <c r="C140" s="20"/>
      <c r="D140" s="20"/>
      <c r="E140" s="20"/>
    </row>
    <row r="141">
      <c r="A141" s="20"/>
      <c r="B141" s="20"/>
      <c r="C141" s="20"/>
      <c r="D141" s="20"/>
      <c r="E141" s="20"/>
    </row>
    <row r="142">
      <c r="A142" s="20"/>
      <c r="B142" s="20"/>
      <c r="C142" s="20"/>
      <c r="D142" s="20"/>
      <c r="E142" s="20"/>
    </row>
    <row r="143">
      <c r="A143" s="20"/>
      <c r="B143" s="20"/>
      <c r="C143" s="20"/>
      <c r="D143" s="20"/>
      <c r="E143" s="20"/>
    </row>
    <row r="144">
      <c r="A144" s="20"/>
      <c r="B144" s="20"/>
      <c r="C144" s="20"/>
      <c r="D144" s="20"/>
      <c r="E144" s="20"/>
    </row>
    <row r="145">
      <c r="A145" s="20"/>
      <c r="B145" s="20"/>
      <c r="C145" s="20"/>
      <c r="D145" s="20"/>
      <c r="E145" s="20"/>
    </row>
    <row r="146">
      <c r="A146" s="20"/>
      <c r="B146" s="20"/>
      <c r="C146" s="20"/>
      <c r="D146" s="20"/>
      <c r="E146" s="20"/>
    </row>
    <row r="147">
      <c r="A147" s="20"/>
      <c r="B147" s="20"/>
      <c r="C147" s="20"/>
      <c r="D147" s="20"/>
      <c r="E147" s="20"/>
    </row>
    <row r="148">
      <c r="A148" s="20"/>
      <c r="B148" s="20"/>
      <c r="C148" s="20"/>
      <c r="D148" s="20"/>
      <c r="E148" s="20"/>
    </row>
    <row r="149">
      <c r="A149" s="20"/>
      <c r="B149" s="20"/>
      <c r="C149" s="20"/>
      <c r="D149" s="20"/>
      <c r="E149" s="20"/>
    </row>
    <row r="150">
      <c r="A150" s="20"/>
      <c r="B150" s="20"/>
      <c r="C150" s="20"/>
      <c r="D150" s="20"/>
      <c r="E150" s="20"/>
    </row>
    <row r="151">
      <c r="A151" s="20"/>
      <c r="B151" s="20"/>
      <c r="C151" s="20"/>
      <c r="D151" s="20"/>
      <c r="E151" s="20"/>
    </row>
    <row r="152">
      <c r="A152" s="20"/>
      <c r="B152" s="20"/>
      <c r="C152" s="20"/>
      <c r="D152" s="20"/>
      <c r="E152" s="20"/>
    </row>
    <row r="153">
      <c r="A153" s="20"/>
      <c r="B153" s="20"/>
      <c r="C153" s="20"/>
      <c r="D153" s="20"/>
      <c r="E153" s="20"/>
    </row>
    <row r="154">
      <c r="A154" s="20"/>
      <c r="B154" s="20"/>
      <c r="C154" s="20"/>
      <c r="D154" s="20"/>
      <c r="E154" s="20"/>
    </row>
    <row r="155">
      <c r="A155" s="20"/>
      <c r="B155" s="20"/>
      <c r="C155" s="20"/>
      <c r="D155" s="20"/>
      <c r="E155" s="20"/>
    </row>
    <row r="156">
      <c r="A156" s="20"/>
      <c r="B156" s="20"/>
      <c r="C156" s="20"/>
      <c r="D156" s="20"/>
      <c r="E156" s="20"/>
    </row>
    <row r="157">
      <c r="A157" s="20"/>
      <c r="B157" s="20"/>
      <c r="C157" s="20"/>
      <c r="D157" s="20"/>
      <c r="E157" s="20"/>
    </row>
    <row r="158">
      <c r="A158" s="20"/>
      <c r="B158" s="20"/>
      <c r="C158" s="20"/>
      <c r="D158" s="20"/>
      <c r="E158" s="20"/>
    </row>
    <row r="159">
      <c r="A159" s="20"/>
      <c r="B159" s="20"/>
      <c r="C159" s="20"/>
      <c r="D159" s="20"/>
      <c r="E159" s="20"/>
    </row>
    <row r="160">
      <c r="A160" s="20"/>
      <c r="B160" s="20"/>
      <c r="C160" s="20"/>
      <c r="D160" s="20"/>
      <c r="E160" s="20"/>
    </row>
    <row r="161">
      <c r="A161" s="20"/>
      <c r="B161" s="20"/>
      <c r="C161" s="20"/>
      <c r="D161" s="20"/>
      <c r="E161" s="20"/>
    </row>
    <row r="162">
      <c r="A162" s="20"/>
      <c r="B162" s="20"/>
      <c r="C162" s="20"/>
      <c r="D162" s="20"/>
      <c r="E162" s="20"/>
    </row>
    <row r="163">
      <c r="A163" s="20"/>
      <c r="B163" s="20"/>
      <c r="C163" s="20"/>
      <c r="D163" s="20"/>
      <c r="E163" s="20"/>
    </row>
    <row r="164">
      <c r="A164" s="20"/>
      <c r="B164" s="20"/>
      <c r="C164" s="20"/>
      <c r="D164" s="20"/>
      <c r="E164" s="20"/>
    </row>
    <row r="165">
      <c r="A165" s="20"/>
      <c r="B165" s="20"/>
      <c r="C165" s="20"/>
      <c r="D165" s="20"/>
      <c r="E165" s="20"/>
    </row>
    <row r="166">
      <c r="A166" s="20"/>
      <c r="B166" s="20"/>
      <c r="C166" s="20"/>
      <c r="D166" s="20"/>
      <c r="E166" s="20"/>
    </row>
    <row r="167">
      <c r="A167" s="20"/>
      <c r="B167" s="20"/>
      <c r="C167" s="20"/>
      <c r="D167" s="20"/>
      <c r="E167" s="20"/>
    </row>
    <row r="168">
      <c r="A168" s="20"/>
      <c r="B168" s="20"/>
      <c r="C168" s="20"/>
      <c r="D168" s="20"/>
      <c r="E168" s="20"/>
    </row>
    <row r="169">
      <c r="A169" s="20"/>
      <c r="B169" s="20"/>
      <c r="C169" s="20"/>
      <c r="D169" s="20"/>
      <c r="E169" s="20"/>
    </row>
    <row r="170">
      <c r="A170" s="20"/>
      <c r="B170" s="20"/>
      <c r="C170" s="20"/>
      <c r="D170" s="20"/>
      <c r="E170" s="20"/>
    </row>
    <row r="171">
      <c r="A171" s="20"/>
      <c r="B171" s="20"/>
      <c r="C171" s="20"/>
      <c r="D171" s="20"/>
      <c r="E171" s="20"/>
    </row>
    <row r="172">
      <c r="A172" s="20"/>
      <c r="B172" s="20"/>
      <c r="C172" s="20"/>
      <c r="D172" s="20"/>
      <c r="E172" s="20"/>
    </row>
    <row r="173">
      <c r="A173" s="20"/>
      <c r="B173" s="20"/>
      <c r="C173" s="20"/>
      <c r="D173" s="20"/>
      <c r="E173" s="20"/>
    </row>
    <row r="174">
      <c r="A174" s="20"/>
      <c r="B174" s="20"/>
      <c r="C174" s="20"/>
      <c r="D174" s="20"/>
      <c r="E174" s="20"/>
    </row>
    <row r="175">
      <c r="A175" s="20"/>
      <c r="B175" s="20"/>
      <c r="C175" s="20"/>
      <c r="D175" s="20"/>
      <c r="E175" s="20"/>
    </row>
    <row r="176">
      <c r="A176" s="20"/>
      <c r="B176" s="20"/>
      <c r="C176" s="20"/>
      <c r="D176" s="20"/>
      <c r="E176" s="20"/>
    </row>
    <row r="177">
      <c r="A177" s="20"/>
      <c r="B177" s="20"/>
      <c r="C177" s="20"/>
      <c r="D177" s="20"/>
      <c r="E177" s="20"/>
    </row>
    <row r="178">
      <c r="A178" s="20"/>
      <c r="B178" s="20"/>
      <c r="C178" s="20"/>
      <c r="D178" s="20"/>
      <c r="E178" s="20"/>
    </row>
    <row r="179">
      <c r="A179" s="20"/>
      <c r="B179" s="20"/>
      <c r="C179" s="20"/>
      <c r="D179" s="20"/>
      <c r="E179" s="20"/>
    </row>
    <row r="180">
      <c r="A180" s="20"/>
      <c r="B180" s="20"/>
      <c r="C180" s="20"/>
      <c r="D180" s="20"/>
      <c r="E180" s="20"/>
    </row>
    <row r="181">
      <c r="A181" s="20"/>
      <c r="B181" s="20"/>
      <c r="C181" s="20"/>
      <c r="D181" s="20"/>
      <c r="E181" s="20"/>
    </row>
    <row r="182">
      <c r="A182" s="20"/>
      <c r="B182" s="20"/>
      <c r="C182" s="20"/>
      <c r="D182" s="20"/>
      <c r="E182" s="20"/>
    </row>
    <row r="183">
      <c r="A183" s="20"/>
      <c r="B183" s="20"/>
      <c r="C183" s="20"/>
      <c r="D183" s="20"/>
      <c r="E183" s="20"/>
    </row>
    <row r="184">
      <c r="A184" s="20"/>
      <c r="B184" s="20"/>
      <c r="C184" s="20"/>
      <c r="D184" s="20"/>
      <c r="E184" s="20"/>
    </row>
    <row r="185">
      <c r="A185" s="20"/>
      <c r="B185" s="20"/>
      <c r="C185" s="20"/>
      <c r="D185" s="20"/>
      <c r="E185" s="20"/>
    </row>
    <row r="186">
      <c r="A186" s="20"/>
      <c r="B186" s="20"/>
      <c r="C186" s="20"/>
      <c r="D186" s="20"/>
      <c r="E186" s="20"/>
    </row>
    <row r="187">
      <c r="A187" s="20"/>
      <c r="B187" s="20"/>
      <c r="C187" s="20"/>
      <c r="D187" s="20"/>
      <c r="E187" s="20"/>
    </row>
    <row r="188">
      <c r="A188" s="20"/>
      <c r="B188" s="20"/>
      <c r="C188" s="20"/>
      <c r="D188" s="20"/>
      <c r="E188" s="20"/>
    </row>
    <row r="189">
      <c r="A189" s="20"/>
      <c r="B189" s="20"/>
      <c r="C189" s="20"/>
      <c r="D189" s="20"/>
      <c r="E189" s="20"/>
    </row>
    <row r="190">
      <c r="A190" s="20"/>
      <c r="B190" s="20"/>
      <c r="C190" s="20"/>
      <c r="D190" s="20"/>
      <c r="E190" s="20"/>
    </row>
    <row r="191">
      <c r="A191" s="20"/>
      <c r="B191" s="20"/>
      <c r="C191" s="20"/>
      <c r="D191" s="20"/>
      <c r="E191" s="20"/>
    </row>
    <row r="192">
      <c r="A192" s="20"/>
      <c r="B192" s="20"/>
      <c r="C192" s="20"/>
      <c r="D192" s="20"/>
      <c r="E192" s="20"/>
    </row>
    <row r="193">
      <c r="A193" s="20"/>
      <c r="B193" s="20"/>
      <c r="C193" s="20"/>
      <c r="D193" s="20"/>
      <c r="E193" s="20"/>
    </row>
    <row r="194">
      <c r="A194" s="20"/>
      <c r="B194" s="20"/>
      <c r="C194" s="20"/>
      <c r="D194" s="20"/>
      <c r="E194" s="20"/>
    </row>
    <row r="195">
      <c r="A195" s="20"/>
      <c r="B195" s="20"/>
      <c r="C195" s="20"/>
      <c r="D195" s="20"/>
      <c r="E195" s="20"/>
    </row>
    <row r="196">
      <c r="A196" s="20"/>
      <c r="B196" s="20"/>
      <c r="C196" s="20"/>
      <c r="D196" s="20"/>
      <c r="E196" s="20"/>
    </row>
    <row r="197">
      <c r="A197" s="20"/>
      <c r="B197" s="20"/>
      <c r="C197" s="20"/>
      <c r="D197" s="20"/>
      <c r="E197" s="20"/>
    </row>
    <row r="198">
      <c r="A198" s="20"/>
      <c r="B198" s="20"/>
      <c r="C198" s="20"/>
      <c r="D198" s="20"/>
      <c r="E198" s="20"/>
    </row>
    <row r="199">
      <c r="A199" s="20"/>
      <c r="B199" s="20"/>
      <c r="C199" s="20"/>
      <c r="D199" s="20"/>
      <c r="E199" s="20"/>
    </row>
    <row r="200">
      <c r="A200" s="20"/>
      <c r="B200" s="20"/>
      <c r="C200" s="20"/>
      <c r="D200" s="20"/>
      <c r="E200" s="20"/>
    </row>
    <row r="201">
      <c r="A201" s="20"/>
      <c r="B201" s="20"/>
      <c r="C201" s="20"/>
      <c r="D201" s="20"/>
      <c r="E201" s="20"/>
    </row>
    <row r="202">
      <c r="A202" s="20"/>
      <c r="B202" s="20"/>
      <c r="C202" s="20"/>
      <c r="D202" s="20"/>
      <c r="E202" s="20"/>
    </row>
    <row r="203">
      <c r="A203" s="20"/>
      <c r="B203" s="20"/>
      <c r="C203" s="20"/>
      <c r="D203" s="20"/>
      <c r="E203" s="20"/>
    </row>
    <row r="204">
      <c r="A204" s="20"/>
      <c r="B204" s="20"/>
      <c r="C204" s="20"/>
      <c r="D204" s="20"/>
      <c r="E204" s="20"/>
    </row>
    <row r="205">
      <c r="A205" s="20"/>
      <c r="B205" s="20"/>
      <c r="C205" s="20"/>
      <c r="D205" s="20"/>
      <c r="E205" s="20"/>
    </row>
    <row r="206">
      <c r="A206" s="20"/>
      <c r="B206" s="20"/>
      <c r="C206" s="20"/>
      <c r="D206" s="20"/>
      <c r="E206" s="20"/>
    </row>
    <row r="207">
      <c r="A207" s="20"/>
      <c r="B207" s="20"/>
      <c r="C207" s="20"/>
      <c r="D207" s="20"/>
      <c r="E207" s="20"/>
    </row>
    <row r="208">
      <c r="A208" s="20"/>
      <c r="B208" s="20"/>
      <c r="C208" s="20"/>
      <c r="D208" s="20"/>
      <c r="E208" s="20"/>
    </row>
    <row r="209">
      <c r="A209" s="20"/>
      <c r="B209" s="20"/>
      <c r="C209" s="20"/>
      <c r="D209" s="20"/>
      <c r="E209" s="20"/>
    </row>
    <row r="210">
      <c r="A210" s="20"/>
      <c r="B210" s="20"/>
      <c r="C210" s="20"/>
      <c r="D210" s="20"/>
      <c r="E210" s="20"/>
    </row>
    <row r="211">
      <c r="A211" s="20"/>
      <c r="B211" s="20"/>
      <c r="C211" s="20"/>
      <c r="D211" s="20"/>
      <c r="E211" s="20"/>
    </row>
    <row r="212">
      <c r="A212" s="20"/>
      <c r="B212" s="20"/>
      <c r="C212" s="20"/>
      <c r="D212" s="20"/>
      <c r="E212" s="20"/>
    </row>
    <row r="213">
      <c r="A213" s="20"/>
      <c r="B213" s="20"/>
      <c r="C213" s="20"/>
      <c r="D213" s="20"/>
      <c r="E213" s="20"/>
    </row>
    <row r="214">
      <c r="A214" s="20"/>
      <c r="B214" s="20"/>
      <c r="C214" s="20"/>
      <c r="D214" s="20"/>
      <c r="E214" s="20"/>
    </row>
    <row r="215">
      <c r="A215" s="20"/>
      <c r="B215" s="20"/>
      <c r="C215" s="20"/>
      <c r="D215" s="20"/>
      <c r="E215" s="20"/>
    </row>
    <row r="216">
      <c r="A216" s="20"/>
      <c r="B216" s="20"/>
      <c r="C216" s="20"/>
      <c r="D216" s="20"/>
      <c r="E216" s="20"/>
    </row>
    <row r="217">
      <c r="A217" s="20"/>
      <c r="B217" s="20"/>
      <c r="C217" s="20"/>
      <c r="D217" s="20"/>
      <c r="E217" s="20"/>
    </row>
    <row r="218">
      <c r="A218" s="20"/>
      <c r="B218" s="20"/>
      <c r="C218" s="20"/>
      <c r="D218" s="20"/>
      <c r="E218" s="20"/>
    </row>
    <row r="219">
      <c r="A219" s="20"/>
      <c r="B219" s="20"/>
      <c r="C219" s="20"/>
      <c r="D219" s="20"/>
      <c r="E219" s="20"/>
    </row>
    <row r="220">
      <c r="A220" s="20"/>
      <c r="B220" s="20"/>
      <c r="C220" s="20"/>
      <c r="D220" s="20"/>
      <c r="E220" s="20"/>
    </row>
    <row r="221">
      <c r="A221" s="20"/>
      <c r="B221" s="20"/>
      <c r="C221" s="20"/>
      <c r="D221" s="20"/>
      <c r="E221" s="20"/>
    </row>
    <row r="222">
      <c r="A222" s="20"/>
      <c r="B222" s="20"/>
      <c r="C222" s="20"/>
      <c r="D222" s="20"/>
      <c r="E222" s="20"/>
    </row>
    <row r="223">
      <c r="A223" s="20"/>
      <c r="B223" s="20"/>
      <c r="C223" s="20"/>
      <c r="D223" s="20"/>
      <c r="E223" s="20"/>
    </row>
    <row r="224">
      <c r="A224" s="20"/>
      <c r="B224" s="20"/>
      <c r="C224" s="20"/>
      <c r="D224" s="20"/>
      <c r="E224" s="20"/>
    </row>
    <row r="225">
      <c r="A225" s="20"/>
      <c r="B225" s="20"/>
      <c r="C225" s="20"/>
      <c r="D225" s="20"/>
      <c r="E225" s="20"/>
    </row>
    <row r="226">
      <c r="A226" s="20"/>
      <c r="B226" s="20"/>
      <c r="C226" s="20"/>
      <c r="D226" s="20"/>
      <c r="E226" s="20"/>
    </row>
    <row r="227">
      <c r="A227" s="20"/>
      <c r="B227" s="20"/>
      <c r="C227" s="20"/>
      <c r="D227" s="20"/>
      <c r="E227" s="20"/>
    </row>
    <row r="228">
      <c r="A228" s="20"/>
      <c r="B228" s="20"/>
      <c r="C228" s="20"/>
      <c r="D228" s="20"/>
      <c r="E228" s="20"/>
    </row>
    <row r="229">
      <c r="A229" s="20"/>
      <c r="B229" s="20"/>
      <c r="C229" s="20"/>
      <c r="D229" s="20"/>
      <c r="E229" s="20"/>
    </row>
    <row r="230">
      <c r="A230" s="20"/>
      <c r="B230" s="20"/>
      <c r="C230" s="20"/>
      <c r="D230" s="20"/>
      <c r="E230" s="20"/>
    </row>
    <row r="231">
      <c r="A231" s="20"/>
      <c r="B231" s="20"/>
      <c r="C231" s="20"/>
      <c r="D231" s="20"/>
      <c r="E231" s="20"/>
    </row>
    <row r="232">
      <c r="A232" s="20"/>
      <c r="B232" s="20"/>
      <c r="C232" s="20"/>
      <c r="D232" s="20"/>
      <c r="E232" s="20"/>
    </row>
    <row r="233">
      <c r="A233" s="20"/>
      <c r="B233" s="20"/>
      <c r="C233" s="20"/>
      <c r="D233" s="20"/>
      <c r="E233" s="20"/>
    </row>
    <row r="234">
      <c r="A234" s="20"/>
      <c r="B234" s="20"/>
      <c r="C234" s="20"/>
      <c r="D234" s="20"/>
      <c r="E234" s="20"/>
    </row>
    <row r="235">
      <c r="A235" s="20"/>
      <c r="B235" s="20"/>
      <c r="C235" s="20"/>
      <c r="D235" s="20"/>
      <c r="E235" s="20"/>
    </row>
    <row r="236">
      <c r="A236" s="20"/>
      <c r="B236" s="20"/>
      <c r="C236" s="20"/>
      <c r="D236" s="20"/>
      <c r="E236" s="20"/>
    </row>
    <row r="237">
      <c r="A237" s="20"/>
      <c r="B237" s="20"/>
      <c r="C237" s="20"/>
      <c r="D237" s="20"/>
      <c r="E237" s="20"/>
    </row>
    <row r="238">
      <c r="A238" s="20"/>
      <c r="B238" s="20"/>
      <c r="C238" s="20"/>
      <c r="D238" s="20"/>
      <c r="E238" s="20"/>
    </row>
    <row r="239">
      <c r="A239" s="20"/>
      <c r="B239" s="20"/>
      <c r="C239" s="20"/>
      <c r="D239" s="20"/>
      <c r="E239" s="20"/>
    </row>
    <row r="240">
      <c r="A240" s="20"/>
      <c r="B240" s="20"/>
      <c r="C240" s="20"/>
      <c r="D240" s="20"/>
      <c r="E240" s="20"/>
    </row>
    <row r="241">
      <c r="A241" s="20"/>
      <c r="B241" s="20"/>
      <c r="C241" s="20"/>
      <c r="D241" s="20"/>
      <c r="E241" s="20"/>
    </row>
    <row r="242">
      <c r="A242" s="20"/>
      <c r="B242" s="20"/>
      <c r="C242" s="20"/>
      <c r="D242" s="20"/>
      <c r="E242" s="20"/>
    </row>
    <row r="243">
      <c r="A243" s="20"/>
      <c r="B243" s="20"/>
      <c r="C243" s="20"/>
      <c r="D243" s="20"/>
      <c r="E243" s="20"/>
    </row>
    <row r="244">
      <c r="A244" s="20"/>
      <c r="B244" s="20"/>
      <c r="C244" s="20"/>
      <c r="D244" s="20"/>
      <c r="E244" s="20"/>
    </row>
    <row r="245">
      <c r="A245" s="20"/>
      <c r="B245" s="20"/>
      <c r="C245" s="20"/>
      <c r="D245" s="20"/>
      <c r="E245" s="20"/>
    </row>
    <row r="246">
      <c r="A246" s="20"/>
      <c r="B246" s="20"/>
      <c r="C246" s="20"/>
      <c r="D246" s="20"/>
      <c r="E246" s="20"/>
    </row>
    <row r="247">
      <c r="A247" s="20"/>
      <c r="B247" s="20"/>
      <c r="C247" s="20"/>
      <c r="D247" s="20"/>
      <c r="E247" s="20"/>
    </row>
    <row r="248">
      <c r="A248" s="20"/>
      <c r="B248" s="20"/>
      <c r="C248" s="20"/>
      <c r="D248" s="20"/>
      <c r="E248" s="20"/>
    </row>
    <row r="249">
      <c r="A249" s="20"/>
      <c r="B249" s="20"/>
      <c r="C249" s="20"/>
      <c r="D249" s="20"/>
      <c r="E249" s="20"/>
    </row>
    <row r="250">
      <c r="A250" s="20"/>
      <c r="B250" s="20"/>
      <c r="C250" s="20"/>
      <c r="D250" s="20"/>
      <c r="E250" s="20"/>
    </row>
    <row r="251">
      <c r="A251" s="20"/>
      <c r="B251" s="20"/>
      <c r="C251" s="20"/>
      <c r="D251" s="20"/>
      <c r="E251" s="20"/>
    </row>
    <row r="252">
      <c r="A252" s="20"/>
      <c r="B252" s="20"/>
      <c r="C252" s="20"/>
      <c r="D252" s="20"/>
      <c r="E252" s="20"/>
    </row>
    <row r="253">
      <c r="A253" s="20"/>
      <c r="B253" s="20"/>
      <c r="C253" s="20"/>
      <c r="D253" s="20"/>
      <c r="E253" s="20"/>
    </row>
    <row r="254">
      <c r="A254" s="20"/>
      <c r="B254" s="20"/>
      <c r="C254" s="20"/>
      <c r="D254" s="20"/>
      <c r="E254" s="20"/>
    </row>
    <row r="255">
      <c r="A255" s="20"/>
      <c r="B255" s="20"/>
      <c r="C255" s="20"/>
      <c r="D255" s="20"/>
      <c r="E255" s="20"/>
    </row>
    <row r="256">
      <c r="A256" s="20"/>
      <c r="B256" s="20"/>
      <c r="C256" s="20"/>
      <c r="D256" s="20"/>
      <c r="E256" s="20"/>
    </row>
    <row r="257">
      <c r="A257" s="20"/>
      <c r="B257" s="20"/>
      <c r="C257" s="20"/>
      <c r="D257" s="20"/>
      <c r="E257" s="20"/>
    </row>
    <row r="258">
      <c r="A258" s="20"/>
      <c r="B258" s="20"/>
      <c r="C258" s="20"/>
      <c r="D258" s="20"/>
      <c r="E258" s="20"/>
    </row>
    <row r="259">
      <c r="A259" s="20"/>
      <c r="B259" s="20"/>
      <c r="C259" s="20"/>
      <c r="D259" s="20"/>
      <c r="E259" s="20"/>
    </row>
    <row r="260">
      <c r="A260" s="20"/>
      <c r="B260" s="20"/>
      <c r="C260" s="20"/>
      <c r="D260" s="20"/>
      <c r="E260" s="20"/>
    </row>
    <row r="261">
      <c r="A261" s="20"/>
      <c r="B261" s="20"/>
      <c r="C261" s="20"/>
      <c r="D261" s="20"/>
      <c r="E261" s="20"/>
    </row>
    <row r="262">
      <c r="A262" s="20"/>
      <c r="B262" s="20"/>
      <c r="C262" s="20"/>
      <c r="D262" s="20"/>
      <c r="E262" s="20"/>
    </row>
    <row r="263">
      <c r="A263" s="20"/>
      <c r="B263" s="20"/>
      <c r="C263" s="20"/>
      <c r="D263" s="20"/>
      <c r="E263" s="20"/>
    </row>
    <row r="264">
      <c r="A264" s="20"/>
      <c r="B264" s="20"/>
      <c r="C264" s="20"/>
      <c r="D264" s="20"/>
      <c r="E264" s="20"/>
    </row>
    <row r="265">
      <c r="A265" s="20"/>
      <c r="B265" s="20"/>
      <c r="C265" s="20"/>
      <c r="D265" s="20"/>
      <c r="E265" s="20"/>
    </row>
    <row r="266">
      <c r="A266" s="20"/>
      <c r="B266" s="20"/>
      <c r="C266" s="20"/>
      <c r="D266" s="20"/>
      <c r="E266" s="20"/>
    </row>
    <row r="267">
      <c r="A267" s="20"/>
      <c r="B267" s="20"/>
      <c r="C267" s="20"/>
      <c r="D267" s="20"/>
      <c r="E267" s="20"/>
    </row>
    <row r="268">
      <c r="A268" s="20"/>
      <c r="B268" s="20"/>
      <c r="C268" s="20"/>
      <c r="D268" s="20"/>
      <c r="E268" s="20"/>
    </row>
    <row r="269">
      <c r="A269" s="20"/>
      <c r="B269" s="20"/>
      <c r="C269" s="20"/>
      <c r="D269" s="20"/>
      <c r="E269" s="20"/>
    </row>
    <row r="270">
      <c r="A270" s="20"/>
      <c r="B270" s="20"/>
      <c r="C270" s="20"/>
      <c r="D270" s="20"/>
      <c r="E270" s="20"/>
    </row>
    <row r="271">
      <c r="A271" s="20"/>
      <c r="B271" s="20"/>
      <c r="C271" s="20"/>
      <c r="D271" s="20"/>
      <c r="E271" s="20"/>
    </row>
    <row r="272">
      <c r="A272" s="20"/>
      <c r="B272" s="20"/>
      <c r="C272" s="20"/>
      <c r="D272" s="20"/>
      <c r="E272" s="20"/>
    </row>
    <row r="273">
      <c r="A273" s="20"/>
      <c r="B273" s="20"/>
      <c r="C273" s="20"/>
      <c r="D273" s="20"/>
      <c r="E273" s="20"/>
    </row>
    <row r="274">
      <c r="A274" s="20"/>
      <c r="B274" s="20"/>
      <c r="C274" s="20"/>
      <c r="D274" s="20"/>
      <c r="E274" s="20"/>
    </row>
    <row r="275">
      <c r="A275" s="20"/>
      <c r="B275" s="20"/>
      <c r="C275" s="20"/>
      <c r="D275" s="20"/>
      <c r="E275" s="20"/>
    </row>
    <row r="276">
      <c r="A276" s="20"/>
      <c r="B276" s="20"/>
      <c r="C276" s="20"/>
      <c r="D276" s="20"/>
      <c r="E276" s="20"/>
    </row>
    <row r="277">
      <c r="A277" s="20"/>
      <c r="B277" s="20"/>
      <c r="C277" s="20"/>
      <c r="D277" s="20"/>
      <c r="E277" s="20"/>
    </row>
    <row r="278">
      <c r="A278" s="20"/>
      <c r="B278" s="20"/>
      <c r="C278" s="20"/>
      <c r="D278" s="20"/>
      <c r="E278" s="20"/>
    </row>
    <row r="279">
      <c r="A279" s="20"/>
      <c r="B279" s="20"/>
      <c r="C279" s="20"/>
      <c r="D279" s="20"/>
      <c r="E279" s="20"/>
    </row>
    <row r="280">
      <c r="A280" s="20"/>
      <c r="B280" s="20"/>
      <c r="C280" s="20"/>
      <c r="D280" s="20"/>
      <c r="E280" s="20"/>
    </row>
    <row r="281">
      <c r="A281" s="20"/>
      <c r="B281" s="20"/>
      <c r="C281" s="20"/>
      <c r="D281" s="20"/>
      <c r="E281" s="20"/>
    </row>
    <row r="282">
      <c r="A282" s="20"/>
      <c r="B282" s="20"/>
      <c r="C282" s="20"/>
      <c r="D282" s="20"/>
      <c r="E282" s="20"/>
    </row>
    <row r="283">
      <c r="A283" s="20"/>
      <c r="B283" s="20"/>
      <c r="C283" s="20"/>
      <c r="D283" s="20"/>
      <c r="E283" s="20"/>
    </row>
    <row r="284">
      <c r="A284" s="20"/>
      <c r="B284" s="20"/>
      <c r="C284" s="20"/>
      <c r="D284" s="20"/>
      <c r="E284" s="20"/>
    </row>
    <row r="285">
      <c r="A285" s="20"/>
      <c r="B285" s="20"/>
      <c r="C285" s="20"/>
      <c r="D285" s="20"/>
      <c r="E285" s="20"/>
    </row>
    <row r="286">
      <c r="A286" s="20"/>
      <c r="B286" s="20"/>
      <c r="C286" s="20"/>
      <c r="D286" s="20"/>
      <c r="E286" s="20"/>
    </row>
    <row r="287">
      <c r="A287" s="20"/>
      <c r="B287" s="20"/>
      <c r="C287" s="20"/>
      <c r="D287" s="20"/>
      <c r="E287" s="20"/>
    </row>
    <row r="288">
      <c r="A288" s="20"/>
      <c r="B288" s="20"/>
      <c r="C288" s="20"/>
      <c r="D288" s="20"/>
      <c r="E288" s="20"/>
    </row>
    <row r="289">
      <c r="A289" s="20"/>
      <c r="B289" s="20"/>
      <c r="C289" s="20"/>
      <c r="D289" s="20"/>
      <c r="E289" s="20"/>
    </row>
    <row r="290">
      <c r="A290" s="20"/>
      <c r="B290" s="20"/>
      <c r="C290" s="20"/>
      <c r="D290" s="20"/>
      <c r="E290" s="20"/>
    </row>
    <row r="291">
      <c r="A291" s="20"/>
      <c r="B291" s="20"/>
      <c r="C291" s="20"/>
      <c r="D291" s="20"/>
      <c r="E291" s="20"/>
    </row>
    <row r="292">
      <c r="A292" s="20"/>
      <c r="B292" s="20"/>
      <c r="C292" s="20"/>
      <c r="D292" s="20"/>
      <c r="E292" s="20"/>
    </row>
    <row r="293">
      <c r="A293" s="20"/>
      <c r="B293" s="20"/>
      <c r="C293" s="20"/>
      <c r="D293" s="20"/>
      <c r="E293" s="20"/>
    </row>
    <row r="294">
      <c r="A294" s="20"/>
      <c r="B294" s="20"/>
      <c r="C294" s="20"/>
      <c r="D294" s="20"/>
      <c r="E294" s="20"/>
    </row>
    <row r="295">
      <c r="A295" s="20"/>
      <c r="B295" s="20"/>
      <c r="C295" s="20"/>
      <c r="D295" s="20"/>
      <c r="E295" s="20"/>
    </row>
    <row r="296">
      <c r="A296" s="20"/>
      <c r="B296" s="20"/>
      <c r="C296" s="20"/>
      <c r="D296" s="20"/>
      <c r="E296" s="20"/>
    </row>
    <row r="297">
      <c r="A297" s="20"/>
      <c r="B297" s="20"/>
      <c r="C297" s="20"/>
      <c r="D297" s="20"/>
      <c r="E297" s="20"/>
    </row>
    <row r="298">
      <c r="A298" s="20"/>
      <c r="B298" s="20"/>
      <c r="C298" s="20"/>
      <c r="D298" s="20"/>
      <c r="E298" s="20"/>
    </row>
    <row r="299">
      <c r="A299" s="20"/>
      <c r="B299" s="20"/>
      <c r="C299" s="20"/>
      <c r="D299" s="20"/>
      <c r="E299" s="20"/>
    </row>
    <row r="300">
      <c r="A300" s="20"/>
      <c r="B300" s="20"/>
      <c r="C300" s="20"/>
      <c r="D300" s="20"/>
      <c r="E300" s="20"/>
    </row>
    <row r="301">
      <c r="A301" s="20"/>
      <c r="B301" s="20"/>
      <c r="C301" s="20"/>
      <c r="D301" s="20"/>
      <c r="E301" s="20"/>
    </row>
    <row r="302">
      <c r="A302" s="20"/>
      <c r="B302" s="20"/>
      <c r="C302" s="20"/>
      <c r="D302" s="20"/>
      <c r="E302" s="20"/>
    </row>
    <row r="303">
      <c r="A303" s="20"/>
      <c r="B303" s="20"/>
      <c r="C303" s="20"/>
      <c r="D303" s="20"/>
      <c r="E303" s="20"/>
    </row>
    <row r="304">
      <c r="A304" s="20"/>
      <c r="B304" s="20"/>
      <c r="C304" s="20"/>
      <c r="D304" s="20"/>
      <c r="E304" s="20"/>
    </row>
    <row r="305">
      <c r="A305" s="20"/>
      <c r="B305" s="20"/>
      <c r="C305" s="20"/>
      <c r="D305" s="20"/>
      <c r="E305" s="20"/>
    </row>
    <row r="306">
      <c r="A306" s="20"/>
      <c r="B306" s="20"/>
      <c r="C306" s="20"/>
      <c r="D306" s="20"/>
      <c r="E306" s="20"/>
    </row>
    <row r="307">
      <c r="A307" s="20"/>
      <c r="B307" s="20"/>
      <c r="C307" s="20"/>
      <c r="D307" s="20"/>
      <c r="E307" s="20"/>
    </row>
    <row r="308">
      <c r="A308" s="20"/>
      <c r="B308" s="20"/>
      <c r="C308" s="20"/>
      <c r="D308" s="20"/>
      <c r="E308" s="20"/>
    </row>
    <row r="309">
      <c r="A309" s="20"/>
      <c r="B309" s="20"/>
      <c r="C309" s="20"/>
      <c r="D309" s="20"/>
      <c r="E309" s="20"/>
    </row>
    <row r="310">
      <c r="A310" s="20"/>
      <c r="B310" s="20"/>
      <c r="C310" s="20"/>
      <c r="D310" s="20"/>
      <c r="E310" s="20"/>
    </row>
    <row r="311">
      <c r="A311" s="20"/>
      <c r="B311" s="20"/>
      <c r="C311" s="20"/>
      <c r="D311" s="20"/>
      <c r="E311" s="20"/>
    </row>
    <row r="312">
      <c r="A312" s="20"/>
      <c r="B312" s="20"/>
      <c r="C312" s="20"/>
      <c r="D312" s="20"/>
      <c r="E312" s="20"/>
    </row>
    <row r="313">
      <c r="A313" s="20"/>
      <c r="B313" s="20"/>
      <c r="C313" s="20"/>
      <c r="D313" s="20"/>
      <c r="E313" s="20"/>
    </row>
    <row r="314">
      <c r="A314" s="20"/>
      <c r="B314" s="20"/>
      <c r="C314" s="20"/>
      <c r="D314" s="20"/>
      <c r="E314" s="20"/>
    </row>
    <row r="315">
      <c r="A315" s="20"/>
      <c r="B315" s="20"/>
      <c r="C315" s="20"/>
      <c r="D315" s="20"/>
      <c r="E315" s="20"/>
    </row>
    <row r="316">
      <c r="A316" s="20"/>
      <c r="B316" s="20"/>
      <c r="C316" s="20"/>
      <c r="D316" s="20"/>
      <c r="E316" s="20"/>
    </row>
    <row r="317">
      <c r="A317" s="20"/>
      <c r="B317" s="20"/>
      <c r="C317" s="20"/>
      <c r="D317" s="20"/>
      <c r="E317" s="20"/>
    </row>
    <row r="318">
      <c r="A318" s="20"/>
      <c r="B318" s="20"/>
      <c r="C318" s="20"/>
      <c r="D318" s="20"/>
      <c r="E318" s="20"/>
    </row>
    <row r="319">
      <c r="A319" s="20"/>
      <c r="B319" s="20"/>
      <c r="C319" s="20"/>
      <c r="D319" s="20"/>
      <c r="E319" s="20"/>
    </row>
    <row r="320">
      <c r="A320" s="20"/>
      <c r="B320" s="20"/>
      <c r="C320" s="20"/>
      <c r="D320" s="20"/>
      <c r="E320" s="20"/>
    </row>
    <row r="321">
      <c r="A321" s="20"/>
      <c r="B321" s="20"/>
      <c r="C321" s="20"/>
      <c r="D321" s="20"/>
      <c r="E321" s="20"/>
    </row>
    <row r="322">
      <c r="A322" s="20"/>
      <c r="B322" s="20"/>
      <c r="C322" s="20"/>
      <c r="D322" s="20"/>
      <c r="E322" s="20"/>
    </row>
    <row r="323">
      <c r="A323" s="20"/>
      <c r="B323" s="20"/>
      <c r="C323" s="20"/>
      <c r="D323" s="20"/>
      <c r="E323" s="20"/>
    </row>
    <row r="324">
      <c r="A324" s="20"/>
      <c r="B324" s="20"/>
      <c r="C324" s="20"/>
      <c r="D324" s="20"/>
      <c r="E324" s="20"/>
    </row>
    <row r="325">
      <c r="A325" s="20"/>
      <c r="B325" s="20"/>
      <c r="C325" s="20"/>
      <c r="D325" s="20"/>
      <c r="E325" s="20"/>
    </row>
    <row r="326">
      <c r="A326" s="20"/>
      <c r="B326" s="20"/>
      <c r="C326" s="20"/>
      <c r="D326" s="20"/>
      <c r="E326" s="20"/>
    </row>
    <row r="327">
      <c r="A327" s="20"/>
      <c r="B327" s="20"/>
      <c r="C327" s="20"/>
      <c r="D327" s="20"/>
      <c r="E327" s="20"/>
    </row>
    <row r="328">
      <c r="A328" s="20"/>
      <c r="B328" s="20"/>
      <c r="C328" s="20"/>
      <c r="D328" s="20"/>
      <c r="E328" s="20"/>
    </row>
    <row r="329">
      <c r="A329" s="20"/>
      <c r="B329" s="20"/>
      <c r="C329" s="20"/>
      <c r="D329" s="20"/>
      <c r="E329" s="20"/>
    </row>
    <row r="330">
      <c r="A330" s="20"/>
      <c r="B330" s="20"/>
      <c r="C330" s="20"/>
      <c r="D330" s="20"/>
      <c r="E330" s="20"/>
    </row>
    <row r="331">
      <c r="A331" s="20"/>
      <c r="B331" s="20"/>
      <c r="C331" s="20"/>
      <c r="D331" s="20"/>
      <c r="E331" s="20"/>
    </row>
    <row r="332">
      <c r="A332" s="20"/>
      <c r="B332" s="20"/>
      <c r="C332" s="20"/>
      <c r="D332" s="20"/>
      <c r="E332" s="20"/>
    </row>
    <row r="333">
      <c r="A333" s="20"/>
      <c r="B333" s="20"/>
      <c r="C333" s="20"/>
      <c r="D333" s="20"/>
      <c r="E333" s="20"/>
    </row>
    <row r="334">
      <c r="A334" s="20"/>
      <c r="B334" s="20"/>
      <c r="C334" s="20"/>
      <c r="D334" s="20"/>
      <c r="E334" s="20"/>
    </row>
    <row r="335">
      <c r="A335" s="20"/>
      <c r="B335" s="20"/>
      <c r="C335" s="20"/>
      <c r="D335" s="20"/>
      <c r="E335" s="20"/>
    </row>
    <row r="336">
      <c r="A336" s="20"/>
      <c r="B336" s="20"/>
      <c r="C336" s="20"/>
      <c r="D336" s="20"/>
      <c r="E336" s="20"/>
    </row>
    <row r="337">
      <c r="A337" s="20"/>
      <c r="B337" s="20"/>
      <c r="C337" s="20"/>
      <c r="D337" s="20"/>
      <c r="E337" s="20"/>
    </row>
    <row r="338">
      <c r="A338" s="20"/>
      <c r="B338" s="20"/>
      <c r="C338" s="20"/>
      <c r="D338" s="20"/>
      <c r="E338" s="20"/>
    </row>
    <row r="339">
      <c r="A339" s="20"/>
      <c r="B339" s="20"/>
      <c r="C339" s="20"/>
      <c r="D339" s="20"/>
      <c r="E339" s="20"/>
    </row>
    <row r="340">
      <c r="A340" s="20"/>
      <c r="B340" s="20"/>
      <c r="C340" s="20"/>
      <c r="D340" s="20"/>
      <c r="E340" s="20"/>
    </row>
    <row r="341">
      <c r="A341" s="20"/>
      <c r="B341" s="20"/>
      <c r="C341" s="20"/>
      <c r="D341" s="20"/>
      <c r="E341" s="20"/>
    </row>
    <row r="342">
      <c r="A342" s="20"/>
      <c r="B342" s="20"/>
      <c r="C342" s="20"/>
      <c r="D342" s="20"/>
      <c r="E342" s="20"/>
    </row>
    <row r="343">
      <c r="A343" s="20"/>
      <c r="B343" s="20"/>
      <c r="C343" s="20"/>
      <c r="D343" s="20"/>
      <c r="E343" s="20"/>
    </row>
    <row r="344">
      <c r="A344" s="20"/>
      <c r="B344" s="20"/>
      <c r="C344" s="20"/>
      <c r="D344" s="20"/>
      <c r="E344" s="20"/>
    </row>
    <row r="345">
      <c r="A345" s="20"/>
      <c r="B345" s="20"/>
      <c r="C345" s="20"/>
      <c r="D345" s="20"/>
      <c r="E345" s="20"/>
    </row>
    <row r="346">
      <c r="A346" s="20"/>
      <c r="B346" s="20"/>
      <c r="C346" s="20"/>
      <c r="D346" s="20"/>
      <c r="E346" s="20"/>
    </row>
    <row r="347">
      <c r="A347" s="20"/>
      <c r="B347" s="20"/>
      <c r="C347" s="20"/>
      <c r="D347" s="20"/>
      <c r="E347" s="20"/>
    </row>
    <row r="348">
      <c r="A348" s="20"/>
      <c r="B348" s="20"/>
      <c r="C348" s="20"/>
      <c r="D348" s="20"/>
      <c r="E348" s="20"/>
    </row>
    <row r="349">
      <c r="A349" s="20"/>
      <c r="B349" s="20"/>
      <c r="C349" s="20"/>
      <c r="D349" s="20"/>
      <c r="E349" s="20"/>
    </row>
    <row r="350">
      <c r="A350" s="20"/>
      <c r="B350" s="20"/>
      <c r="C350" s="20"/>
      <c r="D350" s="20"/>
      <c r="E350" s="20"/>
    </row>
    <row r="351">
      <c r="A351" s="20"/>
      <c r="B351" s="20"/>
      <c r="C351" s="20"/>
      <c r="D351" s="20"/>
      <c r="E351" s="20"/>
    </row>
    <row r="352">
      <c r="A352" s="20"/>
      <c r="B352" s="20"/>
      <c r="C352" s="20"/>
      <c r="D352" s="20"/>
      <c r="E352" s="20"/>
    </row>
    <row r="353">
      <c r="A353" s="20"/>
      <c r="B353" s="20"/>
      <c r="C353" s="20"/>
      <c r="D353" s="20"/>
      <c r="E353" s="20"/>
    </row>
    <row r="354">
      <c r="A354" s="20"/>
      <c r="B354" s="20"/>
      <c r="C354" s="20"/>
      <c r="D354" s="20"/>
      <c r="E354" s="20"/>
    </row>
    <row r="355">
      <c r="A355" s="20"/>
      <c r="B355" s="20"/>
      <c r="C355" s="20"/>
      <c r="D355" s="20"/>
      <c r="E355" s="20"/>
    </row>
    <row r="356">
      <c r="A356" s="20"/>
      <c r="B356" s="20"/>
      <c r="C356" s="20"/>
      <c r="D356" s="20"/>
      <c r="E356" s="20"/>
    </row>
    <row r="357">
      <c r="A357" s="20"/>
      <c r="B357" s="20"/>
      <c r="C357" s="20"/>
      <c r="D357" s="20"/>
      <c r="E357" s="20"/>
    </row>
    <row r="358">
      <c r="A358" s="20"/>
      <c r="B358" s="20"/>
      <c r="C358" s="20"/>
      <c r="D358" s="20"/>
      <c r="E358" s="20"/>
    </row>
    <row r="359">
      <c r="A359" s="20"/>
      <c r="B359" s="20"/>
      <c r="C359" s="20"/>
      <c r="D359" s="20"/>
      <c r="E359" s="20"/>
    </row>
    <row r="360">
      <c r="A360" s="20"/>
      <c r="B360" s="20"/>
      <c r="C360" s="20"/>
      <c r="D360" s="20"/>
      <c r="E360" s="20"/>
    </row>
    <row r="361">
      <c r="A361" s="20"/>
      <c r="B361" s="20"/>
      <c r="C361" s="20"/>
      <c r="D361" s="20"/>
      <c r="E361" s="20"/>
    </row>
    <row r="362">
      <c r="A362" s="20"/>
      <c r="B362" s="20"/>
      <c r="C362" s="20"/>
      <c r="D362" s="20"/>
      <c r="E362" s="20"/>
    </row>
    <row r="363">
      <c r="A363" s="20"/>
      <c r="B363" s="20"/>
      <c r="C363" s="20"/>
      <c r="D363" s="20"/>
      <c r="E363" s="20"/>
    </row>
    <row r="364">
      <c r="A364" s="20"/>
      <c r="B364" s="20"/>
      <c r="C364" s="20"/>
      <c r="D364" s="20"/>
      <c r="E364" s="20"/>
    </row>
    <row r="365">
      <c r="A365" s="20"/>
      <c r="B365" s="20"/>
      <c r="C365" s="20"/>
      <c r="D365" s="20"/>
      <c r="E365" s="20"/>
    </row>
    <row r="366">
      <c r="A366" s="20"/>
      <c r="B366" s="20"/>
      <c r="C366" s="20"/>
      <c r="D366" s="20"/>
      <c r="E366" s="20"/>
    </row>
    <row r="367">
      <c r="A367" s="20"/>
      <c r="B367" s="20"/>
      <c r="C367" s="20"/>
      <c r="D367" s="20"/>
      <c r="E367" s="20"/>
    </row>
    <row r="368">
      <c r="A368" s="20"/>
      <c r="B368" s="20"/>
      <c r="C368" s="20"/>
      <c r="D368" s="20"/>
      <c r="E368" s="20"/>
    </row>
    <row r="369">
      <c r="A369" s="20"/>
      <c r="B369" s="20"/>
      <c r="C369" s="20"/>
      <c r="D369" s="20"/>
      <c r="E369" s="20"/>
    </row>
    <row r="370">
      <c r="A370" s="20"/>
      <c r="B370" s="20"/>
      <c r="C370" s="20"/>
      <c r="D370" s="20"/>
      <c r="E370" s="20"/>
    </row>
    <row r="371">
      <c r="A371" s="20"/>
      <c r="B371" s="20"/>
      <c r="C371" s="20"/>
      <c r="D371" s="20"/>
      <c r="E371" s="20"/>
    </row>
    <row r="372">
      <c r="A372" s="20"/>
      <c r="B372" s="20"/>
      <c r="C372" s="20"/>
      <c r="D372" s="20"/>
      <c r="E372" s="20"/>
    </row>
    <row r="373">
      <c r="A373" s="20"/>
      <c r="B373" s="20"/>
      <c r="C373" s="20"/>
      <c r="D373" s="20"/>
      <c r="E373" s="20"/>
    </row>
    <row r="374">
      <c r="A374" s="20"/>
      <c r="B374" s="20"/>
      <c r="C374" s="20"/>
      <c r="D374" s="20"/>
      <c r="E374" s="20"/>
    </row>
    <row r="375">
      <c r="A375" s="20"/>
      <c r="B375" s="20"/>
      <c r="C375" s="20"/>
      <c r="D375" s="20"/>
      <c r="E375" s="20"/>
    </row>
    <row r="376">
      <c r="A376" s="20"/>
      <c r="B376" s="20"/>
      <c r="C376" s="20"/>
      <c r="D376" s="20"/>
      <c r="E376" s="20"/>
    </row>
    <row r="377">
      <c r="A377" s="20"/>
      <c r="B377" s="20"/>
      <c r="C377" s="20"/>
      <c r="D377" s="20"/>
      <c r="E377" s="20"/>
    </row>
    <row r="378">
      <c r="A378" s="20"/>
      <c r="B378" s="20"/>
      <c r="C378" s="20"/>
      <c r="D378" s="20"/>
      <c r="E378" s="20"/>
    </row>
    <row r="379">
      <c r="A379" s="20"/>
      <c r="B379" s="20"/>
      <c r="C379" s="20"/>
      <c r="D379" s="20"/>
      <c r="E379" s="20"/>
    </row>
    <row r="380">
      <c r="A380" s="20"/>
      <c r="B380" s="20"/>
      <c r="C380" s="20"/>
      <c r="D380" s="20"/>
      <c r="E380" s="20"/>
    </row>
    <row r="381">
      <c r="A381" s="20"/>
      <c r="B381" s="20"/>
      <c r="C381" s="20"/>
      <c r="D381" s="20"/>
      <c r="E381" s="20"/>
    </row>
    <row r="382">
      <c r="A382" s="20"/>
      <c r="B382" s="20"/>
      <c r="C382" s="20"/>
      <c r="D382" s="20"/>
      <c r="E382" s="20"/>
    </row>
    <row r="383">
      <c r="A383" s="20"/>
      <c r="B383" s="20"/>
      <c r="C383" s="20"/>
      <c r="D383" s="20"/>
      <c r="E383" s="20"/>
    </row>
    <row r="384">
      <c r="A384" s="20"/>
      <c r="B384" s="20"/>
      <c r="C384" s="20"/>
      <c r="D384" s="20"/>
      <c r="E384" s="20"/>
    </row>
    <row r="385">
      <c r="A385" s="20"/>
      <c r="B385" s="20"/>
      <c r="C385" s="20"/>
      <c r="D385" s="20"/>
      <c r="E385" s="20"/>
    </row>
    <row r="386">
      <c r="A386" s="20"/>
      <c r="B386" s="20"/>
      <c r="C386" s="20"/>
      <c r="D386" s="20"/>
      <c r="E386" s="20"/>
    </row>
    <row r="387">
      <c r="A387" s="20"/>
      <c r="B387" s="20"/>
      <c r="C387" s="20"/>
      <c r="D387" s="20"/>
      <c r="E387" s="20"/>
    </row>
    <row r="388">
      <c r="A388" s="20"/>
      <c r="B388" s="20"/>
      <c r="C388" s="20"/>
      <c r="D388" s="20"/>
      <c r="E388" s="20"/>
    </row>
    <row r="389">
      <c r="A389" s="20"/>
      <c r="B389" s="20"/>
      <c r="C389" s="20"/>
      <c r="D389" s="20"/>
      <c r="E389" s="20"/>
    </row>
    <row r="390">
      <c r="A390" s="20"/>
      <c r="B390" s="20"/>
      <c r="C390" s="20"/>
      <c r="D390" s="20"/>
      <c r="E390" s="20"/>
    </row>
    <row r="391">
      <c r="A391" s="20"/>
      <c r="B391" s="20"/>
      <c r="C391" s="20"/>
      <c r="D391" s="20"/>
      <c r="E391" s="20"/>
    </row>
    <row r="392">
      <c r="A392" s="20"/>
      <c r="B392" s="20"/>
      <c r="C392" s="20"/>
      <c r="D392" s="20"/>
      <c r="E392" s="20"/>
    </row>
    <row r="393">
      <c r="A393" s="20"/>
      <c r="B393" s="20"/>
      <c r="C393" s="20"/>
      <c r="D393" s="20"/>
      <c r="E393" s="20"/>
    </row>
    <row r="394">
      <c r="A394" s="20"/>
      <c r="B394" s="20"/>
      <c r="C394" s="20"/>
      <c r="D394" s="20"/>
      <c r="E394" s="20"/>
    </row>
    <row r="395">
      <c r="A395" s="20"/>
      <c r="B395" s="20"/>
      <c r="C395" s="20"/>
      <c r="D395" s="20"/>
      <c r="E395" s="20"/>
    </row>
    <row r="396">
      <c r="A396" s="20"/>
      <c r="B396" s="20"/>
      <c r="C396" s="20"/>
      <c r="D396" s="20"/>
      <c r="E396" s="20"/>
    </row>
    <row r="397">
      <c r="A397" s="20"/>
      <c r="B397" s="20"/>
      <c r="C397" s="20"/>
      <c r="D397" s="20"/>
      <c r="E397" s="20"/>
    </row>
    <row r="398">
      <c r="A398" s="20"/>
      <c r="B398" s="20"/>
      <c r="C398" s="20"/>
      <c r="D398" s="20"/>
      <c r="E398" s="20"/>
    </row>
    <row r="399">
      <c r="A399" s="20"/>
      <c r="B399" s="20"/>
      <c r="C399" s="20"/>
      <c r="D399" s="20"/>
      <c r="E399" s="20"/>
    </row>
    <row r="400">
      <c r="A400" s="20"/>
      <c r="B400" s="20"/>
      <c r="C400" s="20"/>
      <c r="D400" s="20"/>
      <c r="E400" s="20"/>
    </row>
    <row r="401">
      <c r="A401" s="20"/>
      <c r="B401" s="20"/>
      <c r="C401" s="20"/>
      <c r="D401" s="20"/>
      <c r="E401" s="20"/>
    </row>
    <row r="402">
      <c r="A402" s="20"/>
      <c r="B402" s="20"/>
      <c r="C402" s="20"/>
      <c r="D402" s="20"/>
      <c r="E402" s="20"/>
    </row>
    <row r="403">
      <c r="A403" s="20"/>
      <c r="B403" s="20"/>
      <c r="C403" s="20"/>
      <c r="D403" s="20"/>
      <c r="E403" s="20"/>
    </row>
    <row r="404">
      <c r="A404" s="20"/>
      <c r="B404" s="20"/>
      <c r="C404" s="20"/>
      <c r="D404" s="20"/>
      <c r="E404" s="20"/>
    </row>
    <row r="405">
      <c r="A405" s="20"/>
      <c r="B405" s="20"/>
      <c r="C405" s="20"/>
      <c r="D405" s="20"/>
      <c r="E405" s="20"/>
    </row>
    <row r="406">
      <c r="A406" s="20"/>
      <c r="B406" s="20"/>
      <c r="C406" s="20"/>
      <c r="D406" s="20"/>
      <c r="E406" s="20"/>
    </row>
    <row r="407">
      <c r="A407" s="20"/>
      <c r="B407" s="20"/>
      <c r="C407" s="20"/>
      <c r="D407" s="20"/>
      <c r="E407" s="20"/>
    </row>
    <row r="408">
      <c r="A408" s="20"/>
      <c r="B408" s="20"/>
      <c r="C408" s="20"/>
      <c r="D408" s="20"/>
      <c r="E408" s="20"/>
    </row>
    <row r="409">
      <c r="A409" s="20"/>
      <c r="B409" s="20"/>
      <c r="C409" s="20"/>
      <c r="D409" s="20"/>
      <c r="E409" s="20"/>
    </row>
    <row r="410">
      <c r="A410" s="20"/>
      <c r="B410" s="20"/>
      <c r="C410" s="20"/>
      <c r="D410" s="20"/>
      <c r="E410" s="20"/>
    </row>
    <row r="411">
      <c r="A411" s="20"/>
      <c r="B411" s="20"/>
      <c r="C411" s="20"/>
      <c r="D411" s="20"/>
      <c r="E411" s="20"/>
    </row>
    <row r="412">
      <c r="A412" s="20"/>
      <c r="B412" s="20"/>
      <c r="C412" s="20"/>
      <c r="D412" s="20"/>
      <c r="E412" s="20"/>
    </row>
    <row r="413">
      <c r="A413" s="20"/>
      <c r="B413" s="20"/>
      <c r="C413" s="20"/>
      <c r="D413" s="20"/>
      <c r="E413" s="20"/>
    </row>
    <row r="414">
      <c r="A414" s="20"/>
      <c r="B414" s="20"/>
      <c r="C414" s="20"/>
      <c r="D414" s="20"/>
      <c r="E414" s="20"/>
    </row>
    <row r="415">
      <c r="A415" s="20"/>
      <c r="B415" s="20"/>
      <c r="C415" s="20"/>
      <c r="D415" s="20"/>
      <c r="E415" s="20"/>
    </row>
    <row r="416">
      <c r="A416" s="20"/>
      <c r="B416" s="20"/>
      <c r="C416" s="20"/>
      <c r="D416" s="20"/>
      <c r="E416" s="20"/>
    </row>
    <row r="417">
      <c r="A417" s="20"/>
      <c r="B417" s="20"/>
      <c r="C417" s="20"/>
      <c r="D417" s="20"/>
      <c r="E417" s="20"/>
    </row>
    <row r="418">
      <c r="A418" s="20"/>
      <c r="B418" s="20"/>
      <c r="C418" s="20"/>
      <c r="D418" s="20"/>
      <c r="E418" s="20"/>
    </row>
    <row r="419">
      <c r="A419" s="20"/>
      <c r="B419" s="20"/>
      <c r="C419" s="20"/>
      <c r="D419" s="20"/>
      <c r="E419" s="20"/>
    </row>
    <row r="420">
      <c r="A420" s="20"/>
      <c r="B420" s="20"/>
      <c r="C420" s="20"/>
      <c r="D420" s="20"/>
      <c r="E420" s="20"/>
    </row>
    <row r="421">
      <c r="A421" s="20"/>
      <c r="B421" s="20"/>
      <c r="C421" s="20"/>
      <c r="D421" s="20"/>
      <c r="E421" s="20"/>
    </row>
    <row r="422">
      <c r="A422" s="20"/>
      <c r="B422" s="20"/>
      <c r="C422" s="20"/>
      <c r="D422" s="20"/>
      <c r="E422" s="20"/>
    </row>
    <row r="423">
      <c r="A423" s="20"/>
      <c r="B423" s="20"/>
      <c r="C423" s="20"/>
      <c r="D423" s="20"/>
      <c r="E423" s="20"/>
    </row>
    <row r="424">
      <c r="A424" s="20"/>
      <c r="B424" s="20"/>
      <c r="C424" s="20"/>
      <c r="D424" s="20"/>
      <c r="E424" s="20"/>
    </row>
    <row r="425">
      <c r="A425" s="20"/>
      <c r="B425" s="20"/>
      <c r="C425" s="20"/>
      <c r="D425" s="20"/>
      <c r="E425" s="20"/>
    </row>
    <row r="426">
      <c r="A426" s="20"/>
      <c r="B426" s="20"/>
      <c r="C426" s="20"/>
      <c r="D426" s="20"/>
      <c r="E426" s="20"/>
    </row>
    <row r="427">
      <c r="A427" s="20"/>
      <c r="B427" s="20"/>
      <c r="C427" s="20"/>
      <c r="D427" s="20"/>
      <c r="E427" s="20"/>
    </row>
    <row r="428">
      <c r="A428" s="20"/>
      <c r="B428" s="20"/>
      <c r="C428" s="20"/>
      <c r="D428" s="20"/>
      <c r="E428" s="20"/>
    </row>
    <row r="429">
      <c r="A429" s="20"/>
      <c r="B429" s="20"/>
      <c r="C429" s="20"/>
      <c r="D429" s="20"/>
      <c r="E429" s="20"/>
    </row>
    <row r="430">
      <c r="A430" s="20"/>
      <c r="B430" s="20"/>
      <c r="C430" s="20"/>
      <c r="D430" s="20"/>
      <c r="E430" s="20"/>
    </row>
    <row r="431">
      <c r="A431" s="20"/>
      <c r="B431" s="20"/>
      <c r="C431" s="20"/>
      <c r="D431" s="20"/>
      <c r="E431" s="20"/>
    </row>
    <row r="432">
      <c r="A432" s="20"/>
      <c r="B432" s="20"/>
      <c r="C432" s="20"/>
      <c r="D432" s="20"/>
      <c r="E432" s="20"/>
    </row>
    <row r="433">
      <c r="A433" s="20"/>
      <c r="B433" s="20"/>
      <c r="C433" s="20"/>
      <c r="D433" s="20"/>
      <c r="E433" s="20"/>
    </row>
    <row r="434">
      <c r="A434" s="20"/>
      <c r="B434" s="20"/>
      <c r="C434" s="20"/>
      <c r="D434" s="20"/>
      <c r="E434" s="20"/>
    </row>
    <row r="435">
      <c r="A435" s="20"/>
      <c r="B435" s="20"/>
      <c r="C435" s="20"/>
      <c r="D435" s="20"/>
      <c r="E435" s="20"/>
    </row>
    <row r="436">
      <c r="A436" s="20"/>
      <c r="B436" s="20"/>
      <c r="C436" s="20"/>
      <c r="D436" s="20"/>
      <c r="E436" s="20"/>
    </row>
    <row r="437">
      <c r="A437" s="20"/>
      <c r="B437" s="20"/>
      <c r="C437" s="20"/>
      <c r="D437" s="20"/>
      <c r="E437" s="20"/>
    </row>
    <row r="438">
      <c r="A438" s="20"/>
      <c r="B438" s="20"/>
      <c r="C438" s="20"/>
      <c r="D438" s="20"/>
      <c r="E438" s="20"/>
    </row>
    <row r="439">
      <c r="A439" s="20"/>
      <c r="B439" s="20"/>
      <c r="C439" s="20"/>
      <c r="D439" s="20"/>
      <c r="E439" s="20"/>
    </row>
    <row r="440">
      <c r="A440" s="20"/>
      <c r="B440" s="20"/>
      <c r="C440" s="20"/>
      <c r="D440" s="20"/>
      <c r="E440" s="20"/>
    </row>
    <row r="441">
      <c r="A441" s="20"/>
      <c r="B441" s="20"/>
      <c r="C441" s="20"/>
      <c r="D441" s="20"/>
      <c r="E441" s="20"/>
    </row>
    <row r="442">
      <c r="A442" s="20"/>
      <c r="B442" s="20"/>
      <c r="C442" s="20"/>
      <c r="D442" s="20"/>
      <c r="E442" s="20"/>
    </row>
    <row r="443">
      <c r="A443" s="20"/>
      <c r="B443" s="20"/>
      <c r="C443" s="20"/>
      <c r="D443" s="20"/>
      <c r="E443" s="20"/>
    </row>
    <row r="444">
      <c r="A444" s="20"/>
      <c r="B444" s="20"/>
      <c r="C444" s="20"/>
      <c r="D444" s="20"/>
      <c r="E444" s="20"/>
    </row>
    <row r="445">
      <c r="A445" s="20"/>
      <c r="B445" s="20"/>
      <c r="C445" s="20"/>
      <c r="D445" s="20"/>
      <c r="E445" s="20"/>
    </row>
    <row r="446">
      <c r="A446" s="20"/>
      <c r="B446" s="20"/>
      <c r="C446" s="20"/>
      <c r="D446" s="20"/>
      <c r="E446" s="20"/>
    </row>
    <row r="447">
      <c r="A447" s="20"/>
      <c r="B447" s="20"/>
      <c r="C447" s="20"/>
      <c r="D447" s="20"/>
      <c r="E447" s="20"/>
    </row>
    <row r="448">
      <c r="A448" s="20"/>
      <c r="B448" s="20"/>
      <c r="C448" s="20"/>
      <c r="D448" s="20"/>
      <c r="E448" s="20"/>
    </row>
    <row r="449">
      <c r="A449" s="20"/>
      <c r="B449" s="20"/>
      <c r="C449" s="20"/>
      <c r="D449" s="20"/>
      <c r="E449" s="20"/>
    </row>
    <row r="450">
      <c r="A450" s="20"/>
      <c r="B450" s="20"/>
      <c r="C450" s="20"/>
      <c r="D450" s="20"/>
      <c r="E450" s="20"/>
    </row>
    <row r="451">
      <c r="A451" s="20"/>
      <c r="B451" s="20"/>
      <c r="C451" s="20"/>
      <c r="D451" s="20"/>
      <c r="E451" s="20"/>
    </row>
    <row r="452">
      <c r="A452" s="20"/>
      <c r="B452" s="20"/>
      <c r="C452" s="20"/>
      <c r="D452" s="20"/>
      <c r="E452" s="20"/>
    </row>
    <row r="453">
      <c r="A453" s="20"/>
      <c r="B453" s="20"/>
      <c r="C453" s="20"/>
      <c r="D453" s="20"/>
      <c r="E453" s="20"/>
    </row>
    <row r="454">
      <c r="A454" s="20"/>
      <c r="B454" s="20"/>
      <c r="C454" s="20"/>
      <c r="D454" s="20"/>
      <c r="E454" s="20"/>
    </row>
    <row r="455">
      <c r="A455" s="20"/>
      <c r="B455" s="20"/>
      <c r="C455" s="20"/>
      <c r="D455" s="20"/>
      <c r="E455" s="20"/>
    </row>
    <row r="456">
      <c r="A456" s="20"/>
      <c r="B456" s="20"/>
      <c r="C456" s="20"/>
      <c r="D456" s="20"/>
      <c r="E456" s="20"/>
    </row>
    <row r="457">
      <c r="A457" s="20"/>
      <c r="B457" s="20"/>
      <c r="C457" s="20"/>
      <c r="D457" s="20"/>
      <c r="E457" s="20"/>
    </row>
    <row r="458">
      <c r="A458" s="20"/>
      <c r="B458" s="20"/>
      <c r="C458" s="20"/>
      <c r="D458" s="20"/>
      <c r="E458" s="20"/>
    </row>
    <row r="459">
      <c r="A459" s="20"/>
      <c r="B459" s="20"/>
      <c r="C459" s="20"/>
      <c r="D459" s="20"/>
      <c r="E459" s="20"/>
    </row>
    <row r="460">
      <c r="A460" s="20"/>
      <c r="B460" s="20"/>
      <c r="C460" s="20"/>
      <c r="D460" s="20"/>
      <c r="E460" s="20"/>
    </row>
    <row r="461">
      <c r="A461" s="20"/>
      <c r="B461" s="20"/>
      <c r="C461" s="20"/>
      <c r="D461" s="20"/>
      <c r="E461" s="20"/>
    </row>
    <row r="462">
      <c r="A462" s="20"/>
      <c r="B462" s="20"/>
      <c r="C462" s="20"/>
      <c r="D462" s="20"/>
      <c r="E462" s="20"/>
    </row>
    <row r="463">
      <c r="A463" s="20"/>
      <c r="B463" s="20"/>
      <c r="C463" s="20"/>
      <c r="D463" s="20"/>
      <c r="E463" s="20"/>
    </row>
    <row r="464">
      <c r="A464" s="20"/>
      <c r="B464" s="20"/>
      <c r="C464" s="20"/>
      <c r="D464" s="20"/>
      <c r="E464" s="20"/>
    </row>
    <row r="465">
      <c r="A465" s="20"/>
      <c r="B465" s="20"/>
      <c r="C465" s="20"/>
      <c r="D465" s="20"/>
      <c r="E465" s="20"/>
    </row>
    <row r="466">
      <c r="A466" s="20"/>
      <c r="B466" s="20"/>
      <c r="C466" s="20"/>
      <c r="D466" s="20"/>
      <c r="E466" s="20"/>
    </row>
    <row r="467">
      <c r="A467" s="20"/>
      <c r="B467" s="20"/>
      <c r="C467" s="20"/>
      <c r="D467" s="20"/>
      <c r="E467" s="20"/>
    </row>
    <row r="468">
      <c r="A468" s="20"/>
      <c r="B468" s="20"/>
      <c r="C468" s="20"/>
      <c r="D468" s="20"/>
      <c r="E468" s="20"/>
    </row>
    <row r="469">
      <c r="A469" s="20"/>
      <c r="B469" s="20"/>
      <c r="C469" s="20"/>
      <c r="D469" s="20"/>
      <c r="E469" s="20"/>
    </row>
    <row r="470">
      <c r="A470" s="20"/>
      <c r="B470" s="20"/>
      <c r="C470" s="20"/>
      <c r="D470" s="20"/>
      <c r="E470" s="20"/>
    </row>
    <row r="471">
      <c r="A471" s="20"/>
      <c r="B471" s="20"/>
      <c r="C471" s="20"/>
      <c r="D471" s="20"/>
      <c r="E471" s="20"/>
    </row>
    <row r="472">
      <c r="A472" s="20"/>
      <c r="B472" s="20"/>
      <c r="C472" s="20"/>
      <c r="D472" s="20"/>
      <c r="E472" s="20"/>
    </row>
    <row r="473">
      <c r="A473" s="20"/>
      <c r="B473" s="20"/>
      <c r="C473" s="20"/>
      <c r="D473" s="20"/>
      <c r="E473" s="20"/>
    </row>
    <row r="474">
      <c r="A474" s="20"/>
      <c r="B474" s="20"/>
      <c r="C474" s="20"/>
      <c r="D474" s="20"/>
      <c r="E474" s="20"/>
    </row>
    <row r="475">
      <c r="A475" s="20"/>
      <c r="B475" s="20"/>
      <c r="C475" s="20"/>
      <c r="D475" s="20"/>
      <c r="E475" s="20"/>
    </row>
    <row r="476">
      <c r="A476" s="20"/>
      <c r="B476" s="20"/>
      <c r="C476" s="20"/>
      <c r="D476" s="20"/>
      <c r="E476" s="20"/>
    </row>
    <row r="477">
      <c r="A477" s="20"/>
      <c r="B477" s="20"/>
      <c r="C477" s="20"/>
      <c r="D477" s="20"/>
      <c r="E477" s="20"/>
    </row>
    <row r="478">
      <c r="A478" s="20"/>
      <c r="B478" s="20"/>
      <c r="C478" s="20"/>
      <c r="D478" s="20"/>
      <c r="E478" s="20"/>
    </row>
    <row r="479">
      <c r="A479" s="20"/>
      <c r="B479" s="20"/>
      <c r="C479" s="20"/>
      <c r="D479" s="20"/>
      <c r="E479" s="20"/>
    </row>
    <row r="480">
      <c r="A480" s="20"/>
      <c r="B480" s="20"/>
      <c r="C480" s="20"/>
      <c r="D480" s="20"/>
      <c r="E480" s="20"/>
    </row>
    <row r="481">
      <c r="A481" s="20"/>
      <c r="B481" s="20"/>
      <c r="C481" s="20"/>
      <c r="D481" s="20"/>
      <c r="E481" s="20"/>
    </row>
    <row r="482">
      <c r="A482" s="20"/>
      <c r="B482" s="20"/>
      <c r="C482" s="20"/>
      <c r="D482" s="20"/>
      <c r="E482" s="20"/>
    </row>
    <row r="483">
      <c r="A483" s="20"/>
      <c r="B483" s="20"/>
      <c r="C483" s="20"/>
      <c r="D483" s="20"/>
      <c r="E483" s="20"/>
    </row>
    <row r="484">
      <c r="A484" s="20"/>
      <c r="B484" s="20"/>
      <c r="C484" s="20"/>
      <c r="D484" s="20"/>
      <c r="E484" s="20"/>
    </row>
    <row r="485">
      <c r="A485" s="20"/>
      <c r="B485" s="20"/>
      <c r="C485" s="20"/>
      <c r="D485" s="20"/>
      <c r="E485" s="20"/>
    </row>
    <row r="486">
      <c r="A486" s="20"/>
      <c r="B486" s="20"/>
      <c r="C486" s="20"/>
      <c r="D486" s="20"/>
      <c r="E486" s="20"/>
    </row>
    <row r="487">
      <c r="A487" s="20"/>
      <c r="B487" s="20"/>
      <c r="C487" s="20"/>
      <c r="D487" s="20"/>
      <c r="E487" s="20"/>
    </row>
    <row r="488">
      <c r="A488" s="20"/>
      <c r="B488" s="20"/>
      <c r="C488" s="20"/>
      <c r="D488" s="20"/>
      <c r="E488" s="20"/>
    </row>
    <row r="489">
      <c r="A489" s="20"/>
      <c r="B489" s="20"/>
      <c r="C489" s="20"/>
      <c r="D489" s="20"/>
      <c r="E489" s="20"/>
    </row>
    <row r="490">
      <c r="A490" s="20"/>
      <c r="B490" s="20"/>
      <c r="C490" s="20"/>
      <c r="D490" s="20"/>
      <c r="E490" s="20"/>
    </row>
    <row r="491">
      <c r="A491" s="20"/>
      <c r="B491" s="20"/>
      <c r="C491" s="20"/>
      <c r="D491" s="20"/>
      <c r="E491" s="20"/>
    </row>
    <row r="492">
      <c r="A492" s="20"/>
      <c r="B492" s="20"/>
      <c r="C492" s="20"/>
      <c r="D492" s="20"/>
      <c r="E492" s="20"/>
    </row>
    <row r="493">
      <c r="A493" s="20"/>
      <c r="B493" s="20"/>
      <c r="C493" s="20"/>
      <c r="D493" s="20"/>
      <c r="E493" s="20"/>
    </row>
    <row r="494">
      <c r="A494" s="20"/>
      <c r="B494" s="20"/>
      <c r="C494" s="20"/>
      <c r="D494" s="20"/>
      <c r="E494" s="20"/>
    </row>
    <row r="495">
      <c r="A495" s="20"/>
      <c r="B495" s="20"/>
      <c r="C495" s="20"/>
      <c r="D495" s="20"/>
      <c r="E495" s="20"/>
    </row>
    <row r="496">
      <c r="A496" s="20"/>
      <c r="B496" s="20"/>
      <c r="C496" s="20"/>
      <c r="D496" s="20"/>
      <c r="E496" s="20"/>
    </row>
    <row r="497">
      <c r="A497" s="20"/>
      <c r="B497" s="20"/>
      <c r="C497" s="20"/>
      <c r="D497" s="20"/>
      <c r="E497" s="20"/>
    </row>
    <row r="498">
      <c r="A498" s="20"/>
      <c r="B498" s="20"/>
      <c r="C498" s="20"/>
      <c r="D498" s="20"/>
      <c r="E498" s="20"/>
    </row>
    <row r="499">
      <c r="A499" s="20"/>
      <c r="B499" s="20"/>
      <c r="C499" s="20"/>
      <c r="D499" s="20"/>
      <c r="E499" s="20"/>
    </row>
    <row r="500">
      <c r="A500" s="20"/>
      <c r="B500" s="20"/>
      <c r="C500" s="20"/>
      <c r="D500" s="20"/>
      <c r="E500" s="20"/>
    </row>
    <row r="501">
      <c r="A501" s="20"/>
      <c r="B501" s="20"/>
      <c r="C501" s="20"/>
      <c r="D501" s="20"/>
      <c r="E501" s="20"/>
    </row>
    <row r="502">
      <c r="A502" s="20"/>
      <c r="B502" s="20"/>
      <c r="C502" s="20"/>
      <c r="D502" s="20"/>
      <c r="E502" s="20"/>
    </row>
    <row r="503">
      <c r="A503" s="20"/>
      <c r="B503" s="20"/>
      <c r="C503" s="20"/>
      <c r="D503" s="20"/>
      <c r="E503" s="20"/>
    </row>
    <row r="504">
      <c r="A504" s="20"/>
      <c r="B504" s="20"/>
      <c r="C504" s="20"/>
      <c r="D504" s="20"/>
      <c r="E504" s="20"/>
    </row>
    <row r="505">
      <c r="A505" s="20"/>
      <c r="B505" s="20"/>
      <c r="C505" s="20"/>
      <c r="D505" s="20"/>
      <c r="E505" s="20"/>
    </row>
    <row r="506">
      <c r="A506" s="20"/>
      <c r="B506" s="20"/>
      <c r="C506" s="20"/>
      <c r="D506" s="20"/>
      <c r="E506" s="20"/>
    </row>
    <row r="507">
      <c r="A507" s="20"/>
      <c r="B507" s="20"/>
      <c r="C507" s="20"/>
      <c r="D507" s="20"/>
      <c r="E507" s="20"/>
    </row>
    <row r="508">
      <c r="A508" s="20"/>
      <c r="B508" s="20"/>
      <c r="C508" s="20"/>
      <c r="D508" s="20"/>
      <c r="E508" s="20"/>
    </row>
    <row r="509">
      <c r="A509" s="20"/>
      <c r="B509" s="20"/>
      <c r="C509" s="20"/>
      <c r="D509" s="20"/>
      <c r="E509" s="20"/>
    </row>
    <row r="510">
      <c r="A510" s="20"/>
      <c r="B510" s="20"/>
      <c r="C510" s="20"/>
      <c r="D510" s="20"/>
      <c r="E510" s="20"/>
    </row>
    <row r="511">
      <c r="A511" s="20"/>
      <c r="B511" s="20"/>
      <c r="C511" s="20"/>
      <c r="D511" s="20"/>
      <c r="E511" s="20"/>
    </row>
    <row r="512">
      <c r="A512" s="20"/>
      <c r="B512" s="20"/>
      <c r="C512" s="20"/>
      <c r="D512" s="20"/>
      <c r="E512" s="20"/>
    </row>
    <row r="513">
      <c r="A513" s="20"/>
      <c r="B513" s="20"/>
      <c r="C513" s="20"/>
      <c r="D513" s="20"/>
      <c r="E513" s="20"/>
    </row>
    <row r="514">
      <c r="A514" s="20"/>
      <c r="B514" s="20"/>
      <c r="C514" s="20"/>
      <c r="D514" s="20"/>
      <c r="E514" s="20"/>
    </row>
    <row r="515">
      <c r="A515" s="20"/>
      <c r="B515" s="20"/>
      <c r="C515" s="20"/>
      <c r="D515" s="20"/>
      <c r="E515" s="20"/>
    </row>
    <row r="516">
      <c r="A516" s="20"/>
      <c r="B516" s="20"/>
      <c r="C516" s="20"/>
      <c r="D516" s="20"/>
      <c r="E516" s="20"/>
    </row>
    <row r="517">
      <c r="A517" s="20"/>
      <c r="B517" s="20"/>
      <c r="C517" s="20"/>
      <c r="D517" s="20"/>
      <c r="E517" s="20"/>
    </row>
    <row r="518">
      <c r="A518" s="20"/>
      <c r="B518" s="20"/>
      <c r="C518" s="20"/>
      <c r="D518" s="20"/>
      <c r="E518" s="20"/>
    </row>
    <row r="519">
      <c r="A519" s="20"/>
      <c r="B519" s="20"/>
      <c r="C519" s="20"/>
      <c r="D519" s="20"/>
      <c r="E519" s="20"/>
    </row>
    <row r="520">
      <c r="A520" s="20"/>
      <c r="B520" s="20"/>
      <c r="C520" s="20"/>
      <c r="D520" s="20"/>
      <c r="E520" s="20"/>
    </row>
    <row r="521">
      <c r="A521" s="20"/>
      <c r="B521" s="20"/>
      <c r="C521" s="20"/>
      <c r="D521" s="20"/>
      <c r="E521" s="20"/>
    </row>
    <row r="522">
      <c r="A522" s="20"/>
      <c r="B522" s="20"/>
      <c r="C522" s="20"/>
      <c r="D522" s="20"/>
      <c r="E522" s="20"/>
    </row>
    <row r="523">
      <c r="A523" s="20"/>
      <c r="B523" s="20"/>
      <c r="C523" s="20"/>
      <c r="D523" s="20"/>
      <c r="E523" s="20"/>
    </row>
    <row r="524">
      <c r="A524" s="20"/>
      <c r="B524" s="20"/>
      <c r="C524" s="20"/>
      <c r="D524" s="20"/>
      <c r="E524" s="20"/>
    </row>
    <row r="525">
      <c r="A525" s="20"/>
      <c r="B525" s="20"/>
      <c r="C525" s="20"/>
      <c r="D525" s="20"/>
      <c r="E525" s="20"/>
    </row>
    <row r="526">
      <c r="A526" s="20"/>
      <c r="B526" s="20"/>
      <c r="C526" s="20"/>
      <c r="D526" s="20"/>
      <c r="E526" s="20"/>
    </row>
    <row r="527">
      <c r="A527" s="20"/>
      <c r="B527" s="20"/>
      <c r="C527" s="20"/>
      <c r="D527" s="20"/>
      <c r="E527" s="20"/>
    </row>
    <row r="528">
      <c r="A528" s="20"/>
      <c r="B528" s="20"/>
      <c r="C528" s="20"/>
      <c r="D528" s="20"/>
      <c r="E528" s="20"/>
    </row>
    <row r="529">
      <c r="A529" s="20"/>
      <c r="B529" s="20"/>
      <c r="C529" s="20"/>
      <c r="D529" s="20"/>
      <c r="E529" s="20"/>
    </row>
    <row r="530">
      <c r="A530" s="20"/>
      <c r="B530" s="20"/>
      <c r="C530" s="20"/>
      <c r="D530" s="20"/>
      <c r="E530" s="20"/>
    </row>
    <row r="531">
      <c r="A531" s="20"/>
      <c r="B531" s="20"/>
      <c r="C531" s="20"/>
      <c r="D531" s="20"/>
      <c r="E531" s="20"/>
    </row>
    <row r="532">
      <c r="A532" s="20"/>
      <c r="B532" s="20"/>
      <c r="C532" s="20"/>
      <c r="D532" s="20"/>
      <c r="E532" s="20"/>
    </row>
    <row r="533">
      <c r="A533" s="20"/>
      <c r="B533" s="20"/>
      <c r="C533" s="20"/>
      <c r="D533" s="20"/>
      <c r="E533" s="20"/>
    </row>
    <row r="534">
      <c r="A534" s="20"/>
      <c r="B534" s="20"/>
      <c r="C534" s="20"/>
      <c r="D534" s="20"/>
      <c r="E534" s="20"/>
    </row>
    <row r="535">
      <c r="A535" s="20"/>
      <c r="B535" s="20"/>
      <c r="C535" s="20"/>
      <c r="D535" s="20"/>
      <c r="E535" s="20"/>
    </row>
    <row r="536">
      <c r="A536" s="20"/>
      <c r="B536" s="20"/>
      <c r="C536" s="20"/>
      <c r="D536" s="20"/>
      <c r="E536" s="20"/>
    </row>
    <row r="537">
      <c r="A537" s="20"/>
      <c r="B537" s="20"/>
      <c r="C537" s="20"/>
      <c r="D537" s="20"/>
      <c r="E537" s="20"/>
    </row>
    <row r="538">
      <c r="A538" s="20"/>
      <c r="B538" s="20"/>
      <c r="C538" s="20"/>
      <c r="D538" s="20"/>
      <c r="E538" s="20"/>
    </row>
    <row r="539">
      <c r="A539" s="20"/>
      <c r="B539" s="20"/>
      <c r="C539" s="20"/>
      <c r="D539" s="20"/>
      <c r="E539" s="20"/>
    </row>
    <row r="540">
      <c r="A540" s="20"/>
      <c r="B540" s="20"/>
      <c r="C540" s="20"/>
      <c r="D540" s="20"/>
      <c r="E540" s="20"/>
    </row>
    <row r="541">
      <c r="A541" s="20"/>
      <c r="B541" s="20"/>
      <c r="C541" s="20"/>
      <c r="D541" s="20"/>
      <c r="E541" s="20"/>
    </row>
    <row r="542">
      <c r="A542" s="20"/>
      <c r="B542" s="20"/>
      <c r="C542" s="20"/>
      <c r="D542" s="20"/>
      <c r="E542" s="20"/>
    </row>
    <row r="543">
      <c r="A543" s="20"/>
      <c r="B543" s="20"/>
      <c r="C543" s="20"/>
      <c r="D543" s="20"/>
      <c r="E543" s="20"/>
    </row>
    <row r="544">
      <c r="A544" s="20"/>
      <c r="B544" s="20"/>
      <c r="C544" s="20"/>
      <c r="D544" s="20"/>
      <c r="E544" s="20"/>
    </row>
    <row r="545">
      <c r="A545" s="20"/>
      <c r="B545" s="20"/>
      <c r="C545" s="20"/>
      <c r="D545" s="20"/>
      <c r="E545" s="20"/>
    </row>
    <row r="546">
      <c r="A546" s="20"/>
      <c r="B546" s="20"/>
      <c r="C546" s="20"/>
      <c r="D546" s="20"/>
      <c r="E546" s="20"/>
    </row>
    <row r="547">
      <c r="A547" s="20"/>
      <c r="B547" s="20"/>
      <c r="C547" s="20"/>
      <c r="D547" s="20"/>
      <c r="E547" s="20"/>
    </row>
    <row r="548">
      <c r="A548" s="20"/>
      <c r="B548" s="20"/>
      <c r="C548" s="20"/>
      <c r="D548" s="20"/>
      <c r="E548" s="20"/>
    </row>
    <row r="549">
      <c r="A549" s="20"/>
      <c r="B549" s="20"/>
      <c r="C549" s="20"/>
      <c r="D549" s="20"/>
      <c r="E549" s="20"/>
    </row>
    <row r="550">
      <c r="A550" s="20"/>
      <c r="B550" s="20"/>
      <c r="C550" s="20"/>
      <c r="D550" s="20"/>
      <c r="E550" s="20"/>
    </row>
    <row r="551">
      <c r="A551" s="20"/>
      <c r="B551" s="20"/>
      <c r="C551" s="20"/>
      <c r="D551" s="20"/>
      <c r="E551" s="20"/>
    </row>
    <row r="552">
      <c r="A552" s="20"/>
      <c r="B552" s="20"/>
      <c r="C552" s="20"/>
      <c r="D552" s="20"/>
      <c r="E552" s="20"/>
    </row>
    <row r="553">
      <c r="A553" s="20"/>
      <c r="B553" s="20"/>
      <c r="C553" s="20"/>
      <c r="D553" s="20"/>
      <c r="E553" s="20"/>
    </row>
    <row r="554">
      <c r="A554" s="20"/>
      <c r="B554" s="20"/>
      <c r="C554" s="20"/>
      <c r="D554" s="20"/>
      <c r="E554" s="20"/>
    </row>
    <row r="555">
      <c r="A555" s="20"/>
      <c r="B555" s="20"/>
      <c r="C555" s="20"/>
      <c r="D555" s="20"/>
      <c r="E555" s="20"/>
    </row>
    <row r="556">
      <c r="A556" s="20"/>
      <c r="B556" s="20"/>
      <c r="C556" s="20"/>
      <c r="D556" s="20"/>
      <c r="E556" s="20"/>
    </row>
    <row r="557">
      <c r="A557" s="20"/>
      <c r="B557" s="20"/>
      <c r="C557" s="20"/>
      <c r="D557" s="20"/>
      <c r="E557" s="20"/>
    </row>
    <row r="558">
      <c r="A558" s="20"/>
      <c r="B558" s="20"/>
      <c r="C558" s="20"/>
      <c r="D558" s="20"/>
      <c r="E558" s="20"/>
    </row>
    <row r="559">
      <c r="A559" s="20"/>
      <c r="B559" s="20"/>
      <c r="C559" s="20"/>
      <c r="D559" s="20"/>
      <c r="E559" s="20"/>
    </row>
    <row r="560">
      <c r="A560" s="20"/>
      <c r="B560" s="20"/>
      <c r="C560" s="20"/>
      <c r="D560" s="20"/>
      <c r="E560" s="20"/>
    </row>
    <row r="561">
      <c r="A561" s="20"/>
      <c r="B561" s="20"/>
      <c r="C561" s="20"/>
      <c r="D561" s="20"/>
      <c r="E561" s="20"/>
    </row>
    <row r="562">
      <c r="A562" s="20"/>
      <c r="B562" s="20"/>
      <c r="C562" s="20"/>
      <c r="D562" s="20"/>
      <c r="E562" s="20"/>
    </row>
    <row r="563">
      <c r="A563" s="20"/>
      <c r="B563" s="20"/>
      <c r="C563" s="20"/>
      <c r="D563" s="20"/>
      <c r="E563" s="20"/>
    </row>
    <row r="564">
      <c r="A564" s="20"/>
      <c r="B564" s="20"/>
      <c r="C564" s="20"/>
      <c r="D564" s="20"/>
      <c r="E564" s="20"/>
    </row>
    <row r="565">
      <c r="A565" s="20"/>
      <c r="B565" s="20"/>
      <c r="C565" s="20"/>
      <c r="D565" s="20"/>
      <c r="E565" s="20"/>
    </row>
    <row r="566">
      <c r="A566" s="20"/>
      <c r="B566" s="20"/>
      <c r="C566" s="20"/>
      <c r="D566" s="20"/>
      <c r="E566" s="20"/>
    </row>
    <row r="567">
      <c r="A567" s="20"/>
      <c r="B567" s="20"/>
      <c r="C567" s="20"/>
      <c r="D567" s="20"/>
      <c r="E567" s="20"/>
    </row>
    <row r="568">
      <c r="A568" s="20"/>
      <c r="B568" s="20"/>
      <c r="C568" s="20"/>
      <c r="D568" s="20"/>
      <c r="E568" s="20"/>
    </row>
    <row r="569">
      <c r="A569" s="20"/>
      <c r="B569" s="20"/>
      <c r="C569" s="20"/>
      <c r="D569" s="20"/>
      <c r="E569" s="20"/>
    </row>
    <row r="570">
      <c r="A570" s="20"/>
      <c r="B570" s="20"/>
      <c r="C570" s="20"/>
      <c r="D570" s="20"/>
      <c r="E570" s="20"/>
    </row>
    <row r="571">
      <c r="A571" s="20"/>
      <c r="B571" s="20"/>
      <c r="C571" s="20"/>
      <c r="D571" s="20"/>
      <c r="E571" s="20"/>
    </row>
    <row r="572">
      <c r="A572" s="20"/>
      <c r="B572" s="20"/>
      <c r="C572" s="20"/>
      <c r="D572" s="20"/>
      <c r="E572" s="20"/>
    </row>
    <row r="573">
      <c r="A573" s="20"/>
      <c r="B573" s="20"/>
      <c r="C573" s="20"/>
      <c r="D573" s="20"/>
      <c r="E573" s="20"/>
    </row>
    <row r="574">
      <c r="A574" s="20"/>
      <c r="B574" s="20"/>
      <c r="C574" s="20"/>
      <c r="D574" s="20"/>
      <c r="E574" s="20"/>
    </row>
    <row r="575">
      <c r="A575" s="20"/>
      <c r="B575" s="20"/>
      <c r="C575" s="20"/>
      <c r="D575" s="20"/>
      <c r="E575" s="20"/>
    </row>
    <row r="576">
      <c r="A576" s="20"/>
      <c r="B576" s="20"/>
      <c r="C576" s="20"/>
      <c r="D576" s="20"/>
      <c r="E576" s="20"/>
    </row>
    <row r="577">
      <c r="A577" s="20"/>
      <c r="B577" s="20"/>
      <c r="C577" s="20"/>
      <c r="D577" s="20"/>
      <c r="E577" s="20"/>
    </row>
    <row r="578">
      <c r="A578" s="20"/>
      <c r="B578" s="20"/>
      <c r="C578" s="20"/>
      <c r="D578" s="20"/>
      <c r="E578" s="20"/>
    </row>
    <row r="579">
      <c r="A579" s="20"/>
      <c r="B579" s="20"/>
      <c r="C579" s="20"/>
      <c r="D579" s="20"/>
      <c r="E579" s="20"/>
    </row>
    <row r="580">
      <c r="A580" s="20"/>
      <c r="B580" s="20"/>
      <c r="C580" s="20"/>
      <c r="D580" s="20"/>
      <c r="E580" s="20"/>
    </row>
    <row r="581">
      <c r="A581" s="20"/>
      <c r="B581" s="20"/>
      <c r="C581" s="20"/>
      <c r="D581" s="20"/>
      <c r="E581" s="20"/>
    </row>
    <row r="582">
      <c r="A582" s="20"/>
      <c r="B582" s="20"/>
      <c r="C582" s="20"/>
      <c r="D582" s="20"/>
      <c r="E582" s="20"/>
    </row>
    <row r="583">
      <c r="A583" s="20"/>
      <c r="B583" s="20"/>
      <c r="C583" s="20"/>
      <c r="D583" s="20"/>
      <c r="E583" s="20"/>
    </row>
    <row r="584">
      <c r="A584" s="20"/>
      <c r="B584" s="20"/>
      <c r="C584" s="20"/>
      <c r="D584" s="20"/>
      <c r="E584" s="20"/>
    </row>
    <row r="585">
      <c r="A585" s="20"/>
      <c r="B585" s="20"/>
      <c r="C585" s="20"/>
      <c r="D585" s="20"/>
      <c r="E585" s="20"/>
    </row>
    <row r="586">
      <c r="A586" s="20"/>
      <c r="B586" s="20"/>
      <c r="C586" s="20"/>
      <c r="D586" s="20"/>
      <c r="E586" s="20"/>
    </row>
    <row r="587">
      <c r="A587" s="20"/>
      <c r="B587" s="20"/>
      <c r="C587" s="20"/>
      <c r="D587" s="20"/>
      <c r="E587" s="20"/>
    </row>
    <row r="588">
      <c r="A588" s="20"/>
      <c r="B588" s="20"/>
      <c r="C588" s="20"/>
      <c r="D588" s="20"/>
      <c r="E588" s="20"/>
    </row>
    <row r="589">
      <c r="A589" s="20"/>
      <c r="B589" s="20"/>
      <c r="C589" s="20"/>
      <c r="D589" s="20"/>
      <c r="E589" s="20"/>
    </row>
    <row r="590">
      <c r="A590" s="20"/>
      <c r="B590" s="20"/>
      <c r="C590" s="20"/>
      <c r="D590" s="20"/>
      <c r="E590" s="20"/>
    </row>
    <row r="591">
      <c r="A591" s="20"/>
      <c r="B591" s="20"/>
      <c r="C591" s="20"/>
      <c r="D591" s="20"/>
      <c r="E591" s="20"/>
    </row>
    <row r="592">
      <c r="A592" s="20"/>
      <c r="B592" s="20"/>
      <c r="C592" s="20"/>
      <c r="D592" s="20"/>
      <c r="E592" s="20"/>
    </row>
    <row r="593">
      <c r="A593" s="20"/>
      <c r="B593" s="20"/>
      <c r="C593" s="20"/>
      <c r="D593" s="20"/>
      <c r="E593" s="20"/>
    </row>
    <row r="594">
      <c r="A594" s="20"/>
      <c r="B594" s="20"/>
      <c r="C594" s="20"/>
      <c r="D594" s="20"/>
      <c r="E594" s="20"/>
    </row>
    <row r="595">
      <c r="A595" s="20"/>
      <c r="B595" s="20"/>
      <c r="C595" s="20"/>
      <c r="D595" s="20"/>
      <c r="E595" s="20"/>
    </row>
    <row r="596">
      <c r="A596" s="20"/>
      <c r="B596" s="20"/>
      <c r="C596" s="20"/>
      <c r="D596" s="20"/>
      <c r="E596" s="20"/>
    </row>
    <row r="597">
      <c r="A597" s="20"/>
      <c r="B597" s="20"/>
      <c r="C597" s="20"/>
      <c r="D597" s="20"/>
      <c r="E597" s="20"/>
    </row>
    <row r="598">
      <c r="A598" s="20"/>
      <c r="B598" s="20"/>
      <c r="C598" s="20"/>
      <c r="D598" s="20"/>
      <c r="E598" s="20"/>
    </row>
    <row r="599">
      <c r="A599" s="20"/>
      <c r="B599" s="20"/>
      <c r="C599" s="20"/>
      <c r="D599" s="20"/>
      <c r="E599" s="20"/>
    </row>
    <row r="600">
      <c r="A600" s="20"/>
      <c r="B600" s="20"/>
      <c r="C600" s="20"/>
      <c r="D600" s="20"/>
      <c r="E600" s="20"/>
    </row>
    <row r="601">
      <c r="A601" s="20"/>
      <c r="B601" s="20"/>
      <c r="C601" s="20"/>
      <c r="D601" s="20"/>
      <c r="E601" s="20"/>
    </row>
    <row r="602">
      <c r="A602" s="20"/>
      <c r="B602" s="20"/>
      <c r="C602" s="20"/>
      <c r="D602" s="20"/>
      <c r="E602" s="20"/>
    </row>
    <row r="603">
      <c r="A603" s="20"/>
      <c r="B603" s="20"/>
      <c r="C603" s="20"/>
      <c r="D603" s="20"/>
      <c r="E603" s="20"/>
    </row>
    <row r="604">
      <c r="A604" s="20"/>
      <c r="B604" s="20"/>
      <c r="C604" s="20"/>
      <c r="D604" s="20"/>
      <c r="E604" s="20"/>
    </row>
    <row r="605">
      <c r="A605" s="20"/>
      <c r="B605" s="20"/>
      <c r="C605" s="20"/>
      <c r="D605" s="20"/>
      <c r="E605" s="20"/>
    </row>
    <row r="606">
      <c r="A606" s="20"/>
      <c r="B606" s="20"/>
      <c r="C606" s="20"/>
      <c r="D606" s="20"/>
      <c r="E606" s="20"/>
    </row>
    <row r="607">
      <c r="A607" s="20"/>
      <c r="B607" s="20"/>
      <c r="C607" s="20"/>
      <c r="D607" s="20"/>
      <c r="E607" s="20"/>
    </row>
    <row r="608">
      <c r="A608" s="20"/>
      <c r="B608" s="20"/>
      <c r="C608" s="20"/>
      <c r="D608" s="20"/>
      <c r="E608" s="20"/>
    </row>
    <row r="609">
      <c r="A609" s="20"/>
      <c r="B609" s="20"/>
      <c r="C609" s="20"/>
      <c r="D609" s="20"/>
      <c r="E609" s="20"/>
    </row>
    <row r="610">
      <c r="A610" s="20"/>
      <c r="B610" s="20"/>
      <c r="C610" s="20"/>
      <c r="D610" s="20"/>
      <c r="E610" s="20"/>
    </row>
    <row r="611">
      <c r="A611" s="20"/>
      <c r="B611" s="20"/>
      <c r="C611" s="20"/>
      <c r="D611" s="20"/>
      <c r="E611" s="20"/>
    </row>
    <row r="612">
      <c r="A612" s="20"/>
      <c r="B612" s="20"/>
      <c r="C612" s="20"/>
      <c r="D612" s="20"/>
      <c r="E612" s="20"/>
    </row>
    <row r="613">
      <c r="A613" s="20"/>
      <c r="B613" s="20"/>
      <c r="C613" s="20"/>
      <c r="D613" s="20"/>
      <c r="E613" s="20"/>
    </row>
    <row r="614">
      <c r="A614" s="20"/>
      <c r="B614" s="20"/>
      <c r="C614" s="20"/>
      <c r="D614" s="20"/>
      <c r="E614" s="20"/>
    </row>
    <row r="615">
      <c r="A615" s="20"/>
      <c r="B615" s="20"/>
      <c r="C615" s="20"/>
      <c r="D615" s="20"/>
      <c r="E615" s="20"/>
    </row>
    <row r="616">
      <c r="A616" s="20"/>
      <c r="B616" s="20"/>
      <c r="C616" s="20"/>
      <c r="D616" s="20"/>
      <c r="E616" s="20"/>
    </row>
    <row r="617">
      <c r="A617" s="20"/>
      <c r="B617" s="20"/>
      <c r="C617" s="20"/>
      <c r="D617" s="20"/>
      <c r="E617" s="20"/>
    </row>
    <row r="618">
      <c r="A618" s="20"/>
      <c r="B618" s="20"/>
      <c r="C618" s="20"/>
      <c r="D618" s="20"/>
      <c r="E618" s="20"/>
    </row>
    <row r="619">
      <c r="A619" s="20"/>
      <c r="B619" s="20"/>
      <c r="C619" s="20"/>
      <c r="D619" s="20"/>
      <c r="E619" s="20"/>
    </row>
    <row r="620">
      <c r="A620" s="20"/>
      <c r="B620" s="20"/>
      <c r="C620" s="20"/>
      <c r="D620" s="20"/>
      <c r="E620" s="20"/>
    </row>
    <row r="621">
      <c r="A621" s="20"/>
      <c r="B621" s="20"/>
      <c r="C621" s="20"/>
      <c r="D621" s="20"/>
      <c r="E621" s="20"/>
    </row>
    <row r="622">
      <c r="A622" s="20"/>
      <c r="B622" s="20"/>
      <c r="C622" s="20"/>
      <c r="D622" s="20"/>
      <c r="E622" s="20"/>
    </row>
    <row r="623">
      <c r="A623" s="20"/>
      <c r="B623" s="20"/>
      <c r="C623" s="20"/>
      <c r="D623" s="20"/>
      <c r="E623" s="20"/>
    </row>
    <row r="624">
      <c r="A624" s="20"/>
      <c r="B624" s="20"/>
      <c r="C624" s="20"/>
      <c r="D624" s="20"/>
      <c r="E624" s="20"/>
    </row>
    <row r="625">
      <c r="A625" s="20"/>
      <c r="B625" s="20"/>
      <c r="C625" s="20"/>
      <c r="D625" s="20"/>
      <c r="E625" s="20"/>
    </row>
    <row r="626">
      <c r="A626" s="20"/>
      <c r="B626" s="20"/>
      <c r="C626" s="20"/>
      <c r="D626" s="20"/>
      <c r="E626" s="20"/>
    </row>
    <row r="627">
      <c r="A627" s="20"/>
      <c r="B627" s="20"/>
      <c r="C627" s="20"/>
      <c r="D627" s="20"/>
      <c r="E627" s="20"/>
    </row>
    <row r="628">
      <c r="A628" s="20"/>
      <c r="B628" s="20"/>
      <c r="C628" s="20"/>
      <c r="D628" s="20"/>
      <c r="E628" s="20"/>
    </row>
    <row r="629">
      <c r="A629" s="20"/>
      <c r="B629" s="20"/>
      <c r="C629" s="20"/>
      <c r="D629" s="20"/>
      <c r="E629" s="20"/>
    </row>
    <row r="630">
      <c r="A630" s="20"/>
      <c r="B630" s="20"/>
      <c r="C630" s="20"/>
      <c r="D630" s="20"/>
      <c r="E630" s="20"/>
    </row>
    <row r="631">
      <c r="A631" s="20"/>
      <c r="B631" s="20"/>
      <c r="C631" s="20"/>
      <c r="D631" s="20"/>
      <c r="E631" s="20"/>
    </row>
    <row r="632">
      <c r="A632" s="20"/>
      <c r="B632" s="20"/>
      <c r="C632" s="20"/>
      <c r="D632" s="20"/>
      <c r="E632" s="20"/>
    </row>
    <row r="633">
      <c r="A633" s="20"/>
      <c r="B633" s="20"/>
      <c r="C633" s="20"/>
      <c r="D633" s="20"/>
      <c r="E633" s="20"/>
    </row>
    <row r="634">
      <c r="A634" s="20"/>
      <c r="B634" s="20"/>
      <c r="C634" s="20"/>
      <c r="D634" s="20"/>
      <c r="E634" s="20"/>
    </row>
    <row r="635">
      <c r="A635" s="20"/>
      <c r="B635" s="20"/>
      <c r="C635" s="20"/>
      <c r="D635" s="20"/>
      <c r="E635" s="20"/>
    </row>
    <row r="636">
      <c r="A636" s="20"/>
      <c r="B636" s="20"/>
      <c r="C636" s="20"/>
      <c r="D636" s="20"/>
      <c r="E636" s="20"/>
    </row>
    <row r="637">
      <c r="A637" s="20"/>
      <c r="B637" s="20"/>
      <c r="C637" s="20"/>
      <c r="D637" s="20"/>
      <c r="E637" s="20"/>
    </row>
    <row r="638">
      <c r="A638" s="20"/>
      <c r="B638" s="20"/>
      <c r="C638" s="20"/>
      <c r="D638" s="20"/>
      <c r="E638" s="20"/>
    </row>
    <row r="639">
      <c r="A639" s="20"/>
      <c r="B639" s="20"/>
      <c r="C639" s="20"/>
      <c r="D639" s="20"/>
      <c r="E639" s="20"/>
    </row>
    <row r="640">
      <c r="A640" s="20"/>
      <c r="B640" s="20"/>
      <c r="C640" s="20"/>
      <c r="D640" s="20"/>
      <c r="E640" s="20"/>
    </row>
    <row r="641">
      <c r="A641" s="20"/>
      <c r="B641" s="20"/>
      <c r="C641" s="20"/>
      <c r="D641" s="20"/>
      <c r="E641" s="20"/>
    </row>
    <row r="642">
      <c r="A642" s="20"/>
      <c r="B642" s="20"/>
      <c r="C642" s="20"/>
      <c r="D642" s="20"/>
      <c r="E642" s="20"/>
    </row>
    <row r="643">
      <c r="A643" s="20"/>
      <c r="B643" s="20"/>
      <c r="C643" s="20"/>
      <c r="D643" s="20"/>
      <c r="E643" s="20"/>
    </row>
    <row r="644">
      <c r="A644" s="20"/>
      <c r="B644" s="20"/>
      <c r="C644" s="20"/>
      <c r="D644" s="20"/>
      <c r="E644" s="20"/>
    </row>
    <row r="645">
      <c r="A645" s="20"/>
      <c r="B645" s="20"/>
      <c r="C645" s="20"/>
      <c r="D645" s="20"/>
      <c r="E645" s="20"/>
    </row>
    <row r="646">
      <c r="A646" s="20"/>
      <c r="B646" s="20"/>
      <c r="C646" s="20"/>
      <c r="D646" s="20"/>
      <c r="E646" s="20"/>
    </row>
    <row r="647">
      <c r="A647" s="20"/>
      <c r="B647" s="20"/>
      <c r="C647" s="20"/>
      <c r="D647" s="20"/>
      <c r="E647" s="20"/>
    </row>
    <row r="648">
      <c r="A648" s="20"/>
      <c r="B648" s="20"/>
      <c r="C648" s="20"/>
      <c r="D648" s="20"/>
      <c r="E648" s="20"/>
    </row>
    <row r="649">
      <c r="A649" s="20"/>
      <c r="B649" s="20"/>
      <c r="C649" s="20"/>
      <c r="D649" s="20"/>
      <c r="E649" s="20"/>
    </row>
    <row r="650">
      <c r="A650" s="20"/>
      <c r="B650" s="20"/>
      <c r="C650" s="20"/>
      <c r="D650" s="20"/>
      <c r="E650" s="20"/>
    </row>
    <row r="651">
      <c r="A651" s="20"/>
      <c r="B651" s="20"/>
      <c r="C651" s="20"/>
      <c r="D651" s="20"/>
      <c r="E651" s="20"/>
    </row>
    <row r="652">
      <c r="A652" s="20"/>
      <c r="B652" s="20"/>
      <c r="C652" s="20"/>
      <c r="D652" s="20"/>
      <c r="E652" s="20"/>
    </row>
    <row r="653">
      <c r="A653" s="20"/>
      <c r="B653" s="20"/>
      <c r="C653" s="20"/>
      <c r="D653" s="20"/>
      <c r="E653" s="20"/>
    </row>
    <row r="654">
      <c r="A654" s="20"/>
      <c r="B654" s="20"/>
      <c r="C654" s="20"/>
      <c r="D654" s="20"/>
      <c r="E654" s="20"/>
    </row>
    <row r="655">
      <c r="A655" s="20"/>
      <c r="B655" s="20"/>
      <c r="C655" s="20"/>
      <c r="D655" s="20"/>
      <c r="E655" s="20"/>
    </row>
    <row r="656">
      <c r="A656" s="20"/>
      <c r="B656" s="20"/>
      <c r="C656" s="20"/>
      <c r="D656" s="20"/>
      <c r="E656" s="20"/>
    </row>
    <row r="657">
      <c r="A657" s="20"/>
      <c r="B657" s="20"/>
      <c r="C657" s="20"/>
      <c r="D657" s="20"/>
      <c r="E657" s="20"/>
    </row>
    <row r="658">
      <c r="A658" s="20"/>
      <c r="B658" s="20"/>
      <c r="C658" s="20"/>
      <c r="D658" s="20"/>
      <c r="E658" s="20"/>
    </row>
    <row r="659">
      <c r="A659" s="20"/>
      <c r="B659" s="20"/>
      <c r="C659" s="20"/>
      <c r="D659" s="20"/>
      <c r="E659" s="20"/>
    </row>
    <row r="660">
      <c r="A660" s="20"/>
      <c r="B660" s="20"/>
      <c r="C660" s="20"/>
      <c r="D660" s="20"/>
      <c r="E660" s="20"/>
    </row>
    <row r="661">
      <c r="A661" s="20"/>
      <c r="B661" s="20"/>
      <c r="C661" s="20"/>
      <c r="D661" s="20"/>
      <c r="E661" s="20"/>
    </row>
    <row r="662">
      <c r="A662" s="20"/>
      <c r="B662" s="20"/>
      <c r="C662" s="20"/>
      <c r="D662" s="20"/>
      <c r="E662" s="20"/>
    </row>
    <row r="663">
      <c r="A663" s="20"/>
      <c r="B663" s="20"/>
      <c r="C663" s="20"/>
      <c r="D663" s="20"/>
      <c r="E663" s="20"/>
    </row>
    <row r="664">
      <c r="A664" s="20"/>
      <c r="B664" s="20"/>
      <c r="C664" s="20"/>
      <c r="D664" s="20"/>
      <c r="E664" s="20"/>
    </row>
    <row r="665">
      <c r="A665" s="20"/>
      <c r="B665" s="20"/>
      <c r="C665" s="20"/>
      <c r="D665" s="20"/>
      <c r="E665" s="20"/>
    </row>
    <row r="666">
      <c r="A666" s="20"/>
      <c r="B666" s="20"/>
      <c r="C666" s="20"/>
      <c r="D666" s="20"/>
      <c r="E666" s="20"/>
    </row>
    <row r="667">
      <c r="A667" s="20"/>
      <c r="B667" s="20"/>
      <c r="C667" s="20"/>
      <c r="D667" s="20"/>
      <c r="E667" s="20"/>
    </row>
    <row r="668">
      <c r="A668" s="20"/>
      <c r="B668" s="20"/>
      <c r="C668" s="20"/>
      <c r="D668" s="20"/>
      <c r="E668" s="20"/>
    </row>
    <row r="669">
      <c r="A669" s="20"/>
      <c r="B669" s="20"/>
      <c r="C669" s="20"/>
      <c r="D669" s="20"/>
      <c r="E669" s="20"/>
    </row>
    <row r="670">
      <c r="A670" s="20"/>
      <c r="B670" s="20"/>
      <c r="C670" s="20"/>
      <c r="D670" s="20"/>
      <c r="E670" s="20"/>
    </row>
    <row r="671">
      <c r="A671" s="20"/>
      <c r="B671" s="20"/>
      <c r="C671" s="20"/>
      <c r="D671" s="20"/>
      <c r="E671" s="20"/>
    </row>
    <row r="672">
      <c r="A672" s="20"/>
      <c r="B672" s="20"/>
      <c r="C672" s="20"/>
      <c r="D672" s="20"/>
      <c r="E672" s="20"/>
    </row>
    <row r="673">
      <c r="A673" s="20"/>
      <c r="B673" s="20"/>
      <c r="C673" s="20"/>
      <c r="D673" s="20"/>
      <c r="E673" s="20"/>
    </row>
    <row r="674">
      <c r="A674" s="20"/>
      <c r="B674" s="20"/>
      <c r="C674" s="20"/>
      <c r="D674" s="20"/>
      <c r="E674" s="20"/>
    </row>
    <row r="675">
      <c r="A675" s="20"/>
      <c r="B675" s="20"/>
      <c r="C675" s="20"/>
      <c r="D675" s="20"/>
      <c r="E675" s="20"/>
    </row>
    <row r="676">
      <c r="A676" s="20"/>
      <c r="B676" s="20"/>
      <c r="C676" s="20"/>
      <c r="D676" s="20"/>
      <c r="E676" s="20"/>
    </row>
    <row r="677">
      <c r="A677" s="20"/>
      <c r="B677" s="20"/>
      <c r="C677" s="20"/>
      <c r="D677" s="20"/>
      <c r="E677" s="20"/>
    </row>
    <row r="678">
      <c r="A678" s="20"/>
      <c r="B678" s="20"/>
      <c r="C678" s="20"/>
      <c r="D678" s="20"/>
      <c r="E678" s="20"/>
    </row>
    <row r="679">
      <c r="A679" s="20"/>
      <c r="B679" s="20"/>
      <c r="C679" s="20"/>
      <c r="D679" s="20"/>
      <c r="E679" s="20"/>
    </row>
    <row r="680">
      <c r="A680" s="20"/>
      <c r="B680" s="20"/>
      <c r="C680" s="20"/>
      <c r="D680" s="20"/>
      <c r="E680" s="20"/>
    </row>
    <row r="681">
      <c r="A681" s="20"/>
      <c r="B681" s="20"/>
      <c r="C681" s="20"/>
      <c r="D681" s="20"/>
      <c r="E681" s="20"/>
    </row>
    <row r="682">
      <c r="A682" s="20"/>
      <c r="B682" s="20"/>
      <c r="C682" s="20"/>
      <c r="D682" s="20"/>
      <c r="E682" s="20"/>
    </row>
    <row r="683">
      <c r="A683" s="20"/>
      <c r="B683" s="20"/>
      <c r="C683" s="20"/>
      <c r="D683" s="20"/>
      <c r="E683" s="20"/>
    </row>
    <row r="684">
      <c r="A684" s="20"/>
      <c r="B684" s="20"/>
      <c r="C684" s="20"/>
      <c r="D684" s="20"/>
      <c r="E684" s="20"/>
    </row>
    <row r="685">
      <c r="A685" s="20"/>
      <c r="B685" s="20"/>
      <c r="C685" s="20"/>
      <c r="D685" s="20"/>
      <c r="E685" s="20"/>
    </row>
    <row r="686">
      <c r="A686" s="20"/>
      <c r="B686" s="20"/>
      <c r="C686" s="20"/>
      <c r="D686" s="20"/>
      <c r="E686" s="20"/>
    </row>
    <row r="687">
      <c r="A687" s="20"/>
      <c r="B687" s="20"/>
      <c r="C687" s="20"/>
      <c r="D687" s="20"/>
      <c r="E687" s="20"/>
    </row>
    <row r="688">
      <c r="A688" s="20"/>
      <c r="B688" s="20"/>
      <c r="C688" s="20"/>
      <c r="D688" s="20"/>
      <c r="E688" s="20"/>
    </row>
    <row r="689">
      <c r="A689" s="20"/>
      <c r="B689" s="20"/>
      <c r="C689" s="20"/>
      <c r="D689" s="20"/>
      <c r="E689" s="20"/>
    </row>
    <row r="690">
      <c r="A690" s="20"/>
      <c r="B690" s="20"/>
      <c r="C690" s="20"/>
      <c r="D690" s="20"/>
      <c r="E690" s="20"/>
    </row>
    <row r="691">
      <c r="A691" s="20"/>
      <c r="B691" s="20"/>
      <c r="C691" s="20"/>
      <c r="D691" s="20"/>
      <c r="E691" s="20"/>
    </row>
    <row r="692">
      <c r="A692" s="20"/>
      <c r="B692" s="20"/>
      <c r="C692" s="20"/>
      <c r="D692" s="20"/>
      <c r="E692" s="20"/>
    </row>
    <row r="693">
      <c r="A693" s="20"/>
      <c r="B693" s="20"/>
      <c r="C693" s="20"/>
      <c r="D693" s="20"/>
      <c r="E693" s="20"/>
    </row>
    <row r="694">
      <c r="A694" s="20"/>
      <c r="B694" s="20"/>
      <c r="C694" s="20"/>
      <c r="D694" s="20"/>
      <c r="E694" s="20"/>
    </row>
    <row r="695">
      <c r="A695" s="20"/>
      <c r="B695" s="20"/>
      <c r="C695" s="20"/>
      <c r="D695" s="20"/>
      <c r="E695" s="20"/>
    </row>
    <row r="696">
      <c r="A696" s="20"/>
      <c r="B696" s="20"/>
      <c r="C696" s="20"/>
      <c r="D696" s="20"/>
      <c r="E696" s="20"/>
    </row>
    <row r="697">
      <c r="A697" s="20"/>
      <c r="B697" s="20"/>
      <c r="C697" s="20"/>
      <c r="D697" s="20"/>
      <c r="E697" s="20"/>
    </row>
    <row r="698">
      <c r="A698" s="20"/>
      <c r="B698" s="20"/>
      <c r="C698" s="20"/>
      <c r="D698" s="20"/>
      <c r="E698" s="20"/>
    </row>
    <row r="699">
      <c r="A699" s="20"/>
      <c r="B699" s="20"/>
      <c r="C699" s="20"/>
      <c r="D699" s="20"/>
      <c r="E699" s="20"/>
    </row>
    <row r="700">
      <c r="A700" s="20"/>
      <c r="B700" s="20"/>
      <c r="C700" s="20"/>
      <c r="D700" s="20"/>
      <c r="E700" s="20"/>
    </row>
    <row r="701">
      <c r="A701" s="20"/>
      <c r="B701" s="20"/>
      <c r="C701" s="20"/>
      <c r="D701" s="20"/>
      <c r="E701" s="20"/>
    </row>
    <row r="702">
      <c r="A702" s="20"/>
      <c r="B702" s="20"/>
      <c r="C702" s="20"/>
      <c r="D702" s="20"/>
      <c r="E702" s="20"/>
    </row>
    <row r="703">
      <c r="A703" s="20"/>
      <c r="B703" s="20"/>
      <c r="C703" s="20"/>
      <c r="D703" s="20"/>
      <c r="E703" s="20"/>
    </row>
    <row r="704">
      <c r="A704" s="20"/>
      <c r="B704" s="20"/>
      <c r="C704" s="20"/>
      <c r="D704" s="20"/>
      <c r="E704" s="20"/>
    </row>
    <row r="705">
      <c r="A705" s="20"/>
      <c r="B705" s="20"/>
      <c r="C705" s="20"/>
      <c r="D705" s="20"/>
      <c r="E705" s="20"/>
    </row>
    <row r="706">
      <c r="A706" s="20"/>
      <c r="B706" s="20"/>
      <c r="C706" s="20"/>
      <c r="D706" s="20"/>
      <c r="E706" s="20"/>
    </row>
    <row r="707">
      <c r="A707" s="20"/>
      <c r="B707" s="20"/>
      <c r="C707" s="20"/>
      <c r="D707" s="20"/>
      <c r="E707" s="20"/>
    </row>
    <row r="708">
      <c r="A708" s="20"/>
      <c r="B708" s="20"/>
      <c r="C708" s="20"/>
      <c r="D708" s="20"/>
      <c r="E708" s="20"/>
    </row>
    <row r="709">
      <c r="A709" s="20"/>
      <c r="B709" s="20"/>
      <c r="C709" s="20"/>
      <c r="D709" s="20"/>
      <c r="E709" s="20"/>
    </row>
    <row r="710">
      <c r="A710" s="20"/>
      <c r="B710" s="20"/>
      <c r="C710" s="20"/>
      <c r="D710" s="20"/>
      <c r="E710" s="20"/>
    </row>
    <row r="711">
      <c r="A711" s="20"/>
      <c r="B711" s="20"/>
      <c r="C711" s="20"/>
      <c r="D711" s="20"/>
      <c r="E711" s="20"/>
    </row>
    <row r="712">
      <c r="A712" s="20"/>
      <c r="B712" s="20"/>
      <c r="C712" s="20"/>
      <c r="D712" s="20"/>
      <c r="E712" s="20"/>
    </row>
    <row r="713">
      <c r="A713" s="20"/>
      <c r="B713" s="20"/>
      <c r="C713" s="20"/>
      <c r="D713" s="20"/>
      <c r="E713" s="20"/>
    </row>
    <row r="714">
      <c r="A714" s="20"/>
      <c r="B714" s="20"/>
      <c r="C714" s="20"/>
      <c r="D714" s="20"/>
      <c r="E714" s="20"/>
    </row>
    <row r="715">
      <c r="A715" s="20"/>
      <c r="B715" s="20"/>
      <c r="C715" s="20"/>
      <c r="D715" s="20"/>
      <c r="E715" s="20"/>
    </row>
    <row r="716">
      <c r="A716" s="20"/>
      <c r="B716" s="20"/>
      <c r="C716" s="20"/>
      <c r="D716" s="20"/>
      <c r="E716" s="20"/>
    </row>
    <row r="717">
      <c r="A717" s="20"/>
      <c r="B717" s="20"/>
      <c r="C717" s="20"/>
      <c r="D717" s="20"/>
      <c r="E717" s="20"/>
    </row>
    <row r="718">
      <c r="A718" s="20"/>
      <c r="B718" s="20"/>
      <c r="C718" s="20"/>
      <c r="D718" s="20"/>
      <c r="E718" s="20"/>
    </row>
    <row r="719">
      <c r="A719" s="20"/>
      <c r="B719" s="20"/>
      <c r="C719" s="20"/>
      <c r="D719" s="20"/>
      <c r="E719" s="20"/>
    </row>
    <row r="720">
      <c r="A720" s="20"/>
      <c r="B720" s="20"/>
      <c r="C720" s="20"/>
      <c r="D720" s="20"/>
      <c r="E720" s="20"/>
    </row>
    <row r="721">
      <c r="A721" s="20"/>
      <c r="B721" s="20"/>
      <c r="C721" s="20"/>
      <c r="D721" s="20"/>
      <c r="E721" s="20"/>
    </row>
    <row r="722">
      <c r="A722" s="20"/>
      <c r="B722" s="20"/>
      <c r="C722" s="20"/>
      <c r="D722" s="20"/>
      <c r="E722" s="20"/>
    </row>
    <row r="723">
      <c r="A723" s="20"/>
      <c r="B723" s="20"/>
      <c r="C723" s="20"/>
      <c r="D723" s="20"/>
      <c r="E723" s="20"/>
    </row>
    <row r="724">
      <c r="A724" s="20"/>
      <c r="B724" s="20"/>
      <c r="C724" s="20"/>
      <c r="D724" s="20"/>
      <c r="E724" s="20"/>
    </row>
    <row r="725">
      <c r="A725" s="20"/>
      <c r="B725" s="20"/>
      <c r="C725" s="20"/>
      <c r="D725" s="20"/>
      <c r="E725" s="20"/>
    </row>
    <row r="726">
      <c r="A726" s="20"/>
      <c r="B726" s="20"/>
      <c r="C726" s="20"/>
      <c r="D726" s="20"/>
      <c r="E726" s="20"/>
    </row>
    <row r="727">
      <c r="A727" s="20"/>
      <c r="B727" s="20"/>
      <c r="C727" s="20"/>
      <c r="D727" s="20"/>
      <c r="E727" s="20"/>
    </row>
    <row r="728">
      <c r="A728" s="20"/>
      <c r="B728" s="20"/>
      <c r="C728" s="20"/>
      <c r="D728" s="20"/>
      <c r="E728" s="20"/>
    </row>
    <row r="729">
      <c r="A729" s="20"/>
      <c r="B729" s="20"/>
      <c r="C729" s="20"/>
      <c r="D729" s="20"/>
      <c r="E729" s="20"/>
    </row>
    <row r="730">
      <c r="A730" s="20"/>
      <c r="B730" s="20"/>
      <c r="C730" s="20"/>
      <c r="D730" s="20"/>
      <c r="E730" s="20"/>
    </row>
    <row r="731">
      <c r="A731" s="20"/>
      <c r="B731" s="20"/>
      <c r="C731" s="20"/>
      <c r="D731" s="20"/>
      <c r="E731" s="20"/>
    </row>
    <row r="732">
      <c r="A732" s="20"/>
      <c r="B732" s="20"/>
      <c r="C732" s="20"/>
      <c r="D732" s="20"/>
      <c r="E732" s="20"/>
    </row>
    <row r="733">
      <c r="A733" s="20"/>
      <c r="B733" s="20"/>
      <c r="C733" s="20"/>
      <c r="D733" s="20"/>
      <c r="E733" s="20"/>
    </row>
    <row r="734">
      <c r="A734" s="20"/>
      <c r="B734" s="20"/>
      <c r="C734" s="20"/>
      <c r="D734" s="20"/>
      <c r="E734" s="20"/>
    </row>
    <row r="735">
      <c r="A735" s="20"/>
      <c r="B735" s="20"/>
      <c r="C735" s="20"/>
      <c r="D735" s="20"/>
      <c r="E735" s="20"/>
    </row>
    <row r="736">
      <c r="A736" s="20"/>
      <c r="B736" s="20"/>
      <c r="C736" s="20"/>
      <c r="D736" s="20"/>
      <c r="E736" s="20"/>
    </row>
    <row r="737">
      <c r="A737" s="20"/>
      <c r="B737" s="20"/>
      <c r="C737" s="20"/>
      <c r="D737" s="20"/>
      <c r="E737" s="20"/>
    </row>
    <row r="738">
      <c r="A738" s="20"/>
      <c r="B738" s="20"/>
      <c r="C738" s="20"/>
      <c r="D738" s="20"/>
      <c r="E738" s="20"/>
    </row>
    <row r="739">
      <c r="A739" s="20"/>
      <c r="B739" s="20"/>
      <c r="C739" s="20"/>
      <c r="D739" s="20"/>
      <c r="E739" s="20"/>
    </row>
    <row r="740">
      <c r="A740" s="20"/>
      <c r="B740" s="20"/>
      <c r="C740" s="20"/>
      <c r="D740" s="20"/>
      <c r="E740" s="20"/>
    </row>
    <row r="741">
      <c r="A741" s="20"/>
      <c r="B741" s="20"/>
      <c r="C741" s="20"/>
      <c r="D741" s="20"/>
      <c r="E741" s="20"/>
    </row>
    <row r="742">
      <c r="A742" s="20"/>
      <c r="B742" s="20"/>
      <c r="C742" s="20"/>
      <c r="D742" s="20"/>
      <c r="E742" s="20"/>
    </row>
    <row r="743">
      <c r="A743" s="20"/>
      <c r="B743" s="20"/>
      <c r="C743" s="20"/>
      <c r="D743" s="20"/>
      <c r="E743" s="20"/>
    </row>
    <row r="744">
      <c r="A744" s="20"/>
      <c r="B744" s="20"/>
      <c r="C744" s="20"/>
      <c r="D744" s="20"/>
      <c r="E744" s="20"/>
    </row>
    <row r="745">
      <c r="A745" s="20"/>
      <c r="B745" s="20"/>
      <c r="C745" s="20"/>
      <c r="D745" s="20"/>
      <c r="E745" s="20"/>
    </row>
    <row r="746">
      <c r="A746" s="20"/>
      <c r="B746" s="20"/>
      <c r="C746" s="20"/>
      <c r="D746" s="20"/>
      <c r="E746" s="20"/>
    </row>
    <row r="747">
      <c r="A747" s="20"/>
      <c r="B747" s="20"/>
      <c r="C747" s="20"/>
      <c r="D747" s="20"/>
      <c r="E747" s="20"/>
    </row>
    <row r="748">
      <c r="A748" s="20"/>
      <c r="B748" s="20"/>
      <c r="C748" s="20"/>
      <c r="D748" s="20"/>
      <c r="E748" s="20"/>
    </row>
    <row r="749">
      <c r="A749" s="20"/>
      <c r="B749" s="20"/>
      <c r="C749" s="20"/>
      <c r="D749" s="20"/>
      <c r="E749" s="20"/>
    </row>
    <row r="750">
      <c r="A750" s="20"/>
      <c r="B750" s="20"/>
      <c r="C750" s="20"/>
      <c r="D750" s="20"/>
      <c r="E750" s="20"/>
    </row>
    <row r="751">
      <c r="A751" s="20"/>
      <c r="B751" s="20"/>
      <c r="C751" s="20"/>
      <c r="D751" s="20"/>
      <c r="E751" s="20"/>
    </row>
    <row r="752">
      <c r="A752" s="20"/>
      <c r="B752" s="20"/>
      <c r="C752" s="20"/>
      <c r="D752" s="20"/>
      <c r="E752" s="20"/>
    </row>
    <row r="753">
      <c r="A753" s="20"/>
      <c r="B753" s="20"/>
      <c r="C753" s="20"/>
      <c r="D753" s="20"/>
      <c r="E753" s="20"/>
    </row>
    <row r="754">
      <c r="A754" s="20"/>
      <c r="B754" s="20"/>
      <c r="C754" s="20"/>
      <c r="D754" s="20"/>
      <c r="E754" s="20"/>
    </row>
    <row r="755">
      <c r="A755" s="20"/>
      <c r="B755" s="20"/>
      <c r="C755" s="20"/>
      <c r="D755" s="20"/>
      <c r="E755" s="20"/>
    </row>
    <row r="756">
      <c r="A756" s="20"/>
      <c r="B756" s="20"/>
      <c r="C756" s="20"/>
      <c r="D756" s="20"/>
      <c r="E756" s="20"/>
    </row>
    <row r="757">
      <c r="A757" s="20"/>
      <c r="B757" s="20"/>
      <c r="C757" s="20"/>
      <c r="D757" s="20"/>
      <c r="E757" s="20"/>
    </row>
    <row r="758">
      <c r="A758" s="20"/>
      <c r="B758" s="20"/>
      <c r="C758" s="20"/>
      <c r="D758" s="20"/>
      <c r="E758" s="20"/>
    </row>
    <row r="759">
      <c r="A759" s="20"/>
      <c r="B759" s="20"/>
      <c r="C759" s="20"/>
      <c r="D759" s="20"/>
      <c r="E759" s="20"/>
    </row>
    <row r="760">
      <c r="A760" s="20"/>
      <c r="B760" s="20"/>
      <c r="C760" s="20"/>
      <c r="D760" s="20"/>
      <c r="E760" s="20"/>
    </row>
    <row r="761">
      <c r="A761" s="20"/>
      <c r="B761" s="20"/>
      <c r="C761" s="20"/>
      <c r="D761" s="20"/>
      <c r="E761" s="20"/>
    </row>
    <row r="762">
      <c r="A762" s="20"/>
      <c r="B762" s="20"/>
      <c r="C762" s="20"/>
      <c r="D762" s="20"/>
      <c r="E762" s="20"/>
    </row>
    <row r="763">
      <c r="A763" s="20"/>
      <c r="B763" s="20"/>
      <c r="C763" s="20"/>
      <c r="D763" s="20"/>
      <c r="E763" s="20"/>
    </row>
    <row r="764">
      <c r="A764" s="20"/>
      <c r="B764" s="20"/>
      <c r="C764" s="20"/>
      <c r="D764" s="20"/>
      <c r="E764" s="20"/>
    </row>
    <row r="765">
      <c r="A765" s="20"/>
      <c r="B765" s="20"/>
      <c r="C765" s="20"/>
      <c r="D765" s="20"/>
      <c r="E765" s="20"/>
    </row>
    <row r="766">
      <c r="A766" s="20"/>
      <c r="B766" s="20"/>
      <c r="C766" s="20"/>
      <c r="D766" s="20"/>
      <c r="E766" s="20"/>
    </row>
    <row r="767">
      <c r="A767" s="20"/>
      <c r="B767" s="20"/>
      <c r="C767" s="20"/>
      <c r="D767" s="20"/>
      <c r="E767" s="20"/>
    </row>
    <row r="768">
      <c r="A768" s="20"/>
      <c r="B768" s="20"/>
      <c r="C768" s="20"/>
      <c r="D768" s="20"/>
      <c r="E768" s="20"/>
    </row>
    <row r="769">
      <c r="A769" s="20"/>
      <c r="B769" s="20"/>
      <c r="C769" s="20"/>
      <c r="D769" s="20"/>
      <c r="E769" s="20"/>
    </row>
    <row r="770">
      <c r="A770" s="20"/>
      <c r="B770" s="20"/>
      <c r="C770" s="20"/>
      <c r="D770" s="20"/>
      <c r="E770" s="20"/>
    </row>
    <row r="771">
      <c r="A771" s="20"/>
      <c r="B771" s="20"/>
      <c r="C771" s="20"/>
      <c r="D771" s="20"/>
      <c r="E771" s="20"/>
    </row>
    <row r="772">
      <c r="A772" s="20"/>
      <c r="B772" s="20"/>
      <c r="C772" s="20"/>
      <c r="D772" s="20"/>
      <c r="E772" s="20"/>
    </row>
    <row r="773">
      <c r="A773" s="20"/>
      <c r="B773" s="20"/>
      <c r="C773" s="20"/>
      <c r="D773" s="20"/>
      <c r="E773" s="20"/>
    </row>
    <row r="774">
      <c r="A774" s="20"/>
      <c r="B774" s="20"/>
      <c r="C774" s="20"/>
      <c r="D774" s="20"/>
      <c r="E774" s="20"/>
    </row>
    <row r="775">
      <c r="A775" s="20"/>
      <c r="B775" s="20"/>
      <c r="C775" s="20"/>
      <c r="D775" s="20"/>
      <c r="E775" s="20"/>
    </row>
    <row r="776">
      <c r="A776" s="20"/>
      <c r="B776" s="20"/>
      <c r="C776" s="20"/>
      <c r="D776" s="20"/>
      <c r="E776" s="20"/>
    </row>
    <row r="777">
      <c r="A777" s="20"/>
      <c r="B777" s="20"/>
      <c r="C777" s="20"/>
      <c r="D777" s="20"/>
      <c r="E777" s="20"/>
    </row>
    <row r="778">
      <c r="A778" s="20"/>
      <c r="B778" s="20"/>
      <c r="C778" s="20"/>
      <c r="D778" s="20"/>
      <c r="E778" s="20"/>
    </row>
    <row r="779">
      <c r="A779" s="20"/>
      <c r="B779" s="20"/>
      <c r="C779" s="20"/>
      <c r="D779" s="20"/>
      <c r="E779" s="20"/>
    </row>
    <row r="780">
      <c r="A780" s="20"/>
      <c r="B780" s="20"/>
      <c r="C780" s="20"/>
      <c r="D780" s="20"/>
      <c r="E780" s="20"/>
    </row>
    <row r="781">
      <c r="A781" s="20"/>
      <c r="B781" s="20"/>
      <c r="C781" s="20"/>
      <c r="D781" s="20"/>
      <c r="E781" s="20"/>
    </row>
    <row r="782">
      <c r="A782" s="20"/>
      <c r="B782" s="20"/>
      <c r="C782" s="20"/>
      <c r="D782" s="20"/>
      <c r="E782" s="20"/>
    </row>
    <row r="783">
      <c r="A783" s="20"/>
      <c r="B783" s="20"/>
      <c r="C783" s="20"/>
      <c r="D783" s="20"/>
      <c r="E783" s="20"/>
    </row>
    <row r="784">
      <c r="A784" s="20"/>
      <c r="B784" s="20"/>
      <c r="C784" s="20"/>
      <c r="D784" s="20"/>
      <c r="E784" s="20"/>
    </row>
    <row r="785">
      <c r="A785" s="20"/>
      <c r="B785" s="20"/>
      <c r="C785" s="20"/>
      <c r="D785" s="20"/>
      <c r="E785" s="20"/>
    </row>
    <row r="786">
      <c r="A786" s="20"/>
      <c r="B786" s="20"/>
      <c r="C786" s="20"/>
      <c r="D786" s="20"/>
      <c r="E786" s="20"/>
    </row>
    <row r="787">
      <c r="A787" s="20"/>
      <c r="B787" s="20"/>
      <c r="C787" s="20"/>
      <c r="D787" s="20"/>
      <c r="E787" s="20"/>
    </row>
    <row r="788">
      <c r="A788" s="20"/>
      <c r="B788" s="20"/>
      <c r="C788" s="20"/>
      <c r="D788" s="20"/>
      <c r="E788" s="20"/>
    </row>
    <row r="789">
      <c r="A789" s="20"/>
      <c r="B789" s="20"/>
      <c r="C789" s="20"/>
      <c r="D789" s="20"/>
      <c r="E789" s="20"/>
    </row>
    <row r="790">
      <c r="A790" s="20"/>
      <c r="B790" s="20"/>
      <c r="C790" s="20"/>
      <c r="D790" s="20"/>
      <c r="E790" s="20"/>
    </row>
    <row r="791">
      <c r="A791" s="20"/>
      <c r="B791" s="20"/>
      <c r="C791" s="20"/>
      <c r="D791" s="20"/>
      <c r="E791" s="20"/>
    </row>
    <row r="792">
      <c r="A792" s="20"/>
      <c r="B792" s="20"/>
      <c r="C792" s="20"/>
      <c r="D792" s="20"/>
      <c r="E792" s="20"/>
    </row>
    <row r="793">
      <c r="A793" s="20"/>
      <c r="B793" s="20"/>
      <c r="C793" s="20"/>
      <c r="D793" s="20"/>
      <c r="E793" s="20"/>
    </row>
    <row r="794">
      <c r="A794" s="20"/>
      <c r="B794" s="20"/>
      <c r="C794" s="20"/>
      <c r="D794" s="20"/>
      <c r="E794" s="20"/>
    </row>
    <row r="795">
      <c r="A795" s="20"/>
      <c r="B795" s="20"/>
      <c r="C795" s="20"/>
      <c r="D795" s="20"/>
      <c r="E795" s="20"/>
    </row>
    <row r="796">
      <c r="A796" s="20"/>
      <c r="B796" s="20"/>
      <c r="C796" s="20"/>
      <c r="D796" s="20"/>
      <c r="E796" s="20"/>
    </row>
    <row r="797">
      <c r="A797" s="20"/>
      <c r="B797" s="20"/>
      <c r="C797" s="20"/>
      <c r="D797" s="20"/>
      <c r="E797" s="20"/>
    </row>
    <row r="798">
      <c r="A798" s="20"/>
      <c r="B798" s="20"/>
      <c r="C798" s="20"/>
      <c r="D798" s="20"/>
      <c r="E798" s="20"/>
    </row>
    <row r="799">
      <c r="A799" s="20"/>
      <c r="B799" s="20"/>
      <c r="C799" s="20"/>
      <c r="D799" s="20"/>
      <c r="E799" s="20"/>
    </row>
    <row r="800">
      <c r="A800" s="20"/>
      <c r="B800" s="20"/>
      <c r="C800" s="20"/>
      <c r="D800" s="20"/>
      <c r="E800" s="20"/>
    </row>
    <row r="801">
      <c r="A801" s="20"/>
      <c r="B801" s="20"/>
      <c r="C801" s="20"/>
      <c r="D801" s="20"/>
      <c r="E801" s="20"/>
    </row>
    <row r="802">
      <c r="A802" s="20"/>
      <c r="B802" s="20"/>
      <c r="C802" s="20"/>
      <c r="D802" s="20"/>
      <c r="E802" s="20"/>
    </row>
    <row r="803">
      <c r="A803" s="20"/>
      <c r="B803" s="20"/>
      <c r="C803" s="20"/>
      <c r="D803" s="20"/>
      <c r="E803" s="20"/>
    </row>
    <row r="804">
      <c r="A804" s="20"/>
      <c r="B804" s="20"/>
      <c r="C804" s="20"/>
      <c r="D804" s="20"/>
      <c r="E804" s="20"/>
    </row>
    <row r="805">
      <c r="A805" s="20"/>
      <c r="B805" s="20"/>
      <c r="C805" s="20"/>
      <c r="D805" s="20"/>
      <c r="E805" s="20"/>
    </row>
    <row r="806">
      <c r="A806" s="20"/>
      <c r="B806" s="20"/>
      <c r="C806" s="20"/>
      <c r="D806" s="20"/>
      <c r="E806" s="20"/>
    </row>
    <row r="807">
      <c r="A807" s="20"/>
      <c r="B807" s="20"/>
      <c r="C807" s="20"/>
      <c r="D807" s="20"/>
      <c r="E807" s="20"/>
    </row>
    <row r="808">
      <c r="A808" s="20"/>
      <c r="B808" s="20"/>
      <c r="C808" s="20"/>
      <c r="D808" s="20"/>
      <c r="E808" s="20"/>
    </row>
    <row r="809">
      <c r="A809" s="20"/>
      <c r="B809" s="20"/>
      <c r="C809" s="20"/>
      <c r="D809" s="20"/>
      <c r="E809" s="20"/>
    </row>
    <row r="810">
      <c r="A810" s="20"/>
      <c r="B810" s="20"/>
      <c r="C810" s="20"/>
      <c r="D810" s="20"/>
      <c r="E810" s="20"/>
    </row>
    <row r="811">
      <c r="A811" s="20"/>
      <c r="B811" s="20"/>
      <c r="C811" s="20"/>
      <c r="D811" s="20"/>
      <c r="E811" s="20"/>
    </row>
    <row r="812">
      <c r="A812" s="20"/>
      <c r="B812" s="20"/>
      <c r="C812" s="20"/>
      <c r="D812" s="20"/>
      <c r="E812" s="20"/>
    </row>
    <row r="813">
      <c r="A813" s="20"/>
      <c r="B813" s="20"/>
      <c r="C813" s="20"/>
      <c r="D813" s="20"/>
      <c r="E813" s="20"/>
    </row>
    <row r="814">
      <c r="A814" s="20"/>
      <c r="B814" s="20"/>
      <c r="C814" s="20"/>
      <c r="D814" s="20"/>
      <c r="E814" s="20"/>
    </row>
    <row r="815">
      <c r="A815" s="20"/>
      <c r="B815" s="20"/>
      <c r="C815" s="20"/>
      <c r="D815" s="20"/>
      <c r="E815" s="20"/>
    </row>
    <row r="816">
      <c r="A816" s="20"/>
      <c r="B816" s="20"/>
      <c r="C816" s="20"/>
      <c r="D816" s="20"/>
      <c r="E816" s="20"/>
    </row>
    <row r="817">
      <c r="A817" s="20"/>
      <c r="B817" s="20"/>
      <c r="C817" s="20"/>
      <c r="D817" s="20"/>
      <c r="E817" s="20"/>
    </row>
    <row r="818">
      <c r="A818" s="20"/>
      <c r="B818" s="20"/>
      <c r="C818" s="20"/>
      <c r="D818" s="20"/>
      <c r="E818" s="20"/>
    </row>
    <row r="819">
      <c r="A819" s="20"/>
      <c r="B819" s="20"/>
      <c r="C819" s="20"/>
      <c r="D819" s="20"/>
      <c r="E819" s="20"/>
    </row>
    <row r="820">
      <c r="A820" s="20"/>
      <c r="B820" s="20"/>
      <c r="C820" s="20"/>
      <c r="D820" s="20"/>
      <c r="E820" s="20"/>
    </row>
    <row r="821">
      <c r="A821" s="20"/>
      <c r="B821" s="20"/>
      <c r="C821" s="20"/>
      <c r="D821" s="20"/>
      <c r="E821" s="20"/>
    </row>
    <row r="822">
      <c r="A822" s="20"/>
      <c r="B822" s="20"/>
      <c r="C822" s="20"/>
      <c r="D822" s="20"/>
      <c r="E822" s="20"/>
    </row>
    <row r="823">
      <c r="A823" s="20"/>
      <c r="B823" s="20"/>
      <c r="C823" s="20"/>
      <c r="D823" s="20"/>
      <c r="E823" s="20"/>
    </row>
    <row r="824">
      <c r="A824" s="20"/>
      <c r="B824" s="20"/>
      <c r="C824" s="20"/>
      <c r="D824" s="20"/>
      <c r="E824" s="20"/>
    </row>
    <row r="825">
      <c r="A825" s="20"/>
      <c r="B825" s="20"/>
      <c r="C825" s="20"/>
      <c r="D825" s="20"/>
      <c r="E825" s="20"/>
    </row>
    <row r="826">
      <c r="A826" s="20"/>
      <c r="B826" s="20"/>
      <c r="C826" s="20"/>
      <c r="D826" s="20"/>
      <c r="E826" s="20"/>
    </row>
    <row r="827">
      <c r="A827" s="20"/>
      <c r="B827" s="20"/>
      <c r="C827" s="20"/>
      <c r="D827" s="20"/>
      <c r="E827" s="20"/>
    </row>
    <row r="828">
      <c r="A828" s="20"/>
      <c r="B828" s="20"/>
      <c r="C828" s="20"/>
      <c r="D828" s="20"/>
      <c r="E828" s="20"/>
    </row>
    <row r="829">
      <c r="A829" s="20"/>
      <c r="B829" s="20"/>
      <c r="C829" s="20"/>
      <c r="D829" s="20"/>
      <c r="E829" s="20"/>
    </row>
    <row r="830">
      <c r="A830" s="20"/>
      <c r="B830" s="20"/>
      <c r="C830" s="20"/>
      <c r="D830" s="20"/>
      <c r="E830" s="20"/>
    </row>
    <row r="831">
      <c r="A831" s="20"/>
      <c r="B831" s="20"/>
      <c r="C831" s="20"/>
      <c r="D831" s="20"/>
      <c r="E831" s="20"/>
    </row>
    <row r="832">
      <c r="A832" s="20"/>
      <c r="B832" s="20"/>
      <c r="C832" s="20"/>
      <c r="D832" s="20"/>
      <c r="E832" s="20"/>
    </row>
    <row r="833">
      <c r="A833" s="20"/>
      <c r="B833" s="20"/>
      <c r="C833" s="20"/>
      <c r="D833" s="20"/>
      <c r="E833" s="20"/>
    </row>
    <row r="834">
      <c r="A834" s="20"/>
      <c r="B834" s="20"/>
      <c r="C834" s="20"/>
      <c r="D834" s="20"/>
      <c r="E834" s="20"/>
    </row>
    <row r="835">
      <c r="A835" s="20"/>
      <c r="B835" s="20"/>
      <c r="C835" s="20"/>
      <c r="D835" s="20"/>
      <c r="E835" s="20"/>
    </row>
    <row r="836">
      <c r="A836" s="20"/>
      <c r="B836" s="20"/>
      <c r="C836" s="20"/>
      <c r="D836" s="20"/>
      <c r="E836" s="20"/>
    </row>
    <row r="837">
      <c r="A837" s="20"/>
      <c r="B837" s="20"/>
      <c r="C837" s="20"/>
      <c r="D837" s="20"/>
      <c r="E837" s="20"/>
    </row>
    <row r="838">
      <c r="A838" s="20"/>
      <c r="B838" s="20"/>
      <c r="C838" s="20"/>
      <c r="D838" s="20"/>
      <c r="E838" s="20"/>
    </row>
    <row r="839">
      <c r="A839" s="20"/>
      <c r="B839" s="20"/>
      <c r="C839" s="20"/>
      <c r="D839" s="20"/>
      <c r="E839" s="20"/>
    </row>
    <row r="840">
      <c r="A840" s="20"/>
      <c r="B840" s="20"/>
      <c r="C840" s="20"/>
      <c r="D840" s="20"/>
      <c r="E840" s="20"/>
    </row>
    <row r="841">
      <c r="A841" s="20"/>
      <c r="B841" s="20"/>
      <c r="C841" s="20"/>
      <c r="D841" s="20"/>
      <c r="E841" s="20"/>
    </row>
    <row r="842">
      <c r="A842" s="20"/>
      <c r="B842" s="20"/>
      <c r="C842" s="20"/>
      <c r="D842" s="20"/>
      <c r="E842" s="20"/>
    </row>
    <row r="843">
      <c r="A843" s="20"/>
      <c r="B843" s="20"/>
      <c r="C843" s="20"/>
      <c r="D843" s="20"/>
      <c r="E843" s="20"/>
    </row>
    <row r="844">
      <c r="A844" s="20"/>
      <c r="B844" s="20"/>
      <c r="C844" s="20"/>
      <c r="D844" s="20"/>
      <c r="E844" s="20"/>
    </row>
    <row r="845">
      <c r="A845" s="20"/>
      <c r="B845" s="20"/>
      <c r="C845" s="20"/>
      <c r="D845" s="20"/>
      <c r="E845" s="20"/>
    </row>
    <row r="846">
      <c r="A846" s="20"/>
      <c r="B846" s="20"/>
      <c r="C846" s="20"/>
      <c r="D846" s="20"/>
      <c r="E846" s="20"/>
    </row>
    <row r="847">
      <c r="A847" s="20"/>
      <c r="B847" s="20"/>
      <c r="C847" s="20"/>
      <c r="D847" s="20"/>
      <c r="E847" s="20"/>
    </row>
    <row r="848">
      <c r="A848" s="20"/>
      <c r="B848" s="20"/>
      <c r="C848" s="20"/>
      <c r="D848" s="20"/>
      <c r="E848" s="20"/>
    </row>
    <row r="849">
      <c r="A849" s="20"/>
      <c r="B849" s="20"/>
      <c r="C849" s="20"/>
      <c r="D849" s="20"/>
      <c r="E849" s="20"/>
    </row>
    <row r="850">
      <c r="A850" s="20"/>
      <c r="B850" s="20"/>
      <c r="C850" s="20"/>
      <c r="D850" s="20"/>
      <c r="E850" s="20"/>
    </row>
    <row r="851">
      <c r="A851" s="20"/>
      <c r="B851" s="20"/>
      <c r="C851" s="20"/>
      <c r="D851" s="20"/>
      <c r="E851" s="20"/>
    </row>
    <row r="852">
      <c r="A852" s="20"/>
      <c r="B852" s="20"/>
      <c r="C852" s="20"/>
      <c r="D852" s="20"/>
      <c r="E852" s="20"/>
    </row>
    <row r="853">
      <c r="A853" s="20"/>
      <c r="B853" s="20"/>
      <c r="C853" s="20"/>
      <c r="D853" s="20"/>
      <c r="E853" s="20"/>
    </row>
    <row r="854">
      <c r="A854" s="20"/>
      <c r="B854" s="20"/>
      <c r="C854" s="20"/>
      <c r="D854" s="20"/>
      <c r="E854" s="20"/>
    </row>
    <row r="855">
      <c r="A855" s="20"/>
      <c r="B855" s="20"/>
      <c r="C855" s="20"/>
      <c r="D855" s="20"/>
      <c r="E855" s="20"/>
    </row>
    <row r="856">
      <c r="A856" s="20"/>
      <c r="B856" s="20"/>
      <c r="C856" s="20"/>
      <c r="D856" s="20"/>
      <c r="E856" s="20"/>
    </row>
    <row r="857">
      <c r="A857" s="20"/>
      <c r="B857" s="20"/>
      <c r="C857" s="20"/>
      <c r="D857" s="20"/>
      <c r="E857" s="20"/>
    </row>
    <row r="858">
      <c r="A858" s="20"/>
      <c r="B858" s="20"/>
      <c r="C858" s="20"/>
      <c r="D858" s="20"/>
      <c r="E858" s="20"/>
    </row>
    <row r="859">
      <c r="A859" s="20"/>
      <c r="B859" s="20"/>
      <c r="C859" s="20"/>
      <c r="D859" s="20"/>
      <c r="E859" s="20"/>
    </row>
    <row r="860">
      <c r="A860" s="20"/>
      <c r="B860" s="20"/>
      <c r="C860" s="20"/>
      <c r="D860" s="20"/>
      <c r="E860" s="20"/>
    </row>
    <row r="861">
      <c r="A861" s="20"/>
      <c r="B861" s="20"/>
      <c r="C861" s="20"/>
      <c r="D861" s="20"/>
      <c r="E861" s="20"/>
    </row>
    <row r="862">
      <c r="A862" s="20"/>
      <c r="B862" s="20"/>
      <c r="C862" s="20"/>
      <c r="D862" s="20"/>
      <c r="E862" s="20"/>
    </row>
    <row r="863">
      <c r="A863" s="20"/>
      <c r="B863" s="20"/>
      <c r="C863" s="20"/>
      <c r="D863" s="20"/>
      <c r="E863" s="20"/>
    </row>
    <row r="864">
      <c r="A864" s="20"/>
      <c r="B864" s="20"/>
      <c r="C864" s="20"/>
      <c r="D864" s="20"/>
      <c r="E864" s="20"/>
    </row>
    <row r="865">
      <c r="A865" s="20"/>
      <c r="B865" s="20"/>
      <c r="C865" s="20"/>
      <c r="D865" s="20"/>
      <c r="E865" s="20"/>
    </row>
    <row r="866">
      <c r="A866" s="20"/>
      <c r="B866" s="20"/>
      <c r="C866" s="20"/>
      <c r="D866" s="20"/>
      <c r="E866" s="20"/>
    </row>
    <row r="867">
      <c r="A867" s="20"/>
      <c r="B867" s="20"/>
      <c r="C867" s="20"/>
      <c r="D867" s="20"/>
      <c r="E867" s="20"/>
    </row>
    <row r="868">
      <c r="A868" s="20"/>
      <c r="B868" s="20"/>
      <c r="C868" s="20"/>
      <c r="D868" s="20"/>
      <c r="E868" s="20"/>
    </row>
    <row r="869">
      <c r="A869" s="20"/>
      <c r="B869" s="20"/>
      <c r="C869" s="20"/>
      <c r="D869" s="20"/>
      <c r="E869" s="20"/>
    </row>
    <row r="870">
      <c r="A870" s="20"/>
      <c r="B870" s="20"/>
      <c r="C870" s="20"/>
      <c r="D870" s="20"/>
      <c r="E870" s="20"/>
    </row>
    <row r="871">
      <c r="A871" s="20"/>
      <c r="B871" s="20"/>
      <c r="C871" s="20"/>
      <c r="D871" s="20"/>
      <c r="E871" s="20"/>
    </row>
    <row r="872">
      <c r="A872" s="20"/>
      <c r="B872" s="20"/>
      <c r="C872" s="20"/>
      <c r="D872" s="20"/>
      <c r="E872" s="20"/>
    </row>
    <row r="873">
      <c r="A873" s="20"/>
      <c r="B873" s="20"/>
      <c r="C873" s="20"/>
      <c r="D873" s="20"/>
      <c r="E873" s="20"/>
    </row>
    <row r="874">
      <c r="A874" s="20"/>
      <c r="B874" s="20"/>
      <c r="C874" s="20"/>
      <c r="D874" s="20"/>
      <c r="E874" s="20"/>
    </row>
    <row r="875">
      <c r="A875" s="20"/>
      <c r="B875" s="20"/>
      <c r="C875" s="20"/>
      <c r="D875" s="20"/>
      <c r="E875" s="20"/>
    </row>
    <row r="876">
      <c r="A876" s="20"/>
      <c r="B876" s="20"/>
      <c r="C876" s="20"/>
      <c r="D876" s="20"/>
      <c r="E876" s="20"/>
    </row>
    <row r="877">
      <c r="A877" s="20"/>
      <c r="B877" s="20"/>
      <c r="C877" s="20"/>
      <c r="D877" s="20"/>
      <c r="E877" s="20"/>
    </row>
    <row r="878">
      <c r="A878" s="20"/>
      <c r="B878" s="20"/>
      <c r="C878" s="20"/>
      <c r="D878" s="20"/>
      <c r="E878" s="20"/>
    </row>
    <row r="879">
      <c r="A879" s="20"/>
      <c r="B879" s="20"/>
      <c r="C879" s="20"/>
      <c r="D879" s="20"/>
      <c r="E879" s="20"/>
    </row>
    <row r="880">
      <c r="A880" s="20"/>
      <c r="B880" s="20"/>
      <c r="C880" s="20"/>
      <c r="D880" s="20"/>
      <c r="E880" s="20"/>
    </row>
    <row r="881">
      <c r="A881" s="20"/>
      <c r="B881" s="20"/>
      <c r="C881" s="20"/>
      <c r="D881" s="20"/>
      <c r="E881" s="20"/>
    </row>
    <row r="882">
      <c r="A882" s="20"/>
      <c r="B882" s="20"/>
      <c r="C882" s="20"/>
      <c r="D882" s="20"/>
      <c r="E882" s="20"/>
    </row>
    <row r="883">
      <c r="A883" s="20"/>
      <c r="B883" s="20"/>
      <c r="C883" s="20"/>
      <c r="D883" s="20"/>
      <c r="E883" s="20"/>
    </row>
    <row r="884">
      <c r="A884" s="20"/>
      <c r="B884" s="20"/>
      <c r="C884" s="20"/>
      <c r="D884" s="20"/>
      <c r="E884" s="20"/>
    </row>
    <row r="885">
      <c r="A885" s="20"/>
      <c r="B885" s="20"/>
      <c r="C885" s="20"/>
      <c r="D885" s="20"/>
      <c r="E885" s="20"/>
    </row>
    <row r="886">
      <c r="A886" s="20"/>
      <c r="B886" s="20"/>
      <c r="C886" s="20"/>
      <c r="D886" s="20"/>
      <c r="E886" s="20"/>
    </row>
    <row r="887">
      <c r="A887" s="20"/>
      <c r="B887" s="20"/>
      <c r="C887" s="20"/>
      <c r="D887" s="20"/>
      <c r="E887" s="20"/>
    </row>
    <row r="888">
      <c r="A888" s="20"/>
      <c r="B888" s="20"/>
      <c r="C888" s="20"/>
      <c r="D888" s="20"/>
      <c r="E888" s="20"/>
    </row>
    <row r="889">
      <c r="A889" s="20"/>
      <c r="B889" s="20"/>
      <c r="C889" s="20"/>
      <c r="D889" s="20"/>
      <c r="E889" s="20"/>
    </row>
    <row r="890">
      <c r="A890" s="20"/>
      <c r="B890" s="20"/>
      <c r="C890" s="20"/>
      <c r="D890" s="20"/>
      <c r="E890" s="20"/>
    </row>
    <row r="891">
      <c r="A891" s="20"/>
      <c r="B891" s="20"/>
      <c r="C891" s="20"/>
      <c r="D891" s="20"/>
      <c r="E891" s="20"/>
    </row>
    <row r="892">
      <c r="A892" s="20"/>
      <c r="B892" s="20"/>
      <c r="C892" s="20"/>
      <c r="D892" s="20"/>
      <c r="E892" s="20"/>
    </row>
    <row r="893">
      <c r="A893" s="20"/>
      <c r="B893" s="20"/>
      <c r="C893" s="20"/>
      <c r="D893" s="20"/>
      <c r="E893" s="20"/>
    </row>
    <row r="894">
      <c r="A894" s="20"/>
      <c r="B894" s="20"/>
      <c r="C894" s="20"/>
      <c r="D894" s="20"/>
      <c r="E894" s="20"/>
    </row>
    <row r="895">
      <c r="A895" s="20"/>
      <c r="B895" s="20"/>
      <c r="C895" s="20"/>
      <c r="D895" s="20"/>
      <c r="E895" s="20"/>
    </row>
    <row r="896">
      <c r="A896" s="20"/>
      <c r="B896" s="20"/>
      <c r="C896" s="20"/>
      <c r="D896" s="20"/>
      <c r="E896" s="20"/>
    </row>
    <row r="897">
      <c r="A897" s="20"/>
      <c r="B897" s="20"/>
      <c r="C897" s="20"/>
      <c r="D897" s="20"/>
      <c r="E897" s="20"/>
    </row>
    <row r="898">
      <c r="A898" s="20"/>
      <c r="B898" s="20"/>
      <c r="C898" s="20"/>
      <c r="D898" s="20"/>
      <c r="E898" s="20"/>
    </row>
    <row r="899">
      <c r="A899" s="20"/>
      <c r="B899" s="20"/>
      <c r="C899" s="20"/>
      <c r="D899" s="20"/>
      <c r="E899" s="20"/>
    </row>
    <row r="900">
      <c r="A900" s="20"/>
      <c r="B900" s="20"/>
      <c r="C900" s="20"/>
      <c r="D900" s="20"/>
      <c r="E900" s="20"/>
    </row>
    <row r="901">
      <c r="A901" s="20"/>
      <c r="B901" s="20"/>
      <c r="C901" s="20"/>
      <c r="D901" s="20"/>
      <c r="E901" s="20"/>
    </row>
    <row r="902">
      <c r="A902" s="20"/>
      <c r="B902" s="20"/>
      <c r="C902" s="20"/>
      <c r="D902" s="20"/>
      <c r="E902" s="20"/>
    </row>
    <row r="903">
      <c r="A903" s="20"/>
      <c r="B903" s="20"/>
      <c r="C903" s="20"/>
      <c r="D903" s="20"/>
      <c r="E903" s="20"/>
    </row>
    <row r="904">
      <c r="A904" s="20"/>
      <c r="B904" s="20"/>
      <c r="C904" s="20"/>
      <c r="D904" s="20"/>
      <c r="E904" s="20"/>
    </row>
    <row r="905">
      <c r="A905" s="20"/>
      <c r="B905" s="20"/>
      <c r="C905" s="20"/>
      <c r="D905" s="20"/>
      <c r="E905" s="20"/>
    </row>
    <row r="906">
      <c r="A906" s="20"/>
      <c r="B906" s="20"/>
      <c r="C906" s="20"/>
      <c r="D906" s="20"/>
      <c r="E906" s="20"/>
    </row>
    <row r="907">
      <c r="A907" s="20"/>
      <c r="B907" s="20"/>
      <c r="C907" s="20"/>
      <c r="D907" s="20"/>
      <c r="E907" s="20"/>
    </row>
    <row r="908">
      <c r="A908" s="20"/>
      <c r="B908" s="20"/>
      <c r="C908" s="20"/>
      <c r="D908" s="20"/>
      <c r="E908" s="20"/>
    </row>
    <row r="909">
      <c r="A909" s="20"/>
      <c r="B909" s="20"/>
      <c r="C909" s="20"/>
      <c r="D909" s="20"/>
      <c r="E909" s="20"/>
    </row>
    <row r="910">
      <c r="A910" s="20"/>
      <c r="B910" s="20"/>
      <c r="C910" s="20"/>
      <c r="D910" s="20"/>
      <c r="E910" s="20"/>
    </row>
    <row r="911">
      <c r="A911" s="20"/>
      <c r="B911" s="20"/>
      <c r="C911" s="20"/>
      <c r="D911" s="20"/>
      <c r="E911" s="20"/>
    </row>
    <row r="912">
      <c r="A912" s="20"/>
      <c r="B912" s="20"/>
      <c r="C912" s="20"/>
      <c r="D912" s="20"/>
      <c r="E912" s="20"/>
    </row>
    <row r="913">
      <c r="A913" s="20"/>
      <c r="B913" s="20"/>
      <c r="C913" s="20"/>
      <c r="D913" s="20"/>
      <c r="E913" s="20"/>
    </row>
    <row r="914">
      <c r="A914" s="20"/>
      <c r="B914" s="20"/>
      <c r="C914" s="20"/>
      <c r="D914" s="20"/>
      <c r="E914" s="20"/>
    </row>
    <row r="915">
      <c r="A915" s="20"/>
      <c r="B915" s="20"/>
      <c r="C915" s="20"/>
      <c r="D915" s="20"/>
      <c r="E915" s="20"/>
    </row>
    <row r="916">
      <c r="A916" s="20"/>
      <c r="B916" s="20"/>
      <c r="C916" s="20"/>
      <c r="D916" s="20"/>
      <c r="E916" s="20"/>
    </row>
    <row r="917">
      <c r="A917" s="20"/>
      <c r="B917" s="20"/>
      <c r="C917" s="20"/>
      <c r="D917" s="20"/>
      <c r="E917" s="20"/>
    </row>
    <row r="918">
      <c r="A918" s="20"/>
      <c r="B918" s="20"/>
      <c r="C918" s="20"/>
      <c r="D918" s="20"/>
      <c r="E918" s="20"/>
    </row>
    <row r="919">
      <c r="A919" s="20"/>
      <c r="B919" s="20"/>
      <c r="C919" s="20"/>
      <c r="D919" s="20"/>
      <c r="E919" s="20"/>
    </row>
    <row r="920">
      <c r="A920" s="20"/>
      <c r="B920" s="20"/>
      <c r="C920" s="20"/>
      <c r="D920" s="20"/>
      <c r="E920" s="20"/>
    </row>
    <row r="921">
      <c r="A921" s="20"/>
      <c r="B921" s="20"/>
      <c r="C921" s="20"/>
      <c r="D921" s="20"/>
      <c r="E921" s="20"/>
    </row>
    <row r="922">
      <c r="A922" s="20"/>
      <c r="B922" s="20"/>
      <c r="C922" s="20"/>
      <c r="D922" s="20"/>
      <c r="E922" s="20"/>
    </row>
    <row r="923">
      <c r="A923" s="20"/>
      <c r="B923" s="20"/>
      <c r="C923" s="20"/>
      <c r="D923" s="20"/>
      <c r="E923" s="20"/>
    </row>
    <row r="924">
      <c r="A924" s="20"/>
      <c r="B924" s="20"/>
      <c r="C924" s="20"/>
      <c r="D924" s="20"/>
      <c r="E924" s="20"/>
    </row>
    <row r="925">
      <c r="A925" s="20"/>
      <c r="B925" s="20"/>
      <c r="C925" s="20"/>
      <c r="D925" s="20"/>
      <c r="E925" s="20"/>
    </row>
    <row r="926">
      <c r="A926" s="20"/>
      <c r="B926" s="20"/>
      <c r="C926" s="20"/>
      <c r="D926" s="20"/>
      <c r="E926" s="20"/>
    </row>
    <row r="927">
      <c r="A927" s="20"/>
      <c r="B927" s="20"/>
      <c r="C927" s="20"/>
      <c r="D927" s="20"/>
      <c r="E927" s="20"/>
    </row>
    <row r="928">
      <c r="A928" s="20"/>
      <c r="B928" s="20"/>
      <c r="C928" s="20"/>
      <c r="D928" s="20"/>
      <c r="E928" s="20"/>
    </row>
    <row r="929">
      <c r="A929" s="20"/>
      <c r="B929" s="20"/>
      <c r="C929" s="20"/>
      <c r="D929" s="20"/>
      <c r="E929" s="20"/>
    </row>
    <row r="930">
      <c r="A930" s="20"/>
      <c r="B930" s="20"/>
      <c r="C930" s="20"/>
      <c r="D930" s="20"/>
      <c r="E930" s="20"/>
    </row>
    <row r="931">
      <c r="A931" s="20"/>
      <c r="B931" s="20"/>
      <c r="C931" s="20"/>
      <c r="D931" s="20"/>
      <c r="E931" s="20"/>
    </row>
    <row r="932">
      <c r="A932" s="20"/>
      <c r="B932" s="20"/>
      <c r="C932" s="20"/>
      <c r="D932" s="20"/>
      <c r="E932" s="20"/>
    </row>
    <row r="933">
      <c r="A933" s="20"/>
      <c r="B933" s="20"/>
      <c r="C933" s="20"/>
      <c r="D933" s="20"/>
      <c r="E933" s="20"/>
    </row>
    <row r="934">
      <c r="A934" s="20"/>
      <c r="B934" s="20"/>
      <c r="C934" s="20"/>
      <c r="D934" s="20"/>
      <c r="E934" s="20"/>
    </row>
    <row r="935">
      <c r="A935" s="20"/>
      <c r="B935" s="20"/>
      <c r="C935" s="20"/>
      <c r="D935" s="20"/>
      <c r="E935" s="20"/>
    </row>
    <row r="936">
      <c r="A936" s="20"/>
      <c r="B936" s="20"/>
      <c r="C936" s="20"/>
      <c r="D936" s="20"/>
      <c r="E936" s="20"/>
    </row>
    <row r="937">
      <c r="A937" s="20"/>
      <c r="B937" s="20"/>
      <c r="C937" s="20"/>
      <c r="D937" s="20"/>
      <c r="E937" s="20"/>
    </row>
    <row r="938">
      <c r="A938" s="20"/>
      <c r="B938" s="20"/>
      <c r="C938" s="20"/>
      <c r="D938" s="20"/>
      <c r="E938" s="20"/>
    </row>
    <row r="939">
      <c r="A939" s="20"/>
      <c r="B939" s="20"/>
      <c r="C939" s="20"/>
      <c r="D939" s="20"/>
      <c r="E939" s="20"/>
    </row>
    <row r="940">
      <c r="A940" s="20"/>
      <c r="B940" s="20"/>
      <c r="C940" s="20"/>
      <c r="D940" s="20"/>
      <c r="E940" s="20"/>
    </row>
    <row r="941">
      <c r="A941" s="20"/>
      <c r="B941" s="20"/>
      <c r="C941" s="20"/>
      <c r="D941" s="20"/>
      <c r="E941" s="20"/>
    </row>
    <row r="942">
      <c r="A942" s="20"/>
      <c r="B942" s="20"/>
      <c r="C942" s="20"/>
      <c r="D942" s="20"/>
      <c r="E942" s="20"/>
    </row>
    <row r="943">
      <c r="A943" s="20"/>
      <c r="B943" s="20"/>
      <c r="C943" s="20"/>
      <c r="D943" s="20"/>
      <c r="E943" s="20"/>
    </row>
    <row r="944">
      <c r="A944" s="20"/>
      <c r="B944" s="20"/>
      <c r="C944" s="20"/>
      <c r="D944" s="20"/>
      <c r="E944" s="20"/>
    </row>
    <row r="945">
      <c r="A945" s="20"/>
      <c r="B945" s="20"/>
      <c r="C945" s="20"/>
      <c r="D945" s="20"/>
      <c r="E945" s="20"/>
    </row>
    <row r="946">
      <c r="A946" s="20"/>
      <c r="B946" s="20"/>
      <c r="C946" s="20"/>
      <c r="D946" s="20"/>
      <c r="E946" s="20"/>
    </row>
    <row r="947">
      <c r="A947" s="20"/>
      <c r="B947" s="20"/>
      <c r="C947" s="20"/>
      <c r="D947" s="20"/>
      <c r="E947" s="20"/>
    </row>
    <row r="948">
      <c r="A948" s="20"/>
      <c r="B948" s="20"/>
      <c r="C948" s="20"/>
      <c r="D948" s="20"/>
      <c r="E948" s="20"/>
    </row>
    <row r="949">
      <c r="A949" s="20"/>
      <c r="B949" s="20"/>
      <c r="C949" s="20"/>
      <c r="D949" s="20"/>
      <c r="E949" s="20"/>
    </row>
    <row r="950">
      <c r="A950" s="20"/>
      <c r="B950" s="20"/>
      <c r="C950" s="20"/>
      <c r="D950" s="20"/>
      <c r="E950" s="20"/>
    </row>
    <row r="951">
      <c r="A951" s="20"/>
      <c r="B951" s="20"/>
      <c r="C951" s="20"/>
      <c r="D951" s="20"/>
      <c r="E951" s="20"/>
    </row>
    <row r="952">
      <c r="A952" s="20"/>
      <c r="B952" s="20"/>
      <c r="C952" s="20"/>
      <c r="D952" s="20"/>
      <c r="E952" s="20"/>
    </row>
    <row r="953">
      <c r="A953" s="20"/>
      <c r="B953" s="20"/>
      <c r="C953" s="20"/>
      <c r="D953" s="20"/>
      <c r="E953" s="20"/>
    </row>
    <row r="954">
      <c r="A954" s="20"/>
      <c r="B954" s="20"/>
      <c r="C954" s="20"/>
      <c r="D954" s="20"/>
      <c r="E954" s="20"/>
    </row>
    <row r="955">
      <c r="A955" s="20"/>
      <c r="B955" s="20"/>
      <c r="C955" s="20"/>
      <c r="D955" s="20"/>
      <c r="E955" s="20"/>
    </row>
    <row r="956">
      <c r="A956" s="20"/>
      <c r="B956" s="20"/>
      <c r="C956" s="20"/>
      <c r="D956" s="20"/>
      <c r="E956" s="20"/>
    </row>
    <row r="957">
      <c r="A957" s="20"/>
      <c r="B957" s="20"/>
      <c r="C957" s="20"/>
      <c r="D957" s="20"/>
      <c r="E957" s="20"/>
    </row>
    <row r="958">
      <c r="A958" s="20"/>
      <c r="B958" s="20"/>
      <c r="C958" s="20"/>
      <c r="D958" s="20"/>
      <c r="E958" s="20"/>
    </row>
    <row r="959">
      <c r="A959" s="20"/>
      <c r="B959" s="20"/>
      <c r="C959" s="20"/>
      <c r="D959" s="20"/>
      <c r="E959" s="20"/>
    </row>
    <row r="960">
      <c r="A960" s="20"/>
      <c r="B960" s="20"/>
      <c r="C960" s="20"/>
      <c r="D960" s="20"/>
      <c r="E960" s="20"/>
    </row>
    <row r="961">
      <c r="A961" s="20"/>
      <c r="B961" s="20"/>
      <c r="C961" s="20"/>
      <c r="D961" s="20"/>
      <c r="E961" s="20"/>
    </row>
    <row r="962">
      <c r="A962" s="20"/>
      <c r="B962" s="20"/>
      <c r="C962" s="20"/>
      <c r="D962" s="20"/>
      <c r="E962" s="20"/>
    </row>
    <row r="963">
      <c r="A963" s="20"/>
      <c r="B963" s="20"/>
      <c r="C963" s="20"/>
      <c r="D963" s="20"/>
      <c r="E963" s="20"/>
    </row>
    <row r="964">
      <c r="A964" s="20"/>
      <c r="B964" s="20"/>
      <c r="C964" s="20"/>
      <c r="D964" s="20"/>
      <c r="E964" s="20"/>
    </row>
    <row r="965">
      <c r="A965" s="20"/>
      <c r="B965" s="20"/>
      <c r="C965" s="20"/>
      <c r="D965" s="20"/>
      <c r="E965" s="20"/>
    </row>
    <row r="966">
      <c r="A966" s="20"/>
      <c r="B966" s="20"/>
      <c r="C966" s="20"/>
      <c r="D966" s="20"/>
      <c r="E966" s="20"/>
    </row>
    <row r="967">
      <c r="A967" s="20"/>
      <c r="B967" s="20"/>
      <c r="C967" s="20"/>
      <c r="D967" s="20"/>
      <c r="E967" s="20"/>
    </row>
    <row r="968">
      <c r="A968" s="20"/>
      <c r="B968" s="20"/>
      <c r="C968" s="20"/>
      <c r="D968" s="20"/>
      <c r="E968" s="20"/>
    </row>
    <row r="969">
      <c r="A969" s="20"/>
      <c r="B969" s="20"/>
      <c r="C969" s="20"/>
      <c r="D969" s="20"/>
      <c r="E969" s="20"/>
    </row>
    <row r="970">
      <c r="A970" s="20"/>
      <c r="B970" s="20"/>
      <c r="C970" s="20"/>
      <c r="D970" s="20"/>
      <c r="E970" s="20"/>
    </row>
    <row r="971">
      <c r="A971" s="20"/>
      <c r="B971" s="20"/>
      <c r="C971" s="20"/>
      <c r="D971" s="20"/>
      <c r="E971" s="20"/>
    </row>
    <row r="972">
      <c r="A972" s="20"/>
      <c r="B972" s="20"/>
      <c r="C972" s="20"/>
      <c r="D972" s="20"/>
      <c r="E972" s="20"/>
    </row>
    <row r="973">
      <c r="A973" s="20"/>
      <c r="B973" s="20"/>
      <c r="C973" s="20"/>
      <c r="D973" s="20"/>
      <c r="E973" s="20"/>
    </row>
    <row r="974">
      <c r="A974" s="20"/>
      <c r="B974" s="20"/>
      <c r="C974" s="20"/>
      <c r="D974" s="20"/>
      <c r="E974" s="20"/>
    </row>
    <row r="975">
      <c r="A975" s="20"/>
      <c r="B975" s="20"/>
      <c r="C975" s="20"/>
      <c r="D975" s="20"/>
      <c r="E975" s="20"/>
    </row>
    <row r="976">
      <c r="A976" s="20"/>
      <c r="B976" s="20"/>
      <c r="C976" s="20"/>
      <c r="D976" s="20"/>
      <c r="E976" s="20"/>
    </row>
    <row r="977">
      <c r="A977" s="20"/>
      <c r="B977" s="20"/>
      <c r="C977" s="20"/>
      <c r="D977" s="20"/>
      <c r="E977" s="20"/>
    </row>
    <row r="978">
      <c r="A978" s="20"/>
      <c r="B978" s="20"/>
      <c r="C978" s="20"/>
      <c r="D978" s="20"/>
      <c r="E978" s="20"/>
    </row>
    <row r="979">
      <c r="A979" s="20"/>
      <c r="B979" s="20"/>
      <c r="C979" s="20"/>
      <c r="D979" s="20"/>
      <c r="E979" s="20"/>
    </row>
    <row r="980">
      <c r="A980" s="20"/>
      <c r="B980" s="20"/>
      <c r="C980" s="20"/>
      <c r="D980" s="20"/>
      <c r="E980" s="20"/>
    </row>
    <row r="981">
      <c r="A981" s="20"/>
      <c r="B981" s="20"/>
      <c r="C981" s="20"/>
      <c r="D981" s="20"/>
      <c r="E981" s="20"/>
    </row>
    <row r="982">
      <c r="A982" s="20"/>
      <c r="B982" s="20"/>
      <c r="C982" s="20"/>
      <c r="D982" s="20"/>
      <c r="E982" s="20"/>
    </row>
    <row r="983">
      <c r="A983" s="20"/>
      <c r="B983" s="20"/>
      <c r="C983" s="20"/>
      <c r="D983" s="20"/>
      <c r="E983" s="20"/>
    </row>
    <row r="984">
      <c r="A984" s="20"/>
      <c r="B984" s="20"/>
      <c r="C984" s="20"/>
      <c r="D984" s="20"/>
      <c r="E984" s="20"/>
    </row>
    <row r="985">
      <c r="A985" s="20"/>
      <c r="B985" s="20"/>
      <c r="C985" s="20"/>
      <c r="D985" s="20"/>
      <c r="E985" s="20"/>
    </row>
    <row r="986">
      <c r="A986" s="20"/>
      <c r="B986" s="20"/>
      <c r="C986" s="20"/>
      <c r="D986" s="20"/>
      <c r="E986" s="20"/>
    </row>
    <row r="987">
      <c r="A987" s="20"/>
      <c r="B987" s="20"/>
      <c r="C987" s="20"/>
      <c r="D987" s="20"/>
      <c r="E987" s="20"/>
    </row>
    <row r="988">
      <c r="A988" s="20"/>
      <c r="B988" s="20"/>
      <c r="C988" s="20"/>
      <c r="D988" s="20"/>
      <c r="E988" s="20"/>
    </row>
    <row r="989">
      <c r="A989" s="20"/>
      <c r="B989" s="20"/>
      <c r="C989" s="20"/>
      <c r="D989" s="20"/>
      <c r="E989" s="20"/>
    </row>
    <row r="990">
      <c r="A990" s="20"/>
      <c r="B990" s="20"/>
      <c r="C990" s="20"/>
      <c r="D990" s="20"/>
      <c r="E990" s="20"/>
    </row>
    <row r="991">
      <c r="A991" s="20"/>
      <c r="B991" s="20"/>
      <c r="C991" s="20"/>
      <c r="D991" s="20"/>
      <c r="E991" s="20"/>
    </row>
    <row r="992">
      <c r="A992" s="20"/>
      <c r="B992" s="20"/>
      <c r="C992" s="20"/>
      <c r="D992" s="20"/>
      <c r="E992" s="20"/>
    </row>
    <row r="993">
      <c r="A993" s="20"/>
      <c r="B993" s="20"/>
      <c r="C993" s="20"/>
      <c r="D993" s="20"/>
      <c r="E993" s="20"/>
    </row>
    <row r="994">
      <c r="A994" s="20"/>
      <c r="B994" s="20"/>
      <c r="C994" s="20"/>
      <c r="D994" s="20"/>
      <c r="E994" s="20"/>
    </row>
    <row r="995">
      <c r="A995" s="20"/>
      <c r="B995" s="20"/>
      <c r="C995" s="20"/>
      <c r="D995" s="20"/>
      <c r="E995" s="20"/>
    </row>
    <row r="996">
      <c r="A996" s="20"/>
      <c r="B996" s="20"/>
      <c r="C996" s="20"/>
      <c r="D996" s="20"/>
      <c r="E996" s="20"/>
    </row>
    <row r="997">
      <c r="A997" s="20"/>
      <c r="B997" s="20"/>
      <c r="C997" s="20"/>
      <c r="D997" s="20"/>
      <c r="E997" s="20"/>
    </row>
    <row r="998">
      <c r="A998" s="20"/>
      <c r="B998" s="20"/>
      <c r="C998" s="20"/>
      <c r="D998" s="20"/>
      <c r="E998" s="20"/>
    </row>
    <row r="999">
      <c r="A999" s="20"/>
      <c r="B999" s="20"/>
      <c r="C999" s="20"/>
      <c r="D999" s="20"/>
      <c r="E999" s="20"/>
    </row>
    <row r="1000">
      <c r="A1000" s="20"/>
      <c r="B1000" s="20"/>
      <c r="C1000" s="20"/>
      <c r="D1000" s="20"/>
      <c r="E1000" s="20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4" max="4" width="41.0"/>
  </cols>
  <sheetData>
    <row r="1" ht="43.5" customHeight="1">
      <c r="A1" s="47" t="s">
        <v>4</v>
      </c>
      <c r="B1" s="47" t="s">
        <v>446</v>
      </c>
      <c r="C1" s="47" t="s">
        <v>447</v>
      </c>
      <c r="D1" s="47" t="s">
        <v>448</v>
      </c>
    </row>
    <row r="2">
      <c r="A2" s="48" t="s">
        <v>449</v>
      </c>
      <c r="B2" s="49">
        <v>45024.0</v>
      </c>
      <c r="C2" s="49">
        <v>45036.0</v>
      </c>
      <c r="D2" s="50" t="s">
        <v>450</v>
      </c>
    </row>
    <row r="3">
      <c r="A3" s="48" t="s">
        <v>451</v>
      </c>
      <c r="B3" s="49">
        <v>45024.0</v>
      </c>
      <c r="C3" s="49">
        <v>45036.0</v>
      </c>
      <c r="D3" s="48" t="s">
        <v>452</v>
      </c>
    </row>
    <row r="4">
      <c r="A4" s="51"/>
      <c r="B4" s="52"/>
      <c r="C4" s="52"/>
      <c r="D4" s="48"/>
    </row>
    <row r="5">
      <c r="A5" s="51"/>
      <c r="B5" s="49"/>
      <c r="C5" s="49"/>
      <c r="D5" s="48"/>
    </row>
    <row r="6">
      <c r="A6" s="51"/>
      <c r="B6" s="52"/>
      <c r="C6" s="52"/>
      <c r="D6" s="48"/>
    </row>
    <row r="7">
      <c r="A7" s="51"/>
      <c r="B7" s="52"/>
      <c r="C7" s="52"/>
      <c r="D7" s="48"/>
    </row>
    <row r="8">
      <c r="A8" s="51"/>
      <c r="B8" s="52"/>
      <c r="C8" s="52"/>
      <c r="D8" s="48"/>
    </row>
    <row r="9">
      <c r="A9" s="52"/>
      <c r="B9" s="52"/>
      <c r="C9" s="52"/>
      <c r="D9" s="52"/>
    </row>
    <row r="10">
      <c r="A10" s="52"/>
      <c r="B10" s="52"/>
      <c r="C10" s="52"/>
      <c r="D10" s="52"/>
    </row>
    <row r="11">
      <c r="A11" s="52"/>
      <c r="B11" s="52"/>
      <c r="C11" s="52"/>
      <c r="D11" s="52"/>
    </row>
    <row r="12">
      <c r="A12" s="52"/>
      <c r="B12" s="52"/>
      <c r="C12" s="52"/>
      <c r="D12" s="52"/>
    </row>
    <row r="13">
      <c r="A13" s="52"/>
      <c r="B13" s="52"/>
      <c r="C13" s="52"/>
      <c r="D13" s="52"/>
    </row>
    <row r="14">
      <c r="A14" s="52"/>
      <c r="B14" s="52"/>
      <c r="C14" s="52"/>
      <c r="D14" s="52"/>
    </row>
    <row r="15">
      <c r="A15" s="52"/>
      <c r="B15" s="52"/>
      <c r="C15" s="52"/>
      <c r="D15" s="52"/>
    </row>
    <row r="16">
      <c r="A16" s="52"/>
      <c r="B16" s="52"/>
      <c r="C16" s="52"/>
      <c r="D16" s="52"/>
    </row>
    <row r="17">
      <c r="A17" s="52"/>
      <c r="B17" s="52"/>
      <c r="C17" s="52"/>
      <c r="D17" s="52"/>
    </row>
    <row r="18">
      <c r="A18" s="52"/>
      <c r="B18" s="52"/>
      <c r="C18" s="52"/>
      <c r="D18" s="52"/>
    </row>
    <row r="19">
      <c r="A19" s="52"/>
      <c r="B19" s="52"/>
      <c r="C19" s="52"/>
      <c r="D19" s="52"/>
    </row>
    <row r="20">
      <c r="A20" s="52"/>
      <c r="B20" s="52"/>
      <c r="C20" s="52"/>
      <c r="D20" s="52"/>
    </row>
    <row r="21">
      <c r="A21" s="52"/>
      <c r="B21" s="52"/>
      <c r="C21" s="52"/>
      <c r="D21" s="52"/>
    </row>
    <row r="22">
      <c r="A22" s="52"/>
      <c r="B22" s="52"/>
      <c r="C22" s="52"/>
      <c r="D22" s="52"/>
    </row>
    <row r="23">
      <c r="A23" s="52"/>
      <c r="B23" s="52"/>
      <c r="C23" s="52"/>
      <c r="D23" s="52"/>
    </row>
    <row r="24">
      <c r="A24" s="52"/>
      <c r="B24" s="52"/>
      <c r="C24" s="52"/>
      <c r="D24" s="52"/>
    </row>
    <row r="25">
      <c r="A25" s="52"/>
      <c r="B25" s="52"/>
      <c r="C25" s="52"/>
      <c r="D25" s="52"/>
    </row>
    <row r="26">
      <c r="A26" s="52"/>
      <c r="B26" s="52"/>
      <c r="C26" s="52"/>
      <c r="D26" s="52"/>
    </row>
    <row r="27">
      <c r="A27" s="52"/>
      <c r="B27" s="52"/>
      <c r="C27" s="52"/>
      <c r="D27" s="52"/>
    </row>
    <row r="28">
      <c r="A28" s="52"/>
      <c r="B28" s="52"/>
      <c r="C28" s="52"/>
      <c r="D28" s="52"/>
    </row>
    <row r="29">
      <c r="A29" s="52"/>
      <c r="B29" s="52"/>
      <c r="C29" s="52"/>
      <c r="D29" s="52"/>
    </row>
    <row r="30">
      <c r="A30" s="52"/>
      <c r="B30" s="52"/>
      <c r="C30" s="52"/>
      <c r="D30" s="52"/>
    </row>
    <row r="31">
      <c r="A31" s="52"/>
      <c r="B31" s="52"/>
      <c r="C31" s="52"/>
      <c r="D31" s="52"/>
    </row>
    <row r="32">
      <c r="A32" s="52"/>
      <c r="B32" s="52"/>
      <c r="C32" s="52"/>
      <c r="D32" s="52"/>
    </row>
    <row r="33">
      <c r="A33" s="52"/>
      <c r="B33" s="52"/>
      <c r="C33" s="52"/>
      <c r="D33" s="52"/>
    </row>
    <row r="34">
      <c r="A34" s="52"/>
      <c r="B34" s="52"/>
      <c r="C34" s="52"/>
      <c r="D34" s="52"/>
    </row>
    <row r="35">
      <c r="A35" s="52"/>
      <c r="B35" s="52"/>
      <c r="C35" s="52"/>
      <c r="D35" s="52"/>
    </row>
    <row r="36">
      <c r="A36" s="52"/>
      <c r="B36" s="52"/>
      <c r="C36" s="52"/>
      <c r="D36" s="52"/>
    </row>
    <row r="37">
      <c r="A37" s="52"/>
      <c r="B37" s="52"/>
      <c r="C37" s="52"/>
      <c r="D37" s="52"/>
    </row>
    <row r="38">
      <c r="A38" s="52"/>
      <c r="B38" s="52"/>
      <c r="C38" s="52"/>
      <c r="D38" s="52"/>
    </row>
    <row r="39">
      <c r="A39" s="52"/>
      <c r="B39" s="52"/>
      <c r="C39" s="52"/>
      <c r="D39" s="52"/>
    </row>
    <row r="40">
      <c r="A40" s="52"/>
      <c r="B40" s="52"/>
      <c r="C40" s="52"/>
      <c r="D40" s="52"/>
    </row>
    <row r="41">
      <c r="A41" s="52"/>
      <c r="B41" s="52"/>
      <c r="C41" s="52"/>
      <c r="D41" s="52"/>
    </row>
    <row r="42">
      <c r="A42" s="52"/>
      <c r="B42" s="52"/>
      <c r="C42" s="52"/>
      <c r="D42" s="52"/>
    </row>
    <row r="43">
      <c r="A43" s="52"/>
      <c r="B43" s="52"/>
      <c r="C43" s="52"/>
      <c r="D43" s="52"/>
    </row>
    <row r="44">
      <c r="A44" s="52"/>
      <c r="B44" s="52"/>
      <c r="C44" s="52"/>
      <c r="D44" s="52"/>
    </row>
    <row r="45">
      <c r="A45" s="52"/>
      <c r="B45" s="52"/>
      <c r="C45" s="52"/>
      <c r="D45" s="52"/>
    </row>
    <row r="46">
      <c r="A46" s="52"/>
      <c r="B46" s="52"/>
      <c r="C46" s="52"/>
      <c r="D46" s="52"/>
    </row>
    <row r="47">
      <c r="A47" s="52"/>
      <c r="B47" s="52"/>
      <c r="C47" s="52"/>
      <c r="D47" s="52"/>
    </row>
    <row r="48">
      <c r="A48" s="52"/>
      <c r="B48" s="52"/>
      <c r="C48" s="52"/>
      <c r="D48" s="52"/>
    </row>
    <row r="49">
      <c r="A49" s="52"/>
      <c r="B49" s="52"/>
      <c r="C49" s="52"/>
      <c r="D49" s="52"/>
    </row>
    <row r="50">
      <c r="A50" s="52"/>
      <c r="B50" s="52"/>
      <c r="C50" s="52"/>
      <c r="D50" s="52"/>
    </row>
    <row r="51">
      <c r="A51" s="52"/>
      <c r="B51" s="52"/>
      <c r="C51" s="52"/>
      <c r="D51" s="52"/>
    </row>
    <row r="52">
      <c r="A52" s="52"/>
      <c r="B52" s="52"/>
      <c r="C52" s="52"/>
      <c r="D52" s="52"/>
    </row>
    <row r="53">
      <c r="A53" s="52"/>
      <c r="B53" s="52"/>
      <c r="C53" s="52"/>
      <c r="D53" s="52"/>
    </row>
    <row r="54">
      <c r="A54" s="52"/>
      <c r="B54" s="52"/>
      <c r="C54" s="52"/>
      <c r="D54" s="52"/>
    </row>
    <row r="55">
      <c r="A55" s="52"/>
      <c r="B55" s="52"/>
      <c r="C55" s="52"/>
      <c r="D55" s="52"/>
    </row>
    <row r="56">
      <c r="A56" s="52"/>
      <c r="B56" s="52"/>
      <c r="C56" s="52"/>
      <c r="D56" s="52"/>
    </row>
    <row r="57">
      <c r="A57" s="52"/>
      <c r="B57" s="52"/>
      <c r="C57" s="52"/>
      <c r="D57" s="52"/>
    </row>
    <row r="58">
      <c r="A58" s="52"/>
      <c r="B58" s="52"/>
      <c r="C58" s="52"/>
      <c r="D58" s="52"/>
    </row>
    <row r="59">
      <c r="A59" s="52"/>
      <c r="B59" s="52"/>
      <c r="C59" s="52"/>
      <c r="D59" s="52"/>
    </row>
    <row r="60">
      <c r="A60" s="52"/>
      <c r="B60" s="52"/>
      <c r="C60" s="52"/>
      <c r="D60" s="52"/>
    </row>
    <row r="61">
      <c r="A61" s="52"/>
      <c r="B61" s="52"/>
      <c r="C61" s="52"/>
      <c r="D61" s="52"/>
    </row>
    <row r="62">
      <c r="A62" s="52"/>
      <c r="B62" s="52"/>
      <c r="C62" s="52"/>
      <c r="D62" s="52"/>
    </row>
    <row r="63">
      <c r="A63" s="52"/>
      <c r="B63" s="52"/>
      <c r="C63" s="52"/>
      <c r="D63" s="52"/>
    </row>
    <row r="64">
      <c r="A64" s="52"/>
      <c r="B64" s="52"/>
      <c r="C64" s="52"/>
      <c r="D64" s="52"/>
    </row>
    <row r="65">
      <c r="A65" s="52"/>
      <c r="B65" s="52"/>
      <c r="C65" s="52"/>
      <c r="D65" s="52"/>
    </row>
    <row r="66">
      <c r="A66" s="52"/>
      <c r="B66" s="52"/>
      <c r="C66" s="52"/>
      <c r="D66" s="52"/>
    </row>
    <row r="67">
      <c r="A67" s="52"/>
      <c r="B67" s="52"/>
      <c r="C67" s="52"/>
      <c r="D67" s="52"/>
    </row>
    <row r="68">
      <c r="A68" s="52"/>
      <c r="B68" s="52"/>
      <c r="C68" s="52"/>
      <c r="D68" s="52"/>
    </row>
    <row r="69">
      <c r="A69" s="52"/>
      <c r="B69" s="52"/>
      <c r="C69" s="52"/>
      <c r="D69" s="52"/>
    </row>
    <row r="70">
      <c r="A70" s="52"/>
      <c r="B70" s="52"/>
      <c r="C70" s="52"/>
      <c r="D70" s="52"/>
    </row>
    <row r="71">
      <c r="A71" s="52"/>
      <c r="B71" s="52"/>
      <c r="C71" s="52"/>
      <c r="D71" s="52"/>
    </row>
    <row r="72">
      <c r="A72" s="52"/>
      <c r="B72" s="52"/>
      <c r="C72" s="52"/>
      <c r="D72" s="52"/>
    </row>
    <row r="73">
      <c r="A73" s="52"/>
      <c r="B73" s="52"/>
      <c r="C73" s="52"/>
      <c r="D73" s="52"/>
    </row>
    <row r="74">
      <c r="A74" s="52"/>
      <c r="B74" s="52"/>
      <c r="C74" s="52"/>
      <c r="D74" s="52"/>
    </row>
    <row r="75">
      <c r="A75" s="52"/>
      <c r="B75" s="52"/>
      <c r="C75" s="52"/>
      <c r="D75" s="52"/>
    </row>
    <row r="76">
      <c r="A76" s="52"/>
      <c r="B76" s="52"/>
      <c r="C76" s="52"/>
      <c r="D76" s="52"/>
    </row>
    <row r="77">
      <c r="A77" s="52"/>
      <c r="B77" s="52"/>
      <c r="C77" s="52"/>
      <c r="D77" s="52"/>
    </row>
    <row r="78">
      <c r="A78" s="52"/>
      <c r="B78" s="52"/>
      <c r="C78" s="52"/>
      <c r="D78" s="52"/>
    </row>
    <row r="79">
      <c r="A79" s="52"/>
      <c r="B79" s="52"/>
      <c r="C79" s="52"/>
      <c r="D79" s="52"/>
    </row>
    <row r="80">
      <c r="A80" s="52"/>
      <c r="B80" s="52"/>
      <c r="C80" s="52"/>
      <c r="D80" s="52"/>
    </row>
    <row r="81">
      <c r="A81" s="52"/>
      <c r="B81" s="52"/>
      <c r="C81" s="52"/>
      <c r="D81" s="52"/>
    </row>
    <row r="82">
      <c r="A82" s="52"/>
      <c r="B82" s="52"/>
      <c r="C82" s="52"/>
      <c r="D82" s="52"/>
    </row>
    <row r="83">
      <c r="A83" s="52"/>
      <c r="B83" s="52"/>
      <c r="C83" s="52"/>
      <c r="D83" s="52"/>
    </row>
    <row r="84">
      <c r="A84" s="52"/>
      <c r="B84" s="52"/>
      <c r="C84" s="52"/>
      <c r="D84" s="52"/>
    </row>
    <row r="85">
      <c r="A85" s="52"/>
      <c r="B85" s="52"/>
      <c r="C85" s="52"/>
      <c r="D85" s="52"/>
    </row>
    <row r="86">
      <c r="A86" s="52"/>
      <c r="B86" s="52"/>
      <c r="C86" s="52"/>
      <c r="D86" s="52"/>
    </row>
    <row r="87">
      <c r="A87" s="52"/>
      <c r="B87" s="52"/>
      <c r="C87" s="52"/>
      <c r="D87" s="52"/>
    </row>
    <row r="88">
      <c r="A88" s="52"/>
      <c r="B88" s="52"/>
      <c r="C88" s="52"/>
      <c r="D88" s="52"/>
    </row>
    <row r="89">
      <c r="A89" s="52"/>
      <c r="B89" s="52"/>
      <c r="C89" s="52"/>
      <c r="D89" s="52"/>
    </row>
    <row r="90">
      <c r="A90" s="52"/>
      <c r="B90" s="52"/>
      <c r="C90" s="52"/>
      <c r="D90" s="52"/>
    </row>
    <row r="91">
      <c r="A91" s="52"/>
      <c r="B91" s="52"/>
      <c r="C91" s="52"/>
      <c r="D91" s="52"/>
    </row>
    <row r="92">
      <c r="A92" s="52"/>
      <c r="B92" s="52"/>
      <c r="C92" s="52"/>
      <c r="D92" s="52"/>
    </row>
    <row r="93">
      <c r="A93" s="52"/>
      <c r="B93" s="52"/>
      <c r="C93" s="52"/>
      <c r="D93" s="52"/>
    </row>
    <row r="94">
      <c r="A94" s="52"/>
      <c r="B94" s="52"/>
      <c r="C94" s="52"/>
      <c r="D94" s="52"/>
    </row>
    <row r="95">
      <c r="A95" s="52"/>
      <c r="B95" s="52"/>
      <c r="C95" s="52"/>
      <c r="D95" s="52"/>
    </row>
    <row r="96">
      <c r="A96" s="52"/>
      <c r="B96" s="52"/>
      <c r="C96" s="52"/>
      <c r="D96" s="52"/>
    </row>
    <row r="97">
      <c r="A97" s="52"/>
      <c r="B97" s="52"/>
      <c r="C97" s="52"/>
      <c r="D97" s="52"/>
    </row>
    <row r="98">
      <c r="A98" s="52"/>
      <c r="B98" s="52"/>
      <c r="C98" s="52"/>
      <c r="D98" s="52"/>
    </row>
    <row r="99">
      <c r="A99" s="52"/>
      <c r="B99" s="52"/>
      <c r="C99" s="52"/>
      <c r="D99" s="52"/>
    </row>
    <row r="100">
      <c r="A100" s="52"/>
      <c r="B100" s="52"/>
      <c r="C100" s="52"/>
      <c r="D100" s="52"/>
    </row>
  </sheetData>
  <drawing r:id="rId1"/>
</worksheet>
</file>